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I:\내 드라이브\rgApexAI\20260529\KIIT_paper_source_code\src\github_upload\"/>
    </mc:Choice>
  </mc:AlternateContent>
  <xr:revisionPtr revIDLastSave="0" documentId="13_ncr:1_{25D8E657-3B6E-43F5-B0F6-F984B8EB20C8}" xr6:coauthVersionLast="47" xr6:coauthVersionMax="47" xr10:uidLastSave="{00000000-0000-0000-0000-000000000000}"/>
  <bookViews>
    <workbookView xWindow="3912" yWindow="2556" windowWidth="23040" windowHeight="13560" tabRatio="500" firstSheet="16" activeTab="19" xr2:uid="{00000000-000D-0000-FFFF-FFFF00000000}"/>
  </bookViews>
  <sheets>
    <sheet name="00_개요" sheetId="1" r:id="rId1"/>
    <sheet name="01_원자료" sheetId="2" r:id="rId2"/>
    <sheet name="02_지표정의" sheetId="3" r:id="rId3"/>
    <sheet name="03_가중치민감도" sheetId="4" r:id="rId4"/>
    <sheet name="03B_시나리오점수" sheetId="5" r:id="rId5"/>
    <sheet name="04_교차표" sheetId="6" r:id="rId6"/>
    <sheet name="05_이원분산분석" sheetId="7" r:id="rId7"/>
    <sheet name="05B_가정검정" sheetId="8" r:id="rId8"/>
    <sheet name="06_ICC" sheetId="9" r:id="rId9"/>
    <sheet name="07_관대함변별력" sheetId="10" r:id="rId10"/>
    <sheet name="08_KW_Holm" sheetId="11" r:id="rId11"/>
    <sheet name="09_12지표교차표" sheetId="12" r:id="rId12"/>
    <sheet name="10_계열편향" sheetId="13" r:id="rId13"/>
    <sheet name="10B_문서단위잔차" sheetId="14" r:id="rId14"/>
    <sheet name="11_문서단위" sheetId="15" r:id="rId15"/>
    <sheet name="12_사후회귀" sheetId="16" r:id="rId16"/>
    <sheet name="13_레퍼런스프리" sheetId="17" r:id="rId17"/>
    <sheet name="13B_레퍼런스프리_어휘의미" sheetId="18" r:id="rId18"/>
    <sheet name="13C_보조모형" sheetId="19" r:id="rId19"/>
    <sheet name="14_논문대조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6" i="20" l="1"/>
  <c r="F86" i="20" s="1"/>
  <c r="G86" i="20" s="1"/>
  <c r="F84" i="20"/>
  <c r="G84" i="20" s="1"/>
  <c r="E84" i="20"/>
  <c r="B98" i="18"/>
  <c r="C76" i="18"/>
  <c r="B74" i="18"/>
  <c r="E69" i="18"/>
  <c r="D69" i="18"/>
  <c r="C69" i="18"/>
  <c r="A69" i="18"/>
  <c r="E68" i="18"/>
  <c r="D68" i="18"/>
  <c r="C68" i="18"/>
  <c r="A68" i="18"/>
  <c r="E67" i="18"/>
  <c r="D67" i="18"/>
  <c r="C67" i="18"/>
  <c r="A67" i="18"/>
  <c r="E66" i="18"/>
  <c r="D66" i="18"/>
  <c r="C66" i="18"/>
  <c r="A66" i="18"/>
  <c r="E65" i="18"/>
  <c r="D65" i="18"/>
  <c r="C65" i="18"/>
  <c r="A65" i="18"/>
  <c r="E64" i="18"/>
  <c r="D64" i="18"/>
  <c r="C64" i="18"/>
  <c r="A64" i="18"/>
  <c r="E63" i="18"/>
  <c r="D63" i="18"/>
  <c r="C63" i="18"/>
  <c r="A63" i="18"/>
  <c r="E62" i="18"/>
  <c r="D62" i="18"/>
  <c r="C62" i="18"/>
  <c r="A62" i="18"/>
  <c r="E61" i="18"/>
  <c r="D61" i="18"/>
  <c r="C61" i="18"/>
  <c r="A61" i="18"/>
  <c r="E60" i="18"/>
  <c r="D60" i="18"/>
  <c r="C60" i="18"/>
  <c r="A60" i="18"/>
  <c r="E59" i="18"/>
  <c r="D59" i="18"/>
  <c r="C59" i="18"/>
  <c r="A59" i="18"/>
  <c r="E58" i="18"/>
  <c r="D58" i="18"/>
  <c r="C58" i="18"/>
  <c r="A58" i="18"/>
  <c r="E57" i="18"/>
  <c r="D57" i="18"/>
  <c r="C57" i="18"/>
  <c r="A57" i="18"/>
  <c r="E56" i="18"/>
  <c r="D56" i="18"/>
  <c r="C56" i="18"/>
  <c r="A56" i="18"/>
  <c r="E55" i="18"/>
  <c r="D55" i="18"/>
  <c r="C55" i="18"/>
  <c r="A55" i="18"/>
  <c r="E54" i="18"/>
  <c r="D54" i="18"/>
  <c r="C54" i="18"/>
  <c r="A54" i="18"/>
  <c r="E53" i="18"/>
  <c r="D53" i="18"/>
  <c r="C53" i="18"/>
  <c r="A53" i="18"/>
  <c r="E52" i="18"/>
  <c r="D52" i="18"/>
  <c r="C52" i="18"/>
  <c r="A52" i="18"/>
  <c r="E51" i="18"/>
  <c r="D51" i="18"/>
  <c r="C51" i="18"/>
  <c r="A51" i="18"/>
  <c r="E50" i="18"/>
  <c r="D50" i="18"/>
  <c r="C50" i="18"/>
  <c r="A50" i="18"/>
  <c r="E49" i="18"/>
  <c r="D49" i="18"/>
  <c r="C49" i="18"/>
  <c r="A49" i="18"/>
  <c r="E48" i="18"/>
  <c r="D48" i="18"/>
  <c r="C48" i="18"/>
  <c r="A48" i="18"/>
  <c r="E47" i="18"/>
  <c r="D47" i="18"/>
  <c r="C47" i="18"/>
  <c r="A47" i="18"/>
  <c r="E46" i="18"/>
  <c r="D46" i="18"/>
  <c r="C46" i="18"/>
  <c r="A46" i="18"/>
  <c r="E45" i="18"/>
  <c r="D45" i="18"/>
  <c r="C45" i="18"/>
  <c r="A45" i="18"/>
  <c r="E44" i="18"/>
  <c r="D44" i="18"/>
  <c r="C44" i="18"/>
  <c r="A44" i="18"/>
  <c r="E43" i="18"/>
  <c r="D43" i="18"/>
  <c r="C43" i="18"/>
  <c r="A43" i="18"/>
  <c r="E42" i="18"/>
  <c r="D42" i="18"/>
  <c r="C42" i="18"/>
  <c r="A42" i="18"/>
  <c r="E41" i="18"/>
  <c r="D41" i="18"/>
  <c r="C41" i="18"/>
  <c r="A41" i="18"/>
  <c r="E40" i="18"/>
  <c r="D40" i="18"/>
  <c r="C40" i="18"/>
  <c r="A40" i="18"/>
  <c r="E39" i="18"/>
  <c r="D39" i="18"/>
  <c r="C39" i="18"/>
  <c r="A39" i="18"/>
  <c r="E38" i="18"/>
  <c r="D38" i="18"/>
  <c r="C38" i="18"/>
  <c r="A38" i="18"/>
  <c r="E37" i="18"/>
  <c r="D37" i="18"/>
  <c r="C37" i="18"/>
  <c r="A37" i="18"/>
  <c r="E36" i="18"/>
  <c r="D36" i="18"/>
  <c r="C36" i="18"/>
  <c r="A36" i="18"/>
  <c r="E35" i="18"/>
  <c r="D35" i="18"/>
  <c r="C35" i="18"/>
  <c r="A35" i="18"/>
  <c r="E34" i="18"/>
  <c r="D34" i="18"/>
  <c r="C34" i="18"/>
  <c r="A34" i="18"/>
  <c r="E33" i="18"/>
  <c r="D33" i="18"/>
  <c r="C33" i="18"/>
  <c r="A33" i="18"/>
  <c r="E32" i="18"/>
  <c r="D32" i="18"/>
  <c r="C32" i="18"/>
  <c r="A32" i="18"/>
  <c r="E31" i="18"/>
  <c r="D31" i="18"/>
  <c r="C31" i="18"/>
  <c r="A31" i="18"/>
  <c r="E30" i="18"/>
  <c r="D30" i="18"/>
  <c r="C30" i="18"/>
  <c r="A30" i="18"/>
  <c r="E29" i="18"/>
  <c r="D29" i="18"/>
  <c r="C29" i="18"/>
  <c r="A29" i="18"/>
  <c r="E28" i="18"/>
  <c r="D28" i="18"/>
  <c r="C28" i="18"/>
  <c r="A28" i="18"/>
  <c r="E27" i="18"/>
  <c r="D27" i="18"/>
  <c r="C27" i="18"/>
  <c r="A27" i="18"/>
  <c r="E26" i="18"/>
  <c r="D26" i="18"/>
  <c r="C26" i="18"/>
  <c r="A26" i="18"/>
  <c r="E25" i="18"/>
  <c r="D25" i="18"/>
  <c r="C25" i="18"/>
  <c r="A25" i="18"/>
  <c r="E24" i="18"/>
  <c r="D24" i="18"/>
  <c r="C24" i="18"/>
  <c r="A24" i="18"/>
  <c r="E23" i="18"/>
  <c r="D23" i="18"/>
  <c r="E76" i="18" s="1"/>
  <c r="C23" i="18"/>
  <c r="A23" i="18"/>
  <c r="E22" i="18"/>
  <c r="D22" i="18"/>
  <c r="C22" i="18"/>
  <c r="A22" i="18"/>
  <c r="E21" i="18"/>
  <c r="D21" i="18"/>
  <c r="D76" i="18" s="1"/>
  <c r="C21" i="18"/>
  <c r="A21" i="18"/>
  <c r="E20" i="18"/>
  <c r="D20" i="18"/>
  <c r="C20" i="18"/>
  <c r="A20" i="18"/>
  <c r="E19" i="18"/>
  <c r="D19" i="18"/>
  <c r="C19" i="18"/>
  <c r="A19" i="18"/>
  <c r="E18" i="18"/>
  <c r="D18" i="18"/>
  <c r="C18" i="18"/>
  <c r="A18" i="18"/>
  <c r="E17" i="18"/>
  <c r="D17" i="18"/>
  <c r="C17" i="18"/>
  <c r="A17" i="18"/>
  <c r="E16" i="18"/>
  <c r="D16" i="18"/>
  <c r="C16" i="18"/>
  <c r="A16" i="18"/>
  <c r="E15" i="18"/>
  <c r="D15" i="18"/>
  <c r="C15" i="18"/>
  <c r="A15" i="18"/>
  <c r="E14" i="18"/>
  <c r="D14" i="18"/>
  <c r="C14" i="18"/>
  <c r="A14" i="18"/>
  <c r="E13" i="18"/>
  <c r="D13" i="18"/>
  <c r="C13" i="18"/>
  <c r="A13" i="18"/>
  <c r="E12" i="18"/>
  <c r="D12" i="18"/>
  <c r="C12" i="18"/>
  <c r="A12" i="18"/>
  <c r="E11" i="18"/>
  <c r="D11" i="18"/>
  <c r="C11" i="18"/>
  <c r="A11" i="18"/>
  <c r="E10" i="18"/>
  <c r="D10" i="18"/>
  <c r="C10" i="18"/>
  <c r="A10" i="18"/>
  <c r="E9" i="18"/>
  <c r="D9" i="18"/>
  <c r="C9" i="18"/>
  <c r="A9" i="18"/>
  <c r="E8" i="18"/>
  <c r="D8" i="18"/>
  <c r="C8" i="18"/>
  <c r="A8" i="18"/>
  <c r="E7" i="18"/>
  <c r="D7" i="18"/>
  <c r="C7" i="18"/>
  <c r="A7" i="18"/>
  <c r="E6" i="18"/>
  <c r="D6" i="18"/>
  <c r="C6" i="18"/>
  <c r="A6" i="18"/>
  <c r="E5" i="18"/>
  <c r="D5" i="18"/>
  <c r="C5" i="18"/>
  <c r="A5" i="18"/>
  <c r="B98" i="17"/>
  <c r="B74" i="17"/>
  <c r="E69" i="17"/>
  <c r="D69" i="17"/>
  <c r="C69" i="17"/>
  <c r="A69" i="17"/>
  <c r="E68" i="17"/>
  <c r="D68" i="17"/>
  <c r="C68" i="17"/>
  <c r="A68" i="17"/>
  <c r="E67" i="17"/>
  <c r="D67" i="17"/>
  <c r="C67" i="17"/>
  <c r="A67" i="17"/>
  <c r="E66" i="17"/>
  <c r="D66" i="17"/>
  <c r="C66" i="17"/>
  <c r="A66" i="17"/>
  <c r="E65" i="17"/>
  <c r="D65" i="17"/>
  <c r="C65" i="17"/>
  <c r="A65" i="17"/>
  <c r="E64" i="17"/>
  <c r="D64" i="17"/>
  <c r="C64" i="17"/>
  <c r="A64" i="17"/>
  <c r="E63" i="17"/>
  <c r="D63" i="17"/>
  <c r="C63" i="17"/>
  <c r="A63" i="17"/>
  <c r="E62" i="17"/>
  <c r="D62" i="17"/>
  <c r="C62" i="17"/>
  <c r="A62" i="17"/>
  <c r="E61" i="17"/>
  <c r="D61" i="17"/>
  <c r="C61" i="17"/>
  <c r="A61" i="17"/>
  <c r="E60" i="17"/>
  <c r="D60" i="17"/>
  <c r="C60" i="17"/>
  <c r="A60" i="17"/>
  <c r="E59" i="17"/>
  <c r="D59" i="17"/>
  <c r="C59" i="17"/>
  <c r="A59" i="17"/>
  <c r="E58" i="17"/>
  <c r="D58" i="17"/>
  <c r="C58" i="17"/>
  <c r="A58" i="17"/>
  <c r="E57" i="17"/>
  <c r="D57" i="17"/>
  <c r="C57" i="17"/>
  <c r="A57" i="17"/>
  <c r="E56" i="17"/>
  <c r="D56" i="17"/>
  <c r="C56" i="17"/>
  <c r="A56" i="17"/>
  <c r="E55" i="17"/>
  <c r="D55" i="17"/>
  <c r="C55" i="17"/>
  <c r="A55" i="17"/>
  <c r="E54" i="17"/>
  <c r="D54" i="17"/>
  <c r="C54" i="17"/>
  <c r="A54" i="17"/>
  <c r="E53" i="17"/>
  <c r="D53" i="17"/>
  <c r="C53" i="17"/>
  <c r="A53" i="17"/>
  <c r="E52" i="17"/>
  <c r="D52" i="17"/>
  <c r="C52" i="17"/>
  <c r="A52" i="17"/>
  <c r="E51" i="17"/>
  <c r="D51" i="17"/>
  <c r="C51" i="17"/>
  <c r="A51" i="17"/>
  <c r="E50" i="17"/>
  <c r="D50" i="17"/>
  <c r="C50" i="17"/>
  <c r="A50" i="17"/>
  <c r="E49" i="17"/>
  <c r="D49" i="17"/>
  <c r="C49" i="17"/>
  <c r="A49" i="17"/>
  <c r="E48" i="17"/>
  <c r="D48" i="17"/>
  <c r="C48" i="17"/>
  <c r="A48" i="17"/>
  <c r="E47" i="17"/>
  <c r="D47" i="17"/>
  <c r="C47" i="17"/>
  <c r="A47" i="17"/>
  <c r="E46" i="17"/>
  <c r="D46" i="17"/>
  <c r="C46" i="17"/>
  <c r="A46" i="17"/>
  <c r="E45" i="17"/>
  <c r="D45" i="17"/>
  <c r="C45" i="17"/>
  <c r="A45" i="17"/>
  <c r="E44" i="17"/>
  <c r="D44" i="17"/>
  <c r="C44" i="17"/>
  <c r="A44" i="17"/>
  <c r="E43" i="17"/>
  <c r="D43" i="17"/>
  <c r="C43" i="17"/>
  <c r="A43" i="17"/>
  <c r="E42" i="17"/>
  <c r="D42" i="17"/>
  <c r="C42" i="17"/>
  <c r="A42" i="17"/>
  <c r="E41" i="17"/>
  <c r="D41" i="17"/>
  <c r="C41" i="17"/>
  <c r="A41" i="17"/>
  <c r="E40" i="17"/>
  <c r="D40" i="17"/>
  <c r="C40" i="17"/>
  <c r="A40" i="17"/>
  <c r="E39" i="17"/>
  <c r="D39" i="17"/>
  <c r="C39" i="17"/>
  <c r="A39" i="17"/>
  <c r="E38" i="17"/>
  <c r="D38" i="17"/>
  <c r="C38" i="17"/>
  <c r="A38" i="17"/>
  <c r="E37" i="17"/>
  <c r="D37" i="17"/>
  <c r="C37" i="17"/>
  <c r="A37" i="17"/>
  <c r="E36" i="17"/>
  <c r="D36" i="17"/>
  <c r="C36" i="17"/>
  <c r="A36" i="17"/>
  <c r="E35" i="17"/>
  <c r="D35" i="17"/>
  <c r="C35" i="17"/>
  <c r="A35" i="17"/>
  <c r="E34" i="17"/>
  <c r="D34" i="17"/>
  <c r="C34" i="17"/>
  <c r="A34" i="17"/>
  <c r="E33" i="17"/>
  <c r="D33" i="17"/>
  <c r="C33" i="17"/>
  <c r="A33" i="17"/>
  <c r="E32" i="17"/>
  <c r="D32" i="17"/>
  <c r="C32" i="17"/>
  <c r="A32" i="17"/>
  <c r="E31" i="17"/>
  <c r="D31" i="17"/>
  <c r="C31" i="17"/>
  <c r="A31" i="17"/>
  <c r="E30" i="17"/>
  <c r="D30" i="17"/>
  <c r="C30" i="17"/>
  <c r="A30" i="17"/>
  <c r="E29" i="17"/>
  <c r="D29" i="17"/>
  <c r="C29" i="17"/>
  <c r="A29" i="17"/>
  <c r="E28" i="17"/>
  <c r="D28" i="17"/>
  <c r="C28" i="17"/>
  <c r="A28" i="17"/>
  <c r="E27" i="17"/>
  <c r="D27" i="17"/>
  <c r="C27" i="17"/>
  <c r="A27" i="17"/>
  <c r="E26" i="17"/>
  <c r="D26" i="17"/>
  <c r="C26" i="17"/>
  <c r="A26" i="17"/>
  <c r="E25" i="17"/>
  <c r="D25" i="17"/>
  <c r="C25" i="17"/>
  <c r="A25" i="17"/>
  <c r="E24" i="17"/>
  <c r="D24" i="17"/>
  <c r="C24" i="17"/>
  <c r="A24" i="17"/>
  <c r="E23" i="17"/>
  <c r="D23" i="17"/>
  <c r="C23" i="17"/>
  <c r="A23" i="17"/>
  <c r="E22" i="17"/>
  <c r="D22" i="17"/>
  <c r="C22" i="17"/>
  <c r="A22" i="17"/>
  <c r="E21" i="17"/>
  <c r="D21" i="17"/>
  <c r="C21" i="17"/>
  <c r="A21" i="17"/>
  <c r="E20" i="17"/>
  <c r="D20" i="17"/>
  <c r="C20" i="17"/>
  <c r="A20" i="17"/>
  <c r="E19" i="17"/>
  <c r="D19" i="17"/>
  <c r="C19" i="17"/>
  <c r="A19" i="17"/>
  <c r="E18" i="17"/>
  <c r="D18" i="17"/>
  <c r="C18" i="17"/>
  <c r="A18" i="17"/>
  <c r="E17" i="17"/>
  <c r="D17" i="17"/>
  <c r="C17" i="17"/>
  <c r="A17" i="17"/>
  <c r="E16" i="17"/>
  <c r="D16" i="17"/>
  <c r="C16" i="17"/>
  <c r="A16" i="17"/>
  <c r="E15" i="17"/>
  <c r="D15" i="17"/>
  <c r="C15" i="17"/>
  <c r="A15" i="17"/>
  <c r="E14" i="17"/>
  <c r="D14" i="17"/>
  <c r="C14" i="17"/>
  <c r="A14" i="17"/>
  <c r="E13" i="17"/>
  <c r="D13" i="17"/>
  <c r="C13" i="17"/>
  <c r="A13" i="17"/>
  <c r="E12" i="17"/>
  <c r="D12" i="17"/>
  <c r="C12" i="17"/>
  <c r="A12" i="17"/>
  <c r="E11" i="17"/>
  <c r="D11" i="17"/>
  <c r="C11" i="17"/>
  <c r="A11" i="17"/>
  <c r="E10" i="17"/>
  <c r="D10" i="17"/>
  <c r="C10" i="17"/>
  <c r="A10" i="17"/>
  <c r="E9" i="17"/>
  <c r="D9" i="17"/>
  <c r="C9" i="17"/>
  <c r="A9" i="17"/>
  <c r="E8" i="17"/>
  <c r="D8" i="17"/>
  <c r="C8" i="17"/>
  <c r="A8" i="17"/>
  <c r="E7" i="17"/>
  <c r="D7" i="17"/>
  <c r="C7" i="17"/>
  <c r="A7" i="17"/>
  <c r="E6" i="17"/>
  <c r="D6" i="17"/>
  <c r="C6" i="17"/>
  <c r="C75" i="17" s="1"/>
  <c r="A6" i="17"/>
  <c r="E5" i="17"/>
  <c r="D5" i="17"/>
  <c r="C5" i="17"/>
  <c r="D75" i="17" s="1"/>
  <c r="A5" i="17"/>
  <c r="B94" i="16"/>
  <c r="B74" i="16"/>
  <c r="D69" i="16"/>
  <c r="A69" i="16"/>
  <c r="D68" i="16"/>
  <c r="A68" i="16"/>
  <c r="D67" i="16"/>
  <c r="C67" i="16"/>
  <c r="A67" i="16"/>
  <c r="D66" i="16"/>
  <c r="A66" i="16"/>
  <c r="D65" i="16"/>
  <c r="A65" i="16"/>
  <c r="D64" i="16"/>
  <c r="A64" i="16"/>
  <c r="D63" i="16"/>
  <c r="C63" i="16"/>
  <c r="A63" i="16"/>
  <c r="D62" i="16"/>
  <c r="A62" i="16"/>
  <c r="D61" i="16"/>
  <c r="A61" i="16"/>
  <c r="D60" i="16"/>
  <c r="A60" i="16"/>
  <c r="D59" i="16"/>
  <c r="A59" i="16"/>
  <c r="D58" i="16"/>
  <c r="A58" i="16"/>
  <c r="D57" i="16"/>
  <c r="A57" i="16"/>
  <c r="D56" i="16"/>
  <c r="A56" i="16"/>
  <c r="D55" i="16"/>
  <c r="A55" i="16"/>
  <c r="D54" i="16"/>
  <c r="A54" i="16"/>
  <c r="D53" i="16"/>
  <c r="A53" i="16"/>
  <c r="D52" i="16"/>
  <c r="A52" i="16"/>
  <c r="D51" i="16"/>
  <c r="A51" i="16"/>
  <c r="D50" i="16"/>
  <c r="A50" i="16"/>
  <c r="D49" i="16"/>
  <c r="A49" i="16"/>
  <c r="D48" i="16"/>
  <c r="A48" i="16"/>
  <c r="D47" i="16"/>
  <c r="A47" i="16"/>
  <c r="D46" i="16"/>
  <c r="A46" i="16"/>
  <c r="D45" i="16"/>
  <c r="A45" i="16"/>
  <c r="D44" i="16"/>
  <c r="A44" i="16"/>
  <c r="D43" i="16"/>
  <c r="A43" i="16"/>
  <c r="D42" i="16"/>
  <c r="A42" i="16"/>
  <c r="D41" i="16"/>
  <c r="A41" i="16"/>
  <c r="D40" i="16"/>
  <c r="A40" i="16"/>
  <c r="D39" i="16"/>
  <c r="A39" i="16"/>
  <c r="D38" i="16"/>
  <c r="A38" i="16"/>
  <c r="D37" i="16"/>
  <c r="A37" i="16"/>
  <c r="D36" i="16"/>
  <c r="A36" i="16"/>
  <c r="D35" i="16"/>
  <c r="A35" i="16"/>
  <c r="D34" i="16"/>
  <c r="A34" i="16"/>
  <c r="D33" i="16"/>
  <c r="A33" i="16"/>
  <c r="D32" i="16"/>
  <c r="A32" i="16"/>
  <c r="D31" i="16"/>
  <c r="A31" i="16"/>
  <c r="D30" i="16"/>
  <c r="A30" i="16"/>
  <c r="D29" i="16"/>
  <c r="A29" i="16"/>
  <c r="D28" i="16"/>
  <c r="A28" i="16"/>
  <c r="D27" i="16"/>
  <c r="A27" i="16"/>
  <c r="D26" i="16"/>
  <c r="A26" i="16"/>
  <c r="D25" i="16"/>
  <c r="A25" i="16"/>
  <c r="D24" i="16"/>
  <c r="A24" i="16"/>
  <c r="D23" i="16"/>
  <c r="A23" i="16"/>
  <c r="D22" i="16"/>
  <c r="A22" i="16"/>
  <c r="D21" i="16"/>
  <c r="A21" i="16"/>
  <c r="D20" i="16"/>
  <c r="A20" i="16"/>
  <c r="D19" i="16"/>
  <c r="A19" i="16"/>
  <c r="D18" i="16"/>
  <c r="A18" i="16"/>
  <c r="D17" i="16"/>
  <c r="A17" i="16"/>
  <c r="D16" i="16"/>
  <c r="A16" i="16"/>
  <c r="D15" i="16"/>
  <c r="A15" i="16"/>
  <c r="D14" i="16"/>
  <c r="A14" i="16"/>
  <c r="D13" i="16"/>
  <c r="A13" i="16"/>
  <c r="D12" i="16"/>
  <c r="A12" i="16"/>
  <c r="D11" i="16"/>
  <c r="A11" i="16"/>
  <c r="D10" i="16"/>
  <c r="A10" i="16"/>
  <c r="D9" i="16"/>
  <c r="A9" i="16"/>
  <c r="D8" i="16"/>
  <c r="A8" i="16"/>
  <c r="D7" i="16"/>
  <c r="A7" i="16"/>
  <c r="D6" i="16"/>
  <c r="A6" i="16"/>
  <c r="D5" i="16"/>
  <c r="A5" i="16"/>
  <c r="O69" i="15"/>
  <c r="N69" i="15"/>
  <c r="K69" i="15"/>
  <c r="C69" i="15"/>
  <c r="D69" i="15" s="1"/>
  <c r="C69" i="16" s="1"/>
  <c r="O68" i="15"/>
  <c r="N68" i="15"/>
  <c r="K68" i="15"/>
  <c r="C68" i="15"/>
  <c r="D68" i="15" s="1"/>
  <c r="O67" i="15"/>
  <c r="N67" i="15"/>
  <c r="K67" i="15"/>
  <c r="C67" i="15"/>
  <c r="D67" i="15" s="1"/>
  <c r="O66" i="15"/>
  <c r="N66" i="15"/>
  <c r="K66" i="15"/>
  <c r="D66" i="15"/>
  <c r="C66" i="16" s="1"/>
  <c r="C66" i="15"/>
  <c r="O65" i="15"/>
  <c r="N65" i="15"/>
  <c r="K65" i="15"/>
  <c r="C65" i="15"/>
  <c r="D65" i="15" s="1"/>
  <c r="C65" i="16" s="1"/>
  <c r="O64" i="15"/>
  <c r="N64" i="15"/>
  <c r="K64" i="15"/>
  <c r="D64" i="15"/>
  <c r="C64" i="16" s="1"/>
  <c r="C64" i="15"/>
  <c r="O63" i="15"/>
  <c r="N63" i="15"/>
  <c r="K63" i="15"/>
  <c r="C63" i="15"/>
  <c r="D63" i="15" s="1"/>
  <c r="O62" i="15"/>
  <c r="N62" i="15"/>
  <c r="K62" i="15"/>
  <c r="C62" i="15"/>
  <c r="D62" i="15" s="1"/>
  <c r="O61" i="15"/>
  <c r="N61" i="15"/>
  <c r="K61" i="15"/>
  <c r="C61" i="15"/>
  <c r="D61" i="15" s="1"/>
  <c r="O60" i="15"/>
  <c r="N60" i="15"/>
  <c r="K60" i="15"/>
  <c r="C60" i="15"/>
  <c r="D60" i="15" s="1"/>
  <c r="O59" i="15"/>
  <c r="N59" i="15"/>
  <c r="K59" i="15"/>
  <c r="C59" i="15"/>
  <c r="D59" i="15" s="1"/>
  <c r="O58" i="15"/>
  <c r="N58" i="15"/>
  <c r="K58" i="15"/>
  <c r="C58" i="15"/>
  <c r="D58" i="15" s="1"/>
  <c r="O57" i="15"/>
  <c r="N57" i="15"/>
  <c r="K57" i="15"/>
  <c r="C57" i="15"/>
  <c r="D57" i="15" s="1"/>
  <c r="O56" i="15"/>
  <c r="N56" i="15"/>
  <c r="K56" i="15"/>
  <c r="C56" i="15"/>
  <c r="D56" i="15" s="1"/>
  <c r="O55" i="15"/>
  <c r="N55" i="15"/>
  <c r="K55" i="15"/>
  <c r="C55" i="15"/>
  <c r="D55" i="15" s="1"/>
  <c r="O54" i="15"/>
  <c r="N54" i="15"/>
  <c r="K54" i="15"/>
  <c r="C54" i="15"/>
  <c r="D54" i="15" s="1"/>
  <c r="O53" i="15"/>
  <c r="N53" i="15"/>
  <c r="K53" i="15"/>
  <c r="C53" i="15"/>
  <c r="D53" i="15" s="1"/>
  <c r="O52" i="15"/>
  <c r="N52" i="15"/>
  <c r="K52" i="15"/>
  <c r="C52" i="15"/>
  <c r="D52" i="15" s="1"/>
  <c r="O51" i="15"/>
  <c r="N51" i="15"/>
  <c r="K51" i="15"/>
  <c r="C51" i="15"/>
  <c r="D51" i="15" s="1"/>
  <c r="O50" i="15"/>
  <c r="N50" i="15"/>
  <c r="K50" i="15"/>
  <c r="C50" i="15"/>
  <c r="D50" i="15" s="1"/>
  <c r="O49" i="15"/>
  <c r="N49" i="15"/>
  <c r="K49" i="15"/>
  <c r="C49" i="15"/>
  <c r="D49" i="15" s="1"/>
  <c r="O48" i="15"/>
  <c r="N48" i="15"/>
  <c r="K48" i="15"/>
  <c r="C48" i="15"/>
  <c r="D48" i="15" s="1"/>
  <c r="O47" i="15"/>
  <c r="N47" i="15"/>
  <c r="K47" i="15"/>
  <c r="C47" i="15"/>
  <c r="D47" i="15" s="1"/>
  <c r="O46" i="15"/>
  <c r="N46" i="15"/>
  <c r="K46" i="15"/>
  <c r="C46" i="15"/>
  <c r="D46" i="15" s="1"/>
  <c r="O45" i="15"/>
  <c r="N45" i="15"/>
  <c r="K45" i="15"/>
  <c r="C45" i="15"/>
  <c r="D45" i="15" s="1"/>
  <c r="O44" i="15"/>
  <c r="N44" i="15"/>
  <c r="K44" i="15"/>
  <c r="C44" i="15"/>
  <c r="D44" i="15" s="1"/>
  <c r="O43" i="15"/>
  <c r="N43" i="15"/>
  <c r="K43" i="15"/>
  <c r="C43" i="15"/>
  <c r="D43" i="15" s="1"/>
  <c r="O42" i="15"/>
  <c r="N42" i="15"/>
  <c r="K42" i="15"/>
  <c r="C42" i="15"/>
  <c r="D42" i="15" s="1"/>
  <c r="O41" i="15"/>
  <c r="N41" i="15"/>
  <c r="K41" i="15"/>
  <c r="C41" i="15"/>
  <c r="D41" i="15" s="1"/>
  <c r="O40" i="15"/>
  <c r="N40" i="15"/>
  <c r="K40" i="15"/>
  <c r="C40" i="15"/>
  <c r="D40" i="15" s="1"/>
  <c r="O39" i="15"/>
  <c r="N39" i="15"/>
  <c r="K39" i="15"/>
  <c r="C39" i="15"/>
  <c r="D39" i="15" s="1"/>
  <c r="O38" i="15"/>
  <c r="N38" i="15"/>
  <c r="K38" i="15"/>
  <c r="D38" i="15"/>
  <c r="C38" i="15"/>
  <c r="O37" i="15"/>
  <c r="N37" i="15"/>
  <c r="K37" i="15"/>
  <c r="C37" i="15"/>
  <c r="D37" i="15" s="1"/>
  <c r="O36" i="15"/>
  <c r="N36" i="15"/>
  <c r="K36" i="15"/>
  <c r="C36" i="15"/>
  <c r="D36" i="15" s="1"/>
  <c r="O35" i="15"/>
  <c r="N35" i="15"/>
  <c r="K35" i="15"/>
  <c r="C35" i="15"/>
  <c r="D35" i="15" s="1"/>
  <c r="O34" i="15"/>
  <c r="N34" i="15"/>
  <c r="K34" i="15"/>
  <c r="C34" i="15"/>
  <c r="D34" i="15" s="1"/>
  <c r="O33" i="15"/>
  <c r="N33" i="15"/>
  <c r="K33" i="15"/>
  <c r="C33" i="15"/>
  <c r="D33" i="15" s="1"/>
  <c r="O32" i="15"/>
  <c r="N32" i="15"/>
  <c r="K32" i="15"/>
  <c r="D32" i="15"/>
  <c r="C32" i="15"/>
  <c r="O31" i="15"/>
  <c r="N31" i="15"/>
  <c r="K31" i="15"/>
  <c r="C31" i="15"/>
  <c r="D31" i="15" s="1"/>
  <c r="O30" i="15"/>
  <c r="N30" i="15"/>
  <c r="K30" i="15"/>
  <c r="C30" i="15"/>
  <c r="D30" i="15" s="1"/>
  <c r="O29" i="15"/>
  <c r="N29" i="15"/>
  <c r="K29" i="15"/>
  <c r="C29" i="15"/>
  <c r="D29" i="15" s="1"/>
  <c r="O28" i="15"/>
  <c r="N28" i="15"/>
  <c r="K28" i="15"/>
  <c r="C28" i="15"/>
  <c r="D28" i="15" s="1"/>
  <c r="O27" i="15"/>
  <c r="N27" i="15"/>
  <c r="K27" i="15"/>
  <c r="C27" i="15"/>
  <c r="D27" i="15" s="1"/>
  <c r="O26" i="15"/>
  <c r="N26" i="15"/>
  <c r="K26" i="15"/>
  <c r="C26" i="15"/>
  <c r="D26" i="15" s="1"/>
  <c r="O25" i="15"/>
  <c r="N25" i="15"/>
  <c r="K25" i="15"/>
  <c r="C25" i="15"/>
  <c r="D25" i="15" s="1"/>
  <c r="O24" i="15"/>
  <c r="N24" i="15"/>
  <c r="K24" i="15"/>
  <c r="C24" i="15"/>
  <c r="D24" i="15" s="1"/>
  <c r="O23" i="15"/>
  <c r="N23" i="15"/>
  <c r="K23" i="15"/>
  <c r="C23" i="15"/>
  <c r="D23" i="15" s="1"/>
  <c r="O22" i="15"/>
  <c r="N22" i="15"/>
  <c r="K22" i="15"/>
  <c r="C22" i="15"/>
  <c r="D22" i="15" s="1"/>
  <c r="O21" i="15"/>
  <c r="N21" i="15"/>
  <c r="K21" i="15"/>
  <c r="C21" i="15"/>
  <c r="D21" i="15" s="1"/>
  <c r="O20" i="15"/>
  <c r="N20" i="15"/>
  <c r="K20" i="15"/>
  <c r="C20" i="15"/>
  <c r="D20" i="15" s="1"/>
  <c r="O19" i="15"/>
  <c r="N19" i="15"/>
  <c r="K19" i="15"/>
  <c r="C19" i="15"/>
  <c r="D19" i="15" s="1"/>
  <c r="O18" i="15"/>
  <c r="N18" i="15"/>
  <c r="K18" i="15"/>
  <c r="D18" i="15"/>
  <c r="C18" i="15"/>
  <c r="O17" i="15"/>
  <c r="N17" i="15"/>
  <c r="K17" i="15"/>
  <c r="C17" i="15"/>
  <c r="D17" i="15" s="1"/>
  <c r="C17" i="16" s="1"/>
  <c r="O16" i="15"/>
  <c r="N16" i="15"/>
  <c r="K16" i="15"/>
  <c r="D16" i="15"/>
  <c r="C16" i="15"/>
  <c r="O15" i="15"/>
  <c r="N15" i="15"/>
  <c r="K15" i="15"/>
  <c r="C15" i="15"/>
  <c r="D15" i="15" s="1"/>
  <c r="C15" i="16" s="1"/>
  <c r="O14" i="15"/>
  <c r="N14" i="15"/>
  <c r="K14" i="15"/>
  <c r="D14" i="15"/>
  <c r="C14" i="15"/>
  <c r="O13" i="15"/>
  <c r="N13" i="15"/>
  <c r="K13" i="15"/>
  <c r="C13" i="15"/>
  <c r="D13" i="15" s="1"/>
  <c r="C13" i="16" s="1"/>
  <c r="O12" i="15"/>
  <c r="N12" i="15"/>
  <c r="K12" i="15"/>
  <c r="D12" i="15"/>
  <c r="C12" i="15"/>
  <c r="O11" i="15"/>
  <c r="N11" i="15"/>
  <c r="K11" i="15"/>
  <c r="C11" i="15"/>
  <c r="D11" i="15" s="1"/>
  <c r="C11" i="16" s="1"/>
  <c r="O10" i="15"/>
  <c r="N10" i="15"/>
  <c r="K10" i="15"/>
  <c r="D10" i="15"/>
  <c r="C10" i="15"/>
  <c r="O9" i="15"/>
  <c r="N9" i="15"/>
  <c r="K9" i="15"/>
  <c r="C9" i="15"/>
  <c r="D9" i="15" s="1"/>
  <c r="O8" i="15"/>
  <c r="N8" i="15"/>
  <c r="K8" i="15"/>
  <c r="D8" i="15"/>
  <c r="C8" i="16" s="1"/>
  <c r="C8" i="15"/>
  <c r="O7" i="15"/>
  <c r="N7" i="15"/>
  <c r="K7" i="15"/>
  <c r="D7" i="15"/>
  <c r="C7" i="15"/>
  <c r="O6" i="15"/>
  <c r="N6" i="15"/>
  <c r="K6" i="15"/>
  <c r="C6" i="15"/>
  <c r="D6" i="15" s="1"/>
  <c r="O5" i="15"/>
  <c r="N5" i="15"/>
  <c r="K5" i="15"/>
  <c r="D5" i="15"/>
  <c r="C5" i="15"/>
  <c r="B93" i="14"/>
  <c r="A90" i="14"/>
  <c r="A89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N20" i="12"/>
  <c r="M20" i="12"/>
  <c r="L20" i="12"/>
  <c r="K20" i="12"/>
  <c r="J20" i="12"/>
  <c r="I20" i="12"/>
  <c r="H20" i="12"/>
  <c r="G20" i="12"/>
  <c r="F20" i="12"/>
  <c r="E20" i="12"/>
  <c r="D20" i="12"/>
  <c r="C20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N9" i="12"/>
  <c r="M9" i="12"/>
  <c r="L9" i="12"/>
  <c r="K9" i="12"/>
  <c r="J9" i="12"/>
  <c r="I9" i="12"/>
  <c r="H9" i="12"/>
  <c r="G9" i="12"/>
  <c r="F9" i="12"/>
  <c r="E9" i="12"/>
  <c r="D9" i="12"/>
  <c r="C9" i="12"/>
  <c r="N8" i="12"/>
  <c r="M8" i="12"/>
  <c r="L8" i="12"/>
  <c r="K8" i="12"/>
  <c r="J8" i="12"/>
  <c r="I8" i="12"/>
  <c r="H8" i="12"/>
  <c r="G8" i="12"/>
  <c r="F8" i="12"/>
  <c r="E8" i="12"/>
  <c r="D8" i="12"/>
  <c r="C8" i="12"/>
  <c r="N7" i="12"/>
  <c r="M7" i="12"/>
  <c r="L7" i="12"/>
  <c r="K7" i="12"/>
  <c r="J7" i="12"/>
  <c r="I7" i="12"/>
  <c r="H7" i="12"/>
  <c r="G7" i="12"/>
  <c r="F7" i="12"/>
  <c r="E7" i="12"/>
  <c r="D7" i="12"/>
  <c r="C7" i="12"/>
  <c r="N6" i="12"/>
  <c r="M6" i="12"/>
  <c r="L6" i="12"/>
  <c r="K6" i="12"/>
  <c r="J6" i="12"/>
  <c r="I6" i="12"/>
  <c r="H6" i="12"/>
  <c r="G6" i="12"/>
  <c r="F6" i="12"/>
  <c r="E6" i="12"/>
  <c r="D6" i="12"/>
  <c r="C6" i="12"/>
  <c r="N5" i="12"/>
  <c r="M5" i="12"/>
  <c r="L5" i="12"/>
  <c r="K5" i="12"/>
  <c r="J5" i="12"/>
  <c r="I5" i="12"/>
  <c r="H5" i="12"/>
  <c r="G5" i="12"/>
  <c r="F5" i="12"/>
  <c r="E5" i="12"/>
  <c r="D5" i="12"/>
  <c r="C5" i="12"/>
  <c r="F26" i="11"/>
  <c r="D26" i="11"/>
  <c r="F25" i="11"/>
  <c r="D25" i="11"/>
  <c r="F24" i="11"/>
  <c r="D24" i="11"/>
  <c r="B14" i="11"/>
  <c r="B9" i="11"/>
  <c r="B8" i="11"/>
  <c r="B7" i="11"/>
  <c r="B35" i="8"/>
  <c r="E50" i="20" s="1"/>
  <c r="F50" i="20" s="1"/>
  <c r="G50" i="20" s="1"/>
  <c r="B29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D14" i="7"/>
  <c r="B8" i="7"/>
  <c r="B7" i="7"/>
  <c r="D11" i="6"/>
  <c r="C11" i="6"/>
  <c r="B11" i="6"/>
  <c r="C979" i="5"/>
  <c r="B979" i="5"/>
  <c r="A979" i="5"/>
  <c r="C978" i="5"/>
  <c r="B978" i="5"/>
  <c r="A978" i="5"/>
  <c r="C977" i="5"/>
  <c r="B977" i="5"/>
  <c r="A977" i="5"/>
  <c r="C976" i="5"/>
  <c r="B976" i="5"/>
  <c r="A976" i="5"/>
  <c r="C975" i="5"/>
  <c r="B975" i="5"/>
  <c r="A975" i="5"/>
  <c r="C974" i="5"/>
  <c r="B974" i="5"/>
  <c r="A974" i="5"/>
  <c r="C973" i="5"/>
  <c r="B973" i="5"/>
  <c r="A973" i="5"/>
  <c r="C972" i="5"/>
  <c r="B972" i="5"/>
  <c r="A972" i="5"/>
  <c r="C971" i="5"/>
  <c r="B971" i="5"/>
  <c r="A971" i="5"/>
  <c r="C970" i="5"/>
  <c r="B970" i="5"/>
  <c r="A970" i="5"/>
  <c r="C969" i="5"/>
  <c r="B969" i="5"/>
  <c r="A969" i="5"/>
  <c r="C968" i="5"/>
  <c r="B968" i="5"/>
  <c r="A968" i="5"/>
  <c r="C967" i="5"/>
  <c r="B967" i="5"/>
  <c r="A967" i="5"/>
  <c r="C966" i="5"/>
  <c r="B966" i="5"/>
  <c r="A966" i="5"/>
  <c r="C965" i="5"/>
  <c r="B965" i="5"/>
  <c r="A965" i="5"/>
  <c r="C964" i="5"/>
  <c r="B964" i="5"/>
  <c r="A964" i="5"/>
  <c r="C963" i="5"/>
  <c r="B963" i="5"/>
  <c r="A963" i="5"/>
  <c r="C962" i="5"/>
  <c r="B962" i="5"/>
  <c r="A962" i="5"/>
  <c r="C961" i="5"/>
  <c r="B961" i="5"/>
  <c r="A961" i="5"/>
  <c r="C960" i="5"/>
  <c r="B960" i="5"/>
  <c r="A960" i="5"/>
  <c r="C959" i="5"/>
  <c r="B959" i="5"/>
  <c r="A959" i="5"/>
  <c r="C958" i="5"/>
  <c r="B958" i="5"/>
  <c r="A958" i="5"/>
  <c r="C957" i="5"/>
  <c r="B957" i="5"/>
  <c r="A957" i="5"/>
  <c r="C956" i="5"/>
  <c r="B956" i="5"/>
  <c r="A956" i="5"/>
  <c r="C955" i="5"/>
  <c r="B955" i="5"/>
  <c r="A955" i="5"/>
  <c r="C954" i="5"/>
  <c r="B954" i="5"/>
  <c r="A954" i="5"/>
  <c r="C953" i="5"/>
  <c r="B953" i="5"/>
  <c r="A953" i="5"/>
  <c r="C952" i="5"/>
  <c r="B952" i="5"/>
  <c r="A952" i="5"/>
  <c r="C951" i="5"/>
  <c r="B951" i="5"/>
  <c r="A951" i="5"/>
  <c r="C950" i="5"/>
  <c r="B950" i="5"/>
  <c r="A950" i="5"/>
  <c r="C949" i="5"/>
  <c r="B949" i="5"/>
  <c r="A949" i="5"/>
  <c r="C948" i="5"/>
  <c r="B948" i="5"/>
  <c r="A948" i="5"/>
  <c r="C947" i="5"/>
  <c r="B947" i="5"/>
  <c r="A947" i="5"/>
  <c r="C946" i="5"/>
  <c r="B946" i="5"/>
  <c r="A946" i="5"/>
  <c r="C945" i="5"/>
  <c r="B945" i="5"/>
  <c r="A945" i="5"/>
  <c r="C944" i="5"/>
  <c r="B944" i="5"/>
  <c r="A944" i="5"/>
  <c r="C943" i="5"/>
  <c r="B943" i="5"/>
  <c r="A943" i="5"/>
  <c r="C942" i="5"/>
  <c r="B942" i="5"/>
  <c r="A942" i="5"/>
  <c r="C941" i="5"/>
  <c r="B941" i="5"/>
  <c r="A941" i="5"/>
  <c r="C940" i="5"/>
  <c r="B940" i="5"/>
  <c r="A940" i="5"/>
  <c r="C939" i="5"/>
  <c r="B939" i="5"/>
  <c r="A939" i="5"/>
  <c r="C938" i="5"/>
  <c r="B938" i="5"/>
  <c r="A938" i="5"/>
  <c r="C937" i="5"/>
  <c r="B937" i="5"/>
  <c r="A937" i="5"/>
  <c r="C936" i="5"/>
  <c r="B936" i="5"/>
  <c r="A936" i="5"/>
  <c r="C935" i="5"/>
  <c r="B935" i="5"/>
  <c r="A935" i="5"/>
  <c r="C934" i="5"/>
  <c r="B934" i="5"/>
  <c r="A934" i="5"/>
  <c r="C933" i="5"/>
  <c r="B933" i="5"/>
  <c r="A933" i="5"/>
  <c r="C932" i="5"/>
  <c r="B932" i="5"/>
  <c r="A932" i="5"/>
  <c r="C931" i="5"/>
  <c r="B931" i="5"/>
  <c r="A931" i="5"/>
  <c r="C930" i="5"/>
  <c r="B930" i="5"/>
  <c r="A930" i="5"/>
  <c r="C929" i="5"/>
  <c r="B929" i="5"/>
  <c r="A929" i="5"/>
  <c r="C928" i="5"/>
  <c r="B928" i="5"/>
  <c r="A928" i="5"/>
  <c r="C927" i="5"/>
  <c r="B927" i="5"/>
  <c r="A927" i="5"/>
  <c r="C926" i="5"/>
  <c r="B926" i="5"/>
  <c r="A926" i="5"/>
  <c r="C925" i="5"/>
  <c r="B925" i="5"/>
  <c r="A925" i="5"/>
  <c r="C924" i="5"/>
  <c r="B924" i="5"/>
  <c r="A924" i="5"/>
  <c r="C923" i="5"/>
  <c r="B923" i="5"/>
  <c r="A923" i="5"/>
  <c r="C922" i="5"/>
  <c r="B922" i="5"/>
  <c r="A922" i="5"/>
  <c r="C921" i="5"/>
  <c r="B921" i="5"/>
  <c r="A921" i="5"/>
  <c r="C920" i="5"/>
  <c r="B920" i="5"/>
  <c r="A920" i="5"/>
  <c r="C919" i="5"/>
  <c r="B919" i="5"/>
  <c r="A919" i="5"/>
  <c r="C918" i="5"/>
  <c r="B918" i="5"/>
  <c r="A918" i="5"/>
  <c r="C917" i="5"/>
  <c r="B917" i="5"/>
  <c r="A917" i="5"/>
  <c r="C916" i="5"/>
  <c r="B916" i="5"/>
  <c r="A916" i="5"/>
  <c r="C915" i="5"/>
  <c r="B915" i="5"/>
  <c r="A915" i="5"/>
  <c r="C914" i="5"/>
  <c r="B914" i="5"/>
  <c r="A914" i="5"/>
  <c r="C913" i="5"/>
  <c r="B913" i="5"/>
  <c r="A913" i="5"/>
  <c r="C912" i="5"/>
  <c r="B912" i="5"/>
  <c r="A912" i="5"/>
  <c r="C911" i="5"/>
  <c r="B911" i="5"/>
  <c r="A911" i="5"/>
  <c r="C910" i="5"/>
  <c r="B910" i="5"/>
  <c r="A910" i="5"/>
  <c r="C909" i="5"/>
  <c r="B909" i="5"/>
  <c r="A909" i="5"/>
  <c r="C908" i="5"/>
  <c r="B908" i="5"/>
  <c r="A908" i="5"/>
  <c r="C907" i="5"/>
  <c r="B907" i="5"/>
  <c r="A907" i="5"/>
  <c r="C906" i="5"/>
  <c r="B906" i="5"/>
  <c r="A906" i="5"/>
  <c r="C905" i="5"/>
  <c r="B905" i="5"/>
  <c r="A905" i="5"/>
  <c r="C904" i="5"/>
  <c r="B904" i="5"/>
  <c r="A904" i="5"/>
  <c r="C903" i="5"/>
  <c r="B903" i="5"/>
  <c r="A903" i="5"/>
  <c r="C902" i="5"/>
  <c r="B902" i="5"/>
  <c r="A902" i="5"/>
  <c r="C901" i="5"/>
  <c r="B901" i="5"/>
  <c r="A901" i="5"/>
  <c r="C900" i="5"/>
  <c r="B900" i="5"/>
  <c r="A900" i="5"/>
  <c r="C899" i="5"/>
  <c r="B899" i="5"/>
  <c r="A899" i="5"/>
  <c r="C898" i="5"/>
  <c r="B898" i="5"/>
  <c r="A898" i="5"/>
  <c r="C897" i="5"/>
  <c r="B897" i="5"/>
  <c r="A897" i="5"/>
  <c r="C896" i="5"/>
  <c r="B896" i="5"/>
  <c r="A896" i="5"/>
  <c r="C895" i="5"/>
  <c r="B895" i="5"/>
  <c r="A895" i="5"/>
  <c r="C894" i="5"/>
  <c r="B894" i="5"/>
  <c r="A894" i="5"/>
  <c r="C893" i="5"/>
  <c r="B893" i="5"/>
  <c r="A893" i="5"/>
  <c r="C892" i="5"/>
  <c r="B892" i="5"/>
  <c r="A892" i="5"/>
  <c r="C891" i="5"/>
  <c r="B891" i="5"/>
  <c r="A891" i="5"/>
  <c r="C890" i="5"/>
  <c r="B890" i="5"/>
  <c r="A890" i="5"/>
  <c r="C889" i="5"/>
  <c r="B889" i="5"/>
  <c r="A889" i="5"/>
  <c r="C888" i="5"/>
  <c r="B888" i="5"/>
  <c r="A888" i="5"/>
  <c r="C887" i="5"/>
  <c r="B887" i="5"/>
  <c r="A887" i="5"/>
  <c r="C886" i="5"/>
  <c r="B886" i="5"/>
  <c r="A886" i="5"/>
  <c r="C885" i="5"/>
  <c r="B885" i="5"/>
  <c r="A885" i="5"/>
  <c r="C884" i="5"/>
  <c r="B884" i="5"/>
  <c r="A884" i="5"/>
  <c r="C883" i="5"/>
  <c r="B883" i="5"/>
  <c r="A883" i="5"/>
  <c r="C882" i="5"/>
  <c r="B882" i="5"/>
  <c r="A882" i="5"/>
  <c r="C881" i="5"/>
  <c r="B881" i="5"/>
  <c r="A881" i="5"/>
  <c r="C880" i="5"/>
  <c r="B880" i="5"/>
  <c r="A880" i="5"/>
  <c r="C879" i="5"/>
  <c r="B879" i="5"/>
  <c r="A879" i="5"/>
  <c r="C878" i="5"/>
  <c r="B878" i="5"/>
  <c r="A878" i="5"/>
  <c r="C877" i="5"/>
  <c r="B877" i="5"/>
  <c r="A877" i="5"/>
  <c r="C876" i="5"/>
  <c r="B876" i="5"/>
  <c r="A876" i="5"/>
  <c r="C875" i="5"/>
  <c r="B875" i="5"/>
  <c r="A875" i="5"/>
  <c r="C874" i="5"/>
  <c r="B874" i="5"/>
  <c r="A874" i="5"/>
  <c r="C873" i="5"/>
  <c r="B873" i="5"/>
  <c r="A873" i="5"/>
  <c r="C872" i="5"/>
  <c r="B872" i="5"/>
  <c r="A872" i="5"/>
  <c r="C871" i="5"/>
  <c r="B871" i="5"/>
  <c r="A871" i="5"/>
  <c r="C870" i="5"/>
  <c r="B870" i="5"/>
  <c r="A870" i="5"/>
  <c r="C869" i="5"/>
  <c r="B869" i="5"/>
  <c r="A869" i="5"/>
  <c r="C868" i="5"/>
  <c r="B868" i="5"/>
  <c r="A868" i="5"/>
  <c r="C867" i="5"/>
  <c r="B867" i="5"/>
  <c r="A867" i="5"/>
  <c r="C866" i="5"/>
  <c r="B866" i="5"/>
  <c r="A866" i="5"/>
  <c r="C865" i="5"/>
  <c r="B865" i="5"/>
  <c r="A865" i="5"/>
  <c r="C864" i="5"/>
  <c r="B864" i="5"/>
  <c r="A864" i="5"/>
  <c r="C863" i="5"/>
  <c r="B863" i="5"/>
  <c r="A863" i="5"/>
  <c r="C862" i="5"/>
  <c r="B862" i="5"/>
  <c r="A862" i="5"/>
  <c r="C861" i="5"/>
  <c r="B861" i="5"/>
  <c r="A861" i="5"/>
  <c r="C860" i="5"/>
  <c r="B860" i="5"/>
  <c r="A860" i="5"/>
  <c r="C859" i="5"/>
  <c r="B859" i="5"/>
  <c r="A859" i="5"/>
  <c r="C858" i="5"/>
  <c r="B858" i="5"/>
  <c r="A858" i="5"/>
  <c r="C857" i="5"/>
  <c r="B857" i="5"/>
  <c r="A857" i="5"/>
  <c r="C856" i="5"/>
  <c r="B856" i="5"/>
  <c r="A856" i="5"/>
  <c r="C855" i="5"/>
  <c r="B855" i="5"/>
  <c r="A855" i="5"/>
  <c r="C854" i="5"/>
  <c r="B854" i="5"/>
  <c r="A854" i="5"/>
  <c r="C853" i="5"/>
  <c r="B853" i="5"/>
  <c r="A853" i="5"/>
  <c r="C852" i="5"/>
  <c r="B852" i="5"/>
  <c r="A852" i="5"/>
  <c r="C851" i="5"/>
  <c r="B851" i="5"/>
  <c r="A851" i="5"/>
  <c r="C850" i="5"/>
  <c r="B850" i="5"/>
  <c r="A850" i="5"/>
  <c r="C849" i="5"/>
  <c r="B849" i="5"/>
  <c r="A849" i="5"/>
  <c r="C848" i="5"/>
  <c r="B848" i="5"/>
  <c r="A848" i="5"/>
  <c r="C847" i="5"/>
  <c r="B847" i="5"/>
  <c r="A847" i="5"/>
  <c r="C846" i="5"/>
  <c r="B846" i="5"/>
  <c r="A846" i="5"/>
  <c r="C845" i="5"/>
  <c r="B845" i="5"/>
  <c r="A845" i="5"/>
  <c r="C844" i="5"/>
  <c r="B844" i="5"/>
  <c r="A844" i="5"/>
  <c r="C843" i="5"/>
  <c r="B843" i="5"/>
  <c r="A843" i="5"/>
  <c r="C842" i="5"/>
  <c r="B842" i="5"/>
  <c r="A842" i="5"/>
  <c r="C841" i="5"/>
  <c r="B841" i="5"/>
  <c r="A841" i="5"/>
  <c r="C840" i="5"/>
  <c r="B840" i="5"/>
  <c r="A840" i="5"/>
  <c r="C839" i="5"/>
  <c r="B839" i="5"/>
  <c r="A839" i="5"/>
  <c r="C838" i="5"/>
  <c r="B838" i="5"/>
  <c r="A838" i="5"/>
  <c r="C837" i="5"/>
  <c r="B837" i="5"/>
  <c r="A837" i="5"/>
  <c r="C836" i="5"/>
  <c r="B836" i="5"/>
  <c r="A836" i="5"/>
  <c r="C835" i="5"/>
  <c r="B835" i="5"/>
  <c r="A835" i="5"/>
  <c r="C834" i="5"/>
  <c r="B834" i="5"/>
  <c r="A834" i="5"/>
  <c r="C833" i="5"/>
  <c r="B833" i="5"/>
  <c r="A833" i="5"/>
  <c r="C832" i="5"/>
  <c r="B832" i="5"/>
  <c r="A832" i="5"/>
  <c r="C831" i="5"/>
  <c r="B831" i="5"/>
  <c r="A831" i="5"/>
  <c r="C830" i="5"/>
  <c r="B830" i="5"/>
  <c r="A830" i="5"/>
  <c r="C829" i="5"/>
  <c r="B829" i="5"/>
  <c r="A829" i="5"/>
  <c r="C828" i="5"/>
  <c r="B828" i="5"/>
  <c r="A828" i="5"/>
  <c r="C827" i="5"/>
  <c r="B827" i="5"/>
  <c r="A827" i="5"/>
  <c r="C826" i="5"/>
  <c r="B826" i="5"/>
  <c r="A826" i="5"/>
  <c r="C825" i="5"/>
  <c r="B825" i="5"/>
  <c r="A825" i="5"/>
  <c r="C824" i="5"/>
  <c r="B824" i="5"/>
  <c r="A824" i="5"/>
  <c r="C823" i="5"/>
  <c r="B823" i="5"/>
  <c r="A823" i="5"/>
  <c r="C822" i="5"/>
  <c r="B822" i="5"/>
  <c r="A822" i="5"/>
  <c r="C821" i="5"/>
  <c r="B821" i="5"/>
  <c r="A821" i="5"/>
  <c r="C820" i="5"/>
  <c r="B820" i="5"/>
  <c r="A820" i="5"/>
  <c r="C819" i="5"/>
  <c r="B819" i="5"/>
  <c r="A819" i="5"/>
  <c r="C818" i="5"/>
  <c r="B818" i="5"/>
  <c r="A818" i="5"/>
  <c r="C817" i="5"/>
  <c r="B817" i="5"/>
  <c r="A817" i="5"/>
  <c r="C816" i="5"/>
  <c r="B816" i="5"/>
  <c r="A816" i="5"/>
  <c r="C815" i="5"/>
  <c r="B815" i="5"/>
  <c r="A815" i="5"/>
  <c r="C814" i="5"/>
  <c r="B814" i="5"/>
  <c r="A814" i="5"/>
  <c r="C813" i="5"/>
  <c r="B813" i="5"/>
  <c r="A813" i="5"/>
  <c r="C812" i="5"/>
  <c r="B812" i="5"/>
  <c r="A812" i="5"/>
  <c r="C811" i="5"/>
  <c r="B811" i="5"/>
  <c r="A811" i="5"/>
  <c r="C810" i="5"/>
  <c r="B810" i="5"/>
  <c r="A810" i="5"/>
  <c r="C809" i="5"/>
  <c r="B809" i="5"/>
  <c r="A809" i="5"/>
  <c r="C808" i="5"/>
  <c r="B808" i="5"/>
  <c r="A808" i="5"/>
  <c r="C807" i="5"/>
  <c r="B807" i="5"/>
  <c r="A807" i="5"/>
  <c r="C806" i="5"/>
  <c r="B806" i="5"/>
  <c r="A806" i="5"/>
  <c r="C805" i="5"/>
  <c r="B805" i="5"/>
  <c r="A805" i="5"/>
  <c r="C804" i="5"/>
  <c r="B804" i="5"/>
  <c r="A804" i="5"/>
  <c r="C803" i="5"/>
  <c r="B803" i="5"/>
  <c r="A803" i="5"/>
  <c r="C802" i="5"/>
  <c r="B802" i="5"/>
  <c r="A802" i="5"/>
  <c r="C801" i="5"/>
  <c r="B801" i="5"/>
  <c r="A801" i="5"/>
  <c r="C800" i="5"/>
  <c r="B800" i="5"/>
  <c r="A800" i="5"/>
  <c r="C799" i="5"/>
  <c r="B799" i="5"/>
  <c r="A799" i="5"/>
  <c r="C798" i="5"/>
  <c r="B798" i="5"/>
  <c r="A798" i="5"/>
  <c r="C797" i="5"/>
  <c r="B797" i="5"/>
  <c r="A797" i="5"/>
  <c r="C796" i="5"/>
  <c r="B796" i="5"/>
  <c r="A796" i="5"/>
  <c r="C795" i="5"/>
  <c r="B795" i="5"/>
  <c r="A795" i="5"/>
  <c r="C794" i="5"/>
  <c r="B794" i="5"/>
  <c r="A794" i="5"/>
  <c r="C793" i="5"/>
  <c r="B793" i="5"/>
  <c r="A793" i="5"/>
  <c r="C792" i="5"/>
  <c r="B792" i="5"/>
  <c r="A792" i="5"/>
  <c r="C791" i="5"/>
  <c r="B791" i="5"/>
  <c r="A791" i="5"/>
  <c r="C790" i="5"/>
  <c r="B790" i="5"/>
  <c r="A790" i="5"/>
  <c r="C789" i="5"/>
  <c r="B789" i="5"/>
  <c r="A789" i="5"/>
  <c r="C788" i="5"/>
  <c r="B788" i="5"/>
  <c r="A788" i="5"/>
  <c r="C787" i="5"/>
  <c r="B787" i="5"/>
  <c r="A787" i="5"/>
  <c r="C786" i="5"/>
  <c r="B786" i="5"/>
  <c r="A786" i="5"/>
  <c r="C785" i="5"/>
  <c r="B785" i="5"/>
  <c r="A785" i="5"/>
  <c r="C784" i="5"/>
  <c r="B784" i="5"/>
  <c r="A784" i="5"/>
  <c r="C783" i="5"/>
  <c r="B783" i="5"/>
  <c r="A783" i="5"/>
  <c r="C782" i="5"/>
  <c r="B782" i="5"/>
  <c r="A782" i="5"/>
  <c r="C781" i="5"/>
  <c r="B781" i="5"/>
  <c r="A781" i="5"/>
  <c r="C780" i="5"/>
  <c r="B780" i="5"/>
  <c r="A780" i="5"/>
  <c r="C779" i="5"/>
  <c r="B779" i="5"/>
  <c r="A779" i="5"/>
  <c r="C778" i="5"/>
  <c r="B778" i="5"/>
  <c r="A778" i="5"/>
  <c r="C777" i="5"/>
  <c r="B777" i="5"/>
  <c r="A777" i="5"/>
  <c r="C776" i="5"/>
  <c r="B776" i="5"/>
  <c r="A776" i="5"/>
  <c r="C775" i="5"/>
  <c r="B775" i="5"/>
  <c r="A775" i="5"/>
  <c r="C774" i="5"/>
  <c r="B774" i="5"/>
  <c r="A774" i="5"/>
  <c r="C773" i="5"/>
  <c r="B773" i="5"/>
  <c r="A773" i="5"/>
  <c r="C772" i="5"/>
  <c r="B772" i="5"/>
  <c r="A772" i="5"/>
  <c r="C771" i="5"/>
  <c r="B771" i="5"/>
  <c r="A771" i="5"/>
  <c r="C770" i="5"/>
  <c r="B770" i="5"/>
  <c r="A770" i="5"/>
  <c r="C769" i="5"/>
  <c r="B769" i="5"/>
  <c r="A769" i="5"/>
  <c r="C768" i="5"/>
  <c r="B768" i="5"/>
  <c r="A768" i="5"/>
  <c r="C767" i="5"/>
  <c r="B767" i="5"/>
  <c r="A767" i="5"/>
  <c r="C766" i="5"/>
  <c r="B766" i="5"/>
  <c r="A766" i="5"/>
  <c r="C765" i="5"/>
  <c r="B765" i="5"/>
  <c r="A765" i="5"/>
  <c r="C764" i="5"/>
  <c r="B764" i="5"/>
  <c r="A764" i="5"/>
  <c r="C763" i="5"/>
  <c r="B763" i="5"/>
  <c r="A763" i="5"/>
  <c r="C762" i="5"/>
  <c r="B762" i="5"/>
  <c r="A762" i="5"/>
  <c r="C761" i="5"/>
  <c r="B761" i="5"/>
  <c r="A761" i="5"/>
  <c r="C760" i="5"/>
  <c r="B760" i="5"/>
  <c r="A760" i="5"/>
  <c r="C759" i="5"/>
  <c r="B759" i="5"/>
  <c r="A759" i="5"/>
  <c r="C758" i="5"/>
  <c r="B758" i="5"/>
  <c r="A758" i="5"/>
  <c r="C757" i="5"/>
  <c r="B757" i="5"/>
  <c r="A757" i="5"/>
  <c r="C756" i="5"/>
  <c r="B756" i="5"/>
  <c r="A756" i="5"/>
  <c r="C755" i="5"/>
  <c r="B755" i="5"/>
  <c r="A755" i="5"/>
  <c r="C754" i="5"/>
  <c r="B754" i="5"/>
  <c r="A754" i="5"/>
  <c r="C753" i="5"/>
  <c r="B753" i="5"/>
  <c r="A753" i="5"/>
  <c r="C752" i="5"/>
  <c r="B752" i="5"/>
  <c r="A752" i="5"/>
  <c r="C751" i="5"/>
  <c r="B751" i="5"/>
  <c r="A751" i="5"/>
  <c r="C750" i="5"/>
  <c r="B750" i="5"/>
  <c r="A750" i="5"/>
  <c r="C749" i="5"/>
  <c r="B749" i="5"/>
  <c r="A749" i="5"/>
  <c r="C748" i="5"/>
  <c r="B748" i="5"/>
  <c r="A748" i="5"/>
  <c r="C747" i="5"/>
  <c r="B747" i="5"/>
  <c r="A747" i="5"/>
  <c r="C746" i="5"/>
  <c r="B746" i="5"/>
  <c r="A746" i="5"/>
  <c r="C745" i="5"/>
  <c r="B745" i="5"/>
  <c r="A745" i="5"/>
  <c r="C744" i="5"/>
  <c r="B744" i="5"/>
  <c r="A744" i="5"/>
  <c r="C743" i="5"/>
  <c r="B743" i="5"/>
  <c r="A743" i="5"/>
  <c r="C742" i="5"/>
  <c r="B742" i="5"/>
  <c r="A742" i="5"/>
  <c r="C741" i="5"/>
  <c r="B741" i="5"/>
  <c r="A741" i="5"/>
  <c r="C740" i="5"/>
  <c r="B740" i="5"/>
  <c r="A740" i="5"/>
  <c r="C739" i="5"/>
  <c r="B739" i="5"/>
  <c r="A739" i="5"/>
  <c r="C738" i="5"/>
  <c r="B738" i="5"/>
  <c r="A738" i="5"/>
  <c r="C737" i="5"/>
  <c r="B737" i="5"/>
  <c r="A737" i="5"/>
  <c r="C736" i="5"/>
  <c r="B736" i="5"/>
  <c r="A736" i="5"/>
  <c r="C735" i="5"/>
  <c r="B735" i="5"/>
  <c r="A735" i="5"/>
  <c r="C734" i="5"/>
  <c r="B734" i="5"/>
  <c r="A734" i="5"/>
  <c r="C733" i="5"/>
  <c r="B733" i="5"/>
  <c r="A733" i="5"/>
  <c r="C732" i="5"/>
  <c r="B732" i="5"/>
  <c r="A732" i="5"/>
  <c r="C731" i="5"/>
  <c r="B731" i="5"/>
  <c r="A731" i="5"/>
  <c r="C730" i="5"/>
  <c r="B730" i="5"/>
  <c r="A730" i="5"/>
  <c r="C729" i="5"/>
  <c r="B729" i="5"/>
  <c r="A729" i="5"/>
  <c r="C728" i="5"/>
  <c r="B728" i="5"/>
  <c r="A728" i="5"/>
  <c r="C727" i="5"/>
  <c r="B727" i="5"/>
  <c r="A727" i="5"/>
  <c r="C726" i="5"/>
  <c r="B726" i="5"/>
  <c r="A726" i="5"/>
  <c r="C725" i="5"/>
  <c r="B725" i="5"/>
  <c r="A725" i="5"/>
  <c r="C724" i="5"/>
  <c r="B724" i="5"/>
  <c r="A724" i="5"/>
  <c r="C723" i="5"/>
  <c r="B723" i="5"/>
  <c r="A723" i="5"/>
  <c r="C722" i="5"/>
  <c r="B722" i="5"/>
  <c r="A722" i="5"/>
  <c r="C721" i="5"/>
  <c r="B721" i="5"/>
  <c r="A721" i="5"/>
  <c r="C720" i="5"/>
  <c r="B720" i="5"/>
  <c r="A720" i="5"/>
  <c r="C719" i="5"/>
  <c r="B719" i="5"/>
  <c r="A719" i="5"/>
  <c r="C718" i="5"/>
  <c r="B718" i="5"/>
  <c r="A718" i="5"/>
  <c r="C717" i="5"/>
  <c r="B717" i="5"/>
  <c r="A717" i="5"/>
  <c r="C716" i="5"/>
  <c r="B716" i="5"/>
  <c r="A716" i="5"/>
  <c r="C715" i="5"/>
  <c r="B715" i="5"/>
  <c r="A715" i="5"/>
  <c r="C714" i="5"/>
  <c r="B714" i="5"/>
  <c r="A714" i="5"/>
  <c r="C713" i="5"/>
  <c r="B713" i="5"/>
  <c r="A713" i="5"/>
  <c r="C712" i="5"/>
  <c r="B712" i="5"/>
  <c r="A712" i="5"/>
  <c r="C711" i="5"/>
  <c r="B711" i="5"/>
  <c r="A711" i="5"/>
  <c r="C710" i="5"/>
  <c r="B710" i="5"/>
  <c r="A710" i="5"/>
  <c r="C709" i="5"/>
  <c r="B709" i="5"/>
  <c r="A709" i="5"/>
  <c r="C708" i="5"/>
  <c r="B708" i="5"/>
  <c r="A708" i="5"/>
  <c r="C707" i="5"/>
  <c r="B707" i="5"/>
  <c r="A707" i="5"/>
  <c r="C706" i="5"/>
  <c r="B706" i="5"/>
  <c r="A706" i="5"/>
  <c r="C705" i="5"/>
  <c r="B705" i="5"/>
  <c r="A705" i="5"/>
  <c r="C704" i="5"/>
  <c r="B704" i="5"/>
  <c r="A704" i="5"/>
  <c r="C703" i="5"/>
  <c r="B703" i="5"/>
  <c r="A703" i="5"/>
  <c r="C702" i="5"/>
  <c r="B702" i="5"/>
  <c r="A702" i="5"/>
  <c r="C701" i="5"/>
  <c r="B701" i="5"/>
  <c r="A701" i="5"/>
  <c r="C700" i="5"/>
  <c r="B700" i="5"/>
  <c r="A700" i="5"/>
  <c r="C699" i="5"/>
  <c r="B699" i="5"/>
  <c r="A699" i="5"/>
  <c r="C698" i="5"/>
  <c r="B698" i="5"/>
  <c r="A698" i="5"/>
  <c r="C697" i="5"/>
  <c r="B697" i="5"/>
  <c r="A697" i="5"/>
  <c r="C696" i="5"/>
  <c r="B696" i="5"/>
  <c r="A696" i="5"/>
  <c r="C695" i="5"/>
  <c r="B695" i="5"/>
  <c r="A695" i="5"/>
  <c r="C694" i="5"/>
  <c r="B694" i="5"/>
  <c r="A694" i="5"/>
  <c r="C693" i="5"/>
  <c r="B693" i="5"/>
  <c r="A693" i="5"/>
  <c r="C692" i="5"/>
  <c r="B692" i="5"/>
  <c r="A692" i="5"/>
  <c r="C691" i="5"/>
  <c r="B691" i="5"/>
  <c r="A691" i="5"/>
  <c r="C690" i="5"/>
  <c r="B690" i="5"/>
  <c r="A690" i="5"/>
  <c r="C689" i="5"/>
  <c r="B689" i="5"/>
  <c r="A689" i="5"/>
  <c r="C688" i="5"/>
  <c r="B688" i="5"/>
  <c r="A688" i="5"/>
  <c r="C687" i="5"/>
  <c r="B687" i="5"/>
  <c r="A687" i="5"/>
  <c r="C686" i="5"/>
  <c r="B686" i="5"/>
  <c r="A686" i="5"/>
  <c r="C685" i="5"/>
  <c r="B685" i="5"/>
  <c r="A685" i="5"/>
  <c r="C684" i="5"/>
  <c r="B684" i="5"/>
  <c r="A684" i="5"/>
  <c r="C683" i="5"/>
  <c r="B683" i="5"/>
  <c r="A683" i="5"/>
  <c r="C682" i="5"/>
  <c r="B682" i="5"/>
  <c r="A682" i="5"/>
  <c r="C681" i="5"/>
  <c r="B681" i="5"/>
  <c r="A681" i="5"/>
  <c r="C680" i="5"/>
  <c r="B680" i="5"/>
  <c r="A680" i="5"/>
  <c r="C679" i="5"/>
  <c r="B679" i="5"/>
  <c r="A679" i="5"/>
  <c r="C678" i="5"/>
  <c r="B678" i="5"/>
  <c r="A678" i="5"/>
  <c r="C677" i="5"/>
  <c r="B677" i="5"/>
  <c r="A677" i="5"/>
  <c r="C676" i="5"/>
  <c r="B676" i="5"/>
  <c r="A676" i="5"/>
  <c r="C675" i="5"/>
  <c r="B675" i="5"/>
  <c r="A675" i="5"/>
  <c r="C674" i="5"/>
  <c r="B674" i="5"/>
  <c r="A674" i="5"/>
  <c r="C673" i="5"/>
  <c r="B673" i="5"/>
  <c r="A673" i="5"/>
  <c r="C672" i="5"/>
  <c r="B672" i="5"/>
  <c r="A672" i="5"/>
  <c r="C671" i="5"/>
  <c r="B671" i="5"/>
  <c r="A671" i="5"/>
  <c r="C670" i="5"/>
  <c r="B670" i="5"/>
  <c r="A670" i="5"/>
  <c r="C669" i="5"/>
  <c r="B669" i="5"/>
  <c r="A669" i="5"/>
  <c r="C668" i="5"/>
  <c r="B668" i="5"/>
  <c r="A668" i="5"/>
  <c r="C667" i="5"/>
  <c r="B667" i="5"/>
  <c r="A667" i="5"/>
  <c r="C666" i="5"/>
  <c r="B666" i="5"/>
  <c r="A666" i="5"/>
  <c r="C665" i="5"/>
  <c r="B665" i="5"/>
  <c r="A665" i="5"/>
  <c r="C664" i="5"/>
  <c r="B664" i="5"/>
  <c r="A664" i="5"/>
  <c r="C663" i="5"/>
  <c r="B663" i="5"/>
  <c r="A663" i="5"/>
  <c r="C662" i="5"/>
  <c r="B662" i="5"/>
  <c r="A662" i="5"/>
  <c r="C661" i="5"/>
  <c r="B661" i="5"/>
  <c r="A661" i="5"/>
  <c r="C660" i="5"/>
  <c r="B660" i="5"/>
  <c r="A660" i="5"/>
  <c r="C659" i="5"/>
  <c r="B659" i="5"/>
  <c r="A659" i="5"/>
  <c r="C658" i="5"/>
  <c r="B658" i="5"/>
  <c r="A658" i="5"/>
  <c r="C657" i="5"/>
  <c r="B657" i="5"/>
  <c r="A657" i="5"/>
  <c r="C656" i="5"/>
  <c r="B656" i="5"/>
  <c r="A656" i="5"/>
  <c r="C655" i="5"/>
  <c r="B655" i="5"/>
  <c r="A655" i="5"/>
  <c r="C654" i="5"/>
  <c r="B654" i="5"/>
  <c r="A654" i="5"/>
  <c r="C653" i="5"/>
  <c r="B653" i="5"/>
  <c r="A653" i="5"/>
  <c r="C652" i="5"/>
  <c r="B652" i="5"/>
  <c r="A652" i="5"/>
  <c r="C651" i="5"/>
  <c r="B651" i="5"/>
  <c r="A651" i="5"/>
  <c r="C650" i="5"/>
  <c r="B650" i="5"/>
  <c r="A650" i="5"/>
  <c r="C649" i="5"/>
  <c r="B649" i="5"/>
  <c r="A649" i="5"/>
  <c r="C648" i="5"/>
  <c r="B648" i="5"/>
  <c r="A648" i="5"/>
  <c r="C647" i="5"/>
  <c r="B647" i="5"/>
  <c r="A647" i="5"/>
  <c r="C646" i="5"/>
  <c r="B646" i="5"/>
  <c r="A646" i="5"/>
  <c r="C645" i="5"/>
  <c r="B645" i="5"/>
  <c r="A645" i="5"/>
  <c r="C644" i="5"/>
  <c r="B644" i="5"/>
  <c r="A644" i="5"/>
  <c r="C643" i="5"/>
  <c r="B643" i="5"/>
  <c r="A643" i="5"/>
  <c r="C642" i="5"/>
  <c r="B642" i="5"/>
  <c r="A642" i="5"/>
  <c r="C641" i="5"/>
  <c r="B641" i="5"/>
  <c r="A641" i="5"/>
  <c r="C640" i="5"/>
  <c r="B640" i="5"/>
  <c r="A640" i="5"/>
  <c r="C639" i="5"/>
  <c r="B639" i="5"/>
  <c r="A639" i="5"/>
  <c r="C638" i="5"/>
  <c r="B638" i="5"/>
  <c r="A638" i="5"/>
  <c r="C637" i="5"/>
  <c r="B637" i="5"/>
  <c r="A637" i="5"/>
  <c r="C636" i="5"/>
  <c r="B636" i="5"/>
  <c r="A636" i="5"/>
  <c r="C635" i="5"/>
  <c r="B635" i="5"/>
  <c r="A635" i="5"/>
  <c r="C634" i="5"/>
  <c r="B634" i="5"/>
  <c r="A634" i="5"/>
  <c r="C633" i="5"/>
  <c r="B633" i="5"/>
  <c r="A633" i="5"/>
  <c r="C632" i="5"/>
  <c r="B632" i="5"/>
  <c r="A632" i="5"/>
  <c r="C631" i="5"/>
  <c r="B631" i="5"/>
  <c r="A631" i="5"/>
  <c r="C630" i="5"/>
  <c r="B630" i="5"/>
  <c r="A630" i="5"/>
  <c r="C629" i="5"/>
  <c r="B629" i="5"/>
  <c r="A629" i="5"/>
  <c r="C628" i="5"/>
  <c r="B628" i="5"/>
  <c r="A628" i="5"/>
  <c r="C627" i="5"/>
  <c r="B627" i="5"/>
  <c r="A627" i="5"/>
  <c r="C626" i="5"/>
  <c r="B626" i="5"/>
  <c r="A626" i="5"/>
  <c r="C625" i="5"/>
  <c r="B625" i="5"/>
  <c r="A625" i="5"/>
  <c r="C624" i="5"/>
  <c r="B624" i="5"/>
  <c r="A624" i="5"/>
  <c r="C623" i="5"/>
  <c r="B623" i="5"/>
  <c r="A623" i="5"/>
  <c r="C622" i="5"/>
  <c r="B622" i="5"/>
  <c r="A622" i="5"/>
  <c r="C621" i="5"/>
  <c r="B621" i="5"/>
  <c r="A621" i="5"/>
  <c r="C620" i="5"/>
  <c r="B620" i="5"/>
  <c r="A620" i="5"/>
  <c r="C619" i="5"/>
  <c r="B619" i="5"/>
  <c r="A619" i="5"/>
  <c r="C618" i="5"/>
  <c r="B618" i="5"/>
  <c r="A618" i="5"/>
  <c r="C617" i="5"/>
  <c r="B617" i="5"/>
  <c r="A617" i="5"/>
  <c r="C616" i="5"/>
  <c r="B616" i="5"/>
  <c r="A616" i="5"/>
  <c r="C615" i="5"/>
  <c r="B615" i="5"/>
  <c r="A615" i="5"/>
  <c r="C614" i="5"/>
  <c r="B614" i="5"/>
  <c r="A614" i="5"/>
  <c r="C613" i="5"/>
  <c r="B613" i="5"/>
  <c r="A613" i="5"/>
  <c r="C612" i="5"/>
  <c r="B612" i="5"/>
  <c r="A612" i="5"/>
  <c r="C611" i="5"/>
  <c r="B611" i="5"/>
  <c r="A611" i="5"/>
  <c r="C610" i="5"/>
  <c r="B610" i="5"/>
  <c r="A610" i="5"/>
  <c r="C609" i="5"/>
  <c r="B609" i="5"/>
  <c r="A609" i="5"/>
  <c r="C608" i="5"/>
  <c r="B608" i="5"/>
  <c r="A608" i="5"/>
  <c r="C607" i="5"/>
  <c r="B607" i="5"/>
  <c r="A607" i="5"/>
  <c r="C606" i="5"/>
  <c r="B606" i="5"/>
  <c r="A606" i="5"/>
  <c r="C605" i="5"/>
  <c r="B605" i="5"/>
  <c r="A605" i="5"/>
  <c r="C604" i="5"/>
  <c r="B604" i="5"/>
  <c r="A604" i="5"/>
  <c r="C603" i="5"/>
  <c r="B603" i="5"/>
  <c r="A603" i="5"/>
  <c r="C602" i="5"/>
  <c r="B602" i="5"/>
  <c r="A602" i="5"/>
  <c r="C601" i="5"/>
  <c r="B601" i="5"/>
  <c r="A601" i="5"/>
  <c r="C600" i="5"/>
  <c r="B600" i="5"/>
  <c r="A600" i="5"/>
  <c r="C599" i="5"/>
  <c r="B599" i="5"/>
  <c r="A599" i="5"/>
  <c r="C598" i="5"/>
  <c r="B598" i="5"/>
  <c r="A598" i="5"/>
  <c r="C597" i="5"/>
  <c r="B597" i="5"/>
  <c r="A597" i="5"/>
  <c r="C596" i="5"/>
  <c r="B596" i="5"/>
  <c r="A596" i="5"/>
  <c r="C595" i="5"/>
  <c r="B595" i="5"/>
  <c r="A595" i="5"/>
  <c r="C594" i="5"/>
  <c r="B594" i="5"/>
  <c r="A594" i="5"/>
  <c r="C593" i="5"/>
  <c r="B593" i="5"/>
  <c r="A593" i="5"/>
  <c r="C592" i="5"/>
  <c r="B592" i="5"/>
  <c r="A592" i="5"/>
  <c r="C591" i="5"/>
  <c r="B591" i="5"/>
  <c r="A591" i="5"/>
  <c r="C590" i="5"/>
  <c r="B590" i="5"/>
  <c r="A590" i="5"/>
  <c r="C589" i="5"/>
  <c r="B589" i="5"/>
  <c r="A589" i="5"/>
  <c r="C588" i="5"/>
  <c r="B588" i="5"/>
  <c r="A588" i="5"/>
  <c r="C587" i="5"/>
  <c r="B587" i="5"/>
  <c r="A587" i="5"/>
  <c r="C586" i="5"/>
  <c r="B586" i="5"/>
  <c r="A586" i="5"/>
  <c r="C585" i="5"/>
  <c r="B585" i="5"/>
  <c r="A585" i="5"/>
  <c r="C584" i="5"/>
  <c r="B584" i="5"/>
  <c r="A584" i="5"/>
  <c r="C583" i="5"/>
  <c r="B583" i="5"/>
  <c r="A583" i="5"/>
  <c r="C582" i="5"/>
  <c r="B582" i="5"/>
  <c r="A582" i="5"/>
  <c r="C581" i="5"/>
  <c r="B581" i="5"/>
  <c r="A581" i="5"/>
  <c r="C580" i="5"/>
  <c r="B580" i="5"/>
  <c r="A580" i="5"/>
  <c r="C579" i="5"/>
  <c r="B579" i="5"/>
  <c r="A579" i="5"/>
  <c r="C578" i="5"/>
  <c r="B578" i="5"/>
  <c r="A578" i="5"/>
  <c r="C577" i="5"/>
  <c r="B577" i="5"/>
  <c r="A577" i="5"/>
  <c r="C576" i="5"/>
  <c r="B576" i="5"/>
  <c r="A576" i="5"/>
  <c r="C575" i="5"/>
  <c r="B575" i="5"/>
  <c r="A575" i="5"/>
  <c r="C574" i="5"/>
  <c r="B574" i="5"/>
  <c r="A574" i="5"/>
  <c r="C573" i="5"/>
  <c r="B573" i="5"/>
  <c r="A573" i="5"/>
  <c r="C572" i="5"/>
  <c r="B572" i="5"/>
  <c r="A572" i="5"/>
  <c r="C571" i="5"/>
  <c r="B571" i="5"/>
  <c r="A571" i="5"/>
  <c r="C570" i="5"/>
  <c r="B570" i="5"/>
  <c r="A570" i="5"/>
  <c r="C569" i="5"/>
  <c r="B569" i="5"/>
  <c r="A569" i="5"/>
  <c r="C568" i="5"/>
  <c r="B568" i="5"/>
  <c r="A568" i="5"/>
  <c r="C567" i="5"/>
  <c r="B567" i="5"/>
  <c r="A567" i="5"/>
  <c r="C566" i="5"/>
  <c r="B566" i="5"/>
  <c r="A566" i="5"/>
  <c r="C565" i="5"/>
  <c r="B565" i="5"/>
  <c r="A565" i="5"/>
  <c r="C564" i="5"/>
  <c r="B564" i="5"/>
  <c r="A564" i="5"/>
  <c r="C563" i="5"/>
  <c r="B563" i="5"/>
  <c r="A563" i="5"/>
  <c r="C562" i="5"/>
  <c r="B562" i="5"/>
  <c r="A562" i="5"/>
  <c r="C561" i="5"/>
  <c r="B561" i="5"/>
  <c r="A561" i="5"/>
  <c r="C560" i="5"/>
  <c r="B560" i="5"/>
  <c r="A560" i="5"/>
  <c r="C559" i="5"/>
  <c r="B559" i="5"/>
  <c r="A559" i="5"/>
  <c r="C558" i="5"/>
  <c r="B558" i="5"/>
  <c r="A558" i="5"/>
  <c r="C557" i="5"/>
  <c r="B557" i="5"/>
  <c r="A557" i="5"/>
  <c r="C556" i="5"/>
  <c r="B556" i="5"/>
  <c r="A556" i="5"/>
  <c r="C555" i="5"/>
  <c r="B555" i="5"/>
  <c r="A555" i="5"/>
  <c r="C554" i="5"/>
  <c r="B554" i="5"/>
  <c r="A554" i="5"/>
  <c r="C553" i="5"/>
  <c r="B553" i="5"/>
  <c r="A553" i="5"/>
  <c r="C552" i="5"/>
  <c r="B552" i="5"/>
  <c r="A552" i="5"/>
  <c r="C551" i="5"/>
  <c r="B551" i="5"/>
  <c r="A551" i="5"/>
  <c r="C550" i="5"/>
  <c r="B550" i="5"/>
  <c r="A550" i="5"/>
  <c r="C549" i="5"/>
  <c r="B549" i="5"/>
  <c r="A549" i="5"/>
  <c r="C548" i="5"/>
  <c r="B548" i="5"/>
  <c r="A548" i="5"/>
  <c r="C547" i="5"/>
  <c r="B547" i="5"/>
  <c r="A547" i="5"/>
  <c r="C546" i="5"/>
  <c r="B546" i="5"/>
  <c r="A546" i="5"/>
  <c r="C545" i="5"/>
  <c r="B545" i="5"/>
  <c r="A545" i="5"/>
  <c r="C544" i="5"/>
  <c r="B544" i="5"/>
  <c r="A544" i="5"/>
  <c r="C543" i="5"/>
  <c r="B543" i="5"/>
  <c r="A543" i="5"/>
  <c r="C542" i="5"/>
  <c r="B542" i="5"/>
  <c r="A542" i="5"/>
  <c r="C541" i="5"/>
  <c r="B541" i="5"/>
  <c r="A541" i="5"/>
  <c r="C540" i="5"/>
  <c r="B540" i="5"/>
  <c r="A540" i="5"/>
  <c r="C539" i="5"/>
  <c r="B539" i="5"/>
  <c r="A539" i="5"/>
  <c r="C538" i="5"/>
  <c r="B538" i="5"/>
  <c r="A538" i="5"/>
  <c r="C537" i="5"/>
  <c r="B537" i="5"/>
  <c r="A537" i="5"/>
  <c r="C536" i="5"/>
  <c r="B536" i="5"/>
  <c r="A536" i="5"/>
  <c r="C535" i="5"/>
  <c r="B535" i="5"/>
  <c r="A535" i="5"/>
  <c r="C534" i="5"/>
  <c r="B534" i="5"/>
  <c r="A534" i="5"/>
  <c r="C533" i="5"/>
  <c r="B533" i="5"/>
  <c r="A533" i="5"/>
  <c r="C532" i="5"/>
  <c r="B532" i="5"/>
  <c r="A532" i="5"/>
  <c r="C531" i="5"/>
  <c r="B531" i="5"/>
  <c r="A531" i="5"/>
  <c r="C530" i="5"/>
  <c r="B530" i="5"/>
  <c r="A530" i="5"/>
  <c r="C529" i="5"/>
  <c r="B529" i="5"/>
  <c r="A529" i="5"/>
  <c r="C528" i="5"/>
  <c r="B528" i="5"/>
  <c r="A528" i="5"/>
  <c r="C527" i="5"/>
  <c r="B527" i="5"/>
  <c r="A527" i="5"/>
  <c r="C526" i="5"/>
  <c r="B526" i="5"/>
  <c r="A526" i="5"/>
  <c r="C525" i="5"/>
  <c r="B525" i="5"/>
  <c r="A525" i="5"/>
  <c r="C524" i="5"/>
  <c r="B524" i="5"/>
  <c r="A524" i="5"/>
  <c r="C523" i="5"/>
  <c r="B523" i="5"/>
  <c r="A523" i="5"/>
  <c r="C522" i="5"/>
  <c r="B522" i="5"/>
  <c r="A522" i="5"/>
  <c r="C521" i="5"/>
  <c r="B521" i="5"/>
  <c r="A521" i="5"/>
  <c r="C520" i="5"/>
  <c r="B520" i="5"/>
  <c r="A520" i="5"/>
  <c r="C519" i="5"/>
  <c r="B519" i="5"/>
  <c r="A519" i="5"/>
  <c r="C518" i="5"/>
  <c r="B518" i="5"/>
  <c r="A518" i="5"/>
  <c r="C517" i="5"/>
  <c r="B517" i="5"/>
  <c r="A517" i="5"/>
  <c r="C516" i="5"/>
  <c r="B516" i="5"/>
  <c r="A516" i="5"/>
  <c r="C515" i="5"/>
  <c r="B515" i="5"/>
  <c r="A515" i="5"/>
  <c r="C514" i="5"/>
  <c r="B514" i="5"/>
  <c r="A514" i="5"/>
  <c r="C513" i="5"/>
  <c r="B513" i="5"/>
  <c r="A513" i="5"/>
  <c r="C512" i="5"/>
  <c r="B512" i="5"/>
  <c r="A512" i="5"/>
  <c r="C511" i="5"/>
  <c r="B511" i="5"/>
  <c r="A511" i="5"/>
  <c r="C510" i="5"/>
  <c r="B510" i="5"/>
  <c r="A510" i="5"/>
  <c r="C509" i="5"/>
  <c r="B509" i="5"/>
  <c r="A509" i="5"/>
  <c r="C508" i="5"/>
  <c r="B508" i="5"/>
  <c r="A508" i="5"/>
  <c r="C507" i="5"/>
  <c r="B507" i="5"/>
  <c r="A507" i="5"/>
  <c r="C506" i="5"/>
  <c r="B506" i="5"/>
  <c r="A506" i="5"/>
  <c r="C505" i="5"/>
  <c r="B505" i="5"/>
  <c r="A505" i="5"/>
  <c r="C504" i="5"/>
  <c r="B504" i="5"/>
  <c r="A504" i="5"/>
  <c r="C503" i="5"/>
  <c r="B503" i="5"/>
  <c r="A503" i="5"/>
  <c r="C502" i="5"/>
  <c r="B502" i="5"/>
  <c r="A502" i="5"/>
  <c r="C501" i="5"/>
  <c r="B501" i="5"/>
  <c r="A501" i="5"/>
  <c r="C500" i="5"/>
  <c r="B500" i="5"/>
  <c r="A500" i="5"/>
  <c r="C499" i="5"/>
  <c r="B499" i="5"/>
  <c r="A499" i="5"/>
  <c r="C498" i="5"/>
  <c r="B498" i="5"/>
  <c r="A498" i="5"/>
  <c r="C497" i="5"/>
  <c r="B497" i="5"/>
  <c r="A497" i="5"/>
  <c r="C496" i="5"/>
  <c r="B496" i="5"/>
  <c r="A496" i="5"/>
  <c r="C495" i="5"/>
  <c r="B495" i="5"/>
  <c r="A495" i="5"/>
  <c r="C494" i="5"/>
  <c r="B494" i="5"/>
  <c r="A494" i="5"/>
  <c r="C493" i="5"/>
  <c r="B493" i="5"/>
  <c r="A493" i="5"/>
  <c r="C492" i="5"/>
  <c r="B492" i="5"/>
  <c r="A492" i="5"/>
  <c r="C491" i="5"/>
  <c r="B491" i="5"/>
  <c r="A491" i="5"/>
  <c r="C490" i="5"/>
  <c r="B490" i="5"/>
  <c r="A490" i="5"/>
  <c r="C489" i="5"/>
  <c r="B489" i="5"/>
  <c r="A489" i="5"/>
  <c r="C488" i="5"/>
  <c r="B488" i="5"/>
  <c r="A488" i="5"/>
  <c r="C487" i="5"/>
  <c r="B487" i="5"/>
  <c r="A487" i="5"/>
  <c r="C486" i="5"/>
  <c r="B486" i="5"/>
  <c r="A486" i="5"/>
  <c r="C485" i="5"/>
  <c r="B485" i="5"/>
  <c r="A485" i="5"/>
  <c r="C484" i="5"/>
  <c r="B484" i="5"/>
  <c r="A484" i="5"/>
  <c r="C483" i="5"/>
  <c r="B483" i="5"/>
  <c r="A483" i="5"/>
  <c r="C482" i="5"/>
  <c r="B482" i="5"/>
  <c r="A482" i="5"/>
  <c r="C481" i="5"/>
  <c r="B481" i="5"/>
  <c r="A481" i="5"/>
  <c r="C480" i="5"/>
  <c r="B480" i="5"/>
  <c r="A480" i="5"/>
  <c r="C479" i="5"/>
  <c r="B479" i="5"/>
  <c r="A479" i="5"/>
  <c r="C478" i="5"/>
  <c r="B478" i="5"/>
  <c r="A478" i="5"/>
  <c r="C477" i="5"/>
  <c r="B477" i="5"/>
  <c r="A477" i="5"/>
  <c r="C476" i="5"/>
  <c r="B476" i="5"/>
  <c r="A476" i="5"/>
  <c r="C475" i="5"/>
  <c r="B475" i="5"/>
  <c r="A475" i="5"/>
  <c r="C474" i="5"/>
  <c r="B474" i="5"/>
  <c r="A474" i="5"/>
  <c r="C473" i="5"/>
  <c r="B473" i="5"/>
  <c r="A473" i="5"/>
  <c r="C472" i="5"/>
  <c r="B472" i="5"/>
  <c r="A472" i="5"/>
  <c r="C471" i="5"/>
  <c r="B471" i="5"/>
  <c r="A471" i="5"/>
  <c r="C470" i="5"/>
  <c r="B470" i="5"/>
  <c r="A470" i="5"/>
  <c r="C469" i="5"/>
  <c r="B469" i="5"/>
  <c r="A469" i="5"/>
  <c r="C468" i="5"/>
  <c r="B468" i="5"/>
  <c r="A468" i="5"/>
  <c r="C467" i="5"/>
  <c r="B467" i="5"/>
  <c r="A467" i="5"/>
  <c r="C466" i="5"/>
  <c r="B466" i="5"/>
  <c r="A466" i="5"/>
  <c r="C465" i="5"/>
  <c r="B465" i="5"/>
  <c r="A465" i="5"/>
  <c r="C464" i="5"/>
  <c r="B464" i="5"/>
  <c r="A464" i="5"/>
  <c r="C463" i="5"/>
  <c r="B463" i="5"/>
  <c r="A463" i="5"/>
  <c r="C462" i="5"/>
  <c r="B462" i="5"/>
  <c r="A462" i="5"/>
  <c r="C461" i="5"/>
  <c r="B461" i="5"/>
  <c r="A461" i="5"/>
  <c r="C460" i="5"/>
  <c r="B460" i="5"/>
  <c r="A460" i="5"/>
  <c r="C459" i="5"/>
  <c r="B459" i="5"/>
  <c r="A459" i="5"/>
  <c r="C458" i="5"/>
  <c r="B458" i="5"/>
  <c r="A458" i="5"/>
  <c r="C457" i="5"/>
  <c r="B457" i="5"/>
  <c r="A457" i="5"/>
  <c r="C456" i="5"/>
  <c r="B456" i="5"/>
  <c r="A456" i="5"/>
  <c r="C455" i="5"/>
  <c r="B455" i="5"/>
  <c r="A455" i="5"/>
  <c r="C454" i="5"/>
  <c r="B454" i="5"/>
  <c r="A454" i="5"/>
  <c r="C453" i="5"/>
  <c r="B453" i="5"/>
  <c r="A453" i="5"/>
  <c r="C452" i="5"/>
  <c r="B452" i="5"/>
  <c r="A452" i="5"/>
  <c r="C451" i="5"/>
  <c r="B451" i="5"/>
  <c r="A451" i="5"/>
  <c r="C450" i="5"/>
  <c r="B450" i="5"/>
  <c r="A450" i="5"/>
  <c r="C449" i="5"/>
  <c r="B449" i="5"/>
  <c r="A449" i="5"/>
  <c r="C448" i="5"/>
  <c r="B448" i="5"/>
  <c r="A448" i="5"/>
  <c r="C447" i="5"/>
  <c r="B447" i="5"/>
  <c r="A447" i="5"/>
  <c r="C446" i="5"/>
  <c r="B446" i="5"/>
  <c r="A446" i="5"/>
  <c r="C445" i="5"/>
  <c r="B445" i="5"/>
  <c r="A445" i="5"/>
  <c r="C444" i="5"/>
  <c r="B444" i="5"/>
  <c r="A444" i="5"/>
  <c r="C443" i="5"/>
  <c r="B443" i="5"/>
  <c r="A443" i="5"/>
  <c r="C442" i="5"/>
  <c r="B442" i="5"/>
  <c r="A442" i="5"/>
  <c r="C441" i="5"/>
  <c r="B441" i="5"/>
  <c r="A441" i="5"/>
  <c r="C440" i="5"/>
  <c r="B440" i="5"/>
  <c r="A440" i="5"/>
  <c r="C439" i="5"/>
  <c r="B439" i="5"/>
  <c r="A439" i="5"/>
  <c r="C438" i="5"/>
  <c r="B438" i="5"/>
  <c r="A438" i="5"/>
  <c r="C437" i="5"/>
  <c r="B437" i="5"/>
  <c r="A437" i="5"/>
  <c r="C436" i="5"/>
  <c r="B436" i="5"/>
  <c r="A436" i="5"/>
  <c r="C435" i="5"/>
  <c r="B435" i="5"/>
  <c r="A435" i="5"/>
  <c r="C434" i="5"/>
  <c r="B434" i="5"/>
  <c r="A434" i="5"/>
  <c r="C433" i="5"/>
  <c r="B433" i="5"/>
  <c r="A433" i="5"/>
  <c r="C432" i="5"/>
  <c r="B432" i="5"/>
  <c r="A432" i="5"/>
  <c r="C431" i="5"/>
  <c r="B431" i="5"/>
  <c r="A431" i="5"/>
  <c r="C430" i="5"/>
  <c r="B430" i="5"/>
  <c r="A430" i="5"/>
  <c r="C429" i="5"/>
  <c r="B429" i="5"/>
  <c r="A429" i="5"/>
  <c r="C428" i="5"/>
  <c r="B428" i="5"/>
  <c r="A428" i="5"/>
  <c r="C427" i="5"/>
  <c r="B427" i="5"/>
  <c r="A427" i="5"/>
  <c r="C426" i="5"/>
  <c r="B426" i="5"/>
  <c r="A426" i="5"/>
  <c r="C425" i="5"/>
  <c r="B425" i="5"/>
  <c r="A425" i="5"/>
  <c r="C424" i="5"/>
  <c r="B424" i="5"/>
  <c r="A424" i="5"/>
  <c r="C423" i="5"/>
  <c r="B423" i="5"/>
  <c r="A423" i="5"/>
  <c r="C422" i="5"/>
  <c r="B422" i="5"/>
  <c r="A422" i="5"/>
  <c r="C421" i="5"/>
  <c r="B421" i="5"/>
  <c r="A421" i="5"/>
  <c r="C420" i="5"/>
  <c r="B420" i="5"/>
  <c r="A420" i="5"/>
  <c r="C419" i="5"/>
  <c r="B419" i="5"/>
  <c r="A419" i="5"/>
  <c r="C418" i="5"/>
  <c r="B418" i="5"/>
  <c r="A418" i="5"/>
  <c r="C417" i="5"/>
  <c r="B417" i="5"/>
  <c r="A417" i="5"/>
  <c r="C416" i="5"/>
  <c r="B416" i="5"/>
  <c r="A416" i="5"/>
  <c r="C415" i="5"/>
  <c r="B415" i="5"/>
  <c r="A415" i="5"/>
  <c r="C414" i="5"/>
  <c r="B414" i="5"/>
  <c r="A414" i="5"/>
  <c r="C413" i="5"/>
  <c r="B413" i="5"/>
  <c r="A413" i="5"/>
  <c r="C412" i="5"/>
  <c r="B412" i="5"/>
  <c r="A412" i="5"/>
  <c r="C411" i="5"/>
  <c r="B411" i="5"/>
  <c r="A411" i="5"/>
  <c r="C410" i="5"/>
  <c r="B410" i="5"/>
  <c r="A410" i="5"/>
  <c r="C409" i="5"/>
  <c r="B409" i="5"/>
  <c r="A409" i="5"/>
  <c r="C408" i="5"/>
  <c r="B408" i="5"/>
  <c r="A408" i="5"/>
  <c r="C407" i="5"/>
  <c r="B407" i="5"/>
  <c r="A407" i="5"/>
  <c r="C406" i="5"/>
  <c r="B406" i="5"/>
  <c r="A406" i="5"/>
  <c r="C405" i="5"/>
  <c r="B405" i="5"/>
  <c r="A405" i="5"/>
  <c r="C404" i="5"/>
  <c r="B404" i="5"/>
  <c r="A404" i="5"/>
  <c r="C403" i="5"/>
  <c r="B403" i="5"/>
  <c r="A403" i="5"/>
  <c r="C402" i="5"/>
  <c r="B402" i="5"/>
  <c r="A402" i="5"/>
  <c r="C401" i="5"/>
  <c r="B401" i="5"/>
  <c r="A401" i="5"/>
  <c r="C400" i="5"/>
  <c r="B400" i="5"/>
  <c r="A400" i="5"/>
  <c r="C399" i="5"/>
  <c r="B399" i="5"/>
  <c r="A399" i="5"/>
  <c r="C398" i="5"/>
  <c r="B398" i="5"/>
  <c r="A398" i="5"/>
  <c r="C397" i="5"/>
  <c r="B397" i="5"/>
  <c r="A397" i="5"/>
  <c r="C396" i="5"/>
  <c r="B396" i="5"/>
  <c r="A396" i="5"/>
  <c r="C395" i="5"/>
  <c r="B395" i="5"/>
  <c r="A395" i="5"/>
  <c r="C394" i="5"/>
  <c r="B394" i="5"/>
  <c r="A394" i="5"/>
  <c r="C393" i="5"/>
  <c r="B393" i="5"/>
  <c r="A393" i="5"/>
  <c r="C392" i="5"/>
  <c r="B392" i="5"/>
  <c r="A392" i="5"/>
  <c r="C391" i="5"/>
  <c r="B391" i="5"/>
  <c r="A391" i="5"/>
  <c r="C390" i="5"/>
  <c r="B390" i="5"/>
  <c r="A390" i="5"/>
  <c r="C389" i="5"/>
  <c r="B389" i="5"/>
  <c r="A389" i="5"/>
  <c r="C388" i="5"/>
  <c r="B388" i="5"/>
  <c r="A388" i="5"/>
  <c r="C387" i="5"/>
  <c r="B387" i="5"/>
  <c r="A387" i="5"/>
  <c r="C386" i="5"/>
  <c r="B386" i="5"/>
  <c r="A386" i="5"/>
  <c r="C385" i="5"/>
  <c r="B385" i="5"/>
  <c r="A385" i="5"/>
  <c r="C384" i="5"/>
  <c r="B384" i="5"/>
  <c r="A384" i="5"/>
  <c r="C383" i="5"/>
  <c r="B383" i="5"/>
  <c r="A383" i="5"/>
  <c r="C382" i="5"/>
  <c r="B382" i="5"/>
  <c r="A382" i="5"/>
  <c r="C381" i="5"/>
  <c r="B381" i="5"/>
  <c r="A381" i="5"/>
  <c r="C380" i="5"/>
  <c r="B380" i="5"/>
  <c r="A380" i="5"/>
  <c r="C379" i="5"/>
  <c r="B379" i="5"/>
  <c r="A379" i="5"/>
  <c r="C378" i="5"/>
  <c r="B378" i="5"/>
  <c r="A378" i="5"/>
  <c r="C377" i="5"/>
  <c r="B377" i="5"/>
  <c r="A377" i="5"/>
  <c r="C376" i="5"/>
  <c r="B376" i="5"/>
  <c r="A376" i="5"/>
  <c r="C375" i="5"/>
  <c r="B375" i="5"/>
  <c r="A375" i="5"/>
  <c r="C374" i="5"/>
  <c r="B374" i="5"/>
  <c r="A374" i="5"/>
  <c r="C373" i="5"/>
  <c r="B373" i="5"/>
  <c r="A373" i="5"/>
  <c r="C372" i="5"/>
  <c r="B372" i="5"/>
  <c r="A372" i="5"/>
  <c r="C371" i="5"/>
  <c r="B371" i="5"/>
  <c r="A371" i="5"/>
  <c r="C370" i="5"/>
  <c r="B370" i="5"/>
  <c r="A370" i="5"/>
  <c r="C369" i="5"/>
  <c r="B369" i="5"/>
  <c r="A369" i="5"/>
  <c r="C368" i="5"/>
  <c r="B368" i="5"/>
  <c r="A368" i="5"/>
  <c r="C367" i="5"/>
  <c r="B367" i="5"/>
  <c r="A367" i="5"/>
  <c r="C366" i="5"/>
  <c r="B366" i="5"/>
  <c r="A366" i="5"/>
  <c r="C365" i="5"/>
  <c r="B365" i="5"/>
  <c r="A365" i="5"/>
  <c r="C364" i="5"/>
  <c r="B364" i="5"/>
  <c r="A364" i="5"/>
  <c r="C363" i="5"/>
  <c r="B363" i="5"/>
  <c r="A363" i="5"/>
  <c r="C362" i="5"/>
  <c r="B362" i="5"/>
  <c r="A362" i="5"/>
  <c r="C361" i="5"/>
  <c r="B361" i="5"/>
  <c r="A361" i="5"/>
  <c r="C360" i="5"/>
  <c r="B360" i="5"/>
  <c r="A360" i="5"/>
  <c r="C359" i="5"/>
  <c r="B359" i="5"/>
  <c r="A359" i="5"/>
  <c r="C358" i="5"/>
  <c r="B358" i="5"/>
  <c r="A358" i="5"/>
  <c r="C357" i="5"/>
  <c r="B357" i="5"/>
  <c r="A357" i="5"/>
  <c r="C356" i="5"/>
  <c r="B356" i="5"/>
  <c r="A356" i="5"/>
  <c r="C355" i="5"/>
  <c r="B355" i="5"/>
  <c r="A355" i="5"/>
  <c r="C354" i="5"/>
  <c r="B354" i="5"/>
  <c r="A354" i="5"/>
  <c r="C353" i="5"/>
  <c r="B353" i="5"/>
  <c r="A353" i="5"/>
  <c r="C352" i="5"/>
  <c r="B352" i="5"/>
  <c r="A352" i="5"/>
  <c r="C351" i="5"/>
  <c r="B351" i="5"/>
  <c r="A351" i="5"/>
  <c r="C350" i="5"/>
  <c r="B350" i="5"/>
  <c r="A350" i="5"/>
  <c r="C349" i="5"/>
  <c r="B349" i="5"/>
  <c r="A349" i="5"/>
  <c r="C348" i="5"/>
  <c r="B348" i="5"/>
  <c r="A348" i="5"/>
  <c r="C347" i="5"/>
  <c r="B347" i="5"/>
  <c r="A347" i="5"/>
  <c r="C346" i="5"/>
  <c r="B346" i="5"/>
  <c r="A346" i="5"/>
  <c r="C345" i="5"/>
  <c r="B345" i="5"/>
  <c r="A345" i="5"/>
  <c r="C344" i="5"/>
  <c r="B344" i="5"/>
  <c r="A344" i="5"/>
  <c r="C343" i="5"/>
  <c r="B343" i="5"/>
  <c r="A343" i="5"/>
  <c r="C342" i="5"/>
  <c r="B342" i="5"/>
  <c r="A342" i="5"/>
  <c r="C341" i="5"/>
  <c r="B341" i="5"/>
  <c r="A341" i="5"/>
  <c r="C340" i="5"/>
  <c r="B340" i="5"/>
  <c r="A340" i="5"/>
  <c r="C339" i="5"/>
  <c r="B339" i="5"/>
  <c r="A339" i="5"/>
  <c r="C338" i="5"/>
  <c r="B338" i="5"/>
  <c r="A338" i="5"/>
  <c r="C337" i="5"/>
  <c r="B337" i="5"/>
  <c r="A337" i="5"/>
  <c r="C336" i="5"/>
  <c r="B336" i="5"/>
  <c r="A336" i="5"/>
  <c r="C335" i="5"/>
  <c r="B335" i="5"/>
  <c r="A335" i="5"/>
  <c r="C334" i="5"/>
  <c r="B334" i="5"/>
  <c r="A334" i="5"/>
  <c r="C333" i="5"/>
  <c r="B333" i="5"/>
  <c r="A333" i="5"/>
  <c r="C332" i="5"/>
  <c r="B332" i="5"/>
  <c r="A332" i="5"/>
  <c r="C331" i="5"/>
  <c r="B331" i="5"/>
  <c r="A331" i="5"/>
  <c r="C330" i="5"/>
  <c r="B330" i="5"/>
  <c r="A330" i="5"/>
  <c r="C329" i="5"/>
  <c r="B329" i="5"/>
  <c r="A329" i="5"/>
  <c r="C328" i="5"/>
  <c r="B328" i="5"/>
  <c r="A328" i="5"/>
  <c r="C327" i="5"/>
  <c r="B327" i="5"/>
  <c r="A327" i="5"/>
  <c r="C326" i="5"/>
  <c r="B326" i="5"/>
  <c r="A326" i="5"/>
  <c r="C325" i="5"/>
  <c r="B325" i="5"/>
  <c r="A325" i="5"/>
  <c r="C324" i="5"/>
  <c r="B324" i="5"/>
  <c r="A324" i="5"/>
  <c r="C323" i="5"/>
  <c r="B323" i="5"/>
  <c r="A323" i="5"/>
  <c r="C322" i="5"/>
  <c r="B322" i="5"/>
  <c r="A322" i="5"/>
  <c r="C321" i="5"/>
  <c r="B321" i="5"/>
  <c r="A321" i="5"/>
  <c r="C320" i="5"/>
  <c r="B320" i="5"/>
  <c r="A320" i="5"/>
  <c r="C319" i="5"/>
  <c r="B319" i="5"/>
  <c r="A319" i="5"/>
  <c r="C318" i="5"/>
  <c r="B318" i="5"/>
  <c r="A318" i="5"/>
  <c r="C317" i="5"/>
  <c r="B317" i="5"/>
  <c r="A317" i="5"/>
  <c r="C316" i="5"/>
  <c r="B316" i="5"/>
  <c r="A316" i="5"/>
  <c r="C315" i="5"/>
  <c r="B315" i="5"/>
  <c r="A315" i="5"/>
  <c r="C314" i="5"/>
  <c r="B314" i="5"/>
  <c r="A314" i="5"/>
  <c r="C313" i="5"/>
  <c r="B313" i="5"/>
  <c r="A313" i="5"/>
  <c r="C312" i="5"/>
  <c r="B312" i="5"/>
  <c r="A312" i="5"/>
  <c r="C311" i="5"/>
  <c r="B311" i="5"/>
  <c r="A311" i="5"/>
  <c r="C310" i="5"/>
  <c r="B310" i="5"/>
  <c r="A310" i="5"/>
  <c r="C309" i="5"/>
  <c r="B309" i="5"/>
  <c r="A309" i="5"/>
  <c r="C308" i="5"/>
  <c r="B308" i="5"/>
  <c r="A308" i="5"/>
  <c r="C307" i="5"/>
  <c r="B307" i="5"/>
  <c r="A307" i="5"/>
  <c r="C306" i="5"/>
  <c r="B306" i="5"/>
  <c r="A306" i="5"/>
  <c r="C305" i="5"/>
  <c r="B305" i="5"/>
  <c r="A305" i="5"/>
  <c r="C304" i="5"/>
  <c r="B304" i="5"/>
  <c r="A304" i="5"/>
  <c r="C303" i="5"/>
  <c r="B303" i="5"/>
  <c r="A303" i="5"/>
  <c r="C302" i="5"/>
  <c r="B302" i="5"/>
  <c r="A302" i="5"/>
  <c r="C301" i="5"/>
  <c r="B301" i="5"/>
  <c r="A301" i="5"/>
  <c r="C300" i="5"/>
  <c r="B300" i="5"/>
  <c r="A300" i="5"/>
  <c r="C299" i="5"/>
  <c r="B299" i="5"/>
  <c r="A299" i="5"/>
  <c r="C298" i="5"/>
  <c r="B298" i="5"/>
  <c r="A298" i="5"/>
  <c r="C297" i="5"/>
  <c r="B297" i="5"/>
  <c r="A297" i="5"/>
  <c r="C296" i="5"/>
  <c r="B296" i="5"/>
  <c r="A296" i="5"/>
  <c r="C295" i="5"/>
  <c r="B295" i="5"/>
  <c r="A295" i="5"/>
  <c r="C294" i="5"/>
  <c r="B294" i="5"/>
  <c r="A294" i="5"/>
  <c r="C293" i="5"/>
  <c r="B293" i="5"/>
  <c r="A293" i="5"/>
  <c r="C292" i="5"/>
  <c r="B292" i="5"/>
  <c r="A292" i="5"/>
  <c r="C291" i="5"/>
  <c r="B291" i="5"/>
  <c r="A291" i="5"/>
  <c r="C290" i="5"/>
  <c r="B290" i="5"/>
  <c r="A290" i="5"/>
  <c r="C289" i="5"/>
  <c r="B289" i="5"/>
  <c r="A289" i="5"/>
  <c r="C288" i="5"/>
  <c r="B288" i="5"/>
  <c r="A288" i="5"/>
  <c r="C287" i="5"/>
  <c r="B287" i="5"/>
  <c r="A287" i="5"/>
  <c r="C286" i="5"/>
  <c r="B286" i="5"/>
  <c r="A286" i="5"/>
  <c r="C285" i="5"/>
  <c r="B285" i="5"/>
  <c r="A285" i="5"/>
  <c r="C284" i="5"/>
  <c r="B284" i="5"/>
  <c r="A284" i="5"/>
  <c r="C283" i="5"/>
  <c r="B283" i="5"/>
  <c r="A283" i="5"/>
  <c r="C282" i="5"/>
  <c r="B282" i="5"/>
  <c r="A282" i="5"/>
  <c r="C281" i="5"/>
  <c r="B281" i="5"/>
  <c r="A281" i="5"/>
  <c r="C280" i="5"/>
  <c r="B280" i="5"/>
  <c r="A280" i="5"/>
  <c r="C279" i="5"/>
  <c r="B279" i="5"/>
  <c r="A279" i="5"/>
  <c r="C278" i="5"/>
  <c r="B278" i="5"/>
  <c r="A278" i="5"/>
  <c r="C277" i="5"/>
  <c r="B277" i="5"/>
  <c r="A277" i="5"/>
  <c r="C276" i="5"/>
  <c r="B276" i="5"/>
  <c r="A276" i="5"/>
  <c r="C275" i="5"/>
  <c r="B275" i="5"/>
  <c r="A275" i="5"/>
  <c r="C274" i="5"/>
  <c r="B274" i="5"/>
  <c r="A274" i="5"/>
  <c r="C273" i="5"/>
  <c r="B273" i="5"/>
  <c r="A273" i="5"/>
  <c r="C272" i="5"/>
  <c r="B272" i="5"/>
  <c r="A272" i="5"/>
  <c r="C271" i="5"/>
  <c r="B271" i="5"/>
  <c r="A271" i="5"/>
  <c r="C270" i="5"/>
  <c r="B270" i="5"/>
  <c r="A270" i="5"/>
  <c r="C269" i="5"/>
  <c r="B269" i="5"/>
  <c r="A269" i="5"/>
  <c r="C268" i="5"/>
  <c r="B268" i="5"/>
  <c r="A268" i="5"/>
  <c r="C267" i="5"/>
  <c r="B267" i="5"/>
  <c r="A267" i="5"/>
  <c r="C266" i="5"/>
  <c r="B266" i="5"/>
  <c r="A266" i="5"/>
  <c r="C265" i="5"/>
  <c r="B265" i="5"/>
  <c r="A265" i="5"/>
  <c r="C264" i="5"/>
  <c r="B264" i="5"/>
  <c r="A264" i="5"/>
  <c r="C263" i="5"/>
  <c r="B263" i="5"/>
  <c r="A263" i="5"/>
  <c r="C262" i="5"/>
  <c r="B262" i="5"/>
  <c r="A262" i="5"/>
  <c r="C261" i="5"/>
  <c r="B261" i="5"/>
  <c r="A261" i="5"/>
  <c r="C260" i="5"/>
  <c r="B260" i="5"/>
  <c r="A260" i="5"/>
  <c r="C259" i="5"/>
  <c r="B259" i="5"/>
  <c r="A259" i="5"/>
  <c r="C258" i="5"/>
  <c r="B258" i="5"/>
  <c r="A258" i="5"/>
  <c r="C257" i="5"/>
  <c r="B257" i="5"/>
  <c r="A257" i="5"/>
  <c r="C256" i="5"/>
  <c r="B256" i="5"/>
  <c r="A256" i="5"/>
  <c r="C255" i="5"/>
  <c r="B255" i="5"/>
  <c r="A255" i="5"/>
  <c r="C254" i="5"/>
  <c r="B254" i="5"/>
  <c r="A254" i="5"/>
  <c r="C253" i="5"/>
  <c r="B253" i="5"/>
  <c r="A253" i="5"/>
  <c r="C252" i="5"/>
  <c r="B252" i="5"/>
  <c r="A252" i="5"/>
  <c r="C251" i="5"/>
  <c r="B251" i="5"/>
  <c r="A251" i="5"/>
  <c r="C250" i="5"/>
  <c r="B250" i="5"/>
  <c r="A250" i="5"/>
  <c r="C249" i="5"/>
  <c r="B249" i="5"/>
  <c r="A249" i="5"/>
  <c r="C248" i="5"/>
  <c r="B248" i="5"/>
  <c r="A248" i="5"/>
  <c r="C247" i="5"/>
  <c r="B247" i="5"/>
  <c r="A247" i="5"/>
  <c r="C246" i="5"/>
  <c r="B246" i="5"/>
  <c r="A246" i="5"/>
  <c r="C245" i="5"/>
  <c r="B245" i="5"/>
  <c r="A245" i="5"/>
  <c r="C244" i="5"/>
  <c r="B244" i="5"/>
  <c r="A244" i="5"/>
  <c r="C243" i="5"/>
  <c r="B243" i="5"/>
  <c r="A243" i="5"/>
  <c r="C242" i="5"/>
  <c r="B242" i="5"/>
  <c r="A242" i="5"/>
  <c r="C241" i="5"/>
  <c r="B241" i="5"/>
  <c r="A241" i="5"/>
  <c r="C240" i="5"/>
  <c r="B240" i="5"/>
  <c r="A240" i="5"/>
  <c r="C239" i="5"/>
  <c r="B239" i="5"/>
  <c r="A239" i="5"/>
  <c r="C238" i="5"/>
  <c r="B238" i="5"/>
  <c r="A238" i="5"/>
  <c r="C237" i="5"/>
  <c r="B237" i="5"/>
  <c r="A237" i="5"/>
  <c r="C236" i="5"/>
  <c r="B236" i="5"/>
  <c r="A236" i="5"/>
  <c r="C235" i="5"/>
  <c r="B235" i="5"/>
  <c r="A235" i="5"/>
  <c r="C234" i="5"/>
  <c r="B234" i="5"/>
  <c r="A234" i="5"/>
  <c r="C233" i="5"/>
  <c r="B233" i="5"/>
  <c r="A233" i="5"/>
  <c r="C232" i="5"/>
  <c r="B232" i="5"/>
  <c r="A232" i="5"/>
  <c r="C231" i="5"/>
  <c r="B231" i="5"/>
  <c r="A231" i="5"/>
  <c r="C230" i="5"/>
  <c r="B230" i="5"/>
  <c r="A230" i="5"/>
  <c r="C229" i="5"/>
  <c r="B229" i="5"/>
  <c r="A229" i="5"/>
  <c r="C228" i="5"/>
  <c r="B228" i="5"/>
  <c r="A228" i="5"/>
  <c r="C227" i="5"/>
  <c r="B227" i="5"/>
  <c r="A227" i="5"/>
  <c r="C226" i="5"/>
  <c r="B226" i="5"/>
  <c r="A226" i="5"/>
  <c r="C225" i="5"/>
  <c r="B225" i="5"/>
  <c r="A225" i="5"/>
  <c r="C224" i="5"/>
  <c r="B224" i="5"/>
  <c r="A224" i="5"/>
  <c r="C223" i="5"/>
  <c r="B223" i="5"/>
  <c r="A223" i="5"/>
  <c r="C222" i="5"/>
  <c r="B222" i="5"/>
  <c r="A222" i="5"/>
  <c r="C221" i="5"/>
  <c r="B221" i="5"/>
  <c r="A221" i="5"/>
  <c r="C220" i="5"/>
  <c r="B220" i="5"/>
  <c r="A220" i="5"/>
  <c r="C219" i="5"/>
  <c r="B219" i="5"/>
  <c r="A219" i="5"/>
  <c r="C218" i="5"/>
  <c r="B218" i="5"/>
  <c r="A218" i="5"/>
  <c r="C217" i="5"/>
  <c r="B217" i="5"/>
  <c r="A217" i="5"/>
  <c r="C216" i="5"/>
  <c r="B216" i="5"/>
  <c r="A216" i="5"/>
  <c r="C215" i="5"/>
  <c r="B215" i="5"/>
  <c r="A215" i="5"/>
  <c r="C214" i="5"/>
  <c r="B214" i="5"/>
  <c r="A214" i="5"/>
  <c r="C213" i="5"/>
  <c r="B213" i="5"/>
  <c r="A213" i="5"/>
  <c r="C212" i="5"/>
  <c r="B212" i="5"/>
  <c r="A212" i="5"/>
  <c r="C211" i="5"/>
  <c r="B211" i="5"/>
  <c r="A211" i="5"/>
  <c r="C210" i="5"/>
  <c r="B210" i="5"/>
  <c r="A210" i="5"/>
  <c r="C209" i="5"/>
  <c r="B209" i="5"/>
  <c r="A209" i="5"/>
  <c r="C208" i="5"/>
  <c r="B208" i="5"/>
  <c r="A208" i="5"/>
  <c r="C207" i="5"/>
  <c r="B207" i="5"/>
  <c r="A207" i="5"/>
  <c r="C206" i="5"/>
  <c r="B206" i="5"/>
  <c r="A206" i="5"/>
  <c r="C205" i="5"/>
  <c r="B205" i="5"/>
  <c r="A205" i="5"/>
  <c r="C204" i="5"/>
  <c r="B204" i="5"/>
  <c r="A204" i="5"/>
  <c r="C203" i="5"/>
  <c r="B203" i="5"/>
  <c r="A203" i="5"/>
  <c r="C202" i="5"/>
  <c r="B202" i="5"/>
  <c r="A202" i="5"/>
  <c r="C201" i="5"/>
  <c r="B201" i="5"/>
  <c r="A201" i="5"/>
  <c r="C200" i="5"/>
  <c r="B200" i="5"/>
  <c r="A200" i="5"/>
  <c r="C199" i="5"/>
  <c r="B199" i="5"/>
  <c r="A199" i="5"/>
  <c r="C198" i="5"/>
  <c r="B198" i="5"/>
  <c r="A198" i="5"/>
  <c r="C197" i="5"/>
  <c r="B197" i="5"/>
  <c r="A197" i="5"/>
  <c r="C196" i="5"/>
  <c r="B196" i="5"/>
  <c r="A196" i="5"/>
  <c r="C195" i="5"/>
  <c r="B195" i="5"/>
  <c r="A195" i="5"/>
  <c r="C194" i="5"/>
  <c r="B194" i="5"/>
  <c r="A194" i="5"/>
  <c r="C193" i="5"/>
  <c r="B193" i="5"/>
  <c r="A193" i="5"/>
  <c r="C192" i="5"/>
  <c r="B192" i="5"/>
  <c r="A192" i="5"/>
  <c r="C191" i="5"/>
  <c r="B191" i="5"/>
  <c r="A191" i="5"/>
  <c r="C190" i="5"/>
  <c r="B190" i="5"/>
  <c r="A190" i="5"/>
  <c r="C189" i="5"/>
  <c r="B189" i="5"/>
  <c r="A189" i="5"/>
  <c r="C188" i="5"/>
  <c r="B188" i="5"/>
  <c r="A188" i="5"/>
  <c r="C187" i="5"/>
  <c r="B187" i="5"/>
  <c r="A187" i="5"/>
  <c r="C186" i="5"/>
  <c r="B186" i="5"/>
  <c r="A186" i="5"/>
  <c r="C185" i="5"/>
  <c r="B185" i="5"/>
  <c r="A185" i="5"/>
  <c r="C184" i="5"/>
  <c r="B184" i="5"/>
  <c r="A184" i="5"/>
  <c r="C183" i="5"/>
  <c r="B183" i="5"/>
  <c r="A183" i="5"/>
  <c r="C182" i="5"/>
  <c r="B182" i="5"/>
  <c r="A182" i="5"/>
  <c r="C181" i="5"/>
  <c r="B181" i="5"/>
  <c r="A181" i="5"/>
  <c r="C180" i="5"/>
  <c r="B180" i="5"/>
  <c r="A180" i="5"/>
  <c r="C179" i="5"/>
  <c r="B179" i="5"/>
  <c r="A179" i="5"/>
  <c r="C178" i="5"/>
  <c r="B178" i="5"/>
  <c r="A178" i="5"/>
  <c r="C177" i="5"/>
  <c r="B177" i="5"/>
  <c r="A177" i="5"/>
  <c r="C176" i="5"/>
  <c r="B176" i="5"/>
  <c r="A176" i="5"/>
  <c r="C175" i="5"/>
  <c r="B175" i="5"/>
  <c r="A175" i="5"/>
  <c r="C174" i="5"/>
  <c r="B174" i="5"/>
  <c r="A174" i="5"/>
  <c r="C173" i="5"/>
  <c r="B173" i="5"/>
  <c r="A173" i="5"/>
  <c r="C172" i="5"/>
  <c r="B172" i="5"/>
  <c r="A172" i="5"/>
  <c r="C171" i="5"/>
  <c r="B171" i="5"/>
  <c r="A171" i="5"/>
  <c r="C170" i="5"/>
  <c r="B170" i="5"/>
  <c r="A170" i="5"/>
  <c r="C169" i="5"/>
  <c r="B169" i="5"/>
  <c r="A169" i="5"/>
  <c r="C168" i="5"/>
  <c r="B168" i="5"/>
  <c r="A168" i="5"/>
  <c r="C167" i="5"/>
  <c r="B167" i="5"/>
  <c r="A167" i="5"/>
  <c r="C166" i="5"/>
  <c r="B166" i="5"/>
  <c r="A166" i="5"/>
  <c r="C165" i="5"/>
  <c r="B165" i="5"/>
  <c r="A165" i="5"/>
  <c r="C164" i="5"/>
  <c r="B164" i="5"/>
  <c r="A164" i="5"/>
  <c r="C163" i="5"/>
  <c r="B163" i="5"/>
  <c r="A163" i="5"/>
  <c r="C162" i="5"/>
  <c r="B162" i="5"/>
  <c r="A162" i="5"/>
  <c r="C161" i="5"/>
  <c r="B161" i="5"/>
  <c r="A161" i="5"/>
  <c r="C160" i="5"/>
  <c r="B160" i="5"/>
  <c r="A160" i="5"/>
  <c r="C159" i="5"/>
  <c r="B159" i="5"/>
  <c r="A159" i="5"/>
  <c r="C158" i="5"/>
  <c r="B158" i="5"/>
  <c r="A158" i="5"/>
  <c r="C157" i="5"/>
  <c r="B157" i="5"/>
  <c r="A157" i="5"/>
  <c r="C156" i="5"/>
  <c r="B156" i="5"/>
  <c r="A156" i="5"/>
  <c r="C155" i="5"/>
  <c r="B155" i="5"/>
  <c r="A155" i="5"/>
  <c r="C154" i="5"/>
  <c r="B154" i="5"/>
  <c r="A154" i="5"/>
  <c r="C153" i="5"/>
  <c r="B153" i="5"/>
  <c r="A153" i="5"/>
  <c r="C152" i="5"/>
  <c r="B152" i="5"/>
  <c r="A152" i="5"/>
  <c r="C151" i="5"/>
  <c r="B151" i="5"/>
  <c r="A151" i="5"/>
  <c r="C150" i="5"/>
  <c r="B150" i="5"/>
  <c r="A150" i="5"/>
  <c r="C149" i="5"/>
  <c r="B149" i="5"/>
  <c r="A149" i="5"/>
  <c r="C148" i="5"/>
  <c r="B148" i="5"/>
  <c r="A148" i="5"/>
  <c r="C147" i="5"/>
  <c r="B147" i="5"/>
  <c r="A147" i="5"/>
  <c r="C146" i="5"/>
  <c r="B146" i="5"/>
  <c r="A146" i="5"/>
  <c r="C145" i="5"/>
  <c r="B145" i="5"/>
  <c r="A145" i="5"/>
  <c r="C144" i="5"/>
  <c r="B144" i="5"/>
  <c r="A144" i="5"/>
  <c r="C143" i="5"/>
  <c r="B143" i="5"/>
  <c r="A143" i="5"/>
  <c r="C142" i="5"/>
  <c r="B142" i="5"/>
  <c r="A142" i="5"/>
  <c r="C141" i="5"/>
  <c r="B141" i="5"/>
  <c r="A141" i="5"/>
  <c r="C140" i="5"/>
  <c r="B140" i="5"/>
  <c r="A140" i="5"/>
  <c r="C139" i="5"/>
  <c r="B139" i="5"/>
  <c r="A139" i="5"/>
  <c r="C138" i="5"/>
  <c r="B138" i="5"/>
  <c r="A138" i="5"/>
  <c r="C137" i="5"/>
  <c r="B137" i="5"/>
  <c r="A137" i="5"/>
  <c r="C136" i="5"/>
  <c r="B136" i="5"/>
  <c r="A136" i="5"/>
  <c r="C135" i="5"/>
  <c r="B135" i="5"/>
  <c r="A135" i="5"/>
  <c r="C134" i="5"/>
  <c r="B134" i="5"/>
  <c r="A134" i="5"/>
  <c r="C133" i="5"/>
  <c r="B133" i="5"/>
  <c r="A133" i="5"/>
  <c r="C132" i="5"/>
  <c r="B132" i="5"/>
  <c r="A132" i="5"/>
  <c r="C131" i="5"/>
  <c r="B131" i="5"/>
  <c r="A131" i="5"/>
  <c r="C130" i="5"/>
  <c r="B130" i="5"/>
  <c r="A130" i="5"/>
  <c r="C129" i="5"/>
  <c r="B129" i="5"/>
  <c r="A129" i="5"/>
  <c r="C128" i="5"/>
  <c r="B128" i="5"/>
  <c r="A128" i="5"/>
  <c r="C127" i="5"/>
  <c r="B127" i="5"/>
  <c r="A127" i="5"/>
  <c r="C126" i="5"/>
  <c r="B126" i="5"/>
  <c r="A126" i="5"/>
  <c r="C125" i="5"/>
  <c r="B125" i="5"/>
  <c r="A125" i="5"/>
  <c r="C124" i="5"/>
  <c r="B124" i="5"/>
  <c r="A124" i="5"/>
  <c r="C123" i="5"/>
  <c r="B123" i="5"/>
  <c r="A123" i="5"/>
  <c r="C122" i="5"/>
  <c r="B122" i="5"/>
  <c r="A122" i="5"/>
  <c r="C121" i="5"/>
  <c r="B121" i="5"/>
  <c r="A121" i="5"/>
  <c r="C120" i="5"/>
  <c r="B120" i="5"/>
  <c r="A120" i="5"/>
  <c r="C119" i="5"/>
  <c r="B119" i="5"/>
  <c r="A119" i="5"/>
  <c r="C118" i="5"/>
  <c r="B118" i="5"/>
  <c r="A118" i="5"/>
  <c r="C117" i="5"/>
  <c r="B117" i="5"/>
  <c r="A117" i="5"/>
  <c r="C116" i="5"/>
  <c r="B116" i="5"/>
  <c r="A116" i="5"/>
  <c r="C115" i="5"/>
  <c r="B115" i="5"/>
  <c r="A115" i="5"/>
  <c r="C114" i="5"/>
  <c r="B114" i="5"/>
  <c r="A114" i="5"/>
  <c r="C113" i="5"/>
  <c r="B113" i="5"/>
  <c r="A113" i="5"/>
  <c r="C112" i="5"/>
  <c r="B112" i="5"/>
  <c r="A112" i="5"/>
  <c r="C111" i="5"/>
  <c r="B111" i="5"/>
  <c r="A111" i="5"/>
  <c r="C110" i="5"/>
  <c r="B110" i="5"/>
  <c r="A110" i="5"/>
  <c r="C109" i="5"/>
  <c r="B109" i="5"/>
  <c r="A109" i="5"/>
  <c r="C108" i="5"/>
  <c r="B108" i="5"/>
  <c r="A108" i="5"/>
  <c r="C107" i="5"/>
  <c r="B107" i="5"/>
  <c r="A107" i="5"/>
  <c r="C106" i="5"/>
  <c r="B106" i="5"/>
  <c r="A106" i="5"/>
  <c r="C105" i="5"/>
  <c r="B105" i="5"/>
  <c r="A105" i="5"/>
  <c r="C104" i="5"/>
  <c r="B104" i="5"/>
  <c r="A104" i="5"/>
  <c r="C103" i="5"/>
  <c r="B103" i="5"/>
  <c r="A103" i="5"/>
  <c r="C102" i="5"/>
  <c r="B102" i="5"/>
  <c r="A102" i="5"/>
  <c r="C101" i="5"/>
  <c r="B101" i="5"/>
  <c r="A101" i="5"/>
  <c r="C100" i="5"/>
  <c r="B100" i="5"/>
  <c r="A100" i="5"/>
  <c r="C99" i="5"/>
  <c r="B99" i="5"/>
  <c r="A99" i="5"/>
  <c r="C98" i="5"/>
  <c r="B98" i="5"/>
  <c r="A98" i="5"/>
  <c r="C97" i="5"/>
  <c r="B97" i="5"/>
  <c r="A97" i="5"/>
  <c r="C96" i="5"/>
  <c r="B96" i="5"/>
  <c r="A96" i="5"/>
  <c r="C95" i="5"/>
  <c r="B95" i="5"/>
  <c r="A95" i="5"/>
  <c r="C94" i="5"/>
  <c r="B94" i="5"/>
  <c r="A94" i="5"/>
  <c r="C93" i="5"/>
  <c r="B93" i="5"/>
  <c r="A93" i="5"/>
  <c r="C92" i="5"/>
  <c r="B92" i="5"/>
  <c r="A92" i="5"/>
  <c r="C91" i="5"/>
  <c r="B91" i="5"/>
  <c r="A91" i="5"/>
  <c r="C90" i="5"/>
  <c r="B90" i="5"/>
  <c r="A90" i="5"/>
  <c r="C89" i="5"/>
  <c r="B89" i="5"/>
  <c r="A89" i="5"/>
  <c r="C88" i="5"/>
  <c r="B88" i="5"/>
  <c r="A88" i="5"/>
  <c r="C87" i="5"/>
  <c r="B87" i="5"/>
  <c r="A87" i="5"/>
  <c r="C86" i="5"/>
  <c r="B86" i="5"/>
  <c r="A86" i="5"/>
  <c r="C85" i="5"/>
  <c r="B85" i="5"/>
  <c r="A85" i="5"/>
  <c r="C84" i="5"/>
  <c r="B84" i="5"/>
  <c r="A84" i="5"/>
  <c r="C83" i="5"/>
  <c r="B83" i="5"/>
  <c r="A83" i="5"/>
  <c r="C82" i="5"/>
  <c r="B82" i="5"/>
  <c r="A82" i="5"/>
  <c r="C81" i="5"/>
  <c r="B81" i="5"/>
  <c r="A81" i="5"/>
  <c r="C80" i="5"/>
  <c r="B80" i="5"/>
  <c r="A80" i="5"/>
  <c r="C79" i="5"/>
  <c r="B79" i="5"/>
  <c r="A79" i="5"/>
  <c r="C78" i="5"/>
  <c r="B78" i="5"/>
  <c r="A78" i="5"/>
  <c r="C77" i="5"/>
  <c r="B77" i="5"/>
  <c r="A77" i="5"/>
  <c r="C76" i="5"/>
  <c r="B76" i="5"/>
  <c r="A76" i="5"/>
  <c r="C75" i="5"/>
  <c r="B75" i="5"/>
  <c r="A75" i="5"/>
  <c r="C74" i="5"/>
  <c r="B74" i="5"/>
  <c r="A74" i="5"/>
  <c r="C73" i="5"/>
  <c r="B73" i="5"/>
  <c r="A73" i="5"/>
  <c r="C72" i="5"/>
  <c r="B72" i="5"/>
  <c r="A72" i="5"/>
  <c r="C71" i="5"/>
  <c r="B71" i="5"/>
  <c r="A71" i="5"/>
  <c r="C70" i="5"/>
  <c r="B70" i="5"/>
  <c r="A70" i="5"/>
  <c r="C69" i="5"/>
  <c r="B69" i="5"/>
  <c r="A69" i="5"/>
  <c r="C68" i="5"/>
  <c r="B68" i="5"/>
  <c r="A68" i="5"/>
  <c r="C67" i="5"/>
  <c r="B67" i="5"/>
  <c r="A67" i="5"/>
  <c r="C66" i="5"/>
  <c r="B66" i="5"/>
  <c r="A66" i="5"/>
  <c r="C65" i="5"/>
  <c r="B65" i="5"/>
  <c r="A65" i="5"/>
  <c r="C64" i="5"/>
  <c r="B64" i="5"/>
  <c r="A64" i="5"/>
  <c r="C63" i="5"/>
  <c r="B63" i="5"/>
  <c r="A63" i="5"/>
  <c r="C62" i="5"/>
  <c r="B62" i="5"/>
  <c r="A62" i="5"/>
  <c r="C61" i="5"/>
  <c r="B61" i="5"/>
  <c r="A61" i="5"/>
  <c r="C60" i="5"/>
  <c r="B60" i="5"/>
  <c r="A60" i="5"/>
  <c r="C59" i="5"/>
  <c r="B59" i="5"/>
  <c r="A59" i="5"/>
  <c r="C58" i="5"/>
  <c r="B58" i="5"/>
  <c r="A58" i="5"/>
  <c r="C57" i="5"/>
  <c r="B57" i="5"/>
  <c r="A57" i="5"/>
  <c r="C56" i="5"/>
  <c r="B56" i="5"/>
  <c r="A56" i="5"/>
  <c r="C55" i="5"/>
  <c r="B55" i="5"/>
  <c r="A55" i="5"/>
  <c r="C54" i="5"/>
  <c r="B54" i="5"/>
  <c r="A54" i="5"/>
  <c r="C53" i="5"/>
  <c r="B53" i="5"/>
  <c r="A53" i="5"/>
  <c r="C52" i="5"/>
  <c r="B52" i="5"/>
  <c r="A52" i="5"/>
  <c r="C51" i="5"/>
  <c r="B51" i="5"/>
  <c r="A51" i="5"/>
  <c r="C50" i="5"/>
  <c r="B50" i="5"/>
  <c r="A50" i="5"/>
  <c r="C49" i="5"/>
  <c r="B49" i="5"/>
  <c r="A49" i="5"/>
  <c r="C48" i="5"/>
  <c r="B48" i="5"/>
  <c r="A48" i="5"/>
  <c r="C47" i="5"/>
  <c r="B47" i="5"/>
  <c r="A47" i="5"/>
  <c r="C46" i="5"/>
  <c r="B46" i="5"/>
  <c r="A46" i="5"/>
  <c r="C45" i="5"/>
  <c r="B45" i="5"/>
  <c r="A45" i="5"/>
  <c r="C44" i="5"/>
  <c r="B44" i="5"/>
  <c r="A44" i="5"/>
  <c r="C43" i="5"/>
  <c r="B43" i="5"/>
  <c r="A43" i="5"/>
  <c r="C42" i="5"/>
  <c r="B42" i="5"/>
  <c r="A42" i="5"/>
  <c r="C41" i="5"/>
  <c r="B41" i="5"/>
  <c r="A41" i="5"/>
  <c r="C40" i="5"/>
  <c r="B40" i="5"/>
  <c r="A40" i="5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C5" i="5"/>
  <c r="B5" i="5"/>
  <c r="A5" i="5"/>
  <c r="C25" i="3"/>
  <c r="W976" i="2"/>
  <c r="U976" i="2"/>
  <c r="T976" i="2"/>
  <c r="R976" i="2"/>
  <c r="Q976" i="2"/>
  <c r="P976" i="2"/>
  <c r="X975" i="2"/>
  <c r="U975" i="2"/>
  <c r="T975" i="2"/>
  <c r="R975" i="2"/>
  <c r="Q975" i="2"/>
  <c r="P975" i="2"/>
  <c r="Y974" i="2"/>
  <c r="U974" i="2"/>
  <c r="T974" i="2"/>
  <c r="R974" i="2"/>
  <c r="S974" i="2" s="1"/>
  <c r="Q974" i="2"/>
  <c r="P974" i="2"/>
  <c r="W973" i="2"/>
  <c r="U973" i="2"/>
  <c r="T973" i="2"/>
  <c r="R973" i="2"/>
  <c r="S973" i="2" s="1"/>
  <c r="Q973" i="2"/>
  <c r="P973" i="2"/>
  <c r="X972" i="2"/>
  <c r="U972" i="2"/>
  <c r="T972" i="2"/>
  <c r="R972" i="2"/>
  <c r="Q972" i="2"/>
  <c r="P972" i="2"/>
  <c r="S972" i="2" s="1"/>
  <c r="Y971" i="2"/>
  <c r="U971" i="2"/>
  <c r="T971" i="2"/>
  <c r="R971" i="2"/>
  <c r="Q971" i="2"/>
  <c r="S971" i="2" s="1"/>
  <c r="P971" i="2"/>
  <c r="W970" i="2"/>
  <c r="U970" i="2"/>
  <c r="T970" i="2"/>
  <c r="R970" i="2"/>
  <c r="Q970" i="2"/>
  <c r="P970" i="2"/>
  <c r="X969" i="2"/>
  <c r="U969" i="2"/>
  <c r="T969" i="2"/>
  <c r="S969" i="2"/>
  <c r="R969" i="2"/>
  <c r="Q969" i="2"/>
  <c r="P969" i="2"/>
  <c r="Y968" i="2"/>
  <c r="U968" i="2"/>
  <c r="T968" i="2"/>
  <c r="R968" i="2"/>
  <c r="Q968" i="2"/>
  <c r="P968" i="2"/>
  <c r="W967" i="2"/>
  <c r="U967" i="2"/>
  <c r="T967" i="2"/>
  <c r="R967" i="2"/>
  <c r="Q967" i="2"/>
  <c r="P967" i="2"/>
  <c r="X966" i="2"/>
  <c r="U966" i="2"/>
  <c r="T966" i="2"/>
  <c r="R966" i="2"/>
  <c r="S966" i="2" s="1"/>
  <c r="Q966" i="2"/>
  <c r="P966" i="2"/>
  <c r="Y965" i="2"/>
  <c r="U965" i="2"/>
  <c r="T965" i="2"/>
  <c r="R965" i="2"/>
  <c r="S965" i="2" s="1"/>
  <c r="Q965" i="2"/>
  <c r="P965" i="2"/>
  <c r="W964" i="2"/>
  <c r="U964" i="2"/>
  <c r="T964" i="2"/>
  <c r="R964" i="2"/>
  <c r="Q964" i="2"/>
  <c r="P964" i="2"/>
  <c r="S964" i="2" s="1"/>
  <c r="X963" i="2"/>
  <c r="U963" i="2"/>
  <c r="T963" i="2"/>
  <c r="R963" i="2"/>
  <c r="Q963" i="2"/>
  <c r="S963" i="2" s="1"/>
  <c r="P963" i="2"/>
  <c r="Y962" i="2"/>
  <c r="U962" i="2"/>
  <c r="T962" i="2"/>
  <c r="R962" i="2"/>
  <c r="Q962" i="2"/>
  <c r="P962" i="2"/>
  <c r="W961" i="2"/>
  <c r="U961" i="2"/>
  <c r="T961" i="2"/>
  <c r="S961" i="2"/>
  <c r="R961" i="2"/>
  <c r="Q961" i="2"/>
  <c r="P961" i="2"/>
  <c r="X960" i="2"/>
  <c r="U960" i="2"/>
  <c r="T960" i="2"/>
  <c r="R960" i="2"/>
  <c r="Q960" i="2"/>
  <c r="P960" i="2"/>
  <c r="Y959" i="2"/>
  <c r="U959" i="2"/>
  <c r="T959" i="2"/>
  <c r="R959" i="2"/>
  <c r="Q959" i="2"/>
  <c r="P959" i="2"/>
  <c r="W958" i="2"/>
  <c r="U958" i="2"/>
  <c r="T958" i="2"/>
  <c r="R958" i="2"/>
  <c r="S958" i="2" s="1"/>
  <c r="Q958" i="2"/>
  <c r="P958" i="2"/>
  <c r="X957" i="2"/>
  <c r="U957" i="2"/>
  <c r="T957" i="2"/>
  <c r="R957" i="2"/>
  <c r="S957" i="2" s="1"/>
  <c r="Q957" i="2"/>
  <c r="P957" i="2"/>
  <c r="Y956" i="2"/>
  <c r="U956" i="2"/>
  <c r="T956" i="2"/>
  <c r="R956" i="2"/>
  <c r="Q956" i="2"/>
  <c r="P956" i="2"/>
  <c r="S956" i="2" s="1"/>
  <c r="W955" i="2"/>
  <c r="U955" i="2"/>
  <c r="T955" i="2"/>
  <c r="R955" i="2"/>
  <c r="Q955" i="2"/>
  <c r="S955" i="2" s="1"/>
  <c r="P955" i="2"/>
  <c r="X954" i="2"/>
  <c r="U954" i="2"/>
  <c r="T954" i="2"/>
  <c r="R954" i="2"/>
  <c r="Q954" i="2"/>
  <c r="P954" i="2"/>
  <c r="Y953" i="2"/>
  <c r="U953" i="2"/>
  <c r="T953" i="2"/>
  <c r="S953" i="2"/>
  <c r="R953" i="2"/>
  <c r="Q953" i="2"/>
  <c r="P953" i="2"/>
  <c r="W952" i="2"/>
  <c r="U952" i="2"/>
  <c r="T952" i="2"/>
  <c r="R952" i="2"/>
  <c r="Q952" i="2"/>
  <c r="P952" i="2"/>
  <c r="X951" i="2"/>
  <c r="U951" i="2"/>
  <c r="T951" i="2"/>
  <c r="R951" i="2"/>
  <c r="Q951" i="2"/>
  <c r="P951" i="2"/>
  <c r="Y950" i="2"/>
  <c r="U950" i="2"/>
  <c r="T950" i="2"/>
  <c r="R950" i="2"/>
  <c r="S950" i="2" s="1"/>
  <c r="Q950" i="2"/>
  <c r="P950" i="2"/>
  <c r="W949" i="2"/>
  <c r="U949" i="2"/>
  <c r="T949" i="2"/>
  <c r="R949" i="2"/>
  <c r="S949" i="2" s="1"/>
  <c r="Q949" i="2"/>
  <c r="P949" i="2"/>
  <c r="X948" i="2"/>
  <c r="U948" i="2"/>
  <c r="T948" i="2"/>
  <c r="R948" i="2"/>
  <c r="Q948" i="2"/>
  <c r="P948" i="2"/>
  <c r="S948" i="2" s="1"/>
  <c r="Y947" i="2"/>
  <c r="U947" i="2"/>
  <c r="T947" i="2"/>
  <c r="R947" i="2"/>
  <c r="Q947" i="2"/>
  <c r="P947" i="2"/>
  <c r="W946" i="2"/>
  <c r="U946" i="2"/>
  <c r="T946" i="2"/>
  <c r="R946" i="2"/>
  <c r="Q946" i="2"/>
  <c r="P946" i="2"/>
  <c r="X945" i="2"/>
  <c r="U945" i="2"/>
  <c r="T945" i="2"/>
  <c r="S945" i="2"/>
  <c r="R945" i="2"/>
  <c r="Q945" i="2"/>
  <c r="P945" i="2"/>
  <c r="Y944" i="2"/>
  <c r="U944" i="2"/>
  <c r="T944" i="2"/>
  <c r="R944" i="2"/>
  <c r="Q944" i="2"/>
  <c r="P944" i="2"/>
  <c r="W943" i="2"/>
  <c r="U943" i="2"/>
  <c r="T943" i="2"/>
  <c r="R943" i="2"/>
  <c r="Q943" i="2"/>
  <c r="P943" i="2"/>
  <c r="X942" i="2"/>
  <c r="U942" i="2"/>
  <c r="T942" i="2"/>
  <c r="R942" i="2"/>
  <c r="S942" i="2" s="1"/>
  <c r="Q942" i="2"/>
  <c r="P942" i="2"/>
  <c r="Y941" i="2"/>
  <c r="U941" i="2"/>
  <c r="T941" i="2"/>
  <c r="R941" i="2"/>
  <c r="S941" i="2" s="1"/>
  <c r="Q941" i="2"/>
  <c r="P941" i="2"/>
  <c r="W940" i="2"/>
  <c r="U940" i="2"/>
  <c r="T940" i="2"/>
  <c r="R940" i="2"/>
  <c r="Q940" i="2"/>
  <c r="P940" i="2"/>
  <c r="S940" i="2" s="1"/>
  <c r="X939" i="2"/>
  <c r="U939" i="2"/>
  <c r="T939" i="2"/>
  <c r="R939" i="2"/>
  <c r="Q939" i="2"/>
  <c r="S939" i="2" s="1"/>
  <c r="P939" i="2"/>
  <c r="Y938" i="2"/>
  <c r="U938" i="2"/>
  <c r="T938" i="2"/>
  <c r="R938" i="2"/>
  <c r="Q938" i="2"/>
  <c r="S938" i="2" s="1"/>
  <c r="P938" i="2"/>
  <c r="W937" i="2"/>
  <c r="U937" i="2"/>
  <c r="T937" i="2"/>
  <c r="S937" i="2"/>
  <c r="R937" i="2"/>
  <c r="Q937" i="2"/>
  <c r="P937" i="2"/>
  <c r="X936" i="2"/>
  <c r="U936" i="2"/>
  <c r="T936" i="2"/>
  <c r="R936" i="2"/>
  <c r="Q936" i="2"/>
  <c r="P936" i="2"/>
  <c r="Y935" i="2"/>
  <c r="U935" i="2"/>
  <c r="T935" i="2"/>
  <c r="R935" i="2"/>
  <c r="Q935" i="2"/>
  <c r="P935" i="2"/>
  <c r="W934" i="2"/>
  <c r="U934" i="2"/>
  <c r="T934" i="2"/>
  <c r="R934" i="2"/>
  <c r="S934" i="2" s="1"/>
  <c r="Q934" i="2"/>
  <c r="P934" i="2"/>
  <c r="X933" i="2"/>
  <c r="U933" i="2"/>
  <c r="T933" i="2"/>
  <c r="R933" i="2"/>
  <c r="S933" i="2" s="1"/>
  <c r="Q933" i="2"/>
  <c r="P933" i="2"/>
  <c r="Y932" i="2"/>
  <c r="U932" i="2"/>
  <c r="T932" i="2"/>
  <c r="R932" i="2"/>
  <c r="Q932" i="2"/>
  <c r="P932" i="2"/>
  <c r="S932" i="2" s="1"/>
  <c r="W931" i="2"/>
  <c r="U931" i="2"/>
  <c r="T931" i="2"/>
  <c r="R931" i="2"/>
  <c r="Q931" i="2"/>
  <c r="S931" i="2" s="1"/>
  <c r="P931" i="2"/>
  <c r="X930" i="2"/>
  <c r="U930" i="2"/>
  <c r="T930" i="2"/>
  <c r="S930" i="2"/>
  <c r="R930" i="2"/>
  <c r="Q930" i="2"/>
  <c r="P930" i="2"/>
  <c r="Y929" i="2"/>
  <c r="U929" i="2"/>
  <c r="T929" i="2"/>
  <c r="S929" i="2"/>
  <c r="R929" i="2"/>
  <c r="Q929" i="2"/>
  <c r="P929" i="2"/>
  <c r="W928" i="2"/>
  <c r="U928" i="2"/>
  <c r="T928" i="2"/>
  <c r="R928" i="2"/>
  <c r="Q928" i="2"/>
  <c r="P928" i="2"/>
  <c r="X927" i="2"/>
  <c r="U927" i="2"/>
  <c r="T927" i="2"/>
  <c r="R927" i="2"/>
  <c r="Q927" i="2"/>
  <c r="P927" i="2"/>
  <c r="Y926" i="2"/>
  <c r="U926" i="2"/>
  <c r="T926" i="2"/>
  <c r="R926" i="2"/>
  <c r="S926" i="2" s="1"/>
  <c r="Q926" i="2"/>
  <c r="P926" i="2"/>
  <c r="W925" i="2"/>
  <c r="U925" i="2"/>
  <c r="T925" i="2"/>
  <c r="R925" i="2"/>
  <c r="S925" i="2" s="1"/>
  <c r="Q925" i="2"/>
  <c r="P925" i="2"/>
  <c r="X924" i="2"/>
  <c r="U924" i="2"/>
  <c r="T924" i="2"/>
  <c r="R924" i="2"/>
  <c r="Q924" i="2"/>
  <c r="P924" i="2"/>
  <c r="S924" i="2" s="1"/>
  <c r="Y923" i="2"/>
  <c r="U923" i="2"/>
  <c r="T923" i="2"/>
  <c r="R923" i="2"/>
  <c r="Q923" i="2"/>
  <c r="S923" i="2" s="1"/>
  <c r="P923" i="2"/>
  <c r="W922" i="2"/>
  <c r="U922" i="2"/>
  <c r="T922" i="2"/>
  <c r="S922" i="2"/>
  <c r="R922" i="2"/>
  <c r="Q922" i="2"/>
  <c r="P922" i="2"/>
  <c r="X921" i="2"/>
  <c r="U921" i="2"/>
  <c r="T921" i="2"/>
  <c r="S921" i="2"/>
  <c r="R921" i="2"/>
  <c r="Q921" i="2"/>
  <c r="P921" i="2"/>
  <c r="Y920" i="2"/>
  <c r="U920" i="2"/>
  <c r="T920" i="2"/>
  <c r="R920" i="2"/>
  <c r="Q920" i="2"/>
  <c r="P920" i="2"/>
  <c r="W919" i="2"/>
  <c r="U919" i="2"/>
  <c r="T919" i="2"/>
  <c r="R919" i="2"/>
  <c r="Q919" i="2"/>
  <c r="P919" i="2"/>
  <c r="X918" i="2"/>
  <c r="U918" i="2"/>
  <c r="T918" i="2"/>
  <c r="R918" i="2"/>
  <c r="S918" i="2" s="1"/>
  <c r="Q918" i="2"/>
  <c r="P918" i="2"/>
  <c r="Y917" i="2"/>
  <c r="U917" i="2"/>
  <c r="T917" i="2"/>
  <c r="R917" i="2"/>
  <c r="Q917" i="2"/>
  <c r="P917" i="2"/>
  <c r="W916" i="2"/>
  <c r="U916" i="2"/>
  <c r="T916" i="2"/>
  <c r="R916" i="2"/>
  <c r="Q916" i="2"/>
  <c r="P916" i="2"/>
  <c r="S916" i="2" s="1"/>
  <c r="X915" i="2"/>
  <c r="U915" i="2"/>
  <c r="T915" i="2"/>
  <c r="R915" i="2"/>
  <c r="Q915" i="2"/>
  <c r="S915" i="2" s="1"/>
  <c r="P915" i="2"/>
  <c r="Y914" i="2"/>
  <c r="U914" i="2"/>
  <c r="T914" i="2"/>
  <c r="S914" i="2"/>
  <c r="R914" i="2"/>
  <c r="Q914" i="2"/>
  <c r="P914" i="2"/>
  <c r="W913" i="2"/>
  <c r="U913" i="2"/>
  <c r="T913" i="2"/>
  <c r="S913" i="2"/>
  <c r="R913" i="2"/>
  <c r="Q913" i="2"/>
  <c r="P913" i="2"/>
  <c r="X912" i="2"/>
  <c r="U912" i="2"/>
  <c r="T912" i="2"/>
  <c r="R912" i="2"/>
  <c r="Q912" i="2"/>
  <c r="P912" i="2"/>
  <c r="Y911" i="2"/>
  <c r="U911" i="2"/>
  <c r="T911" i="2"/>
  <c r="R911" i="2"/>
  <c r="Q911" i="2"/>
  <c r="P911" i="2"/>
  <c r="W910" i="2"/>
  <c r="U910" i="2"/>
  <c r="T910" i="2"/>
  <c r="R910" i="2"/>
  <c r="S910" i="2" s="1"/>
  <c r="Q910" i="2"/>
  <c r="P910" i="2"/>
  <c r="X909" i="2"/>
  <c r="U909" i="2"/>
  <c r="T909" i="2"/>
  <c r="R909" i="2"/>
  <c r="Q909" i="2"/>
  <c r="P909" i="2"/>
  <c r="Y908" i="2"/>
  <c r="U908" i="2"/>
  <c r="T908" i="2"/>
  <c r="R908" i="2"/>
  <c r="Q908" i="2"/>
  <c r="P908" i="2"/>
  <c r="S908" i="2" s="1"/>
  <c r="W907" i="2"/>
  <c r="U907" i="2"/>
  <c r="T907" i="2"/>
  <c r="R907" i="2"/>
  <c r="Q907" i="2"/>
  <c r="S907" i="2" s="1"/>
  <c r="P907" i="2"/>
  <c r="X906" i="2"/>
  <c r="U906" i="2"/>
  <c r="T906" i="2"/>
  <c r="S906" i="2"/>
  <c r="R906" i="2"/>
  <c r="Q906" i="2"/>
  <c r="P906" i="2"/>
  <c r="Y905" i="2"/>
  <c r="U905" i="2"/>
  <c r="T905" i="2"/>
  <c r="S905" i="2"/>
  <c r="R905" i="2"/>
  <c r="Q905" i="2"/>
  <c r="P905" i="2"/>
  <c r="W904" i="2"/>
  <c r="U904" i="2"/>
  <c r="T904" i="2"/>
  <c r="R904" i="2"/>
  <c r="Q904" i="2"/>
  <c r="P904" i="2"/>
  <c r="X903" i="2"/>
  <c r="U903" i="2"/>
  <c r="T903" i="2"/>
  <c r="R903" i="2"/>
  <c r="Q903" i="2"/>
  <c r="P903" i="2"/>
  <c r="Y902" i="2"/>
  <c r="U902" i="2"/>
  <c r="T902" i="2"/>
  <c r="R902" i="2"/>
  <c r="S902" i="2" s="1"/>
  <c r="Q902" i="2"/>
  <c r="P902" i="2"/>
  <c r="W901" i="2"/>
  <c r="U901" i="2"/>
  <c r="T901" i="2"/>
  <c r="R901" i="2"/>
  <c r="Q901" i="2"/>
  <c r="P901" i="2"/>
  <c r="X900" i="2"/>
  <c r="U900" i="2"/>
  <c r="T900" i="2"/>
  <c r="R900" i="2"/>
  <c r="Q900" i="2"/>
  <c r="S900" i="2" s="1"/>
  <c r="P900" i="2"/>
  <c r="Y899" i="2"/>
  <c r="U899" i="2"/>
  <c r="T899" i="2"/>
  <c r="R899" i="2"/>
  <c r="Q899" i="2"/>
  <c r="S899" i="2" s="1"/>
  <c r="P899" i="2"/>
  <c r="W898" i="2"/>
  <c r="U898" i="2"/>
  <c r="T898" i="2"/>
  <c r="S898" i="2"/>
  <c r="R898" i="2"/>
  <c r="Q898" i="2"/>
  <c r="P898" i="2"/>
  <c r="X897" i="2"/>
  <c r="U897" i="2"/>
  <c r="T897" i="2"/>
  <c r="S897" i="2"/>
  <c r="R897" i="2"/>
  <c r="Q897" i="2"/>
  <c r="P897" i="2"/>
  <c r="Y896" i="2"/>
  <c r="U896" i="2"/>
  <c r="T896" i="2"/>
  <c r="R896" i="2"/>
  <c r="Q896" i="2"/>
  <c r="P896" i="2"/>
  <c r="W895" i="2"/>
  <c r="U895" i="2"/>
  <c r="T895" i="2"/>
  <c r="R895" i="2"/>
  <c r="Q895" i="2"/>
  <c r="P895" i="2"/>
  <c r="X894" i="2"/>
  <c r="U894" i="2"/>
  <c r="T894" i="2"/>
  <c r="R894" i="2"/>
  <c r="Q894" i="2"/>
  <c r="S894" i="2" s="1"/>
  <c r="P894" i="2"/>
  <c r="Y893" i="2"/>
  <c r="U893" i="2"/>
  <c r="T893" i="2"/>
  <c r="R893" i="2"/>
  <c r="Q893" i="2"/>
  <c r="P893" i="2"/>
  <c r="W892" i="2"/>
  <c r="U892" i="2"/>
  <c r="T892" i="2"/>
  <c r="R892" i="2"/>
  <c r="Q892" i="2"/>
  <c r="S892" i="2" s="1"/>
  <c r="P892" i="2"/>
  <c r="X891" i="2"/>
  <c r="U891" i="2"/>
  <c r="T891" i="2"/>
  <c r="R891" i="2"/>
  <c r="Q891" i="2"/>
  <c r="S891" i="2" s="1"/>
  <c r="P891" i="2"/>
  <c r="Y890" i="2"/>
  <c r="U890" i="2"/>
  <c r="T890" i="2"/>
  <c r="S890" i="2"/>
  <c r="R890" i="2"/>
  <c r="Q890" i="2"/>
  <c r="P890" i="2"/>
  <c r="W889" i="2"/>
  <c r="U889" i="2"/>
  <c r="T889" i="2"/>
  <c r="S889" i="2"/>
  <c r="R889" i="2"/>
  <c r="Q889" i="2"/>
  <c r="P889" i="2"/>
  <c r="X888" i="2"/>
  <c r="U888" i="2"/>
  <c r="T888" i="2"/>
  <c r="R888" i="2"/>
  <c r="Q888" i="2"/>
  <c r="P888" i="2"/>
  <c r="Y887" i="2"/>
  <c r="U887" i="2"/>
  <c r="T887" i="2"/>
  <c r="R887" i="2"/>
  <c r="Q887" i="2"/>
  <c r="P887" i="2"/>
  <c r="W886" i="2"/>
  <c r="U886" i="2"/>
  <c r="T886" i="2"/>
  <c r="R886" i="2"/>
  <c r="Q886" i="2"/>
  <c r="S886" i="2" s="1"/>
  <c r="P886" i="2"/>
  <c r="X885" i="2"/>
  <c r="U885" i="2"/>
  <c r="T885" i="2"/>
  <c r="R885" i="2"/>
  <c r="Q885" i="2"/>
  <c r="S885" i="2" s="1"/>
  <c r="P885" i="2"/>
  <c r="Y884" i="2"/>
  <c r="U884" i="2"/>
  <c r="T884" i="2"/>
  <c r="R884" i="2"/>
  <c r="Q884" i="2"/>
  <c r="P884" i="2"/>
  <c r="S884" i="2" s="1"/>
  <c r="W883" i="2"/>
  <c r="U883" i="2"/>
  <c r="T883" i="2"/>
  <c r="R883" i="2"/>
  <c r="Q883" i="2"/>
  <c r="S883" i="2" s="1"/>
  <c r="P883" i="2"/>
  <c r="X882" i="2"/>
  <c r="U882" i="2"/>
  <c r="T882" i="2"/>
  <c r="S882" i="2"/>
  <c r="R882" i="2"/>
  <c r="Q882" i="2"/>
  <c r="P882" i="2"/>
  <c r="Y881" i="2"/>
  <c r="U881" i="2"/>
  <c r="T881" i="2"/>
  <c r="S881" i="2"/>
  <c r="R881" i="2"/>
  <c r="Q881" i="2"/>
  <c r="P881" i="2"/>
  <c r="W880" i="2"/>
  <c r="U880" i="2"/>
  <c r="T880" i="2"/>
  <c r="R880" i="2"/>
  <c r="Q880" i="2"/>
  <c r="P880" i="2"/>
  <c r="X879" i="2"/>
  <c r="U879" i="2"/>
  <c r="T879" i="2"/>
  <c r="R879" i="2"/>
  <c r="Q879" i="2"/>
  <c r="P879" i="2"/>
  <c r="Y878" i="2"/>
  <c r="U878" i="2"/>
  <c r="T878" i="2"/>
  <c r="R878" i="2"/>
  <c r="Q878" i="2"/>
  <c r="P878" i="2"/>
  <c r="W877" i="2"/>
  <c r="U877" i="2"/>
  <c r="T877" i="2"/>
  <c r="R877" i="2"/>
  <c r="Q877" i="2"/>
  <c r="S877" i="2" s="1"/>
  <c r="P877" i="2"/>
  <c r="X876" i="2"/>
  <c r="U876" i="2"/>
  <c r="T876" i="2"/>
  <c r="R876" i="2"/>
  <c r="Q876" i="2"/>
  <c r="P876" i="2"/>
  <c r="S876" i="2" s="1"/>
  <c r="Y875" i="2"/>
  <c r="U875" i="2"/>
  <c r="T875" i="2"/>
  <c r="R875" i="2"/>
  <c r="Q875" i="2"/>
  <c r="S875" i="2" s="1"/>
  <c r="P875" i="2"/>
  <c r="W874" i="2"/>
  <c r="U874" i="2"/>
  <c r="T874" i="2"/>
  <c r="S874" i="2"/>
  <c r="R874" i="2"/>
  <c r="Q874" i="2"/>
  <c r="P874" i="2"/>
  <c r="X873" i="2"/>
  <c r="U873" i="2"/>
  <c r="T873" i="2"/>
  <c r="S873" i="2"/>
  <c r="R873" i="2"/>
  <c r="Q873" i="2"/>
  <c r="P873" i="2"/>
  <c r="Y872" i="2"/>
  <c r="U872" i="2"/>
  <c r="T872" i="2"/>
  <c r="R872" i="2"/>
  <c r="Q872" i="2"/>
  <c r="P872" i="2"/>
  <c r="W871" i="2"/>
  <c r="U871" i="2"/>
  <c r="T871" i="2"/>
  <c r="R871" i="2"/>
  <c r="Q871" i="2"/>
  <c r="P871" i="2"/>
  <c r="X870" i="2"/>
  <c r="U870" i="2"/>
  <c r="T870" i="2"/>
  <c r="R870" i="2"/>
  <c r="S870" i="2" s="1"/>
  <c r="Q870" i="2"/>
  <c r="P870" i="2"/>
  <c r="Y869" i="2"/>
  <c r="U869" i="2"/>
  <c r="T869" i="2"/>
  <c r="R869" i="2"/>
  <c r="Q869" i="2"/>
  <c r="P869" i="2"/>
  <c r="W868" i="2"/>
  <c r="U868" i="2"/>
  <c r="T868" i="2"/>
  <c r="R868" i="2"/>
  <c r="Q868" i="2"/>
  <c r="S868" i="2" s="1"/>
  <c r="P868" i="2"/>
  <c r="X867" i="2"/>
  <c r="U867" i="2"/>
  <c r="T867" i="2"/>
  <c r="R867" i="2"/>
  <c r="Q867" i="2"/>
  <c r="S867" i="2" s="1"/>
  <c r="P867" i="2"/>
  <c r="Y866" i="2"/>
  <c r="U866" i="2"/>
  <c r="T866" i="2"/>
  <c r="S866" i="2"/>
  <c r="R866" i="2"/>
  <c r="Q866" i="2"/>
  <c r="P866" i="2"/>
  <c r="W865" i="2"/>
  <c r="U865" i="2"/>
  <c r="T865" i="2"/>
  <c r="R865" i="2"/>
  <c r="Q865" i="2"/>
  <c r="P865" i="2"/>
  <c r="X864" i="2"/>
  <c r="U864" i="2"/>
  <c r="T864" i="2"/>
  <c r="R864" i="2"/>
  <c r="Q864" i="2"/>
  <c r="P864" i="2"/>
  <c r="Y863" i="2"/>
  <c r="U863" i="2"/>
  <c r="T863" i="2"/>
  <c r="R863" i="2"/>
  <c r="Q863" i="2"/>
  <c r="P863" i="2"/>
  <c r="W862" i="2"/>
  <c r="U862" i="2"/>
  <c r="T862" i="2"/>
  <c r="R862" i="2"/>
  <c r="S862" i="2" s="1"/>
  <c r="Q862" i="2"/>
  <c r="P862" i="2"/>
  <c r="X861" i="2"/>
  <c r="U861" i="2"/>
  <c r="T861" i="2"/>
  <c r="R861" i="2"/>
  <c r="Q861" i="2"/>
  <c r="P861" i="2"/>
  <c r="Y860" i="2"/>
  <c r="U860" i="2"/>
  <c r="T860" i="2"/>
  <c r="R860" i="2"/>
  <c r="Q860" i="2"/>
  <c r="S860" i="2" s="1"/>
  <c r="P860" i="2"/>
  <c r="W859" i="2"/>
  <c r="U859" i="2"/>
  <c r="T859" i="2"/>
  <c r="R859" i="2"/>
  <c r="Q859" i="2"/>
  <c r="S859" i="2" s="1"/>
  <c r="P859" i="2"/>
  <c r="X858" i="2"/>
  <c r="U858" i="2"/>
  <c r="T858" i="2"/>
  <c r="S858" i="2"/>
  <c r="R858" i="2"/>
  <c r="Q858" i="2"/>
  <c r="P858" i="2"/>
  <c r="Y857" i="2"/>
  <c r="U857" i="2"/>
  <c r="T857" i="2"/>
  <c r="S857" i="2"/>
  <c r="R857" i="2"/>
  <c r="Q857" i="2"/>
  <c r="P857" i="2"/>
  <c r="W856" i="2"/>
  <c r="U856" i="2"/>
  <c r="T856" i="2"/>
  <c r="R856" i="2"/>
  <c r="Q856" i="2"/>
  <c r="P856" i="2"/>
  <c r="X855" i="2"/>
  <c r="U855" i="2"/>
  <c r="T855" i="2"/>
  <c r="R855" i="2"/>
  <c r="Q855" i="2"/>
  <c r="P855" i="2"/>
  <c r="Y854" i="2"/>
  <c r="U854" i="2"/>
  <c r="T854" i="2"/>
  <c r="R854" i="2"/>
  <c r="S854" i="2" s="1"/>
  <c r="Q854" i="2"/>
  <c r="P854" i="2"/>
  <c r="W853" i="2"/>
  <c r="U853" i="2"/>
  <c r="T853" i="2"/>
  <c r="R853" i="2"/>
  <c r="Q853" i="2"/>
  <c r="P853" i="2"/>
  <c r="X852" i="2"/>
  <c r="U852" i="2"/>
  <c r="T852" i="2"/>
  <c r="R852" i="2"/>
  <c r="Q852" i="2"/>
  <c r="S852" i="2" s="1"/>
  <c r="P852" i="2"/>
  <c r="Y851" i="2"/>
  <c r="U851" i="2"/>
  <c r="T851" i="2"/>
  <c r="R851" i="2"/>
  <c r="Q851" i="2"/>
  <c r="S851" i="2" s="1"/>
  <c r="P851" i="2"/>
  <c r="W850" i="2"/>
  <c r="U850" i="2"/>
  <c r="T850" i="2"/>
  <c r="S850" i="2"/>
  <c r="R850" i="2"/>
  <c r="Q850" i="2"/>
  <c r="P850" i="2"/>
  <c r="X849" i="2"/>
  <c r="U849" i="2"/>
  <c r="T849" i="2"/>
  <c r="S849" i="2"/>
  <c r="R849" i="2"/>
  <c r="Q849" i="2"/>
  <c r="P849" i="2"/>
  <c r="Y848" i="2"/>
  <c r="U848" i="2"/>
  <c r="T848" i="2"/>
  <c r="R848" i="2"/>
  <c r="Q848" i="2"/>
  <c r="P848" i="2"/>
  <c r="W847" i="2"/>
  <c r="U847" i="2"/>
  <c r="T847" i="2"/>
  <c r="R847" i="2"/>
  <c r="Q847" i="2"/>
  <c r="P847" i="2"/>
  <c r="X846" i="2"/>
  <c r="U846" i="2"/>
  <c r="T846" i="2"/>
  <c r="R846" i="2"/>
  <c r="S846" i="2" s="1"/>
  <c r="Q846" i="2"/>
  <c r="P846" i="2"/>
  <c r="Y845" i="2"/>
  <c r="U845" i="2"/>
  <c r="T845" i="2"/>
  <c r="R845" i="2"/>
  <c r="Q845" i="2"/>
  <c r="P845" i="2"/>
  <c r="W844" i="2"/>
  <c r="U844" i="2"/>
  <c r="T844" i="2"/>
  <c r="R844" i="2"/>
  <c r="Q844" i="2"/>
  <c r="S844" i="2" s="1"/>
  <c r="P844" i="2"/>
  <c r="X843" i="2"/>
  <c r="U843" i="2"/>
  <c r="T843" i="2"/>
  <c r="R843" i="2"/>
  <c r="Q843" i="2"/>
  <c r="S843" i="2" s="1"/>
  <c r="P843" i="2"/>
  <c r="Y842" i="2"/>
  <c r="U842" i="2"/>
  <c r="T842" i="2"/>
  <c r="S842" i="2"/>
  <c r="R842" i="2"/>
  <c r="Q842" i="2"/>
  <c r="P842" i="2"/>
  <c r="W841" i="2"/>
  <c r="U841" i="2"/>
  <c r="T841" i="2"/>
  <c r="S841" i="2"/>
  <c r="R841" i="2"/>
  <c r="Q841" i="2"/>
  <c r="P841" i="2"/>
  <c r="X840" i="2"/>
  <c r="U840" i="2"/>
  <c r="T840" i="2"/>
  <c r="R840" i="2"/>
  <c r="Q840" i="2"/>
  <c r="P840" i="2"/>
  <c r="Y839" i="2"/>
  <c r="U839" i="2"/>
  <c r="T839" i="2"/>
  <c r="R839" i="2"/>
  <c r="Q839" i="2"/>
  <c r="P839" i="2"/>
  <c r="W838" i="2"/>
  <c r="U838" i="2"/>
  <c r="T838" i="2"/>
  <c r="R838" i="2"/>
  <c r="S838" i="2" s="1"/>
  <c r="Q838" i="2"/>
  <c r="P838" i="2"/>
  <c r="X837" i="2"/>
  <c r="U837" i="2"/>
  <c r="T837" i="2"/>
  <c r="R837" i="2"/>
  <c r="Q837" i="2"/>
  <c r="P837" i="2"/>
  <c r="Y836" i="2"/>
  <c r="U836" i="2"/>
  <c r="T836" i="2"/>
  <c r="R836" i="2"/>
  <c r="Q836" i="2"/>
  <c r="S836" i="2" s="1"/>
  <c r="P836" i="2"/>
  <c r="W835" i="2"/>
  <c r="U835" i="2"/>
  <c r="T835" i="2"/>
  <c r="R835" i="2"/>
  <c r="Q835" i="2"/>
  <c r="S835" i="2" s="1"/>
  <c r="P835" i="2"/>
  <c r="X834" i="2"/>
  <c r="U834" i="2"/>
  <c r="T834" i="2"/>
  <c r="S834" i="2"/>
  <c r="R834" i="2"/>
  <c r="Q834" i="2"/>
  <c r="P834" i="2"/>
  <c r="Y833" i="2"/>
  <c r="U833" i="2"/>
  <c r="T833" i="2"/>
  <c r="R833" i="2"/>
  <c r="Q833" i="2"/>
  <c r="P833" i="2"/>
  <c r="W832" i="2"/>
  <c r="U832" i="2"/>
  <c r="T832" i="2"/>
  <c r="R832" i="2"/>
  <c r="Q832" i="2"/>
  <c r="P832" i="2"/>
  <c r="X831" i="2"/>
  <c r="U831" i="2"/>
  <c r="T831" i="2"/>
  <c r="R831" i="2"/>
  <c r="Q831" i="2"/>
  <c r="P831" i="2"/>
  <c r="Y830" i="2"/>
  <c r="U830" i="2"/>
  <c r="T830" i="2"/>
  <c r="R830" i="2"/>
  <c r="S830" i="2" s="1"/>
  <c r="Q830" i="2"/>
  <c r="P830" i="2"/>
  <c r="W829" i="2"/>
  <c r="U829" i="2"/>
  <c r="T829" i="2"/>
  <c r="R829" i="2"/>
  <c r="Q829" i="2"/>
  <c r="P829" i="2"/>
  <c r="X828" i="2"/>
  <c r="U828" i="2"/>
  <c r="T828" i="2"/>
  <c r="R828" i="2"/>
  <c r="Q828" i="2"/>
  <c r="S828" i="2" s="1"/>
  <c r="P828" i="2"/>
  <c r="Y827" i="2"/>
  <c r="U827" i="2"/>
  <c r="T827" i="2"/>
  <c r="R827" i="2"/>
  <c r="Q827" i="2"/>
  <c r="P827" i="2"/>
  <c r="W826" i="2"/>
  <c r="U826" i="2"/>
  <c r="T826" i="2"/>
  <c r="S826" i="2"/>
  <c r="R826" i="2"/>
  <c r="Q826" i="2"/>
  <c r="P826" i="2"/>
  <c r="X825" i="2"/>
  <c r="U825" i="2"/>
  <c r="T825" i="2"/>
  <c r="S825" i="2"/>
  <c r="R825" i="2"/>
  <c r="Q825" i="2"/>
  <c r="P825" i="2"/>
  <c r="Y824" i="2"/>
  <c r="U824" i="2"/>
  <c r="T824" i="2"/>
  <c r="R824" i="2"/>
  <c r="Q824" i="2"/>
  <c r="P824" i="2"/>
  <c r="W823" i="2"/>
  <c r="U823" i="2"/>
  <c r="T823" i="2"/>
  <c r="R823" i="2"/>
  <c r="Q823" i="2"/>
  <c r="P823" i="2"/>
  <c r="X822" i="2"/>
  <c r="U822" i="2"/>
  <c r="T822" i="2"/>
  <c r="R822" i="2"/>
  <c r="S822" i="2" s="1"/>
  <c r="Q822" i="2"/>
  <c r="P822" i="2"/>
  <c r="Y821" i="2"/>
  <c r="U821" i="2"/>
  <c r="T821" i="2"/>
  <c r="R821" i="2"/>
  <c r="Q821" i="2"/>
  <c r="P821" i="2"/>
  <c r="W820" i="2"/>
  <c r="U820" i="2"/>
  <c r="T820" i="2"/>
  <c r="R820" i="2"/>
  <c r="Q820" i="2"/>
  <c r="S820" i="2" s="1"/>
  <c r="P820" i="2"/>
  <c r="X819" i="2"/>
  <c r="U819" i="2"/>
  <c r="T819" i="2"/>
  <c r="R819" i="2"/>
  <c r="Q819" i="2"/>
  <c r="S819" i="2" s="1"/>
  <c r="P819" i="2"/>
  <c r="Y818" i="2"/>
  <c r="U818" i="2"/>
  <c r="T818" i="2"/>
  <c r="S818" i="2"/>
  <c r="R818" i="2"/>
  <c r="Q818" i="2"/>
  <c r="P818" i="2"/>
  <c r="W817" i="2"/>
  <c r="U817" i="2"/>
  <c r="T817" i="2"/>
  <c r="S817" i="2"/>
  <c r="R817" i="2"/>
  <c r="Q817" i="2"/>
  <c r="P817" i="2"/>
  <c r="X816" i="2"/>
  <c r="U816" i="2"/>
  <c r="T816" i="2"/>
  <c r="R816" i="2"/>
  <c r="Q816" i="2"/>
  <c r="P816" i="2"/>
  <c r="Y815" i="2"/>
  <c r="U815" i="2"/>
  <c r="T815" i="2"/>
  <c r="R815" i="2"/>
  <c r="Q815" i="2"/>
  <c r="P815" i="2"/>
  <c r="W814" i="2"/>
  <c r="U814" i="2"/>
  <c r="T814" i="2"/>
  <c r="R814" i="2"/>
  <c r="S814" i="2" s="1"/>
  <c r="Q814" i="2"/>
  <c r="P814" i="2"/>
  <c r="X813" i="2"/>
  <c r="U813" i="2"/>
  <c r="T813" i="2"/>
  <c r="R813" i="2"/>
  <c r="Q813" i="2"/>
  <c r="P813" i="2"/>
  <c r="Y812" i="2"/>
  <c r="U812" i="2"/>
  <c r="T812" i="2"/>
  <c r="R812" i="2"/>
  <c r="Q812" i="2"/>
  <c r="P812" i="2"/>
  <c r="W811" i="2"/>
  <c r="U811" i="2"/>
  <c r="T811" i="2"/>
  <c r="R811" i="2"/>
  <c r="Q811" i="2"/>
  <c r="S811" i="2" s="1"/>
  <c r="P811" i="2"/>
  <c r="X810" i="2"/>
  <c r="U810" i="2"/>
  <c r="T810" i="2"/>
  <c r="S810" i="2"/>
  <c r="R810" i="2"/>
  <c r="Q810" i="2"/>
  <c r="P810" i="2"/>
  <c r="Y809" i="2"/>
  <c r="U809" i="2"/>
  <c r="T809" i="2"/>
  <c r="R809" i="2"/>
  <c r="Q809" i="2"/>
  <c r="P809" i="2"/>
  <c r="W808" i="2"/>
  <c r="U808" i="2"/>
  <c r="T808" i="2"/>
  <c r="R808" i="2"/>
  <c r="Q808" i="2"/>
  <c r="P808" i="2"/>
  <c r="X807" i="2"/>
  <c r="U807" i="2"/>
  <c r="T807" i="2"/>
  <c r="R807" i="2"/>
  <c r="Q807" i="2"/>
  <c r="P807" i="2"/>
  <c r="Y806" i="2"/>
  <c r="U806" i="2"/>
  <c r="T806" i="2"/>
  <c r="R806" i="2"/>
  <c r="S806" i="2" s="1"/>
  <c r="Q806" i="2"/>
  <c r="P806" i="2"/>
  <c r="W805" i="2"/>
  <c r="U805" i="2"/>
  <c r="T805" i="2"/>
  <c r="R805" i="2"/>
  <c r="Q805" i="2"/>
  <c r="P805" i="2"/>
  <c r="X804" i="2"/>
  <c r="U804" i="2"/>
  <c r="T804" i="2"/>
  <c r="R804" i="2"/>
  <c r="Q804" i="2"/>
  <c r="S804" i="2" s="1"/>
  <c r="P804" i="2"/>
  <c r="Y803" i="2"/>
  <c r="U803" i="2"/>
  <c r="T803" i="2"/>
  <c r="R803" i="2"/>
  <c r="Q803" i="2"/>
  <c r="S803" i="2" s="1"/>
  <c r="P803" i="2"/>
  <c r="W802" i="2"/>
  <c r="U802" i="2"/>
  <c r="T802" i="2"/>
  <c r="R802" i="2"/>
  <c r="Q802" i="2"/>
  <c r="S802" i="2" s="1"/>
  <c r="P802" i="2"/>
  <c r="X801" i="2"/>
  <c r="U801" i="2"/>
  <c r="T801" i="2"/>
  <c r="R801" i="2"/>
  <c r="Q801" i="2"/>
  <c r="P801" i="2"/>
  <c r="Y800" i="2"/>
  <c r="U800" i="2"/>
  <c r="T800" i="2"/>
  <c r="R800" i="2"/>
  <c r="Q800" i="2"/>
  <c r="P800" i="2"/>
  <c r="W799" i="2"/>
  <c r="U799" i="2"/>
  <c r="T799" i="2"/>
  <c r="R799" i="2"/>
  <c r="Q799" i="2"/>
  <c r="P799" i="2"/>
  <c r="X798" i="2"/>
  <c r="U798" i="2"/>
  <c r="T798" i="2"/>
  <c r="R798" i="2"/>
  <c r="S798" i="2" s="1"/>
  <c r="Q798" i="2"/>
  <c r="P798" i="2"/>
  <c r="Y797" i="2"/>
  <c r="U797" i="2"/>
  <c r="T797" i="2"/>
  <c r="R797" i="2"/>
  <c r="Q797" i="2"/>
  <c r="P797" i="2"/>
  <c r="W796" i="2"/>
  <c r="U796" i="2"/>
  <c r="T796" i="2"/>
  <c r="R796" i="2"/>
  <c r="Q796" i="2"/>
  <c r="S796" i="2" s="1"/>
  <c r="P796" i="2"/>
  <c r="X795" i="2"/>
  <c r="U795" i="2"/>
  <c r="T795" i="2"/>
  <c r="R795" i="2"/>
  <c r="Q795" i="2"/>
  <c r="S795" i="2" s="1"/>
  <c r="P795" i="2"/>
  <c r="Y794" i="2"/>
  <c r="U794" i="2"/>
  <c r="T794" i="2"/>
  <c r="R794" i="2"/>
  <c r="Q794" i="2"/>
  <c r="P794" i="2"/>
  <c r="W793" i="2"/>
  <c r="U793" i="2"/>
  <c r="T793" i="2"/>
  <c r="S793" i="2"/>
  <c r="R793" i="2"/>
  <c r="Q793" i="2"/>
  <c r="P793" i="2"/>
  <c r="X792" i="2"/>
  <c r="U792" i="2"/>
  <c r="T792" i="2"/>
  <c r="S792" i="2"/>
  <c r="R792" i="2"/>
  <c r="Q792" i="2"/>
  <c r="P792" i="2"/>
  <c r="Y791" i="2"/>
  <c r="U791" i="2"/>
  <c r="T791" i="2"/>
  <c r="R791" i="2"/>
  <c r="Q791" i="2"/>
  <c r="P791" i="2"/>
  <c r="W790" i="2"/>
  <c r="U790" i="2"/>
  <c r="T790" i="2"/>
  <c r="R790" i="2"/>
  <c r="S790" i="2" s="1"/>
  <c r="Q790" i="2"/>
  <c r="P790" i="2"/>
  <c r="X789" i="2"/>
  <c r="U789" i="2"/>
  <c r="T789" i="2"/>
  <c r="R789" i="2"/>
  <c r="Q789" i="2"/>
  <c r="P789" i="2"/>
  <c r="Y788" i="2"/>
  <c r="U788" i="2"/>
  <c r="T788" i="2"/>
  <c r="R788" i="2"/>
  <c r="Q788" i="2"/>
  <c r="S788" i="2" s="1"/>
  <c r="P788" i="2"/>
  <c r="W787" i="2"/>
  <c r="U787" i="2"/>
  <c r="T787" i="2"/>
  <c r="R787" i="2"/>
  <c r="Q787" i="2"/>
  <c r="S787" i="2" s="1"/>
  <c r="P787" i="2"/>
  <c r="X786" i="2"/>
  <c r="U786" i="2"/>
  <c r="T786" i="2"/>
  <c r="S786" i="2"/>
  <c r="R786" i="2"/>
  <c r="Q786" i="2"/>
  <c r="P786" i="2"/>
  <c r="Y785" i="2"/>
  <c r="U785" i="2"/>
  <c r="T785" i="2"/>
  <c r="R785" i="2"/>
  <c r="Q785" i="2"/>
  <c r="P785" i="2"/>
  <c r="W784" i="2"/>
  <c r="U784" i="2"/>
  <c r="T784" i="2"/>
  <c r="R784" i="2"/>
  <c r="Q784" i="2"/>
  <c r="P784" i="2"/>
  <c r="X783" i="2"/>
  <c r="U783" i="2"/>
  <c r="T783" i="2"/>
  <c r="R783" i="2"/>
  <c r="Q783" i="2"/>
  <c r="P783" i="2"/>
  <c r="Y782" i="2"/>
  <c r="U782" i="2"/>
  <c r="T782" i="2"/>
  <c r="S782" i="2"/>
  <c r="R782" i="2"/>
  <c r="Q782" i="2"/>
  <c r="P782" i="2"/>
  <c r="W781" i="2"/>
  <c r="U781" i="2"/>
  <c r="T781" i="2"/>
  <c r="R781" i="2"/>
  <c r="Q781" i="2"/>
  <c r="P781" i="2"/>
  <c r="X780" i="2"/>
  <c r="U780" i="2"/>
  <c r="T780" i="2"/>
  <c r="S780" i="2"/>
  <c r="R780" i="2"/>
  <c r="Q780" i="2"/>
  <c r="P780" i="2"/>
  <c r="Y779" i="2"/>
  <c r="U779" i="2"/>
  <c r="T779" i="2"/>
  <c r="R779" i="2"/>
  <c r="Q779" i="2"/>
  <c r="P779" i="2"/>
  <c r="W778" i="2"/>
  <c r="U778" i="2"/>
  <c r="T778" i="2"/>
  <c r="S778" i="2"/>
  <c r="R778" i="2"/>
  <c r="Q778" i="2"/>
  <c r="P778" i="2"/>
  <c r="X777" i="2"/>
  <c r="U777" i="2"/>
  <c r="T777" i="2"/>
  <c r="R777" i="2"/>
  <c r="Q777" i="2"/>
  <c r="P777" i="2"/>
  <c r="Y776" i="2"/>
  <c r="U776" i="2"/>
  <c r="T776" i="2"/>
  <c r="R776" i="2"/>
  <c r="Q776" i="2"/>
  <c r="P776" i="2"/>
  <c r="W775" i="2"/>
  <c r="U775" i="2"/>
  <c r="T775" i="2"/>
  <c r="R775" i="2"/>
  <c r="Q775" i="2"/>
  <c r="P775" i="2"/>
  <c r="X774" i="2"/>
  <c r="U774" i="2"/>
  <c r="T774" i="2"/>
  <c r="R774" i="2"/>
  <c r="Q774" i="2"/>
  <c r="S774" i="2" s="1"/>
  <c r="P774" i="2"/>
  <c r="Y773" i="2"/>
  <c r="U773" i="2"/>
  <c r="T773" i="2"/>
  <c r="R773" i="2"/>
  <c r="Q773" i="2"/>
  <c r="P773" i="2"/>
  <c r="W772" i="2"/>
  <c r="U772" i="2"/>
  <c r="T772" i="2"/>
  <c r="S772" i="2"/>
  <c r="R772" i="2"/>
  <c r="Q772" i="2"/>
  <c r="P772" i="2"/>
  <c r="X771" i="2"/>
  <c r="U771" i="2"/>
  <c r="T771" i="2"/>
  <c r="R771" i="2"/>
  <c r="Q771" i="2"/>
  <c r="P771" i="2"/>
  <c r="Y770" i="2"/>
  <c r="U770" i="2"/>
  <c r="T770" i="2"/>
  <c r="S770" i="2"/>
  <c r="R770" i="2"/>
  <c r="Q770" i="2"/>
  <c r="P770" i="2"/>
  <c r="W769" i="2"/>
  <c r="U769" i="2"/>
  <c r="T769" i="2"/>
  <c r="R769" i="2"/>
  <c r="S769" i="2" s="1"/>
  <c r="Q769" i="2"/>
  <c r="P769" i="2"/>
  <c r="X768" i="2"/>
  <c r="U768" i="2"/>
  <c r="T768" i="2"/>
  <c r="R768" i="2"/>
  <c r="Q768" i="2"/>
  <c r="P768" i="2"/>
  <c r="Y767" i="2"/>
  <c r="U767" i="2"/>
  <c r="T767" i="2"/>
  <c r="R767" i="2"/>
  <c r="S767" i="2" s="1"/>
  <c r="Q767" i="2"/>
  <c r="P767" i="2"/>
  <c r="W766" i="2"/>
  <c r="U766" i="2"/>
  <c r="T766" i="2"/>
  <c r="R766" i="2"/>
  <c r="Q766" i="2"/>
  <c r="P766" i="2"/>
  <c r="X765" i="2"/>
  <c r="U765" i="2"/>
  <c r="T765" i="2"/>
  <c r="R765" i="2"/>
  <c r="Q765" i="2"/>
  <c r="P765" i="2"/>
  <c r="Y764" i="2"/>
  <c r="U764" i="2"/>
  <c r="T764" i="2"/>
  <c r="S764" i="2"/>
  <c r="R764" i="2"/>
  <c r="Q764" i="2"/>
  <c r="P764" i="2"/>
  <c r="W763" i="2"/>
  <c r="U763" i="2"/>
  <c r="T763" i="2"/>
  <c r="R763" i="2"/>
  <c r="Q763" i="2"/>
  <c r="P763" i="2"/>
  <c r="X762" i="2"/>
  <c r="U762" i="2"/>
  <c r="T762" i="2"/>
  <c r="S762" i="2"/>
  <c r="R762" i="2"/>
  <c r="Q762" i="2"/>
  <c r="P762" i="2"/>
  <c r="Y761" i="2"/>
  <c r="U761" i="2"/>
  <c r="T761" i="2"/>
  <c r="R761" i="2"/>
  <c r="Q761" i="2"/>
  <c r="P761" i="2"/>
  <c r="S761" i="2" s="1"/>
  <c r="W760" i="2"/>
  <c r="U760" i="2"/>
  <c r="T760" i="2"/>
  <c r="R760" i="2"/>
  <c r="Q760" i="2"/>
  <c r="P760" i="2"/>
  <c r="X759" i="2"/>
  <c r="U759" i="2"/>
  <c r="T759" i="2"/>
  <c r="R759" i="2"/>
  <c r="S759" i="2" s="1"/>
  <c r="Q759" i="2"/>
  <c r="P759" i="2"/>
  <c r="Y758" i="2"/>
  <c r="U758" i="2"/>
  <c r="T758" i="2"/>
  <c r="R758" i="2"/>
  <c r="Q758" i="2"/>
  <c r="P758" i="2"/>
  <c r="W757" i="2"/>
  <c r="U757" i="2"/>
  <c r="T757" i="2"/>
  <c r="R757" i="2"/>
  <c r="Q757" i="2"/>
  <c r="P757" i="2"/>
  <c r="X756" i="2"/>
  <c r="U756" i="2"/>
  <c r="T756" i="2"/>
  <c r="S756" i="2"/>
  <c r="R756" i="2"/>
  <c r="Q756" i="2"/>
  <c r="P756" i="2"/>
  <c r="Y755" i="2"/>
  <c r="U755" i="2"/>
  <c r="T755" i="2"/>
  <c r="R755" i="2"/>
  <c r="Q755" i="2"/>
  <c r="P755" i="2"/>
  <c r="W754" i="2"/>
  <c r="U754" i="2"/>
  <c r="T754" i="2"/>
  <c r="S754" i="2"/>
  <c r="R754" i="2"/>
  <c r="Q754" i="2"/>
  <c r="P754" i="2"/>
  <c r="X753" i="2"/>
  <c r="U753" i="2"/>
  <c r="T753" i="2"/>
  <c r="S753" i="2"/>
  <c r="R753" i="2"/>
  <c r="Q753" i="2"/>
  <c r="P753" i="2"/>
  <c r="Y752" i="2"/>
  <c r="U752" i="2"/>
  <c r="T752" i="2"/>
  <c r="R752" i="2"/>
  <c r="Q752" i="2"/>
  <c r="P752" i="2"/>
  <c r="W751" i="2"/>
  <c r="U751" i="2"/>
  <c r="T751" i="2"/>
  <c r="R751" i="2"/>
  <c r="S751" i="2" s="1"/>
  <c r="Q751" i="2"/>
  <c r="P751" i="2"/>
  <c r="X750" i="2"/>
  <c r="U750" i="2"/>
  <c r="T750" i="2"/>
  <c r="R750" i="2"/>
  <c r="Q750" i="2"/>
  <c r="P750" i="2"/>
  <c r="Y749" i="2"/>
  <c r="U749" i="2"/>
  <c r="T749" i="2"/>
  <c r="R749" i="2"/>
  <c r="Q749" i="2"/>
  <c r="P749" i="2"/>
  <c r="W748" i="2"/>
  <c r="U748" i="2"/>
  <c r="T748" i="2"/>
  <c r="R748" i="2"/>
  <c r="Q748" i="2"/>
  <c r="S748" i="2" s="1"/>
  <c r="P748" i="2"/>
  <c r="X747" i="2"/>
  <c r="U747" i="2"/>
  <c r="T747" i="2"/>
  <c r="R747" i="2"/>
  <c r="Q747" i="2"/>
  <c r="P747" i="2"/>
  <c r="Y746" i="2"/>
  <c r="U746" i="2"/>
  <c r="T746" i="2"/>
  <c r="S746" i="2"/>
  <c r="R746" i="2"/>
  <c r="Q746" i="2"/>
  <c r="P746" i="2"/>
  <c r="W745" i="2"/>
  <c r="U745" i="2"/>
  <c r="T745" i="2"/>
  <c r="R745" i="2"/>
  <c r="S745" i="2" s="1"/>
  <c r="Q745" i="2"/>
  <c r="P745" i="2"/>
  <c r="X744" i="2"/>
  <c r="U744" i="2"/>
  <c r="T744" i="2"/>
  <c r="R744" i="2"/>
  <c r="Q744" i="2"/>
  <c r="P744" i="2"/>
  <c r="Y743" i="2"/>
  <c r="U743" i="2"/>
  <c r="T743" i="2"/>
  <c r="R743" i="2"/>
  <c r="S743" i="2" s="1"/>
  <c r="Q743" i="2"/>
  <c r="P743" i="2"/>
  <c r="W742" i="2"/>
  <c r="U742" i="2"/>
  <c r="T742" i="2"/>
  <c r="R742" i="2"/>
  <c r="Q742" i="2"/>
  <c r="P742" i="2"/>
  <c r="X741" i="2"/>
  <c r="U741" i="2"/>
  <c r="T741" i="2"/>
  <c r="R741" i="2"/>
  <c r="Q741" i="2"/>
  <c r="P741" i="2"/>
  <c r="Y740" i="2"/>
  <c r="U740" i="2"/>
  <c r="T740" i="2"/>
  <c r="S740" i="2"/>
  <c r="R740" i="2"/>
  <c r="Q740" i="2"/>
  <c r="P740" i="2"/>
  <c r="W739" i="2"/>
  <c r="U739" i="2"/>
  <c r="T739" i="2"/>
  <c r="R739" i="2"/>
  <c r="Q739" i="2"/>
  <c r="P739" i="2"/>
  <c r="X738" i="2"/>
  <c r="U738" i="2"/>
  <c r="T738" i="2"/>
  <c r="S738" i="2"/>
  <c r="R738" i="2"/>
  <c r="Q738" i="2"/>
  <c r="P738" i="2"/>
  <c r="Y737" i="2"/>
  <c r="U737" i="2"/>
  <c r="T737" i="2"/>
  <c r="R737" i="2"/>
  <c r="Q737" i="2"/>
  <c r="P737" i="2"/>
  <c r="S737" i="2" s="1"/>
  <c r="W736" i="2"/>
  <c r="U736" i="2"/>
  <c r="T736" i="2"/>
  <c r="R736" i="2"/>
  <c r="Q736" i="2"/>
  <c r="P736" i="2"/>
  <c r="X735" i="2"/>
  <c r="U735" i="2"/>
  <c r="T735" i="2"/>
  <c r="R735" i="2"/>
  <c r="S735" i="2" s="1"/>
  <c r="Q735" i="2"/>
  <c r="P735" i="2"/>
  <c r="Y734" i="2"/>
  <c r="U734" i="2"/>
  <c r="T734" i="2"/>
  <c r="R734" i="2"/>
  <c r="Q734" i="2"/>
  <c r="P734" i="2"/>
  <c r="W733" i="2"/>
  <c r="U733" i="2"/>
  <c r="T733" i="2"/>
  <c r="R733" i="2"/>
  <c r="Q733" i="2"/>
  <c r="P733" i="2"/>
  <c r="X732" i="2"/>
  <c r="U732" i="2"/>
  <c r="T732" i="2"/>
  <c r="R732" i="2"/>
  <c r="Q732" i="2"/>
  <c r="S732" i="2" s="1"/>
  <c r="P732" i="2"/>
  <c r="Y731" i="2"/>
  <c r="U731" i="2"/>
  <c r="T731" i="2"/>
  <c r="R731" i="2"/>
  <c r="Q731" i="2"/>
  <c r="P731" i="2"/>
  <c r="W730" i="2"/>
  <c r="U730" i="2"/>
  <c r="T730" i="2"/>
  <c r="S730" i="2"/>
  <c r="R730" i="2"/>
  <c r="Q730" i="2"/>
  <c r="P730" i="2"/>
  <c r="X729" i="2"/>
  <c r="U729" i="2"/>
  <c r="T729" i="2"/>
  <c r="R729" i="2"/>
  <c r="S729" i="2" s="1"/>
  <c r="Q729" i="2"/>
  <c r="P729" i="2"/>
  <c r="Y728" i="2"/>
  <c r="U728" i="2"/>
  <c r="T728" i="2"/>
  <c r="R728" i="2"/>
  <c r="Q728" i="2"/>
  <c r="P728" i="2"/>
  <c r="W727" i="2"/>
  <c r="U727" i="2"/>
  <c r="T727" i="2"/>
  <c r="R727" i="2"/>
  <c r="S727" i="2" s="1"/>
  <c r="Q727" i="2"/>
  <c r="P727" i="2"/>
  <c r="X726" i="2"/>
  <c r="U726" i="2"/>
  <c r="T726" i="2"/>
  <c r="R726" i="2"/>
  <c r="Q726" i="2"/>
  <c r="P726" i="2"/>
  <c r="Y725" i="2"/>
  <c r="U725" i="2"/>
  <c r="T725" i="2"/>
  <c r="R725" i="2"/>
  <c r="Q725" i="2"/>
  <c r="P725" i="2"/>
  <c r="W724" i="2"/>
  <c r="U724" i="2"/>
  <c r="T724" i="2"/>
  <c r="R724" i="2"/>
  <c r="Q724" i="2"/>
  <c r="S724" i="2" s="1"/>
  <c r="P724" i="2"/>
  <c r="X723" i="2"/>
  <c r="U723" i="2"/>
  <c r="T723" i="2"/>
  <c r="R723" i="2"/>
  <c r="Q723" i="2"/>
  <c r="P723" i="2"/>
  <c r="Y722" i="2"/>
  <c r="U722" i="2"/>
  <c r="T722" i="2"/>
  <c r="S722" i="2"/>
  <c r="R722" i="2"/>
  <c r="Q722" i="2"/>
  <c r="P722" i="2"/>
  <c r="W721" i="2"/>
  <c r="U721" i="2"/>
  <c r="T721" i="2"/>
  <c r="S721" i="2"/>
  <c r="R721" i="2"/>
  <c r="Q721" i="2"/>
  <c r="P721" i="2"/>
  <c r="X720" i="2"/>
  <c r="U720" i="2"/>
  <c r="T720" i="2"/>
  <c r="R720" i="2"/>
  <c r="Q720" i="2"/>
  <c r="P720" i="2"/>
  <c r="Y719" i="2"/>
  <c r="U719" i="2"/>
  <c r="T719" i="2"/>
  <c r="R719" i="2"/>
  <c r="S719" i="2" s="1"/>
  <c r="Q719" i="2"/>
  <c r="P719" i="2"/>
  <c r="W718" i="2"/>
  <c r="U718" i="2"/>
  <c r="T718" i="2"/>
  <c r="R718" i="2"/>
  <c r="Q718" i="2"/>
  <c r="P718" i="2"/>
  <c r="X717" i="2"/>
  <c r="U717" i="2"/>
  <c r="T717" i="2"/>
  <c r="R717" i="2"/>
  <c r="Q717" i="2"/>
  <c r="P717" i="2"/>
  <c r="Y716" i="2"/>
  <c r="U716" i="2"/>
  <c r="T716" i="2"/>
  <c r="R716" i="2"/>
  <c r="Q716" i="2"/>
  <c r="S716" i="2" s="1"/>
  <c r="P716" i="2"/>
  <c r="W715" i="2"/>
  <c r="U715" i="2"/>
  <c r="T715" i="2"/>
  <c r="R715" i="2"/>
  <c r="Q715" i="2"/>
  <c r="P715" i="2"/>
  <c r="X714" i="2"/>
  <c r="U714" i="2"/>
  <c r="T714" i="2"/>
  <c r="S714" i="2"/>
  <c r="R714" i="2"/>
  <c r="Q714" i="2"/>
  <c r="P714" i="2"/>
  <c r="Y713" i="2"/>
  <c r="U713" i="2"/>
  <c r="T713" i="2"/>
  <c r="R713" i="2"/>
  <c r="Q713" i="2"/>
  <c r="P713" i="2"/>
  <c r="S713" i="2" s="1"/>
  <c r="W712" i="2"/>
  <c r="U712" i="2"/>
  <c r="T712" i="2"/>
  <c r="R712" i="2"/>
  <c r="Q712" i="2"/>
  <c r="P712" i="2"/>
  <c r="X711" i="2"/>
  <c r="U711" i="2"/>
  <c r="T711" i="2"/>
  <c r="R711" i="2"/>
  <c r="S711" i="2" s="1"/>
  <c r="Q711" i="2"/>
  <c r="P711" i="2"/>
  <c r="Y710" i="2"/>
  <c r="U710" i="2"/>
  <c r="T710" i="2"/>
  <c r="R710" i="2"/>
  <c r="Q710" i="2"/>
  <c r="P710" i="2"/>
  <c r="W709" i="2"/>
  <c r="U709" i="2"/>
  <c r="T709" i="2"/>
  <c r="R709" i="2"/>
  <c r="Q709" i="2"/>
  <c r="P709" i="2"/>
  <c r="X708" i="2"/>
  <c r="U708" i="2"/>
  <c r="T708" i="2"/>
  <c r="R708" i="2"/>
  <c r="Q708" i="2"/>
  <c r="S708" i="2" s="1"/>
  <c r="P708" i="2"/>
  <c r="Y707" i="2"/>
  <c r="U707" i="2"/>
  <c r="T707" i="2"/>
  <c r="R707" i="2"/>
  <c r="Q707" i="2"/>
  <c r="I52" i="15" s="1"/>
  <c r="P707" i="2"/>
  <c r="W706" i="2"/>
  <c r="U706" i="2"/>
  <c r="T706" i="2"/>
  <c r="S706" i="2"/>
  <c r="R706" i="2"/>
  <c r="Q706" i="2"/>
  <c r="P706" i="2"/>
  <c r="X705" i="2"/>
  <c r="U705" i="2"/>
  <c r="T705" i="2"/>
  <c r="S705" i="2"/>
  <c r="R705" i="2"/>
  <c r="Q705" i="2"/>
  <c r="P705" i="2"/>
  <c r="Y704" i="2"/>
  <c r="U704" i="2"/>
  <c r="T704" i="2"/>
  <c r="R704" i="2"/>
  <c r="Q704" i="2"/>
  <c r="P704" i="2"/>
  <c r="W703" i="2"/>
  <c r="U703" i="2"/>
  <c r="T703" i="2"/>
  <c r="R703" i="2"/>
  <c r="S703" i="2" s="1"/>
  <c r="Q703" i="2"/>
  <c r="P703" i="2"/>
  <c r="X702" i="2"/>
  <c r="U702" i="2"/>
  <c r="T702" i="2"/>
  <c r="R702" i="2"/>
  <c r="Q702" i="2"/>
  <c r="P702" i="2"/>
  <c r="Y701" i="2"/>
  <c r="U701" i="2"/>
  <c r="T701" i="2"/>
  <c r="R701" i="2"/>
  <c r="Q701" i="2"/>
  <c r="P701" i="2"/>
  <c r="W700" i="2"/>
  <c r="U700" i="2"/>
  <c r="T700" i="2"/>
  <c r="S700" i="2"/>
  <c r="R700" i="2"/>
  <c r="Q700" i="2"/>
  <c r="P700" i="2"/>
  <c r="X699" i="2"/>
  <c r="U699" i="2"/>
  <c r="T699" i="2"/>
  <c r="R699" i="2"/>
  <c r="Q699" i="2"/>
  <c r="P699" i="2"/>
  <c r="Y698" i="2"/>
  <c r="U698" i="2"/>
  <c r="T698" i="2"/>
  <c r="S698" i="2"/>
  <c r="R698" i="2"/>
  <c r="Q698" i="2"/>
  <c r="P698" i="2"/>
  <c r="W697" i="2"/>
  <c r="U697" i="2"/>
  <c r="T697" i="2"/>
  <c r="R697" i="2"/>
  <c r="Q697" i="2"/>
  <c r="P697" i="2"/>
  <c r="S697" i="2" s="1"/>
  <c r="X696" i="2"/>
  <c r="U696" i="2"/>
  <c r="T696" i="2"/>
  <c r="R696" i="2"/>
  <c r="Q696" i="2"/>
  <c r="P696" i="2"/>
  <c r="Y695" i="2"/>
  <c r="U695" i="2"/>
  <c r="T695" i="2"/>
  <c r="R695" i="2"/>
  <c r="S695" i="2" s="1"/>
  <c r="Q695" i="2"/>
  <c r="P695" i="2"/>
  <c r="W694" i="2"/>
  <c r="U694" i="2"/>
  <c r="T694" i="2"/>
  <c r="R694" i="2"/>
  <c r="Q694" i="2"/>
  <c r="P694" i="2"/>
  <c r="X693" i="2"/>
  <c r="U693" i="2"/>
  <c r="T693" i="2"/>
  <c r="R693" i="2"/>
  <c r="Q693" i="2"/>
  <c r="P693" i="2"/>
  <c r="Y692" i="2"/>
  <c r="U692" i="2"/>
  <c r="T692" i="2"/>
  <c r="S692" i="2"/>
  <c r="R692" i="2"/>
  <c r="Q692" i="2"/>
  <c r="P692" i="2"/>
  <c r="W691" i="2"/>
  <c r="U691" i="2"/>
  <c r="T691" i="2"/>
  <c r="R691" i="2"/>
  <c r="Q691" i="2"/>
  <c r="P691" i="2"/>
  <c r="X690" i="2"/>
  <c r="U690" i="2"/>
  <c r="T690" i="2"/>
  <c r="S690" i="2"/>
  <c r="R690" i="2"/>
  <c r="Q690" i="2"/>
  <c r="P690" i="2"/>
  <c r="Y689" i="2"/>
  <c r="U689" i="2"/>
  <c r="T689" i="2"/>
  <c r="R689" i="2"/>
  <c r="Q689" i="2"/>
  <c r="P689" i="2"/>
  <c r="W688" i="2"/>
  <c r="U688" i="2"/>
  <c r="T688" i="2"/>
  <c r="R688" i="2"/>
  <c r="Q688" i="2"/>
  <c r="P688" i="2"/>
  <c r="X687" i="2"/>
  <c r="U687" i="2"/>
  <c r="T687" i="2"/>
  <c r="R687" i="2"/>
  <c r="S687" i="2" s="1"/>
  <c r="Q687" i="2"/>
  <c r="P687" i="2"/>
  <c r="Y686" i="2"/>
  <c r="U686" i="2"/>
  <c r="T686" i="2"/>
  <c r="R686" i="2"/>
  <c r="Q686" i="2"/>
  <c r="P686" i="2"/>
  <c r="W685" i="2"/>
  <c r="U685" i="2"/>
  <c r="T685" i="2"/>
  <c r="R685" i="2"/>
  <c r="Q685" i="2"/>
  <c r="P685" i="2"/>
  <c r="X684" i="2"/>
  <c r="U684" i="2"/>
  <c r="T684" i="2"/>
  <c r="R684" i="2"/>
  <c r="Q684" i="2"/>
  <c r="S684" i="2" s="1"/>
  <c r="P684" i="2"/>
  <c r="Y683" i="2"/>
  <c r="U683" i="2"/>
  <c r="T683" i="2"/>
  <c r="R683" i="2"/>
  <c r="Q683" i="2"/>
  <c r="P683" i="2"/>
  <c r="W682" i="2"/>
  <c r="U682" i="2"/>
  <c r="T682" i="2"/>
  <c r="S682" i="2"/>
  <c r="R682" i="2"/>
  <c r="Q682" i="2"/>
  <c r="P682" i="2"/>
  <c r="X681" i="2"/>
  <c r="U681" i="2"/>
  <c r="T681" i="2"/>
  <c r="R681" i="2"/>
  <c r="Q681" i="2"/>
  <c r="P681" i="2"/>
  <c r="Y680" i="2"/>
  <c r="U680" i="2"/>
  <c r="T680" i="2"/>
  <c r="R680" i="2"/>
  <c r="Q680" i="2"/>
  <c r="P680" i="2"/>
  <c r="W679" i="2"/>
  <c r="U679" i="2"/>
  <c r="T679" i="2"/>
  <c r="R679" i="2"/>
  <c r="S679" i="2" s="1"/>
  <c r="Q679" i="2"/>
  <c r="P679" i="2"/>
  <c r="X678" i="2"/>
  <c r="U678" i="2"/>
  <c r="T678" i="2"/>
  <c r="R678" i="2"/>
  <c r="Q678" i="2"/>
  <c r="P678" i="2"/>
  <c r="Y677" i="2"/>
  <c r="U677" i="2"/>
  <c r="T677" i="2"/>
  <c r="R677" i="2"/>
  <c r="Q677" i="2"/>
  <c r="P677" i="2"/>
  <c r="W676" i="2"/>
  <c r="U676" i="2"/>
  <c r="T676" i="2"/>
  <c r="S676" i="2"/>
  <c r="R676" i="2"/>
  <c r="Q676" i="2"/>
  <c r="P676" i="2"/>
  <c r="X675" i="2"/>
  <c r="U675" i="2"/>
  <c r="T675" i="2"/>
  <c r="R675" i="2"/>
  <c r="Q675" i="2"/>
  <c r="P675" i="2"/>
  <c r="Y674" i="2"/>
  <c r="U674" i="2"/>
  <c r="T674" i="2"/>
  <c r="S674" i="2"/>
  <c r="R674" i="2"/>
  <c r="Q674" i="2"/>
  <c r="P674" i="2"/>
  <c r="W673" i="2"/>
  <c r="U673" i="2"/>
  <c r="T673" i="2"/>
  <c r="R673" i="2"/>
  <c r="Q673" i="2"/>
  <c r="P673" i="2"/>
  <c r="S673" i="2" s="1"/>
  <c r="X672" i="2"/>
  <c r="U672" i="2"/>
  <c r="T672" i="2"/>
  <c r="R672" i="2"/>
  <c r="Q672" i="2"/>
  <c r="P672" i="2"/>
  <c r="Y671" i="2"/>
  <c r="U671" i="2"/>
  <c r="T671" i="2"/>
  <c r="R671" i="2"/>
  <c r="S671" i="2" s="1"/>
  <c r="Q671" i="2"/>
  <c r="P671" i="2"/>
  <c r="W670" i="2"/>
  <c r="U670" i="2"/>
  <c r="T670" i="2"/>
  <c r="R670" i="2"/>
  <c r="Q670" i="2"/>
  <c r="P670" i="2"/>
  <c r="X669" i="2"/>
  <c r="U669" i="2"/>
  <c r="T669" i="2"/>
  <c r="R669" i="2"/>
  <c r="Q669" i="2"/>
  <c r="P669" i="2"/>
  <c r="Y668" i="2"/>
  <c r="U668" i="2"/>
  <c r="T668" i="2"/>
  <c r="R668" i="2"/>
  <c r="Q668" i="2"/>
  <c r="S668" i="2" s="1"/>
  <c r="P668" i="2"/>
  <c r="W667" i="2"/>
  <c r="U667" i="2"/>
  <c r="T667" i="2"/>
  <c r="R667" i="2"/>
  <c r="Q667" i="2"/>
  <c r="P667" i="2"/>
  <c r="X666" i="2"/>
  <c r="U666" i="2"/>
  <c r="T666" i="2"/>
  <c r="S666" i="2"/>
  <c r="R666" i="2"/>
  <c r="Q666" i="2"/>
  <c r="P666" i="2"/>
  <c r="Y665" i="2"/>
  <c r="U665" i="2"/>
  <c r="T665" i="2"/>
  <c r="R665" i="2"/>
  <c r="S665" i="2" s="1"/>
  <c r="Q665" i="2"/>
  <c r="P665" i="2"/>
  <c r="W664" i="2"/>
  <c r="U664" i="2"/>
  <c r="T664" i="2"/>
  <c r="R664" i="2"/>
  <c r="Q664" i="2"/>
  <c r="P664" i="2"/>
  <c r="X663" i="2"/>
  <c r="U663" i="2"/>
  <c r="T663" i="2"/>
  <c r="R663" i="2"/>
  <c r="S663" i="2" s="1"/>
  <c r="Q663" i="2"/>
  <c r="P663" i="2"/>
  <c r="Y662" i="2"/>
  <c r="U662" i="2"/>
  <c r="T662" i="2"/>
  <c r="R662" i="2"/>
  <c r="Q662" i="2"/>
  <c r="I49" i="15" s="1"/>
  <c r="P662" i="2"/>
  <c r="W661" i="2"/>
  <c r="U661" i="2"/>
  <c r="T661" i="2"/>
  <c r="R661" i="2"/>
  <c r="Q661" i="2"/>
  <c r="P661" i="2"/>
  <c r="X660" i="2"/>
  <c r="U660" i="2"/>
  <c r="T660" i="2"/>
  <c r="S660" i="2"/>
  <c r="R660" i="2"/>
  <c r="Q660" i="2"/>
  <c r="P660" i="2"/>
  <c r="Y659" i="2"/>
  <c r="U659" i="2"/>
  <c r="T659" i="2"/>
  <c r="R659" i="2"/>
  <c r="Q659" i="2"/>
  <c r="P659" i="2"/>
  <c r="W658" i="2"/>
  <c r="U658" i="2"/>
  <c r="T658" i="2"/>
  <c r="S658" i="2"/>
  <c r="R658" i="2"/>
  <c r="Q658" i="2"/>
  <c r="P658" i="2"/>
  <c r="X657" i="2"/>
  <c r="U657" i="2"/>
  <c r="T657" i="2"/>
  <c r="R657" i="2"/>
  <c r="Q657" i="2"/>
  <c r="P657" i="2"/>
  <c r="S657" i="2" s="1"/>
  <c r="Y656" i="2"/>
  <c r="U656" i="2"/>
  <c r="T656" i="2"/>
  <c r="R656" i="2"/>
  <c r="Q656" i="2"/>
  <c r="P656" i="2"/>
  <c r="W655" i="2"/>
  <c r="U655" i="2"/>
  <c r="T655" i="2"/>
  <c r="R655" i="2"/>
  <c r="S655" i="2" s="1"/>
  <c r="Q655" i="2"/>
  <c r="P655" i="2"/>
  <c r="X654" i="2"/>
  <c r="U654" i="2"/>
  <c r="T654" i="2"/>
  <c r="R654" i="2"/>
  <c r="Q654" i="2"/>
  <c r="P654" i="2"/>
  <c r="Y653" i="2"/>
  <c r="U653" i="2"/>
  <c r="T653" i="2"/>
  <c r="R653" i="2"/>
  <c r="Q653" i="2"/>
  <c r="P653" i="2"/>
  <c r="W652" i="2"/>
  <c r="U652" i="2"/>
  <c r="T652" i="2"/>
  <c r="R652" i="2"/>
  <c r="Q652" i="2"/>
  <c r="S652" i="2" s="1"/>
  <c r="P652" i="2"/>
  <c r="X651" i="2"/>
  <c r="U651" i="2"/>
  <c r="T651" i="2"/>
  <c r="R651" i="2"/>
  <c r="Q651" i="2"/>
  <c r="P651" i="2"/>
  <c r="Y650" i="2"/>
  <c r="U650" i="2"/>
  <c r="T650" i="2"/>
  <c r="S650" i="2"/>
  <c r="R650" i="2"/>
  <c r="Q650" i="2"/>
  <c r="P650" i="2"/>
  <c r="W649" i="2"/>
  <c r="U649" i="2"/>
  <c r="T649" i="2"/>
  <c r="R649" i="2"/>
  <c r="Q649" i="2"/>
  <c r="P649" i="2"/>
  <c r="X648" i="2"/>
  <c r="U648" i="2"/>
  <c r="T648" i="2"/>
  <c r="R648" i="2"/>
  <c r="Q648" i="2"/>
  <c r="P648" i="2"/>
  <c r="Y647" i="2"/>
  <c r="U647" i="2"/>
  <c r="T647" i="2"/>
  <c r="R647" i="2"/>
  <c r="S647" i="2" s="1"/>
  <c r="Q647" i="2"/>
  <c r="P647" i="2"/>
  <c r="W646" i="2"/>
  <c r="U646" i="2"/>
  <c r="T646" i="2"/>
  <c r="R646" i="2"/>
  <c r="Q646" i="2"/>
  <c r="P646" i="2"/>
  <c r="X645" i="2"/>
  <c r="U645" i="2"/>
  <c r="T645" i="2"/>
  <c r="R645" i="2"/>
  <c r="Q645" i="2"/>
  <c r="P645" i="2"/>
  <c r="Y644" i="2"/>
  <c r="U644" i="2"/>
  <c r="T644" i="2"/>
  <c r="R644" i="2"/>
  <c r="Q644" i="2"/>
  <c r="S644" i="2" s="1"/>
  <c r="P644" i="2"/>
  <c r="W643" i="2"/>
  <c r="U643" i="2"/>
  <c r="T643" i="2"/>
  <c r="R643" i="2"/>
  <c r="Q643" i="2"/>
  <c r="P643" i="2"/>
  <c r="X642" i="2"/>
  <c r="U642" i="2"/>
  <c r="T642" i="2"/>
  <c r="S642" i="2"/>
  <c r="R642" i="2"/>
  <c r="Q642" i="2"/>
  <c r="P642" i="2"/>
  <c r="Y641" i="2"/>
  <c r="U641" i="2"/>
  <c r="T641" i="2"/>
  <c r="S641" i="2"/>
  <c r="R641" i="2"/>
  <c r="Q641" i="2"/>
  <c r="P641" i="2"/>
  <c r="W640" i="2"/>
  <c r="U640" i="2"/>
  <c r="T640" i="2"/>
  <c r="R640" i="2"/>
  <c r="Q640" i="2"/>
  <c r="P640" i="2"/>
  <c r="X639" i="2"/>
  <c r="U639" i="2"/>
  <c r="T639" i="2"/>
  <c r="R639" i="2"/>
  <c r="S639" i="2" s="1"/>
  <c r="Q639" i="2"/>
  <c r="P639" i="2"/>
  <c r="Y638" i="2"/>
  <c r="U638" i="2"/>
  <c r="T638" i="2"/>
  <c r="R638" i="2"/>
  <c r="Q638" i="2"/>
  <c r="P638" i="2"/>
  <c r="W637" i="2"/>
  <c r="U637" i="2"/>
  <c r="T637" i="2"/>
  <c r="R637" i="2"/>
  <c r="Q637" i="2"/>
  <c r="P637" i="2"/>
  <c r="X636" i="2"/>
  <c r="U636" i="2"/>
  <c r="T636" i="2"/>
  <c r="S636" i="2"/>
  <c r="R636" i="2"/>
  <c r="Q636" i="2"/>
  <c r="P636" i="2"/>
  <c r="Y635" i="2"/>
  <c r="U635" i="2"/>
  <c r="T635" i="2"/>
  <c r="R635" i="2"/>
  <c r="Q635" i="2"/>
  <c r="P635" i="2"/>
  <c r="W634" i="2"/>
  <c r="U634" i="2"/>
  <c r="T634" i="2"/>
  <c r="S634" i="2"/>
  <c r="R634" i="2"/>
  <c r="Q634" i="2"/>
  <c r="P634" i="2"/>
  <c r="X633" i="2"/>
  <c r="U633" i="2"/>
  <c r="T633" i="2"/>
  <c r="R633" i="2"/>
  <c r="Q633" i="2"/>
  <c r="P633" i="2"/>
  <c r="Y632" i="2"/>
  <c r="U632" i="2"/>
  <c r="T632" i="2"/>
  <c r="R632" i="2"/>
  <c r="Q632" i="2"/>
  <c r="P632" i="2"/>
  <c r="W631" i="2"/>
  <c r="U631" i="2"/>
  <c r="T631" i="2"/>
  <c r="R631" i="2"/>
  <c r="S631" i="2" s="1"/>
  <c r="Q631" i="2"/>
  <c r="P631" i="2"/>
  <c r="X630" i="2"/>
  <c r="U630" i="2"/>
  <c r="T630" i="2"/>
  <c r="R630" i="2"/>
  <c r="Q630" i="2"/>
  <c r="P630" i="2"/>
  <c r="Y629" i="2"/>
  <c r="U629" i="2"/>
  <c r="T629" i="2"/>
  <c r="R629" i="2"/>
  <c r="Q629" i="2"/>
  <c r="P629" i="2"/>
  <c r="W628" i="2"/>
  <c r="U628" i="2"/>
  <c r="T628" i="2"/>
  <c r="S628" i="2"/>
  <c r="R628" i="2"/>
  <c r="Q628" i="2"/>
  <c r="P628" i="2"/>
  <c r="X627" i="2"/>
  <c r="U627" i="2"/>
  <c r="T627" i="2"/>
  <c r="R627" i="2"/>
  <c r="Q627" i="2"/>
  <c r="P627" i="2"/>
  <c r="Y626" i="2"/>
  <c r="U626" i="2"/>
  <c r="T626" i="2"/>
  <c r="S626" i="2"/>
  <c r="R626" i="2"/>
  <c r="Q626" i="2"/>
  <c r="P626" i="2"/>
  <c r="W625" i="2"/>
  <c r="U625" i="2"/>
  <c r="T625" i="2"/>
  <c r="S625" i="2"/>
  <c r="R625" i="2"/>
  <c r="Q625" i="2"/>
  <c r="P625" i="2"/>
  <c r="X624" i="2"/>
  <c r="U624" i="2"/>
  <c r="T624" i="2"/>
  <c r="R624" i="2"/>
  <c r="Q624" i="2"/>
  <c r="P624" i="2"/>
  <c r="Y623" i="2"/>
  <c r="U623" i="2"/>
  <c r="T623" i="2"/>
  <c r="R623" i="2"/>
  <c r="S623" i="2" s="1"/>
  <c r="Q623" i="2"/>
  <c r="P623" i="2"/>
  <c r="W622" i="2"/>
  <c r="U622" i="2"/>
  <c r="T622" i="2"/>
  <c r="R622" i="2"/>
  <c r="Q622" i="2"/>
  <c r="P622" i="2"/>
  <c r="X621" i="2"/>
  <c r="U621" i="2"/>
  <c r="T621" i="2"/>
  <c r="R621" i="2"/>
  <c r="Q621" i="2"/>
  <c r="P621" i="2"/>
  <c r="Y620" i="2"/>
  <c r="U620" i="2"/>
  <c r="T620" i="2"/>
  <c r="R620" i="2"/>
  <c r="Q620" i="2"/>
  <c r="S620" i="2" s="1"/>
  <c r="P620" i="2"/>
  <c r="W619" i="2"/>
  <c r="U619" i="2"/>
  <c r="T619" i="2"/>
  <c r="R619" i="2"/>
  <c r="Q619" i="2"/>
  <c r="P619" i="2"/>
  <c r="X618" i="2"/>
  <c r="U618" i="2"/>
  <c r="T618" i="2"/>
  <c r="S618" i="2"/>
  <c r="R618" i="2"/>
  <c r="Q618" i="2"/>
  <c r="P618" i="2"/>
  <c r="Y617" i="2"/>
  <c r="U617" i="2"/>
  <c r="T617" i="2"/>
  <c r="R617" i="2"/>
  <c r="Q617" i="2"/>
  <c r="P617" i="2"/>
  <c r="W616" i="2"/>
  <c r="U616" i="2"/>
  <c r="T616" i="2"/>
  <c r="R616" i="2"/>
  <c r="Q616" i="2"/>
  <c r="P616" i="2"/>
  <c r="X615" i="2"/>
  <c r="U615" i="2"/>
  <c r="T615" i="2"/>
  <c r="R615" i="2"/>
  <c r="S615" i="2" s="1"/>
  <c r="Q615" i="2"/>
  <c r="P615" i="2"/>
  <c r="Y614" i="2"/>
  <c r="U614" i="2"/>
  <c r="T614" i="2"/>
  <c r="R614" i="2"/>
  <c r="Q614" i="2"/>
  <c r="P614" i="2"/>
  <c r="W613" i="2"/>
  <c r="U613" i="2"/>
  <c r="T613" i="2"/>
  <c r="R613" i="2"/>
  <c r="Q613" i="2"/>
  <c r="P613" i="2"/>
  <c r="X612" i="2"/>
  <c r="U612" i="2"/>
  <c r="T612" i="2"/>
  <c r="R612" i="2"/>
  <c r="Q612" i="2"/>
  <c r="S612" i="2" s="1"/>
  <c r="P612" i="2"/>
  <c r="Y611" i="2"/>
  <c r="U611" i="2"/>
  <c r="T611" i="2"/>
  <c r="R611" i="2"/>
  <c r="Q611" i="2"/>
  <c r="P611" i="2"/>
  <c r="W610" i="2"/>
  <c r="U610" i="2"/>
  <c r="T610" i="2"/>
  <c r="S610" i="2"/>
  <c r="R610" i="2"/>
  <c r="Q610" i="2"/>
  <c r="P610" i="2"/>
  <c r="X609" i="2"/>
  <c r="U609" i="2"/>
  <c r="T609" i="2"/>
  <c r="S609" i="2"/>
  <c r="R609" i="2"/>
  <c r="Q609" i="2"/>
  <c r="P609" i="2"/>
  <c r="Y608" i="2"/>
  <c r="U608" i="2"/>
  <c r="T608" i="2"/>
  <c r="R608" i="2"/>
  <c r="Q608" i="2"/>
  <c r="P608" i="2"/>
  <c r="W607" i="2"/>
  <c r="U607" i="2"/>
  <c r="T607" i="2"/>
  <c r="R607" i="2"/>
  <c r="S607" i="2" s="1"/>
  <c r="Q607" i="2"/>
  <c r="P607" i="2"/>
  <c r="X606" i="2"/>
  <c r="U606" i="2"/>
  <c r="T606" i="2"/>
  <c r="R606" i="2"/>
  <c r="Q606" i="2"/>
  <c r="P606" i="2"/>
  <c r="Y605" i="2"/>
  <c r="U605" i="2"/>
  <c r="T605" i="2"/>
  <c r="R605" i="2"/>
  <c r="Q605" i="2"/>
  <c r="P605" i="2"/>
  <c r="W604" i="2"/>
  <c r="U604" i="2"/>
  <c r="T604" i="2"/>
  <c r="R604" i="2"/>
  <c r="Q604" i="2"/>
  <c r="S604" i="2" s="1"/>
  <c r="P604" i="2"/>
  <c r="X603" i="2"/>
  <c r="U603" i="2"/>
  <c r="T603" i="2"/>
  <c r="R603" i="2"/>
  <c r="Q603" i="2"/>
  <c r="P603" i="2"/>
  <c r="Y602" i="2"/>
  <c r="U602" i="2"/>
  <c r="T602" i="2"/>
  <c r="S602" i="2"/>
  <c r="R602" i="2"/>
  <c r="Q602" i="2"/>
  <c r="P602" i="2"/>
  <c r="W601" i="2"/>
  <c r="U601" i="2"/>
  <c r="T601" i="2"/>
  <c r="R601" i="2"/>
  <c r="S601" i="2" s="1"/>
  <c r="Q601" i="2"/>
  <c r="P601" i="2"/>
  <c r="X600" i="2"/>
  <c r="U600" i="2"/>
  <c r="T600" i="2"/>
  <c r="R600" i="2"/>
  <c r="Q600" i="2"/>
  <c r="P600" i="2"/>
  <c r="Y599" i="2"/>
  <c r="U599" i="2"/>
  <c r="T599" i="2"/>
  <c r="R599" i="2"/>
  <c r="S599" i="2" s="1"/>
  <c r="Q599" i="2"/>
  <c r="P599" i="2"/>
  <c r="W598" i="2"/>
  <c r="U598" i="2"/>
  <c r="T598" i="2"/>
  <c r="R598" i="2"/>
  <c r="Q598" i="2"/>
  <c r="P598" i="2"/>
  <c r="X597" i="2"/>
  <c r="U597" i="2"/>
  <c r="T597" i="2"/>
  <c r="R597" i="2"/>
  <c r="Q597" i="2"/>
  <c r="P597" i="2"/>
  <c r="Y596" i="2"/>
  <c r="U596" i="2"/>
  <c r="T596" i="2"/>
  <c r="S596" i="2"/>
  <c r="R596" i="2"/>
  <c r="Q596" i="2"/>
  <c r="P596" i="2"/>
  <c r="W595" i="2"/>
  <c r="U595" i="2"/>
  <c r="T595" i="2"/>
  <c r="R595" i="2"/>
  <c r="Q595" i="2"/>
  <c r="P595" i="2"/>
  <c r="X594" i="2"/>
  <c r="U594" i="2"/>
  <c r="T594" i="2"/>
  <c r="S594" i="2"/>
  <c r="R594" i="2"/>
  <c r="Q594" i="2"/>
  <c r="P594" i="2"/>
  <c r="Y593" i="2"/>
  <c r="U593" i="2"/>
  <c r="T593" i="2"/>
  <c r="S593" i="2"/>
  <c r="R593" i="2"/>
  <c r="Q593" i="2"/>
  <c r="P593" i="2"/>
  <c r="W592" i="2"/>
  <c r="U592" i="2"/>
  <c r="T592" i="2"/>
  <c r="R592" i="2"/>
  <c r="Q592" i="2"/>
  <c r="P592" i="2"/>
  <c r="X591" i="2"/>
  <c r="U591" i="2"/>
  <c r="T591" i="2"/>
  <c r="R591" i="2"/>
  <c r="S591" i="2" s="1"/>
  <c r="Q591" i="2"/>
  <c r="P591" i="2"/>
  <c r="Y590" i="2"/>
  <c r="U590" i="2"/>
  <c r="T590" i="2"/>
  <c r="R590" i="2"/>
  <c r="Q590" i="2"/>
  <c r="P590" i="2"/>
  <c r="W589" i="2"/>
  <c r="U589" i="2"/>
  <c r="T589" i="2"/>
  <c r="R589" i="2"/>
  <c r="Q589" i="2"/>
  <c r="P589" i="2"/>
  <c r="X588" i="2"/>
  <c r="U588" i="2"/>
  <c r="T588" i="2"/>
  <c r="S588" i="2"/>
  <c r="R588" i="2"/>
  <c r="Q588" i="2"/>
  <c r="P588" i="2"/>
  <c r="Y587" i="2"/>
  <c r="U587" i="2"/>
  <c r="T587" i="2"/>
  <c r="R587" i="2"/>
  <c r="Q587" i="2"/>
  <c r="P587" i="2"/>
  <c r="W586" i="2"/>
  <c r="U586" i="2"/>
  <c r="T586" i="2"/>
  <c r="S586" i="2"/>
  <c r="R586" i="2"/>
  <c r="Q586" i="2"/>
  <c r="P586" i="2"/>
  <c r="X585" i="2"/>
  <c r="U585" i="2"/>
  <c r="T585" i="2"/>
  <c r="R585" i="2"/>
  <c r="S585" i="2" s="1"/>
  <c r="Q585" i="2"/>
  <c r="P585" i="2"/>
  <c r="Y584" i="2"/>
  <c r="U584" i="2"/>
  <c r="T584" i="2"/>
  <c r="R584" i="2"/>
  <c r="Q584" i="2"/>
  <c r="P584" i="2"/>
  <c r="W583" i="2"/>
  <c r="U583" i="2"/>
  <c r="T583" i="2"/>
  <c r="R583" i="2"/>
  <c r="S583" i="2" s="1"/>
  <c r="Q583" i="2"/>
  <c r="P583" i="2"/>
  <c r="X582" i="2"/>
  <c r="U582" i="2"/>
  <c r="T582" i="2"/>
  <c r="R582" i="2"/>
  <c r="Q582" i="2"/>
  <c r="P582" i="2"/>
  <c r="Y581" i="2"/>
  <c r="U581" i="2"/>
  <c r="T581" i="2"/>
  <c r="R581" i="2"/>
  <c r="Q581" i="2"/>
  <c r="P581" i="2"/>
  <c r="W580" i="2"/>
  <c r="U580" i="2"/>
  <c r="T580" i="2"/>
  <c r="R580" i="2"/>
  <c r="Q580" i="2"/>
  <c r="S580" i="2" s="1"/>
  <c r="P580" i="2"/>
  <c r="X579" i="2"/>
  <c r="U579" i="2"/>
  <c r="T579" i="2"/>
  <c r="R579" i="2"/>
  <c r="Q579" i="2"/>
  <c r="P579" i="2"/>
  <c r="Y578" i="2"/>
  <c r="U578" i="2"/>
  <c r="T578" i="2"/>
  <c r="S578" i="2"/>
  <c r="R578" i="2"/>
  <c r="Q578" i="2"/>
  <c r="P578" i="2"/>
  <c r="W577" i="2"/>
  <c r="U577" i="2"/>
  <c r="T577" i="2"/>
  <c r="S577" i="2"/>
  <c r="R577" i="2"/>
  <c r="Q577" i="2"/>
  <c r="P577" i="2"/>
  <c r="X576" i="2"/>
  <c r="U576" i="2"/>
  <c r="T576" i="2"/>
  <c r="R576" i="2"/>
  <c r="Q576" i="2"/>
  <c r="P576" i="2"/>
  <c r="Y575" i="2"/>
  <c r="U575" i="2"/>
  <c r="T575" i="2"/>
  <c r="R575" i="2"/>
  <c r="S575" i="2" s="1"/>
  <c r="Q575" i="2"/>
  <c r="P575" i="2"/>
  <c r="W574" i="2"/>
  <c r="U574" i="2"/>
  <c r="T574" i="2"/>
  <c r="R574" i="2"/>
  <c r="Q574" i="2"/>
  <c r="P574" i="2"/>
  <c r="X573" i="2"/>
  <c r="U573" i="2"/>
  <c r="T573" i="2"/>
  <c r="R573" i="2"/>
  <c r="Q573" i="2"/>
  <c r="P573" i="2"/>
  <c r="Y572" i="2"/>
  <c r="U572" i="2"/>
  <c r="T572" i="2"/>
  <c r="S572" i="2"/>
  <c r="R572" i="2"/>
  <c r="Q572" i="2"/>
  <c r="P572" i="2"/>
  <c r="W571" i="2"/>
  <c r="U571" i="2"/>
  <c r="T571" i="2"/>
  <c r="R571" i="2"/>
  <c r="Q571" i="2"/>
  <c r="P571" i="2"/>
  <c r="X570" i="2"/>
  <c r="U570" i="2"/>
  <c r="T570" i="2"/>
  <c r="S570" i="2"/>
  <c r="R570" i="2"/>
  <c r="Q570" i="2"/>
  <c r="P570" i="2"/>
  <c r="Y569" i="2"/>
  <c r="U569" i="2"/>
  <c r="T569" i="2"/>
  <c r="R569" i="2"/>
  <c r="Q569" i="2"/>
  <c r="P569" i="2"/>
  <c r="W568" i="2"/>
  <c r="U568" i="2"/>
  <c r="T568" i="2"/>
  <c r="R568" i="2"/>
  <c r="Q568" i="2"/>
  <c r="P568" i="2"/>
  <c r="X567" i="2"/>
  <c r="U567" i="2"/>
  <c r="T567" i="2"/>
  <c r="R567" i="2"/>
  <c r="S567" i="2" s="1"/>
  <c r="Q567" i="2"/>
  <c r="P567" i="2"/>
  <c r="Y566" i="2"/>
  <c r="U566" i="2"/>
  <c r="T566" i="2"/>
  <c r="R566" i="2"/>
  <c r="Q566" i="2"/>
  <c r="P566" i="2"/>
  <c r="W565" i="2"/>
  <c r="U565" i="2"/>
  <c r="T565" i="2"/>
  <c r="R565" i="2"/>
  <c r="Q565" i="2"/>
  <c r="P565" i="2"/>
  <c r="X564" i="2"/>
  <c r="U564" i="2"/>
  <c r="T564" i="2"/>
  <c r="R564" i="2"/>
  <c r="Q564" i="2"/>
  <c r="S564" i="2" s="1"/>
  <c r="P564" i="2"/>
  <c r="Y563" i="2"/>
  <c r="U563" i="2"/>
  <c r="T563" i="2"/>
  <c r="R563" i="2"/>
  <c r="Q563" i="2"/>
  <c r="P563" i="2"/>
  <c r="W562" i="2"/>
  <c r="U562" i="2"/>
  <c r="T562" i="2"/>
  <c r="S562" i="2"/>
  <c r="R562" i="2"/>
  <c r="Q562" i="2"/>
  <c r="P562" i="2"/>
  <c r="X561" i="2"/>
  <c r="U561" i="2"/>
  <c r="T561" i="2"/>
  <c r="R561" i="2"/>
  <c r="S561" i="2" s="1"/>
  <c r="Q561" i="2"/>
  <c r="P561" i="2"/>
  <c r="Y560" i="2"/>
  <c r="U560" i="2"/>
  <c r="T560" i="2"/>
  <c r="R560" i="2"/>
  <c r="Q560" i="2"/>
  <c r="P560" i="2"/>
  <c r="W559" i="2"/>
  <c r="U559" i="2"/>
  <c r="T559" i="2"/>
  <c r="R559" i="2"/>
  <c r="S559" i="2" s="1"/>
  <c r="Q559" i="2"/>
  <c r="P559" i="2"/>
  <c r="X558" i="2"/>
  <c r="U558" i="2"/>
  <c r="T558" i="2"/>
  <c r="R558" i="2"/>
  <c r="Q558" i="2"/>
  <c r="P558" i="2"/>
  <c r="Y557" i="2"/>
  <c r="U557" i="2"/>
  <c r="T557" i="2"/>
  <c r="R557" i="2"/>
  <c r="Q557" i="2"/>
  <c r="P557" i="2"/>
  <c r="W556" i="2"/>
  <c r="U556" i="2"/>
  <c r="T556" i="2"/>
  <c r="R556" i="2"/>
  <c r="Q556" i="2"/>
  <c r="S556" i="2" s="1"/>
  <c r="P556" i="2"/>
  <c r="X555" i="2"/>
  <c r="U555" i="2"/>
  <c r="T555" i="2"/>
  <c r="R555" i="2"/>
  <c r="Q555" i="2"/>
  <c r="P555" i="2"/>
  <c r="Y554" i="2"/>
  <c r="U554" i="2"/>
  <c r="T554" i="2"/>
  <c r="S554" i="2"/>
  <c r="R554" i="2"/>
  <c r="Q554" i="2"/>
  <c r="P554" i="2"/>
  <c r="W553" i="2"/>
  <c r="U553" i="2"/>
  <c r="T553" i="2"/>
  <c r="R553" i="2"/>
  <c r="Q553" i="2"/>
  <c r="P553" i="2"/>
  <c r="X552" i="2"/>
  <c r="U552" i="2"/>
  <c r="T552" i="2"/>
  <c r="R552" i="2"/>
  <c r="Q552" i="2"/>
  <c r="P552" i="2"/>
  <c r="Y551" i="2"/>
  <c r="U551" i="2"/>
  <c r="T551" i="2"/>
  <c r="R551" i="2"/>
  <c r="S551" i="2" s="1"/>
  <c r="Q551" i="2"/>
  <c r="P551" i="2"/>
  <c r="W550" i="2"/>
  <c r="U550" i="2"/>
  <c r="T550" i="2"/>
  <c r="R550" i="2"/>
  <c r="Q550" i="2"/>
  <c r="P550" i="2"/>
  <c r="X549" i="2"/>
  <c r="U549" i="2"/>
  <c r="T549" i="2"/>
  <c r="R549" i="2"/>
  <c r="Q549" i="2"/>
  <c r="P549" i="2"/>
  <c r="Y548" i="2"/>
  <c r="U548" i="2"/>
  <c r="T548" i="2"/>
  <c r="S548" i="2"/>
  <c r="R548" i="2"/>
  <c r="Q548" i="2"/>
  <c r="P548" i="2"/>
  <c r="W547" i="2"/>
  <c r="U547" i="2"/>
  <c r="T547" i="2"/>
  <c r="R547" i="2"/>
  <c r="Q547" i="2"/>
  <c r="P547" i="2"/>
  <c r="X546" i="2"/>
  <c r="U546" i="2"/>
  <c r="T546" i="2"/>
  <c r="S546" i="2"/>
  <c r="R546" i="2"/>
  <c r="Q546" i="2"/>
  <c r="P546" i="2"/>
  <c r="Y545" i="2"/>
  <c r="U545" i="2"/>
  <c r="T545" i="2"/>
  <c r="R545" i="2"/>
  <c r="Q545" i="2"/>
  <c r="P545" i="2"/>
  <c r="W544" i="2"/>
  <c r="U544" i="2"/>
  <c r="T544" i="2"/>
  <c r="R544" i="2"/>
  <c r="Q544" i="2"/>
  <c r="P544" i="2"/>
  <c r="X543" i="2"/>
  <c r="U543" i="2"/>
  <c r="T543" i="2"/>
  <c r="R543" i="2"/>
  <c r="S543" i="2" s="1"/>
  <c r="Q543" i="2"/>
  <c r="P543" i="2"/>
  <c r="Y542" i="2"/>
  <c r="U542" i="2"/>
  <c r="T542" i="2"/>
  <c r="R542" i="2"/>
  <c r="Q542" i="2"/>
  <c r="P542" i="2"/>
  <c r="W541" i="2"/>
  <c r="U541" i="2"/>
  <c r="T541" i="2"/>
  <c r="R541" i="2"/>
  <c r="Q541" i="2"/>
  <c r="P541" i="2"/>
  <c r="X540" i="2"/>
  <c r="U540" i="2"/>
  <c r="T540" i="2"/>
  <c r="R540" i="2"/>
  <c r="Q540" i="2"/>
  <c r="S540" i="2" s="1"/>
  <c r="P540" i="2"/>
  <c r="Y539" i="2"/>
  <c r="U539" i="2"/>
  <c r="T539" i="2"/>
  <c r="R539" i="2"/>
  <c r="Q539" i="2"/>
  <c r="P539" i="2"/>
  <c r="W538" i="2"/>
  <c r="U538" i="2"/>
  <c r="T538" i="2"/>
  <c r="S538" i="2"/>
  <c r="R538" i="2"/>
  <c r="Q538" i="2"/>
  <c r="P538" i="2"/>
  <c r="X537" i="2"/>
  <c r="U537" i="2"/>
  <c r="T537" i="2"/>
  <c r="R537" i="2"/>
  <c r="Q537" i="2"/>
  <c r="P537" i="2"/>
  <c r="Y536" i="2"/>
  <c r="U536" i="2"/>
  <c r="T536" i="2"/>
  <c r="R536" i="2"/>
  <c r="Q536" i="2"/>
  <c r="P536" i="2"/>
  <c r="W535" i="2"/>
  <c r="U535" i="2"/>
  <c r="T535" i="2"/>
  <c r="R535" i="2"/>
  <c r="S535" i="2" s="1"/>
  <c r="Q535" i="2"/>
  <c r="P535" i="2"/>
  <c r="X534" i="2"/>
  <c r="U534" i="2"/>
  <c r="T534" i="2"/>
  <c r="R534" i="2"/>
  <c r="Q534" i="2"/>
  <c r="P534" i="2"/>
  <c r="Y533" i="2"/>
  <c r="U533" i="2"/>
  <c r="T533" i="2"/>
  <c r="R533" i="2"/>
  <c r="Q533" i="2"/>
  <c r="P533" i="2"/>
  <c r="W532" i="2"/>
  <c r="U532" i="2"/>
  <c r="T532" i="2"/>
  <c r="R532" i="2"/>
  <c r="Q532" i="2"/>
  <c r="S532" i="2" s="1"/>
  <c r="P532" i="2"/>
  <c r="X531" i="2"/>
  <c r="U531" i="2"/>
  <c r="T531" i="2"/>
  <c r="R531" i="2"/>
  <c r="Q531" i="2"/>
  <c r="P531" i="2"/>
  <c r="Y530" i="2"/>
  <c r="U530" i="2"/>
  <c r="T530" i="2"/>
  <c r="S530" i="2"/>
  <c r="R530" i="2"/>
  <c r="Q530" i="2"/>
  <c r="P530" i="2"/>
  <c r="W529" i="2"/>
  <c r="U529" i="2"/>
  <c r="T529" i="2"/>
  <c r="R529" i="2"/>
  <c r="Q529" i="2"/>
  <c r="P529" i="2"/>
  <c r="X528" i="2"/>
  <c r="U528" i="2"/>
  <c r="T528" i="2"/>
  <c r="R528" i="2"/>
  <c r="Q528" i="2"/>
  <c r="P528" i="2"/>
  <c r="Y527" i="2"/>
  <c r="U527" i="2"/>
  <c r="T527" i="2"/>
  <c r="R527" i="2"/>
  <c r="S527" i="2" s="1"/>
  <c r="Q527" i="2"/>
  <c r="P527" i="2"/>
  <c r="W526" i="2"/>
  <c r="U526" i="2"/>
  <c r="T526" i="2"/>
  <c r="R526" i="2"/>
  <c r="Q526" i="2"/>
  <c r="P526" i="2"/>
  <c r="X525" i="2"/>
  <c r="U525" i="2"/>
  <c r="T525" i="2"/>
  <c r="R525" i="2"/>
  <c r="Q525" i="2"/>
  <c r="P525" i="2"/>
  <c r="Y524" i="2"/>
  <c r="U524" i="2"/>
  <c r="T524" i="2"/>
  <c r="R524" i="2"/>
  <c r="Q524" i="2"/>
  <c r="S524" i="2" s="1"/>
  <c r="P524" i="2"/>
  <c r="W523" i="2"/>
  <c r="U523" i="2"/>
  <c r="T523" i="2"/>
  <c r="R523" i="2"/>
  <c r="Q523" i="2"/>
  <c r="P523" i="2"/>
  <c r="X522" i="2"/>
  <c r="U522" i="2"/>
  <c r="T522" i="2"/>
  <c r="S522" i="2"/>
  <c r="R522" i="2"/>
  <c r="Q522" i="2"/>
  <c r="P522" i="2"/>
  <c r="Y521" i="2"/>
  <c r="U521" i="2"/>
  <c r="T521" i="2"/>
  <c r="R521" i="2"/>
  <c r="Q521" i="2"/>
  <c r="P521" i="2"/>
  <c r="W520" i="2"/>
  <c r="U520" i="2"/>
  <c r="T520" i="2"/>
  <c r="R520" i="2"/>
  <c r="Q520" i="2"/>
  <c r="P520" i="2"/>
  <c r="X519" i="2"/>
  <c r="U519" i="2"/>
  <c r="T519" i="2"/>
  <c r="R519" i="2"/>
  <c r="S519" i="2" s="1"/>
  <c r="Q519" i="2"/>
  <c r="P519" i="2"/>
  <c r="Y518" i="2"/>
  <c r="U518" i="2"/>
  <c r="T518" i="2"/>
  <c r="R518" i="2"/>
  <c r="Q518" i="2"/>
  <c r="P518" i="2"/>
  <c r="W517" i="2"/>
  <c r="U517" i="2"/>
  <c r="T517" i="2"/>
  <c r="R517" i="2"/>
  <c r="Q517" i="2"/>
  <c r="P517" i="2"/>
  <c r="X516" i="2"/>
  <c r="U516" i="2"/>
  <c r="T516" i="2"/>
  <c r="R516" i="2"/>
  <c r="Q516" i="2"/>
  <c r="S516" i="2" s="1"/>
  <c r="P516" i="2"/>
  <c r="Y515" i="2"/>
  <c r="U515" i="2"/>
  <c r="T515" i="2"/>
  <c r="R515" i="2"/>
  <c r="Q515" i="2"/>
  <c r="P515" i="2"/>
  <c r="W514" i="2"/>
  <c r="U514" i="2"/>
  <c r="T514" i="2"/>
  <c r="S514" i="2"/>
  <c r="R514" i="2"/>
  <c r="Q514" i="2"/>
  <c r="P514" i="2"/>
  <c r="X513" i="2"/>
  <c r="U513" i="2"/>
  <c r="T513" i="2"/>
  <c r="R513" i="2"/>
  <c r="S513" i="2" s="1"/>
  <c r="Q513" i="2"/>
  <c r="P513" i="2"/>
  <c r="Y512" i="2"/>
  <c r="U512" i="2"/>
  <c r="T512" i="2"/>
  <c r="R512" i="2"/>
  <c r="Q512" i="2"/>
  <c r="P512" i="2"/>
  <c r="W511" i="2"/>
  <c r="U511" i="2"/>
  <c r="T511" i="2"/>
  <c r="R511" i="2"/>
  <c r="S511" i="2" s="1"/>
  <c r="Q511" i="2"/>
  <c r="P511" i="2"/>
  <c r="X510" i="2"/>
  <c r="U510" i="2"/>
  <c r="T510" i="2"/>
  <c r="R510" i="2"/>
  <c r="Q510" i="2"/>
  <c r="P510" i="2"/>
  <c r="Y509" i="2"/>
  <c r="U509" i="2"/>
  <c r="T509" i="2"/>
  <c r="R509" i="2"/>
  <c r="Q509" i="2"/>
  <c r="P509" i="2"/>
  <c r="W508" i="2"/>
  <c r="U508" i="2"/>
  <c r="T508" i="2"/>
  <c r="S508" i="2"/>
  <c r="R508" i="2"/>
  <c r="Q508" i="2"/>
  <c r="P508" i="2"/>
  <c r="X507" i="2"/>
  <c r="U507" i="2"/>
  <c r="T507" i="2"/>
  <c r="R507" i="2"/>
  <c r="Q507" i="2"/>
  <c r="P507" i="2"/>
  <c r="Y506" i="2"/>
  <c r="U506" i="2"/>
  <c r="T506" i="2"/>
  <c r="S506" i="2"/>
  <c r="R506" i="2"/>
  <c r="Q506" i="2"/>
  <c r="P506" i="2"/>
  <c r="W505" i="2"/>
  <c r="U505" i="2"/>
  <c r="T505" i="2"/>
  <c r="R505" i="2"/>
  <c r="Q505" i="2"/>
  <c r="P505" i="2"/>
  <c r="X504" i="2"/>
  <c r="U504" i="2"/>
  <c r="T504" i="2"/>
  <c r="R504" i="2"/>
  <c r="Q504" i="2"/>
  <c r="P504" i="2"/>
  <c r="Y503" i="2"/>
  <c r="U503" i="2"/>
  <c r="T503" i="2"/>
  <c r="R503" i="2"/>
  <c r="S503" i="2" s="1"/>
  <c r="Q503" i="2"/>
  <c r="P503" i="2"/>
  <c r="W502" i="2"/>
  <c r="U502" i="2"/>
  <c r="T502" i="2"/>
  <c r="R502" i="2"/>
  <c r="Q502" i="2"/>
  <c r="P502" i="2"/>
  <c r="X501" i="2"/>
  <c r="U501" i="2"/>
  <c r="T501" i="2"/>
  <c r="R501" i="2"/>
  <c r="Q501" i="2"/>
  <c r="P501" i="2"/>
  <c r="Y500" i="2"/>
  <c r="U500" i="2"/>
  <c r="T500" i="2"/>
  <c r="S500" i="2"/>
  <c r="R500" i="2"/>
  <c r="Q500" i="2"/>
  <c r="P500" i="2"/>
  <c r="W499" i="2"/>
  <c r="U499" i="2"/>
  <c r="T499" i="2"/>
  <c r="R499" i="2"/>
  <c r="Q499" i="2"/>
  <c r="P499" i="2"/>
  <c r="X498" i="2"/>
  <c r="U498" i="2"/>
  <c r="T498" i="2"/>
  <c r="S498" i="2"/>
  <c r="R498" i="2"/>
  <c r="Q498" i="2"/>
  <c r="P498" i="2"/>
  <c r="Y497" i="2"/>
  <c r="U497" i="2"/>
  <c r="T497" i="2"/>
  <c r="R497" i="2"/>
  <c r="Q497" i="2"/>
  <c r="P497" i="2"/>
  <c r="W496" i="2"/>
  <c r="U496" i="2"/>
  <c r="T496" i="2"/>
  <c r="R496" i="2"/>
  <c r="Q496" i="2"/>
  <c r="P496" i="2"/>
  <c r="X495" i="2"/>
  <c r="U495" i="2"/>
  <c r="T495" i="2"/>
  <c r="R495" i="2"/>
  <c r="S495" i="2" s="1"/>
  <c r="Q495" i="2"/>
  <c r="P495" i="2"/>
  <c r="Y494" i="2"/>
  <c r="U494" i="2"/>
  <c r="T494" i="2"/>
  <c r="R494" i="2"/>
  <c r="Q494" i="2"/>
  <c r="P494" i="2"/>
  <c r="W493" i="2"/>
  <c r="U493" i="2"/>
  <c r="T493" i="2"/>
  <c r="R493" i="2"/>
  <c r="Q493" i="2"/>
  <c r="P493" i="2"/>
  <c r="X492" i="2"/>
  <c r="U492" i="2"/>
  <c r="T492" i="2"/>
  <c r="R492" i="2"/>
  <c r="S492" i="2" s="1"/>
  <c r="Q492" i="2"/>
  <c r="P492" i="2"/>
  <c r="Y491" i="2"/>
  <c r="U491" i="2"/>
  <c r="T491" i="2"/>
  <c r="R491" i="2"/>
  <c r="Q491" i="2"/>
  <c r="P491" i="2"/>
  <c r="W490" i="2"/>
  <c r="U490" i="2"/>
  <c r="T490" i="2"/>
  <c r="S490" i="2"/>
  <c r="R490" i="2"/>
  <c r="Q490" i="2"/>
  <c r="P490" i="2"/>
  <c r="X489" i="2"/>
  <c r="U489" i="2"/>
  <c r="T489" i="2"/>
  <c r="R489" i="2"/>
  <c r="S489" i="2" s="1"/>
  <c r="Q489" i="2"/>
  <c r="P489" i="2"/>
  <c r="Y488" i="2"/>
  <c r="U488" i="2"/>
  <c r="T488" i="2"/>
  <c r="R488" i="2"/>
  <c r="Q488" i="2"/>
  <c r="P488" i="2"/>
  <c r="W487" i="2"/>
  <c r="U487" i="2"/>
  <c r="T487" i="2"/>
  <c r="S487" i="2"/>
  <c r="R487" i="2"/>
  <c r="Q487" i="2"/>
  <c r="P487" i="2"/>
  <c r="X486" i="2"/>
  <c r="U486" i="2"/>
  <c r="T486" i="2"/>
  <c r="R486" i="2"/>
  <c r="Q486" i="2"/>
  <c r="P486" i="2"/>
  <c r="Y485" i="2"/>
  <c r="U485" i="2"/>
  <c r="T485" i="2"/>
  <c r="R485" i="2"/>
  <c r="Q485" i="2"/>
  <c r="P485" i="2"/>
  <c r="W484" i="2"/>
  <c r="U484" i="2"/>
  <c r="T484" i="2"/>
  <c r="S484" i="2"/>
  <c r="R484" i="2"/>
  <c r="Q484" i="2"/>
  <c r="P484" i="2"/>
  <c r="X483" i="2"/>
  <c r="U483" i="2"/>
  <c r="T483" i="2"/>
  <c r="R483" i="2"/>
  <c r="Q483" i="2"/>
  <c r="P483" i="2"/>
  <c r="Y482" i="2"/>
  <c r="U482" i="2"/>
  <c r="T482" i="2"/>
  <c r="S482" i="2"/>
  <c r="R482" i="2"/>
  <c r="Q482" i="2"/>
  <c r="P482" i="2"/>
  <c r="W481" i="2"/>
  <c r="U481" i="2"/>
  <c r="T481" i="2"/>
  <c r="R481" i="2"/>
  <c r="Q481" i="2"/>
  <c r="P481" i="2"/>
  <c r="X480" i="2"/>
  <c r="U480" i="2"/>
  <c r="T480" i="2"/>
  <c r="R480" i="2"/>
  <c r="Q480" i="2"/>
  <c r="P480" i="2"/>
  <c r="Y479" i="2"/>
  <c r="U479" i="2"/>
  <c r="T479" i="2"/>
  <c r="S479" i="2"/>
  <c r="R479" i="2"/>
  <c r="Q479" i="2"/>
  <c r="P479" i="2"/>
  <c r="W478" i="2"/>
  <c r="U478" i="2"/>
  <c r="T478" i="2"/>
  <c r="R478" i="2"/>
  <c r="Q478" i="2"/>
  <c r="P478" i="2"/>
  <c r="X477" i="2"/>
  <c r="U477" i="2"/>
  <c r="T477" i="2"/>
  <c r="R477" i="2"/>
  <c r="Q477" i="2"/>
  <c r="P477" i="2"/>
  <c r="Y476" i="2"/>
  <c r="U476" i="2"/>
  <c r="T476" i="2"/>
  <c r="S476" i="2"/>
  <c r="R476" i="2"/>
  <c r="Q476" i="2"/>
  <c r="P476" i="2"/>
  <c r="W475" i="2"/>
  <c r="U475" i="2"/>
  <c r="T475" i="2"/>
  <c r="R475" i="2"/>
  <c r="Q475" i="2"/>
  <c r="P475" i="2"/>
  <c r="X474" i="2"/>
  <c r="U474" i="2"/>
  <c r="T474" i="2"/>
  <c r="S474" i="2"/>
  <c r="R474" i="2"/>
  <c r="Q474" i="2"/>
  <c r="P474" i="2"/>
  <c r="Y473" i="2"/>
  <c r="U473" i="2"/>
  <c r="T473" i="2"/>
  <c r="S473" i="2"/>
  <c r="R473" i="2"/>
  <c r="Q473" i="2"/>
  <c r="P473" i="2"/>
  <c r="W472" i="2"/>
  <c r="U472" i="2"/>
  <c r="T472" i="2"/>
  <c r="R472" i="2"/>
  <c r="Q472" i="2"/>
  <c r="P472" i="2"/>
  <c r="X471" i="2"/>
  <c r="U471" i="2"/>
  <c r="T471" i="2"/>
  <c r="S471" i="2"/>
  <c r="R471" i="2"/>
  <c r="Q471" i="2"/>
  <c r="P471" i="2"/>
  <c r="Y470" i="2"/>
  <c r="U470" i="2"/>
  <c r="T470" i="2"/>
  <c r="R470" i="2"/>
  <c r="Q470" i="2"/>
  <c r="P470" i="2"/>
  <c r="W469" i="2"/>
  <c r="U469" i="2"/>
  <c r="T469" i="2"/>
  <c r="R469" i="2"/>
  <c r="Q469" i="2"/>
  <c r="P469" i="2"/>
  <c r="X468" i="2"/>
  <c r="U468" i="2"/>
  <c r="T468" i="2"/>
  <c r="R468" i="2"/>
  <c r="Q468" i="2"/>
  <c r="P468" i="2"/>
  <c r="Y467" i="2"/>
  <c r="U467" i="2"/>
  <c r="T467" i="2"/>
  <c r="R467" i="2"/>
  <c r="Q467" i="2"/>
  <c r="I36" i="15" s="1"/>
  <c r="P467" i="2"/>
  <c r="W466" i="2"/>
  <c r="U466" i="2"/>
  <c r="T466" i="2"/>
  <c r="S466" i="2"/>
  <c r="R466" i="2"/>
  <c r="Q466" i="2"/>
  <c r="P466" i="2"/>
  <c r="X465" i="2"/>
  <c r="U465" i="2"/>
  <c r="T465" i="2"/>
  <c r="R465" i="2"/>
  <c r="Q465" i="2"/>
  <c r="P465" i="2"/>
  <c r="Y464" i="2"/>
  <c r="U464" i="2"/>
  <c r="T464" i="2"/>
  <c r="R464" i="2"/>
  <c r="Q464" i="2"/>
  <c r="P464" i="2"/>
  <c r="W463" i="2"/>
  <c r="U463" i="2"/>
  <c r="T463" i="2"/>
  <c r="S463" i="2"/>
  <c r="R463" i="2"/>
  <c r="Q463" i="2"/>
  <c r="P463" i="2"/>
  <c r="X462" i="2"/>
  <c r="U462" i="2"/>
  <c r="T462" i="2"/>
  <c r="R462" i="2"/>
  <c r="Q462" i="2"/>
  <c r="P462" i="2"/>
  <c r="Y461" i="2"/>
  <c r="U461" i="2"/>
  <c r="T461" i="2"/>
  <c r="R461" i="2"/>
  <c r="Q461" i="2"/>
  <c r="P461" i="2"/>
  <c r="W460" i="2"/>
  <c r="U460" i="2"/>
  <c r="T460" i="2"/>
  <c r="R460" i="2"/>
  <c r="Q460" i="2"/>
  <c r="S460" i="2" s="1"/>
  <c r="P460" i="2"/>
  <c r="X459" i="2"/>
  <c r="U459" i="2"/>
  <c r="T459" i="2"/>
  <c r="R459" i="2"/>
  <c r="Q459" i="2"/>
  <c r="P459" i="2"/>
  <c r="Y458" i="2"/>
  <c r="U458" i="2"/>
  <c r="T458" i="2"/>
  <c r="S458" i="2"/>
  <c r="R458" i="2"/>
  <c r="Q458" i="2"/>
  <c r="P458" i="2"/>
  <c r="W457" i="2"/>
  <c r="U457" i="2"/>
  <c r="T457" i="2"/>
  <c r="S457" i="2"/>
  <c r="R457" i="2"/>
  <c r="Q457" i="2"/>
  <c r="P457" i="2"/>
  <c r="X456" i="2"/>
  <c r="U456" i="2"/>
  <c r="T456" i="2"/>
  <c r="R456" i="2"/>
  <c r="Q456" i="2"/>
  <c r="P456" i="2"/>
  <c r="Y455" i="2"/>
  <c r="U455" i="2"/>
  <c r="T455" i="2"/>
  <c r="R455" i="2"/>
  <c r="S455" i="2" s="1"/>
  <c r="Q455" i="2"/>
  <c r="P455" i="2"/>
  <c r="W454" i="2"/>
  <c r="U454" i="2"/>
  <c r="T454" i="2"/>
  <c r="S454" i="2"/>
  <c r="R454" i="2"/>
  <c r="Q454" i="2"/>
  <c r="P454" i="2"/>
  <c r="X453" i="2"/>
  <c r="U453" i="2"/>
  <c r="T453" i="2"/>
  <c r="R453" i="2"/>
  <c r="Q453" i="2"/>
  <c r="P453" i="2"/>
  <c r="Y452" i="2"/>
  <c r="U452" i="2"/>
  <c r="T452" i="2"/>
  <c r="R452" i="2"/>
  <c r="Q452" i="2"/>
  <c r="P452" i="2"/>
  <c r="W451" i="2"/>
  <c r="U451" i="2"/>
  <c r="T451" i="2"/>
  <c r="R451" i="2"/>
  <c r="Q451" i="2"/>
  <c r="P451" i="2"/>
  <c r="X450" i="2"/>
  <c r="U450" i="2"/>
  <c r="T450" i="2"/>
  <c r="S450" i="2"/>
  <c r="R450" i="2"/>
  <c r="Q450" i="2"/>
  <c r="P450" i="2"/>
  <c r="Y449" i="2"/>
  <c r="U449" i="2"/>
  <c r="T449" i="2"/>
  <c r="R449" i="2"/>
  <c r="Q449" i="2"/>
  <c r="P449" i="2"/>
  <c r="W448" i="2"/>
  <c r="U448" i="2"/>
  <c r="T448" i="2"/>
  <c r="R448" i="2"/>
  <c r="Q448" i="2"/>
  <c r="P448" i="2"/>
  <c r="X447" i="2"/>
  <c r="U447" i="2"/>
  <c r="T447" i="2"/>
  <c r="S447" i="2"/>
  <c r="R447" i="2"/>
  <c r="Q447" i="2"/>
  <c r="P447" i="2"/>
  <c r="Y446" i="2"/>
  <c r="U446" i="2"/>
  <c r="T446" i="2"/>
  <c r="S446" i="2"/>
  <c r="R446" i="2"/>
  <c r="Q446" i="2"/>
  <c r="P446" i="2"/>
  <c r="W445" i="2"/>
  <c r="U445" i="2"/>
  <c r="T445" i="2"/>
  <c r="R445" i="2"/>
  <c r="Q445" i="2"/>
  <c r="P445" i="2"/>
  <c r="X444" i="2"/>
  <c r="U444" i="2"/>
  <c r="T444" i="2"/>
  <c r="R444" i="2"/>
  <c r="S444" i="2" s="1"/>
  <c r="Q444" i="2"/>
  <c r="P444" i="2"/>
  <c r="Y443" i="2"/>
  <c r="U443" i="2"/>
  <c r="T443" i="2"/>
  <c r="R443" i="2"/>
  <c r="Q443" i="2"/>
  <c r="P443" i="2"/>
  <c r="W442" i="2"/>
  <c r="U442" i="2"/>
  <c r="T442" i="2"/>
  <c r="S442" i="2"/>
  <c r="R442" i="2"/>
  <c r="Q442" i="2"/>
  <c r="P442" i="2"/>
  <c r="X441" i="2"/>
  <c r="U441" i="2"/>
  <c r="T441" i="2"/>
  <c r="R441" i="2"/>
  <c r="Q441" i="2"/>
  <c r="P441" i="2"/>
  <c r="Y440" i="2"/>
  <c r="U440" i="2"/>
  <c r="T440" i="2"/>
  <c r="R440" i="2"/>
  <c r="Q440" i="2"/>
  <c r="P440" i="2"/>
  <c r="W439" i="2"/>
  <c r="U439" i="2"/>
  <c r="T439" i="2"/>
  <c r="R439" i="2"/>
  <c r="S439" i="2" s="1"/>
  <c r="Q439" i="2"/>
  <c r="P439" i="2"/>
  <c r="X438" i="2"/>
  <c r="U438" i="2"/>
  <c r="T438" i="2"/>
  <c r="R438" i="2"/>
  <c r="Q438" i="2"/>
  <c r="P438" i="2"/>
  <c r="Y437" i="2"/>
  <c r="U437" i="2"/>
  <c r="T437" i="2"/>
  <c r="R437" i="2"/>
  <c r="Q437" i="2"/>
  <c r="P437" i="2"/>
  <c r="W436" i="2"/>
  <c r="U436" i="2"/>
  <c r="T436" i="2"/>
  <c r="S436" i="2"/>
  <c r="R436" i="2"/>
  <c r="Q436" i="2"/>
  <c r="P436" i="2"/>
  <c r="X435" i="2"/>
  <c r="U435" i="2"/>
  <c r="T435" i="2"/>
  <c r="R435" i="2"/>
  <c r="Q435" i="2"/>
  <c r="P435" i="2"/>
  <c r="Y434" i="2"/>
  <c r="U434" i="2"/>
  <c r="T434" i="2"/>
  <c r="S434" i="2"/>
  <c r="R434" i="2"/>
  <c r="Q434" i="2"/>
  <c r="P434" i="2"/>
  <c r="W433" i="2"/>
  <c r="U433" i="2"/>
  <c r="T433" i="2"/>
  <c r="S433" i="2"/>
  <c r="R433" i="2"/>
  <c r="Q433" i="2"/>
  <c r="P433" i="2"/>
  <c r="X432" i="2"/>
  <c r="U432" i="2"/>
  <c r="T432" i="2"/>
  <c r="R432" i="2"/>
  <c r="Q432" i="2"/>
  <c r="P432" i="2"/>
  <c r="Y431" i="2"/>
  <c r="U431" i="2"/>
  <c r="T431" i="2"/>
  <c r="R431" i="2"/>
  <c r="S431" i="2" s="1"/>
  <c r="Q431" i="2"/>
  <c r="P431" i="2"/>
  <c r="W430" i="2"/>
  <c r="U430" i="2"/>
  <c r="T430" i="2"/>
  <c r="R430" i="2"/>
  <c r="S430" i="2" s="1"/>
  <c r="Q430" i="2"/>
  <c r="P430" i="2"/>
  <c r="X429" i="2"/>
  <c r="U429" i="2"/>
  <c r="T429" i="2"/>
  <c r="R429" i="2"/>
  <c r="Q429" i="2"/>
  <c r="P429" i="2"/>
  <c r="Y428" i="2"/>
  <c r="U428" i="2"/>
  <c r="T428" i="2"/>
  <c r="R428" i="2"/>
  <c r="Q428" i="2"/>
  <c r="S428" i="2" s="1"/>
  <c r="P428" i="2"/>
  <c r="W427" i="2"/>
  <c r="U427" i="2"/>
  <c r="T427" i="2"/>
  <c r="R427" i="2"/>
  <c r="Q427" i="2"/>
  <c r="P427" i="2"/>
  <c r="X426" i="2"/>
  <c r="U426" i="2"/>
  <c r="T426" i="2"/>
  <c r="S426" i="2"/>
  <c r="R426" i="2"/>
  <c r="Q426" i="2"/>
  <c r="P426" i="2"/>
  <c r="Y425" i="2"/>
  <c r="U425" i="2"/>
  <c r="T425" i="2"/>
  <c r="R425" i="2"/>
  <c r="Q425" i="2"/>
  <c r="P425" i="2"/>
  <c r="W424" i="2"/>
  <c r="U424" i="2"/>
  <c r="T424" i="2"/>
  <c r="R424" i="2"/>
  <c r="Q424" i="2"/>
  <c r="P424" i="2"/>
  <c r="X423" i="2"/>
  <c r="U423" i="2"/>
  <c r="T423" i="2"/>
  <c r="S423" i="2"/>
  <c r="R423" i="2"/>
  <c r="Q423" i="2"/>
  <c r="P423" i="2"/>
  <c r="Y422" i="2"/>
  <c r="U422" i="2"/>
  <c r="T422" i="2"/>
  <c r="R422" i="2"/>
  <c r="Q422" i="2"/>
  <c r="P422" i="2"/>
  <c r="W421" i="2"/>
  <c r="U421" i="2"/>
  <c r="T421" i="2"/>
  <c r="R421" i="2"/>
  <c r="Q421" i="2"/>
  <c r="P421" i="2"/>
  <c r="X420" i="2"/>
  <c r="U420" i="2"/>
  <c r="T420" i="2"/>
  <c r="R420" i="2"/>
  <c r="S420" i="2" s="1"/>
  <c r="Q420" i="2"/>
  <c r="P420" i="2"/>
  <c r="Y419" i="2"/>
  <c r="U419" i="2"/>
  <c r="T419" i="2"/>
  <c r="R419" i="2"/>
  <c r="Q419" i="2"/>
  <c r="P419" i="2"/>
  <c r="W418" i="2"/>
  <c r="U418" i="2"/>
  <c r="T418" i="2"/>
  <c r="S418" i="2"/>
  <c r="R418" i="2"/>
  <c r="Q418" i="2"/>
  <c r="P418" i="2"/>
  <c r="X417" i="2"/>
  <c r="U417" i="2"/>
  <c r="T417" i="2"/>
  <c r="R417" i="2"/>
  <c r="Q417" i="2"/>
  <c r="P417" i="2"/>
  <c r="Y416" i="2"/>
  <c r="U416" i="2"/>
  <c r="T416" i="2"/>
  <c r="R416" i="2"/>
  <c r="Q416" i="2"/>
  <c r="P416" i="2"/>
  <c r="W415" i="2"/>
  <c r="U415" i="2"/>
  <c r="T415" i="2"/>
  <c r="S415" i="2"/>
  <c r="R415" i="2"/>
  <c r="Q415" i="2"/>
  <c r="P415" i="2"/>
  <c r="X414" i="2"/>
  <c r="U414" i="2"/>
  <c r="T414" i="2"/>
  <c r="S414" i="2"/>
  <c r="R414" i="2"/>
  <c r="Q414" i="2"/>
  <c r="P414" i="2"/>
  <c r="Y413" i="2"/>
  <c r="U413" i="2"/>
  <c r="T413" i="2"/>
  <c r="R413" i="2"/>
  <c r="Q413" i="2"/>
  <c r="P413" i="2"/>
  <c r="W412" i="2"/>
  <c r="U412" i="2"/>
  <c r="T412" i="2"/>
  <c r="S412" i="2"/>
  <c r="R412" i="2"/>
  <c r="Q412" i="2"/>
  <c r="P412" i="2"/>
  <c r="X411" i="2"/>
  <c r="U411" i="2"/>
  <c r="T411" i="2"/>
  <c r="R411" i="2"/>
  <c r="Q411" i="2"/>
  <c r="P411" i="2"/>
  <c r="Y410" i="2"/>
  <c r="U410" i="2"/>
  <c r="T410" i="2"/>
  <c r="S410" i="2"/>
  <c r="R410" i="2"/>
  <c r="Q410" i="2"/>
  <c r="P410" i="2"/>
  <c r="W409" i="2"/>
  <c r="U409" i="2"/>
  <c r="T409" i="2"/>
  <c r="R409" i="2"/>
  <c r="Q409" i="2"/>
  <c r="P409" i="2"/>
  <c r="X408" i="2"/>
  <c r="U408" i="2"/>
  <c r="T408" i="2"/>
  <c r="R408" i="2"/>
  <c r="Q408" i="2"/>
  <c r="P408" i="2"/>
  <c r="Y407" i="2"/>
  <c r="U407" i="2"/>
  <c r="T407" i="2"/>
  <c r="S407" i="2"/>
  <c r="R407" i="2"/>
  <c r="Q407" i="2"/>
  <c r="P407" i="2"/>
  <c r="W406" i="2"/>
  <c r="U406" i="2"/>
  <c r="T406" i="2"/>
  <c r="R406" i="2"/>
  <c r="Q406" i="2"/>
  <c r="P406" i="2"/>
  <c r="X405" i="2"/>
  <c r="U405" i="2"/>
  <c r="T405" i="2"/>
  <c r="R405" i="2"/>
  <c r="Q405" i="2"/>
  <c r="P405" i="2"/>
  <c r="Y404" i="2"/>
  <c r="U404" i="2"/>
  <c r="T404" i="2"/>
  <c r="S404" i="2"/>
  <c r="R404" i="2"/>
  <c r="Q404" i="2"/>
  <c r="P404" i="2"/>
  <c r="W403" i="2"/>
  <c r="U403" i="2"/>
  <c r="T403" i="2"/>
  <c r="R403" i="2"/>
  <c r="Q403" i="2"/>
  <c r="P403" i="2"/>
  <c r="X402" i="2"/>
  <c r="U402" i="2"/>
  <c r="T402" i="2"/>
  <c r="S402" i="2"/>
  <c r="R402" i="2"/>
  <c r="Q402" i="2"/>
  <c r="P402" i="2"/>
  <c r="Y401" i="2"/>
  <c r="U401" i="2"/>
  <c r="T401" i="2"/>
  <c r="R401" i="2"/>
  <c r="Q401" i="2"/>
  <c r="P401" i="2"/>
  <c r="W400" i="2"/>
  <c r="U400" i="2"/>
  <c r="T400" i="2"/>
  <c r="R400" i="2"/>
  <c r="Q400" i="2"/>
  <c r="P400" i="2"/>
  <c r="X399" i="2"/>
  <c r="U399" i="2"/>
  <c r="T399" i="2"/>
  <c r="S399" i="2"/>
  <c r="R399" i="2"/>
  <c r="Q399" i="2"/>
  <c r="P399" i="2"/>
  <c r="Y398" i="2"/>
  <c r="U398" i="2"/>
  <c r="T398" i="2"/>
  <c r="R398" i="2"/>
  <c r="Q398" i="2"/>
  <c r="P398" i="2"/>
  <c r="W397" i="2"/>
  <c r="U397" i="2"/>
  <c r="T397" i="2"/>
  <c r="R397" i="2"/>
  <c r="Q397" i="2"/>
  <c r="P397" i="2"/>
  <c r="X396" i="2"/>
  <c r="U396" i="2"/>
  <c r="T396" i="2"/>
  <c r="S396" i="2"/>
  <c r="R396" i="2"/>
  <c r="Q396" i="2"/>
  <c r="P396" i="2"/>
  <c r="Y395" i="2"/>
  <c r="U395" i="2"/>
  <c r="T395" i="2"/>
  <c r="R395" i="2"/>
  <c r="Q395" i="2"/>
  <c r="P395" i="2"/>
  <c r="W394" i="2"/>
  <c r="U394" i="2"/>
  <c r="T394" i="2"/>
  <c r="R394" i="2"/>
  <c r="Q394" i="2"/>
  <c r="P394" i="2"/>
  <c r="X393" i="2"/>
  <c r="U393" i="2"/>
  <c r="T393" i="2"/>
  <c r="R393" i="2"/>
  <c r="Q393" i="2"/>
  <c r="S393" i="2" s="1"/>
  <c r="P393" i="2"/>
  <c r="Y392" i="2"/>
  <c r="U392" i="2"/>
  <c r="T392" i="2"/>
  <c r="R392" i="2"/>
  <c r="Q392" i="2"/>
  <c r="P392" i="2"/>
  <c r="W391" i="2"/>
  <c r="U391" i="2"/>
  <c r="T391" i="2"/>
  <c r="R391" i="2"/>
  <c r="S391" i="2" s="1"/>
  <c r="Q391" i="2"/>
  <c r="P391" i="2"/>
  <c r="X390" i="2"/>
  <c r="U390" i="2"/>
  <c r="T390" i="2"/>
  <c r="S390" i="2"/>
  <c r="R390" i="2"/>
  <c r="Q390" i="2"/>
  <c r="P390" i="2"/>
  <c r="Y389" i="2"/>
  <c r="U389" i="2"/>
  <c r="T389" i="2"/>
  <c r="R389" i="2"/>
  <c r="Q389" i="2"/>
  <c r="P389" i="2"/>
  <c r="W388" i="2"/>
  <c r="U388" i="2"/>
  <c r="T388" i="2"/>
  <c r="S388" i="2"/>
  <c r="R388" i="2"/>
  <c r="Q388" i="2"/>
  <c r="P388" i="2"/>
  <c r="X387" i="2"/>
  <c r="U387" i="2"/>
  <c r="T387" i="2"/>
  <c r="R387" i="2"/>
  <c r="Q387" i="2"/>
  <c r="P387" i="2"/>
  <c r="Y386" i="2"/>
  <c r="U386" i="2"/>
  <c r="T386" i="2"/>
  <c r="S386" i="2"/>
  <c r="R386" i="2"/>
  <c r="Q386" i="2"/>
  <c r="P386" i="2"/>
  <c r="W385" i="2"/>
  <c r="U385" i="2"/>
  <c r="T385" i="2"/>
  <c r="R385" i="2"/>
  <c r="Q385" i="2"/>
  <c r="P385" i="2"/>
  <c r="X384" i="2"/>
  <c r="U384" i="2"/>
  <c r="T384" i="2"/>
  <c r="R384" i="2"/>
  <c r="Q384" i="2"/>
  <c r="P384" i="2"/>
  <c r="Y383" i="2"/>
  <c r="U383" i="2"/>
  <c r="T383" i="2"/>
  <c r="S383" i="2"/>
  <c r="R383" i="2"/>
  <c r="Q383" i="2"/>
  <c r="P383" i="2"/>
  <c r="W382" i="2"/>
  <c r="U382" i="2"/>
  <c r="T382" i="2"/>
  <c r="R382" i="2"/>
  <c r="Q382" i="2"/>
  <c r="P382" i="2"/>
  <c r="X381" i="2"/>
  <c r="U381" i="2"/>
  <c r="T381" i="2"/>
  <c r="R381" i="2"/>
  <c r="Q381" i="2"/>
  <c r="P381" i="2"/>
  <c r="S381" i="2" s="1"/>
  <c r="Y380" i="2"/>
  <c r="U380" i="2"/>
  <c r="T380" i="2"/>
  <c r="R380" i="2"/>
  <c r="Q380" i="2"/>
  <c r="S380" i="2" s="1"/>
  <c r="P380" i="2"/>
  <c r="W379" i="2"/>
  <c r="U379" i="2"/>
  <c r="T379" i="2"/>
  <c r="S379" i="2"/>
  <c r="R379" i="2"/>
  <c r="Q379" i="2"/>
  <c r="P379" i="2"/>
  <c r="X378" i="2"/>
  <c r="U378" i="2"/>
  <c r="T378" i="2"/>
  <c r="R378" i="2"/>
  <c r="Q378" i="2"/>
  <c r="P378" i="2"/>
  <c r="Y377" i="2"/>
  <c r="U377" i="2"/>
  <c r="T377" i="2"/>
  <c r="R377" i="2"/>
  <c r="Q377" i="2"/>
  <c r="P377" i="2"/>
  <c r="W376" i="2"/>
  <c r="U376" i="2"/>
  <c r="T376" i="2"/>
  <c r="R376" i="2"/>
  <c r="Q376" i="2"/>
  <c r="P376" i="2"/>
  <c r="X375" i="2"/>
  <c r="U375" i="2"/>
  <c r="T375" i="2"/>
  <c r="S375" i="2"/>
  <c r="R375" i="2"/>
  <c r="Q375" i="2"/>
  <c r="P375" i="2"/>
  <c r="Y374" i="2"/>
  <c r="U374" i="2"/>
  <c r="T374" i="2"/>
  <c r="R374" i="2"/>
  <c r="Q374" i="2"/>
  <c r="P374" i="2"/>
  <c r="W373" i="2"/>
  <c r="U373" i="2"/>
  <c r="T373" i="2"/>
  <c r="R373" i="2"/>
  <c r="Q373" i="2"/>
  <c r="P373" i="2"/>
  <c r="X372" i="2"/>
  <c r="U372" i="2"/>
  <c r="T372" i="2"/>
  <c r="R372" i="2"/>
  <c r="Q372" i="2"/>
  <c r="P372" i="2"/>
  <c r="Y371" i="2"/>
  <c r="U371" i="2"/>
  <c r="T371" i="2"/>
  <c r="R371" i="2"/>
  <c r="Q371" i="2"/>
  <c r="P371" i="2"/>
  <c r="W370" i="2"/>
  <c r="U370" i="2"/>
  <c r="T370" i="2"/>
  <c r="R370" i="2"/>
  <c r="Q370" i="2"/>
  <c r="P370" i="2"/>
  <c r="X369" i="2"/>
  <c r="U369" i="2"/>
  <c r="T369" i="2"/>
  <c r="R369" i="2"/>
  <c r="Q369" i="2"/>
  <c r="P369" i="2"/>
  <c r="Y368" i="2"/>
  <c r="U368" i="2"/>
  <c r="T368" i="2"/>
  <c r="R368" i="2"/>
  <c r="Q368" i="2"/>
  <c r="P368" i="2"/>
  <c r="W367" i="2"/>
  <c r="U367" i="2"/>
  <c r="T367" i="2"/>
  <c r="S367" i="2"/>
  <c r="R367" i="2"/>
  <c r="Q367" i="2"/>
  <c r="P367" i="2"/>
  <c r="X366" i="2"/>
  <c r="U366" i="2"/>
  <c r="T366" i="2"/>
  <c r="S366" i="2"/>
  <c r="R366" i="2"/>
  <c r="Q366" i="2"/>
  <c r="P366" i="2"/>
  <c r="Y365" i="2"/>
  <c r="U365" i="2"/>
  <c r="T365" i="2"/>
  <c r="R365" i="2"/>
  <c r="Q365" i="2"/>
  <c r="P365" i="2"/>
  <c r="W364" i="2"/>
  <c r="U364" i="2"/>
  <c r="T364" i="2"/>
  <c r="S364" i="2"/>
  <c r="R364" i="2"/>
  <c r="Q364" i="2"/>
  <c r="P364" i="2"/>
  <c r="X363" i="2"/>
  <c r="U363" i="2"/>
  <c r="T363" i="2"/>
  <c r="R363" i="2"/>
  <c r="Q363" i="2"/>
  <c r="P363" i="2"/>
  <c r="Y362" i="2"/>
  <c r="U362" i="2"/>
  <c r="T362" i="2"/>
  <c r="R362" i="2"/>
  <c r="S362" i="2" s="1"/>
  <c r="Q362" i="2"/>
  <c r="P362" i="2"/>
  <c r="W361" i="2"/>
  <c r="U361" i="2"/>
  <c r="T361" i="2"/>
  <c r="R361" i="2"/>
  <c r="Q361" i="2"/>
  <c r="P361" i="2"/>
  <c r="X360" i="2"/>
  <c r="U360" i="2"/>
  <c r="T360" i="2"/>
  <c r="R360" i="2"/>
  <c r="Q360" i="2"/>
  <c r="P360" i="2"/>
  <c r="Y359" i="2"/>
  <c r="U359" i="2"/>
  <c r="T359" i="2"/>
  <c r="S359" i="2"/>
  <c r="R359" i="2"/>
  <c r="Q359" i="2"/>
  <c r="P359" i="2"/>
  <c r="W358" i="2"/>
  <c r="U358" i="2"/>
  <c r="T358" i="2"/>
  <c r="S358" i="2"/>
  <c r="R358" i="2"/>
  <c r="Q358" i="2"/>
  <c r="P358" i="2"/>
  <c r="X357" i="2"/>
  <c r="U357" i="2"/>
  <c r="T357" i="2"/>
  <c r="S357" i="2"/>
  <c r="R357" i="2"/>
  <c r="Q357" i="2"/>
  <c r="P357" i="2"/>
  <c r="Y356" i="2"/>
  <c r="U356" i="2"/>
  <c r="T356" i="2"/>
  <c r="R356" i="2"/>
  <c r="Q356" i="2"/>
  <c r="P356" i="2"/>
  <c r="W355" i="2"/>
  <c r="U355" i="2"/>
  <c r="T355" i="2"/>
  <c r="R355" i="2"/>
  <c r="Q355" i="2"/>
  <c r="P355" i="2"/>
  <c r="X354" i="2"/>
  <c r="U354" i="2"/>
  <c r="T354" i="2"/>
  <c r="S354" i="2"/>
  <c r="R354" i="2"/>
  <c r="Q354" i="2"/>
  <c r="P354" i="2"/>
  <c r="Y353" i="2"/>
  <c r="U353" i="2"/>
  <c r="T353" i="2"/>
  <c r="S353" i="2"/>
  <c r="R353" i="2"/>
  <c r="Q353" i="2"/>
  <c r="P353" i="2"/>
  <c r="W352" i="2"/>
  <c r="U352" i="2"/>
  <c r="T352" i="2"/>
  <c r="R352" i="2"/>
  <c r="Q352" i="2"/>
  <c r="P352" i="2"/>
  <c r="X351" i="2"/>
  <c r="U351" i="2"/>
  <c r="T351" i="2"/>
  <c r="R351" i="2"/>
  <c r="Q351" i="2"/>
  <c r="S351" i="2" s="1"/>
  <c r="P351" i="2"/>
  <c r="Y350" i="2"/>
  <c r="U350" i="2"/>
  <c r="T350" i="2"/>
  <c r="R350" i="2"/>
  <c r="Q350" i="2"/>
  <c r="S350" i="2" s="1"/>
  <c r="P350" i="2"/>
  <c r="W349" i="2"/>
  <c r="U349" i="2"/>
  <c r="T349" i="2"/>
  <c r="R349" i="2"/>
  <c r="Q349" i="2"/>
  <c r="P349" i="2"/>
  <c r="X348" i="2"/>
  <c r="U348" i="2"/>
  <c r="T348" i="2"/>
  <c r="S348" i="2"/>
  <c r="R348" i="2"/>
  <c r="Q348" i="2"/>
  <c r="P348" i="2"/>
  <c r="Y347" i="2"/>
  <c r="U347" i="2"/>
  <c r="T347" i="2"/>
  <c r="R347" i="2"/>
  <c r="Q347" i="2"/>
  <c r="P347" i="2"/>
  <c r="W346" i="2"/>
  <c r="U346" i="2"/>
  <c r="T346" i="2"/>
  <c r="S346" i="2"/>
  <c r="R346" i="2"/>
  <c r="Q346" i="2"/>
  <c r="P346" i="2"/>
  <c r="X345" i="2"/>
  <c r="U345" i="2"/>
  <c r="T345" i="2"/>
  <c r="R345" i="2"/>
  <c r="Q345" i="2"/>
  <c r="P345" i="2"/>
  <c r="Y344" i="2"/>
  <c r="U344" i="2"/>
  <c r="T344" i="2"/>
  <c r="R344" i="2"/>
  <c r="Q344" i="2"/>
  <c r="P344" i="2"/>
  <c r="W343" i="2"/>
  <c r="U343" i="2"/>
  <c r="T343" i="2"/>
  <c r="R343" i="2"/>
  <c r="Q343" i="2"/>
  <c r="S343" i="2" s="1"/>
  <c r="P343" i="2"/>
  <c r="X342" i="2"/>
  <c r="U342" i="2"/>
  <c r="T342" i="2"/>
  <c r="R342" i="2"/>
  <c r="S342" i="2" s="1"/>
  <c r="Q342" i="2"/>
  <c r="P342" i="2"/>
  <c r="Y341" i="2"/>
  <c r="U341" i="2"/>
  <c r="T341" i="2"/>
  <c r="R341" i="2"/>
  <c r="Q341" i="2"/>
  <c r="P341" i="2"/>
  <c r="S341" i="2" s="1"/>
  <c r="W340" i="2"/>
  <c r="U340" i="2"/>
  <c r="T340" i="2"/>
  <c r="R340" i="2"/>
  <c r="S340" i="2" s="1"/>
  <c r="Q340" i="2"/>
  <c r="P340" i="2"/>
  <c r="X339" i="2"/>
  <c r="U339" i="2"/>
  <c r="T339" i="2"/>
  <c r="R339" i="2"/>
  <c r="Q339" i="2"/>
  <c r="P339" i="2"/>
  <c r="Y338" i="2"/>
  <c r="U338" i="2"/>
  <c r="T338" i="2"/>
  <c r="S338" i="2"/>
  <c r="R338" i="2"/>
  <c r="Q338" i="2"/>
  <c r="P338" i="2"/>
  <c r="W337" i="2"/>
  <c r="U337" i="2"/>
  <c r="T337" i="2"/>
  <c r="R337" i="2"/>
  <c r="Q337" i="2"/>
  <c r="P337" i="2"/>
  <c r="X336" i="2"/>
  <c r="U336" i="2"/>
  <c r="T336" i="2"/>
  <c r="R336" i="2"/>
  <c r="Q336" i="2"/>
  <c r="P336" i="2"/>
  <c r="Y335" i="2"/>
  <c r="U335" i="2"/>
  <c r="T335" i="2"/>
  <c r="R335" i="2"/>
  <c r="Q335" i="2"/>
  <c r="S335" i="2" s="1"/>
  <c r="P335" i="2"/>
  <c r="W334" i="2"/>
  <c r="U334" i="2"/>
  <c r="T334" i="2"/>
  <c r="R334" i="2"/>
  <c r="Q334" i="2"/>
  <c r="P334" i="2"/>
  <c r="X333" i="2"/>
  <c r="U333" i="2"/>
  <c r="T333" i="2"/>
  <c r="R333" i="2"/>
  <c r="Q333" i="2"/>
  <c r="P333" i="2"/>
  <c r="Y332" i="2"/>
  <c r="U332" i="2"/>
  <c r="T332" i="2"/>
  <c r="S332" i="2"/>
  <c r="R332" i="2"/>
  <c r="Q332" i="2"/>
  <c r="P332" i="2"/>
  <c r="W331" i="2"/>
  <c r="U331" i="2"/>
  <c r="T331" i="2"/>
  <c r="R331" i="2"/>
  <c r="Q331" i="2"/>
  <c r="P331" i="2"/>
  <c r="X330" i="2"/>
  <c r="U330" i="2"/>
  <c r="T330" i="2"/>
  <c r="S330" i="2"/>
  <c r="R330" i="2"/>
  <c r="Q330" i="2"/>
  <c r="P330" i="2"/>
  <c r="Y329" i="2"/>
  <c r="U329" i="2"/>
  <c r="T329" i="2"/>
  <c r="R329" i="2"/>
  <c r="Q329" i="2"/>
  <c r="P329" i="2"/>
  <c r="W328" i="2"/>
  <c r="U328" i="2"/>
  <c r="T328" i="2"/>
  <c r="R328" i="2"/>
  <c r="Q328" i="2"/>
  <c r="P328" i="2"/>
  <c r="X327" i="2"/>
  <c r="U327" i="2"/>
  <c r="T327" i="2"/>
  <c r="S327" i="2"/>
  <c r="R327" i="2"/>
  <c r="Q327" i="2"/>
  <c r="P327" i="2"/>
  <c r="Y326" i="2"/>
  <c r="U326" i="2"/>
  <c r="T326" i="2"/>
  <c r="S326" i="2"/>
  <c r="R326" i="2"/>
  <c r="Q326" i="2"/>
  <c r="P326" i="2"/>
  <c r="W325" i="2"/>
  <c r="U325" i="2"/>
  <c r="T325" i="2"/>
  <c r="S325" i="2"/>
  <c r="R325" i="2"/>
  <c r="Q325" i="2"/>
  <c r="P325" i="2"/>
  <c r="X324" i="2"/>
  <c r="U324" i="2"/>
  <c r="T324" i="2"/>
  <c r="R324" i="2"/>
  <c r="Q324" i="2"/>
  <c r="P324" i="2"/>
  <c r="Y323" i="2"/>
  <c r="U323" i="2"/>
  <c r="T323" i="2"/>
  <c r="R323" i="2"/>
  <c r="Q323" i="2"/>
  <c r="P323" i="2"/>
  <c r="W322" i="2"/>
  <c r="U322" i="2"/>
  <c r="T322" i="2"/>
  <c r="R322" i="2"/>
  <c r="S322" i="2" s="1"/>
  <c r="Q322" i="2"/>
  <c r="P322" i="2"/>
  <c r="X321" i="2"/>
  <c r="U321" i="2"/>
  <c r="T321" i="2"/>
  <c r="R321" i="2"/>
  <c r="Q321" i="2"/>
  <c r="P321" i="2"/>
  <c r="Y320" i="2"/>
  <c r="U320" i="2"/>
  <c r="T320" i="2"/>
  <c r="R320" i="2"/>
  <c r="Q320" i="2"/>
  <c r="P320" i="2"/>
  <c r="W319" i="2"/>
  <c r="U319" i="2"/>
  <c r="T319" i="2"/>
  <c r="S319" i="2"/>
  <c r="R319" i="2"/>
  <c r="Q319" i="2"/>
  <c r="P319" i="2"/>
  <c r="X318" i="2"/>
  <c r="U318" i="2"/>
  <c r="T318" i="2"/>
  <c r="R318" i="2"/>
  <c r="Q318" i="2"/>
  <c r="P318" i="2"/>
  <c r="Y317" i="2"/>
  <c r="U317" i="2"/>
  <c r="T317" i="2"/>
  <c r="R317" i="2"/>
  <c r="Q317" i="2"/>
  <c r="P317" i="2"/>
  <c r="W316" i="2"/>
  <c r="U316" i="2"/>
  <c r="T316" i="2"/>
  <c r="R316" i="2"/>
  <c r="Q316" i="2"/>
  <c r="P316" i="2"/>
  <c r="X315" i="2"/>
  <c r="U315" i="2"/>
  <c r="T315" i="2"/>
  <c r="R315" i="2"/>
  <c r="Q315" i="2"/>
  <c r="P315" i="2"/>
  <c r="Y314" i="2"/>
  <c r="U314" i="2"/>
  <c r="T314" i="2"/>
  <c r="R314" i="2"/>
  <c r="S314" i="2" s="1"/>
  <c r="Q314" i="2"/>
  <c r="P314" i="2"/>
  <c r="W313" i="2"/>
  <c r="U313" i="2"/>
  <c r="T313" i="2"/>
  <c r="R313" i="2"/>
  <c r="S313" i="2" s="1"/>
  <c r="Q313" i="2"/>
  <c r="P313" i="2"/>
  <c r="X312" i="2"/>
  <c r="U312" i="2"/>
  <c r="T312" i="2"/>
  <c r="R312" i="2"/>
  <c r="Q312" i="2"/>
  <c r="P312" i="2"/>
  <c r="Y311" i="2"/>
  <c r="U311" i="2"/>
  <c r="T311" i="2"/>
  <c r="S311" i="2"/>
  <c r="R311" i="2"/>
  <c r="Q311" i="2"/>
  <c r="P311" i="2"/>
  <c r="W310" i="2"/>
  <c r="U310" i="2"/>
  <c r="T310" i="2"/>
  <c r="S310" i="2"/>
  <c r="R310" i="2"/>
  <c r="Q310" i="2"/>
  <c r="P310" i="2"/>
  <c r="X309" i="2"/>
  <c r="U309" i="2"/>
  <c r="T309" i="2"/>
  <c r="R309" i="2"/>
  <c r="Q309" i="2"/>
  <c r="P309" i="2"/>
  <c r="S309" i="2" s="1"/>
  <c r="Y308" i="2"/>
  <c r="U308" i="2"/>
  <c r="T308" i="2"/>
  <c r="R308" i="2"/>
  <c r="Q308" i="2"/>
  <c r="S308" i="2" s="1"/>
  <c r="P308" i="2"/>
  <c r="W307" i="2"/>
  <c r="U307" i="2"/>
  <c r="T307" i="2"/>
  <c r="R307" i="2"/>
  <c r="Q307" i="2"/>
  <c r="P307" i="2"/>
  <c r="X306" i="2"/>
  <c r="U306" i="2"/>
  <c r="T306" i="2"/>
  <c r="S306" i="2"/>
  <c r="R306" i="2"/>
  <c r="Q306" i="2"/>
  <c r="P306" i="2"/>
  <c r="Y305" i="2"/>
  <c r="U305" i="2"/>
  <c r="T305" i="2"/>
  <c r="S305" i="2"/>
  <c r="R305" i="2"/>
  <c r="Q305" i="2"/>
  <c r="P305" i="2"/>
  <c r="W304" i="2"/>
  <c r="U304" i="2"/>
  <c r="T304" i="2"/>
  <c r="R304" i="2"/>
  <c r="Q304" i="2"/>
  <c r="P304" i="2"/>
  <c r="X303" i="2"/>
  <c r="U303" i="2"/>
  <c r="T303" i="2"/>
  <c r="R303" i="2"/>
  <c r="Q303" i="2"/>
  <c r="S303" i="2" s="1"/>
  <c r="P303" i="2"/>
  <c r="Y302" i="2"/>
  <c r="U302" i="2"/>
  <c r="T302" i="2"/>
  <c r="R302" i="2"/>
  <c r="Q302" i="2"/>
  <c r="P302" i="2"/>
  <c r="W301" i="2"/>
  <c r="U301" i="2"/>
  <c r="T301" i="2"/>
  <c r="R301" i="2"/>
  <c r="Q301" i="2"/>
  <c r="P301" i="2"/>
  <c r="X300" i="2"/>
  <c r="U300" i="2"/>
  <c r="T300" i="2"/>
  <c r="S300" i="2"/>
  <c r="R300" i="2"/>
  <c r="Q300" i="2"/>
  <c r="P300" i="2"/>
  <c r="Y299" i="2"/>
  <c r="U299" i="2"/>
  <c r="T299" i="2"/>
  <c r="R299" i="2"/>
  <c r="Q299" i="2"/>
  <c r="P299" i="2"/>
  <c r="W298" i="2"/>
  <c r="U298" i="2"/>
  <c r="T298" i="2"/>
  <c r="S298" i="2"/>
  <c r="R298" i="2"/>
  <c r="Q298" i="2"/>
  <c r="P298" i="2"/>
  <c r="X297" i="2"/>
  <c r="U297" i="2"/>
  <c r="T297" i="2"/>
  <c r="R297" i="2"/>
  <c r="Q297" i="2"/>
  <c r="P297" i="2"/>
  <c r="Y296" i="2"/>
  <c r="U296" i="2"/>
  <c r="T296" i="2"/>
  <c r="R296" i="2"/>
  <c r="Q296" i="2"/>
  <c r="P296" i="2"/>
  <c r="W295" i="2"/>
  <c r="U295" i="2"/>
  <c r="T295" i="2"/>
  <c r="R295" i="2"/>
  <c r="S295" i="2" s="1"/>
  <c r="Q295" i="2"/>
  <c r="P295" i="2"/>
  <c r="X294" i="2"/>
  <c r="U294" i="2"/>
  <c r="T294" i="2"/>
  <c r="R294" i="2"/>
  <c r="Q294" i="2"/>
  <c r="P294" i="2"/>
  <c r="Y293" i="2"/>
  <c r="U293" i="2"/>
  <c r="T293" i="2"/>
  <c r="S293" i="2"/>
  <c r="R293" i="2"/>
  <c r="Q293" i="2"/>
  <c r="P293" i="2"/>
  <c r="W292" i="2"/>
  <c r="U292" i="2"/>
  <c r="T292" i="2"/>
  <c r="R292" i="2"/>
  <c r="Q292" i="2"/>
  <c r="P292" i="2"/>
  <c r="X291" i="2"/>
  <c r="U291" i="2"/>
  <c r="T291" i="2"/>
  <c r="R291" i="2"/>
  <c r="Q291" i="2"/>
  <c r="P291" i="2"/>
  <c r="Y290" i="2"/>
  <c r="U290" i="2"/>
  <c r="T290" i="2"/>
  <c r="S290" i="2"/>
  <c r="R290" i="2"/>
  <c r="Q290" i="2"/>
  <c r="P290" i="2"/>
  <c r="W289" i="2"/>
  <c r="U289" i="2"/>
  <c r="T289" i="2"/>
  <c r="R289" i="2"/>
  <c r="S289" i="2" s="1"/>
  <c r="Q289" i="2"/>
  <c r="P289" i="2"/>
  <c r="X288" i="2"/>
  <c r="U288" i="2"/>
  <c r="T288" i="2"/>
  <c r="R288" i="2"/>
  <c r="Q288" i="2"/>
  <c r="P288" i="2"/>
  <c r="Y287" i="2"/>
  <c r="U287" i="2"/>
  <c r="T287" i="2"/>
  <c r="R287" i="2"/>
  <c r="Q287" i="2"/>
  <c r="P287" i="2"/>
  <c r="W286" i="2"/>
  <c r="U286" i="2"/>
  <c r="T286" i="2"/>
  <c r="S286" i="2"/>
  <c r="R286" i="2"/>
  <c r="Q286" i="2"/>
  <c r="P286" i="2"/>
  <c r="X285" i="2"/>
  <c r="U285" i="2"/>
  <c r="T285" i="2"/>
  <c r="R285" i="2"/>
  <c r="Q285" i="2"/>
  <c r="P285" i="2"/>
  <c r="Y284" i="2"/>
  <c r="U284" i="2"/>
  <c r="T284" i="2"/>
  <c r="R284" i="2"/>
  <c r="Q284" i="2"/>
  <c r="S284" i="2" s="1"/>
  <c r="P284" i="2"/>
  <c r="W283" i="2"/>
  <c r="U283" i="2"/>
  <c r="T283" i="2"/>
  <c r="R283" i="2"/>
  <c r="Q283" i="2"/>
  <c r="P283" i="2"/>
  <c r="X282" i="2"/>
  <c r="U282" i="2"/>
  <c r="T282" i="2"/>
  <c r="S282" i="2"/>
  <c r="R282" i="2"/>
  <c r="Q282" i="2"/>
  <c r="P282" i="2"/>
  <c r="Y281" i="2"/>
  <c r="U281" i="2"/>
  <c r="T281" i="2"/>
  <c r="R281" i="2"/>
  <c r="Q281" i="2"/>
  <c r="S281" i="2" s="1"/>
  <c r="P281" i="2"/>
  <c r="W280" i="2"/>
  <c r="U280" i="2"/>
  <c r="T280" i="2"/>
  <c r="R280" i="2"/>
  <c r="Q280" i="2"/>
  <c r="P280" i="2"/>
  <c r="X279" i="2"/>
  <c r="U279" i="2"/>
  <c r="T279" i="2"/>
  <c r="S279" i="2"/>
  <c r="R279" i="2"/>
  <c r="Q279" i="2"/>
  <c r="P279" i="2"/>
  <c r="Y278" i="2"/>
  <c r="U278" i="2"/>
  <c r="T278" i="2"/>
  <c r="S278" i="2"/>
  <c r="R278" i="2"/>
  <c r="Q278" i="2"/>
  <c r="P278" i="2"/>
  <c r="W277" i="2"/>
  <c r="U277" i="2"/>
  <c r="T277" i="2"/>
  <c r="R277" i="2"/>
  <c r="Q277" i="2"/>
  <c r="P277" i="2"/>
  <c r="X276" i="2"/>
  <c r="U276" i="2"/>
  <c r="T276" i="2"/>
  <c r="R276" i="2"/>
  <c r="Q276" i="2"/>
  <c r="S276" i="2" s="1"/>
  <c r="P276" i="2"/>
  <c r="Y275" i="2"/>
  <c r="U275" i="2"/>
  <c r="T275" i="2"/>
  <c r="R275" i="2"/>
  <c r="Q275" i="2"/>
  <c r="P275" i="2"/>
  <c r="W274" i="2"/>
  <c r="U274" i="2"/>
  <c r="T274" i="2"/>
  <c r="R274" i="2"/>
  <c r="S274" i="2" s="1"/>
  <c r="Q274" i="2"/>
  <c r="P274" i="2"/>
  <c r="X273" i="2"/>
  <c r="U273" i="2"/>
  <c r="T273" i="2"/>
  <c r="R273" i="2"/>
  <c r="S273" i="2" s="1"/>
  <c r="Q273" i="2"/>
  <c r="P273" i="2"/>
  <c r="Y272" i="2"/>
  <c r="U272" i="2"/>
  <c r="T272" i="2"/>
  <c r="R272" i="2"/>
  <c r="Q272" i="2"/>
  <c r="P272" i="2"/>
  <c r="W271" i="2"/>
  <c r="U271" i="2"/>
  <c r="T271" i="2"/>
  <c r="S271" i="2"/>
  <c r="R271" i="2"/>
  <c r="Q271" i="2"/>
  <c r="P271" i="2"/>
  <c r="X270" i="2"/>
  <c r="U270" i="2"/>
  <c r="T270" i="2"/>
  <c r="R270" i="2"/>
  <c r="Q270" i="2"/>
  <c r="P270" i="2"/>
  <c r="Y269" i="2"/>
  <c r="U269" i="2"/>
  <c r="T269" i="2"/>
  <c r="S269" i="2"/>
  <c r="R269" i="2"/>
  <c r="Q269" i="2"/>
  <c r="P269" i="2"/>
  <c r="W268" i="2"/>
  <c r="U268" i="2"/>
  <c r="T268" i="2"/>
  <c r="R268" i="2"/>
  <c r="Q268" i="2"/>
  <c r="P268" i="2"/>
  <c r="X267" i="2"/>
  <c r="U267" i="2"/>
  <c r="T267" i="2"/>
  <c r="R267" i="2"/>
  <c r="Q267" i="2"/>
  <c r="P267" i="2"/>
  <c r="Y266" i="2"/>
  <c r="U266" i="2"/>
  <c r="T266" i="2"/>
  <c r="R266" i="2"/>
  <c r="S266" i="2" s="1"/>
  <c r="Q266" i="2"/>
  <c r="P266" i="2"/>
  <c r="W265" i="2"/>
  <c r="U265" i="2"/>
  <c r="T265" i="2"/>
  <c r="R265" i="2"/>
  <c r="Q265" i="2"/>
  <c r="P265" i="2"/>
  <c r="X264" i="2"/>
  <c r="U264" i="2"/>
  <c r="T264" i="2"/>
  <c r="R264" i="2"/>
  <c r="Q264" i="2"/>
  <c r="P264" i="2"/>
  <c r="Y263" i="2"/>
  <c r="U263" i="2"/>
  <c r="T263" i="2"/>
  <c r="S263" i="2"/>
  <c r="R263" i="2"/>
  <c r="Q263" i="2"/>
  <c r="P263" i="2"/>
  <c r="W262" i="2"/>
  <c r="U262" i="2"/>
  <c r="T262" i="2"/>
  <c r="R262" i="2"/>
  <c r="Q262" i="2"/>
  <c r="S262" i="2" s="1"/>
  <c r="P262" i="2"/>
  <c r="X261" i="2"/>
  <c r="U261" i="2"/>
  <c r="T261" i="2"/>
  <c r="S261" i="2"/>
  <c r="R261" i="2"/>
  <c r="Q261" i="2"/>
  <c r="P261" i="2"/>
  <c r="Y260" i="2"/>
  <c r="U260" i="2"/>
  <c r="T260" i="2"/>
  <c r="R260" i="2"/>
  <c r="Q260" i="2"/>
  <c r="P260" i="2"/>
  <c r="W259" i="2"/>
  <c r="U259" i="2"/>
  <c r="T259" i="2"/>
  <c r="R259" i="2"/>
  <c r="Q259" i="2"/>
  <c r="P259" i="2"/>
  <c r="X258" i="2"/>
  <c r="U258" i="2"/>
  <c r="T258" i="2"/>
  <c r="S258" i="2"/>
  <c r="R258" i="2"/>
  <c r="Q258" i="2"/>
  <c r="P258" i="2"/>
  <c r="Y257" i="2"/>
  <c r="U257" i="2"/>
  <c r="T257" i="2"/>
  <c r="R257" i="2"/>
  <c r="Q257" i="2"/>
  <c r="S257" i="2" s="1"/>
  <c r="P257" i="2"/>
  <c r="W256" i="2"/>
  <c r="U256" i="2"/>
  <c r="T256" i="2"/>
  <c r="R256" i="2"/>
  <c r="Q256" i="2"/>
  <c r="P256" i="2"/>
  <c r="X255" i="2"/>
  <c r="U255" i="2"/>
  <c r="T255" i="2"/>
  <c r="R255" i="2"/>
  <c r="Q255" i="2"/>
  <c r="S255" i="2" s="1"/>
  <c r="P255" i="2"/>
  <c r="Y254" i="2"/>
  <c r="U254" i="2"/>
  <c r="T254" i="2"/>
  <c r="R254" i="2"/>
  <c r="Q254" i="2"/>
  <c r="S254" i="2" s="1"/>
  <c r="P254" i="2"/>
  <c r="W253" i="2"/>
  <c r="U253" i="2"/>
  <c r="T253" i="2"/>
  <c r="R253" i="2"/>
  <c r="Q253" i="2"/>
  <c r="P253" i="2"/>
  <c r="X252" i="2"/>
  <c r="U252" i="2"/>
  <c r="T252" i="2"/>
  <c r="R252" i="2"/>
  <c r="Q252" i="2"/>
  <c r="S252" i="2" s="1"/>
  <c r="P252" i="2"/>
  <c r="Y251" i="2"/>
  <c r="U251" i="2"/>
  <c r="T251" i="2"/>
  <c r="R251" i="2"/>
  <c r="Q251" i="2"/>
  <c r="P251" i="2"/>
  <c r="W250" i="2"/>
  <c r="U250" i="2"/>
  <c r="T250" i="2"/>
  <c r="S250" i="2"/>
  <c r="R250" i="2"/>
  <c r="Q250" i="2"/>
  <c r="P250" i="2"/>
  <c r="X249" i="2"/>
  <c r="U249" i="2"/>
  <c r="T249" i="2"/>
  <c r="R249" i="2"/>
  <c r="S249" i="2" s="1"/>
  <c r="Q249" i="2"/>
  <c r="P249" i="2"/>
  <c r="Y248" i="2"/>
  <c r="U248" i="2"/>
  <c r="T248" i="2"/>
  <c r="R248" i="2"/>
  <c r="Q248" i="2"/>
  <c r="P248" i="2"/>
  <c r="W247" i="2"/>
  <c r="U247" i="2"/>
  <c r="T247" i="2"/>
  <c r="R247" i="2"/>
  <c r="Q247" i="2"/>
  <c r="P247" i="2"/>
  <c r="X246" i="2"/>
  <c r="U246" i="2"/>
  <c r="T246" i="2"/>
  <c r="R246" i="2"/>
  <c r="S246" i="2" s="1"/>
  <c r="Q246" i="2"/>
  <c r="P246" i="2"/>
  <c r="Y245" i="2"/>
  <c r="U245" i="2"/>
  <c r="T245" i="2"/>
  <c r="R245" i="2"/>
  <c r="Q245" i="2"/>
  <c r="P245" i="2"/>
  <c r="W244" i="2"/>
  <c r="U244" i="2"/>
  <c r="T244" i="2"/>
  <c r="R244" i="2"/>
  <c r="S244" i="2" s="1"/>
  <c r="Q244" i="2"/>
  <c r="P244" i="2"/>
  <c r="X243" i="2"/>
  <c r="U243" i="2"/>
  <c r="T243" i="2"/>
  <c r="R243" i="2"/>
  <c r="Q243" i="2"/>
  <c r="P243" i="2"/>
  <c r="Y242" i="2"/>
  <c r="U242" i="2"/>
  <c r="T242" i="2"/>
  <c r="S242" i="2"/>
  <c r="R242" i="2"/>
  <c r="Q242" i="2"/>
  <c r="P242" i="2"/>
  <c r="W241" i="2"/>
  <c r="U241" i="2"/>
  <c r="T241" i="2"/>
  <c r="R241" i="2"/>
  <c r="Q241" i="2"/>
  <c r="P241" i="2"/>
  <c r="X240" i="2"/>
  <c r="U240" i="2"/>
  <c r="T240" i="2"/>
  <c r="R240" i="2"/>
  <c r="Q240" i="2"/>
  <c r="S240" i="2" s="1"/>
  <c r="P240" i="2"/>
  <c r="Y239" i="2"/>
  <c r="U239" i="2"/>
  <c r="T239" i="2"/>
  <c r="R239" i="2"/>
  <c r="Q239" i="2"/>
  <c r="P239" i="2"/>
  <c r="W238" i="2"/>
  <c r="U238" i="2"/>
  <c r="T238" i="2"/>
  <c r="R238" i="2"/>
  <c r="Q238" i="2"/>
  <c r="S238" i="2" s="1"/>
  <c r="P238" i="2"/>
  <c r="X237" i="2"/>
  <c r="U237" i="2"/>
  <c r="T237" i="2"/>
  <c r="R237" i="2"/>
  <c r="Q237" i="2"/>
  <c r="P237" i="2"/>
  <c r="Y236" i="2"/>
  <c r="U236" i="2"/>
  <c r="T236" i="2"/>
  <c r="R236" i="2"/>
  <c r="Q236" i="2"/>
  <c r="S236" i="2" s="1"/>
  <c r="P236" i="2"/>
  <c r="W235" i="2"/>
  <c r="U235" i="2"/>
  <c r="T235" i="2"/>
  <c r="R235" i="2"/>
  <c r="Q235" i="2"/>
  <c r="P235" i="2"/>
  <c r="X234" i="2"/>
  <c r="U234" i="2"/>
  <c r="T234" i="2"/>
  <c r="R234" i="2"/>
  <c r="Q234" i="2"/>
  <c r="S234" i="2" s="1"/>
  <c r="P234" i="2"/>
  <c r="Y233" i="2"/>
  <c r="U233" i="2"/>
  <c r="T233" i="2"/>
  <c r="R233" i="2"/>
  <c r="Q233" i="2"/>
  <c r="P233" i="2"/>
  <c r="W232" i="2"/>
  <c r="U232" i="2"/>
  <c r="T232" i="2"/>
  <c r="S232" i="2"/>
  <c r="R232" i="2"/>
  <c r="Q232" i="2"/>
  <c r="P232" i="2"/>
  <c r="X231" i="2"/>
  <c r="U231" i="2"/>
  <c r="T231" i="2"/>
  <c r="R231" i="2"/>
  <c r="Q231" i="2"/>
  <c r="P231" i="2"/>
  <c r="Y230" i="2"/>
  <c r="U230" i="2"/>
  <c r="T230" i="2"/>
  <c r="R230" i="2"/>
  <c r="S230" i="2" s="1"/>
  <c r="Q230" i="2"/>
  <c r="P230" i="2"/>
  <c r="W229" i="2"/>
  <c r="U229" i="2"/>
  <c r="T229" i="2"/>
  <c r="R229" i="2"/>
  <c r="Q229" i="2"/>
  <c r="P229" i="2"/>
  <c r="X228" i="2"/>
  <c r="U228" i="2"/>
  <c r="T228" i="2"/>
  <c r="S228" i="2"/>
  <c r="R228" i="2"/>
  <c r="Q228" i="2"/>
  <c r="P228" i="2"/>
  <c r="Y227" i="2"/>
  <c r="U227" i="2"/>
  <c r="T227" i="2"/>
  <c r="R227" i="2"/>
  <c r="Q227" i="2"/>
  <c r="P227" i="2"/>
  <c r="W226" i="2"/>
  <c r="U226" i="2"/>
  <c r="T226" i="2"/>
  <c r="R226" i="2"/>
  <c r="Q226" i="2"/>
  <c r="S226" i="2" s="1"/>
  <c r="P226" i="2"/>
  <c r="X225" i="2"/>
  <c r="U225" i="2"/>
  <c r="T225" i="2"/>
  <c r="R225" i="2"/>
  <c r="Q225" i="2"/>
  <c r="P225" i="2"/>
  <c r="Y224" i="2"/>
  <c r="U224" i="2"/>
  <c r="T224" i="2"/>
  <c r="S224" i="2"/>
  <c r="R224" i="2"/>
  <c r="Q224" i="2"/>
  <c r="P224" i="2"/>
  <c r="W223" i="2"/>
  <c r="U223" i="2"/>
  <c r="T223" i="2"/>
  <c r="R223" i="2"/>
  <c r="Q223" i="2"/>
  <c r="P223" i="2"/>
  <c r="X222" i="2"/>
  <c r="U222" i="2"/>
  <c r="T222" i="2"/>
  <c r="S222" i="2"/>
  <c r="R222" i="2"/>
  <c r="Q222" i="2"/>
  <c r="P222" i="2"/>
  <c r="Y221" i="2"/>
  <c r="U221" i="2"/>
  <c r="T221" i="2"/>
  <c r="S221" i="2"/>
  <c r="R221" i="2"/>
  <c r="Q221" i="2"/>
  <c r="P221" i="2"/>
  <c r="W220" i="2"/>
  <c r="U220" i="2"/>
  <c r="T220" i="2"/>
  <c r="R220" i="2"/>
  <c r="Q220" i="2"/>
  <c r="P220" i="2"/>
  <c r="X219" i="2"/>
  <c r="U219" i="2"/>
  <c r="T219" i="2"/>
  <c r="R219" i="2"/>
  <c r="Q219" i="2"/>
  <c r="P219" i="2"/>
  <c r="Y218" i="2"/>
  <c r="U218" i="2"/>
  <c r="T218" i="2"/>
  <c r="S218" i="2"/>
  <c r="R218" i="2"/>
  <c r="Q218" i="2"/>
  <c r="P218" i="2"/>
  <c r="W217" i="2"/>
  <c r="U217" i="2"/>
  <c r="T217" i="2"/>
  <c r="R217" i="2"/>
  <c r="S217" i="2" s="1"/>
  <c r="Q217" i="2"/>
  <c r="P217" i="2"/>
  <c r="X216" i="2"/>
  <c r="U216" i="2"/>
  <c r="T216" i="2"/>
  <c r="R216" i="2"/>
  <c r="Q216" i="2"/>
  <c r="P216" i="2"/>
  <c r="Y215" i="2"/>
  <c r="U215" i="2"/>
  <c r="T215" i="2"/>
  <c r="R215" i="2"/>
  <c r="Q215" i="2"/>
  <c r="S215" i="2" s="1"/>
  <c r="P215" i="2"/>
  <c r="W214" i="2"/>
  <c r="U214" i="2"/>
  <c r="T214" i="2"/>
  <c r="R214" i="2"/>
  <c r="Q214" i="2"/>
  <c r="P214" i="2"/>
  <c r="X213" i="2"/>
  <c r="U213" i="2"/>
  <c r="T213" i="2"/>
  <c r="R213" i="2"/>
  <c r="Q213" i="2"/>
  <c r="P213" i="2"/>
  <c r="Y212" i="2"/>
  <c r="U212" i="2"/>
  <c r="T212" i="2"/>
  <c r="R212" i="2"/>
  <c r="Q212" i="2"/>
  <c r="P212" i="2"/>
  <c r="W211" i="2"/>
  <c r="U211" i="2"/>
  <c r="T211" i="2"/>
  <c r="R211" i="2"/>
  <c r="Q211" i="2"/>
  <c r="P211" i="2"/>
  <c r="X210" i="2"/>
  <c r="U210" i="2"/>
  <c r="T210" i="2"/>
  <c r="S210" i="2"/>
  <c r="R210" i="2"/>
  <c r="Q210" i="2"/>
  <c r="P210" i="2"/>
  <c r="Y209" i="2"/>
  <c r="U209" i="2"/>
  <c r="T209" i="2"/>
  <c r="R209" i="2"/>
  <c r="Q209" i="2"/>
  <c r="S209" i="2" s="1"/>
  <c r="P209" i="2"/>
  <c r="W208" i="2"/>
  <c r="U208" i="2"/>
  <c r="T208" i="2"/>
  <c r="R208" i="2"/>
  <c r="Q208" i="2"/>
  <c r="P208" i="2"/>
  <c r="X207" i="2"/>
  <c r="U207" i="2"/>
  <c r="T207" i="2"/>
  <c r="R207" i="2"/>
  <c r="Q207" i="2"/>
  <c r="S207" i="2" s="1"/>
  <c r="P207" i="2"/>
  <c r="Y206" i="2"/>
  <c r="U206" i="2"/>
  <c r="T206" i="2"/>
  <c r="R206" i="2"/>
  <c r="Q206" i="2"/>
  <c r="P206" i="2"/>
  <c r="W205" i="2"/>
  <c r="U205" i="2"/>
  <c r="T205" i="2"/>
  <c r="R205" i="2"/>
  <c r="S205" i="2" s="1"/>
  <c r="Q205" i="2"/>
  <c r="P205" i="2"/>
  <c r="X204" i="2"/>
  <c r="U204" i="2"/>
  <c r="T204" i="2"/>
  <c r="R204" i="2"/>
  <c r="Q204" i="2"/>
  <c r="P204" i="2"/>
  <c r="Y203" i="2"/>
  <c r="U203" i="2"/>
  <c r="T203" i="2"/>
  <c r="R203" i="2"/>
  <c r="Q203" i="2"/>
  <c r="P203" i="2"/>
  <c r="W202" i="2"/>
  <c r="U202" i="2"/>
  <c r="T202" i="2"/>
  <c r="S202" i="2"/>
  <c r="R202" i="2"/>
  <c r="Q202" i="2"/>
  <c r="P202" i="2"/>
  <c r="X201" i="2"/>
  <c r="U201" i="2"/>
  <c r="T201" i="2"/>
  <c r="R201" i="2"/>
  <c r="Q201" i="2"/>
  <c r="S201" i="2" s="1"/>
  <c r="P201" i="2"/>
  <c r="Y200" i="2"/>
  <c r="U200" i="2"/>
  <c r="T200" i="2"/>
  <c r="R200" i="2"/>
  <c r="Q200" i="2"/>
  <c r="P200" i="2"/>
  <c r="W199" i="2"/>
  <c r="U199" i="2"/>
  <c r="T199" i="2"/>
  <c r="S199" i="2"/>
  <c r="R199" i="2"/>
  <c r="Q199" i="2"/>
  <c r="P199" i="2"/>
  <c r="X198" i="2"/>
  <c r="U198" i="2"/>
  <c r="T198" i="2"/>
  <c r="R198" i="2"/>
  <c r="Q198" i="2"/>
  <c r="P198" i="2"/>
  <c r="Y197" i="2"/>
  <c r="U197" i="2"/>
  <c r="T197" i="2"/>
  <c r="R197" i="2"/>
  <c r="Q197" i="2"/>
  <c r="P197" i="2"/>
  <c r="W196" i="2"/>
  <c r="U196" i="2"/>
  <c r="T196" i="2"/>
  <c r="S196" i="2"/>
  <c r="R196" i="2"/>
  <c r="Q196" i="2"/>
  <c r="P196" i="2"/>
  <c r="X195" i="2"/>
  <c r="U195" i="2"/>
  <c r="T195" i="2"/>
  <c r="R195" i="2"/>
  <c r="Q195" i="2"/>
  <c r="P195" i="2"/>
  <c r="Y194" i="2"/>
  <c r="U194" i="2"/>
  <c r="T194" i="2"/>
  <c r="S194" i="2"/>
  <c r="R194" i="2"/>
  <c r="Q194" i="2"/>
  <c r="P194" i="2"/>
  <c r="W193" i="2"/>
  <c r="U193" i="2"/>
  <c r="T193" i="2"/>
  <c r="R193" i="2"/>
  <c r="Q193" i="2"/>
  <c r="S193" i="2" s="1"/>
  <c r="P193" i="2"/>
  <c r="X192" i="2"/>
  <c r="U192" i="2"/>
  <c r="T192" i="2"/>
  <c r="R192" i="2"/>
  <c r="Q192" i="2"/>
  <c r="P192" i="2"/>
  <c r="Y191" i="2"/>
  <c r="U191" i="2"/>
  <c r="T191" i="2"/>
  <c r="S191" i="2"/>
  <c r="R191" i="2"/>
  <c r="Q191" i="2"/>
  <c r="P191" i="2"/>
  <c r="W190" i="2"/>
  <c r="U190" i="2"/>
  <c r="T190" i="2"/>
  <c r="S190" i="2"/>
  <c r="R190" i="2"/>
  <c r="Q190" i="2"/>
  <c r="P190" i="2"/>
  <c r="X189" i="2"/>
  <c r="U189" i="2"/>
  <c r="T189" i="2"/>
  <c r="R189" i="2"/>
  <c r="Q189" i="2"/>
  <c r="P189" i="2"/>
  <c r="Y188" i="2"/>
  <c r="U188" i="2"/>
  <c r="T188" i="2"/>
  <c r="R188" i="2"/>
  <c r="Q188" i="2"/>
  <c r="S188" i="2" s="1"/>
  <c r="P188" i="2"/>
  <c r="W187" i="2"/>
  <c r="U187" i="2"/>
  <c r="T187" i="2"/>
  <c r="R187" i="2"/>
  <c r="Q187" i="2"/>
  <c r="P187" i="2"/>
  <c r="X186" i="2"/>
  <c r="U186" i="2"/>
  <c r="T186" i="2"/>
  <c r="S186" i="2"/>
  <c r="R186" i="2"/>
  <c r="Q186" i="2"/>
  <c r="P186" i="2"/>
  <c r="Y185" i="2"/>
  <c r="U185" i="2"/>
  <c r="T185" i="2"/>
  <c r="R185" i="2"/>
  <c r="Q185" i="2"/>
  <c r="P185" i="2"/>
  <c r="W184" i="2"/>
  <c r="U184" i="2"/>
  <c r="T184" i="2"/>
  <c r="R184" i="2"/>
  <c r="Q184" i="2"/>
  <c r="P184" i="2"/>
  <c r="X183" i="2"/>
  <c r="U183" i="2"/>
  <c r="T183" i="2"/>
  <c r="R183" i="2"/>
  <c r="S183" i="2" s="1"/>
  <c r="Q183" i="2"/>
  <c r="P183" i="2"/>
  <c r="Y182" i="2"/>
  <c r="U182" i="2"/>
  <c r="T182" i="2"/>
  <c r="R182" i="2"/>
  <c r="Q182" i="2"/>
  <c r="P182" i="2"/>
  <c r="W181" i="2"/>
  <c r="U181" i="2"/>
  <c r="T181" i="2"/>
  <c r="R181" i="2"/>
  <c r="Q181" i="2"/>
  <c r="P181" i="2"/>
  <c r="X180" i="2"/>
  <c r="U180" i="2"/>
  <c r="T180" i="2"/>
  <c r="R180" i="2"/>
  <c r="Q180" i="2"/>
  <c r="S180" i="2" s="1"/>
  <c r="P180" i="2"/>
  <c r="Y179" i="2"/>
  <c r="U179" i="2"/>
  <c r="T179" i="2"/>
  <c r="R179" i="2"/>
  <c r="Q179" i="2"/>
  <c r="P179" i="2"/>
  <c r="W178" i="2"/>
  <c r="U178" i="2"/>
  <c r="T178" i="2"/>
  <c r="S178" i="2"/>
  <c r="R178" i="2"/>
  <c r="Q178" i="2"/>
  <c r="P178" i="2"/>
  <c r="X177" i="2"/>
  <c r="U177" i="2"/>
  <c r="T177" i="2"/>
  <c r="R177" i="2"/>
  <c r="Q177" i="2"/>
  <c r="P177" i="2"/>
  <c r="S177" i="2" s="1"/>
  <c r="Y176" i="2"/>
  <c r="U176" i="2"/>
  <c r="T176" i="2"/>
  <c r="R176" i="2"/>
  <c r="Q176" i="2"/>
  <c r="P176" i="2"/>
  <c r="W175" i="2"/>
  <c r="U175" i="2"/>
  <c r="T175" i="2"/>
  <c r="S175" i="2"/>
  <c r="R175" i="2"/>
  <c r="Q175" i="2"/>
  <c r="P175" i="2"/>
  <c r="X174" i="2"/>
  <c r="U174" i="2"/>
  <c r="T174" i="2"/>
  <c r="R174" i="2"/>
  <c r="Q174" i="2"/>
  <c r="P174" i="2"/>
  <c r="Y173" i="2"/>
  <c r="U173" i="2"/>
  <c r="T173" i="2"/>
  <c r="R173" i="2"/>
  <c r="Q173" i="2"/>
  <c r="P173" i="2"/>
  <c r="W172" i="2"/>
  <c r="U172" i="2"/>
  <c r="T172" i="2"/>
  <c r="R172" i="2"/>
  <c r="Q172" i="2"/>
  <c r="S172" i="2" s="1"/>
  <c r="P172" i="2"/>
  <c r="X171" i="2"/>
  <c r="U171" i="2"/>
  <c r="T171" i="2"/>
  <c r="R171" i="2"/>
  <c r="Q171" i="2"/>
  <c r="P171" i="2"/>
  <c r="Y170" i="2"/>
  <c r="U170" i="2"/>
  <c r="T170" i="2"/>
  <c r="S170" i="2"/>
  <c r="R170" i="2"/>
  <c r="Q170" i="2"/>
  <c r="P170" i="2"/>
  <c r="W169" i="2"/>
  <c r="U169" i="2"/>
  <c r="T169" i="2"/>
  <c r="R169" i="2"/>
  <c r="Q169" i="2"/>
  <c r="P169" i="2"/>
  <c r="X168" i="2"/>
  <c r="U168" i="2"/>
  <c r="T168" i="2"/>
  <c r="R168" i="2"/>
  <c r="Q168" i="2"/>
  <c r="P168" i="2"/>
  <c r="Y167" i="2"/>
  <c r="U167" i="2"/>
  <c r="T167" i="2"/>
  <c r="R167" i="2"/>
  <c r="S167" i="2" s="1"/>
  <c r="Q167" i="2"/>
  <c r="P167" i="2"/>
  <c r="W166" i="2"/>
  <c r="U166" i="2"/>
  <c r="T166" i="2"/>
  <c r="R166" i="2"/>
  <c r="Q166" i="2"/>
  <c r="P166" i="2"/>
  <c r="S166" i="2" s="1"/>
  <c r="X165" i="2"/>
  <c r="U165" i="2"/>
  <c r="T165" i="2"/>
  <c r="R165" i="2"/>
  <c r="Q165" i="2"/>
  <c r="P165" i="2"/>
  <c r="Y164" i="2"/>
  <c r="U164" i="2"/>
  <c r="T164" i="2"/>
  <c r="R164" i="2"/>
  <c r="Q164" i="2"/>
  <c r="S164" i="2" s="1"/>
  <c r="P164" i="2"/>
  <c r="W163" i="2"/>
  <c r="U163" i="2"/>
  <c r="T163" i="2"/>
  <c r="R163" i="2"/>
  <c r="Q163" i="2"/>
  <c r="P163" i="2"/>
  <c r="X162" i="2"/>
  <c r="U162" i="2"/>
  <c r="T162" i="2"/>
  <c r="S162" i="2"/>
  <c r="R162" i="2"/>
  <c r="Q162" i="2"/>
  <c r="P162" i="2"/>
  <c r="Y161" i="2"/>
  <c r="U161" i="2"/>
  <c r="T161" i="2"/>
  <c r="R161" i="2"/>
  <c r="Q161" i="2"/>
  <c r="P161" i="2"/>
  <c r="W160" i="2"/>
  <c r="U160" i="2"/>
  <c r="T160" i="2"/>
  <c r="R160" i="2"/>
  <c r="Q160" i="2"/>
  <c r="P160" i="2"/>
  <c r="X159" i="2"/>
  <c r="U159" i="2"/>
  <c r="T159" i="2"/>
  <c r="S159" i="2"/>
  <c r="R159" i="2"/>
  <c r="Q159" i="2"/>
  <c r="P159" i="2"/>
  <c r="Y158" i="2"/>
  <c r="U158" i="2"/>
  <c r="T158" i="2"/>
  <c r="R158" i="2"/>
  <c r="Q158" i="2"/>
  <c r="P158" i="2"/>
  <c r="W157" i="2"/>
  <c r="U157" i="2"/>
  <c r="T157" i="2"/>
  <c r="R157" i="2"/>
  <c r="Q157" i="2"/>
  <c r="P157" i="2"/>
  <c r="X156" i="2"/>
  <c r="U156" i="2"/>
  <c r="T156" i="2"/>
  <c r="R156" i="2"/>
  <c r="S156" i="2" s="1"/>
  <c r="Q156" i="2"/>
  <c r="P156" i="2"/>
  <c r="Y155" i="2"/>
  <c r="U155" i="2"/>
  <c r="T155" i="2"/>
  <c r="R155" i="2"/>
  <c r="Q155" i="2"/>
  <c r="P155" i="2"/>
  <c r="W154" i="2"/>
  <c r="U154" i="2"/>
  <c r="T154" i="2"/>
  <c r="S154" i="2"/>
  <c r="R154" i="2"/>
  <c r="Q154" i="2"/>
  <c r="P154" i="2"/>
  <c r="X153" i="2"/>
  <c r="U153" i="2"/>
  <c r="T153" i="2"/>
  <c r="R153" i="2"/>
  <c r="Q153" i="2"/>
  <c r="S153" i="2" s="1"/>
  <c r="P153" i="2"/>
  <c r="Y152" i="2"/>
  <c r="U152" i="2"/>
  <c r="T152" i="2"/>
  <c r="R152" i="2"/>
  <c r="Q152" i="2"/>
  <c r="P152" i="2"/>
  <c r="W151" i="2"/>
  <c r="U151" i="2"/>
  <c r="T151" i="2"/>
  <c r="R151" i="2"/>
  <c r="S151" i="2" s="1"/>
  <c r="Q151" i="2"/>
  <c r="P151" i="2"/>
  <c r="X150" i="2"/>
  <c r="U150" i="2"/>
  <c r="T150" i="2"/>
  <c r="R150" i="2"/>
  <c r="Q150" i="2"/>
  <c r="P150" i="2"/>
  <c r="S150" i="2" s="1"/>
  <c r="Y149" i="2"/>
  <c r="U149" i="2"/>
  <c r="T149" i="2"/>
  <c r="R149" i="2"/>
  <c r="Q149" i="2"/>
  <c r="P149" i="2"/>
  <c r="W148" i="2"/>
  <c r="U148" i="2"/>
  <c r="T148" i="2"/>
  <c r="R148" i="2"/>
  <c r="Q148" i="2"/>
  <c r="S148" i="2" s="1"/>
  <c r="P148" i="2"/>
  <c r="X147" i="2"/>
  <c r="U147" i="2"/>
  <c r="T147" i="2"/>
  <c r="R147" i="2"/>
  <c r="Q147" i="2"/>
  <c r="P147" i="2"/>
  <c r="Y146" i="2"/>
  <c r="U146" i="2"/>
  <c r="T146" i="2"/>
  <c r="S146" i="2"/>
  <c r="R146" i="2"/>
  <c r="Q146" i="2"/>
  <c r="P146" i="2"/>
  <c r="W145" i="2"/>
  <c r="U145" i="2"/>
  <c r="T145" i="2"/>
  <c r="R145" i="2"/>
  <c r="Q145" i="2"/>
  <c r="P145" i="2"/>
  <c r="X144" i="2"/>
  <c r="U144" i="2"/>
  <c r="T144" i="2"/>
  <c r="R144" i="2"/>
  <c r="Q144" i="2"/>
  <c r="P144" i="2"/>
  <c r="Y143" i="2"/>
  <c r="U143" i="2"/>
  <c r="T143" i="2"/>
  <c r="R143" i="2"/>
  <c r="S143" i="2" s="1"/>
  <c r="Q143" i="2"/>
  <c r="P143" i="2"/>
  <c r="W142" i="2"/>
  <c r="U142" i="2"/>
  <c r="T142" i="2"/>
  <c r="R142" i="2"/>
  <c r="Q142" i="2"/>
  <c r="P142" i="2"/>
  <c r="X141" i="2"/>
  <c r="U141" i="2"/>
  <c r="T141" i="2"/>
  <c r="R141" i="2"/>
  <c r="Q141" i="2"/>
  <c r="P141" i="2"/>
  <c r="Y140" i="2"/>
  <c r="U140" i="2"/>
  <c r="T140" i="2"/>
  <c r="R140" i="2"/>
  <c r="Q140" i="2"/>
  <c r="S140" i="2" s="1"/>
  <c r="P140" i="2"/>
  <c r="W139" i="2"/>
  <c r="U139" i="2"/>
  <c r="T139" i="2"/>
  <c r="R139" i="2"/>
  <c r="Q139" i="2"/>
  <c r="P139" i="2"/>
  <c r="X138" i="2"/>
  <c r="U138" i="2"/>
  <c r="T138" i="2"/>
  <c r="S138" i="2"/>
  <c r="R138" i="2"/>
  <c r="Q138" i="2"/>
  <c r="P138" i="2"/>
  <c r="Y137" i="2"/>
  <c r="U137" i="2"/>
  <c r="T137" i="2"/>
  <c r="R137" i="2"/>
  <c r="Q137" i="2"/>
  <c r="I14" i="15" s="1"/>
  <c r="P137" i="2"/>
  <c r="W136" i="2"/>
  <c r="U136" i="2"/>
  <c r="T136" i="2"/>
  <c r="R136" i="2"/>
  <c r="Q136" i="2"/>
  <c r="P136" i="2"/>
  <c r="X135" i="2"/>
  <c r="U135" i="2"/>
  <c r="T135" i="2"/>
  <c r="S135" i="2"/>
  <c r="R135" i="2"/>
  <c r="Q135" i="2"/>
  <c r="P135" i="2"/>
  <c r="Y134" i="2"/>
  <c r="U134" i="2"/>
  <c r="T134" i="2"/>
  <c r="R134" i="2"/>
  <c r="Q134" i="2"/>
  <c r="P134" i="2"/>
  <c r="W133" i="2"/>
  <c r="U133" i="2"/>
  <c r="T133" i="2"/>
  <c r="R133" i="2"/>
  <c r="Q133" i="2"/>
  <c r="P133" i="2"/>
  <c r="X132" i="2"/>
  <c r="U132" i="2"/>
  <c r="T132" i="2"/>
  <c r="S132" i="2"/>
  <c r="R132" i="2"/>
  <c r="Q132" i="2"/>
  <c r="P132" i="2"/>
  <c r="Y131" i="2"/>
  <c r="U131" i="2"/>
  <c r="T131" i="2"/>
  <c r="R131" i="2"/>
  <c r="Q131" i="2"/>
  <c r="P131" i="2"/>
  <c r="W130" i="2"/>
  <c r="U130" i="2"/>
  <c r="T130" i="2"/>
  <c r="S130" i="2"/>
  <c r="R130" i="2"/>
  <c r="Q130" i="2"/>
  <c r="P130" i="2"/>
  <c r="X129" i="2"/>
  <c r="U129" i="2"/>
  <c r="T129" i="2"/>
  <c r="R129" i="2"/>
  <c r="S129" i="2" s="1"/>
  <c r="Q129" i="2"/>
  <c r="P129" i="2"/>
  <c r="Y128" i="2"/>
  <c r="U128" i="2"/>
  <c r="T128" i="2"/>
  <c r="R128" i="2"/>
  <c r="Q128" i="2"/>
  <c r="P128" i="2"/>
  <c r="W127" i="2"/>
  <c r="U127" i="2"/>
  <c r="T127" i="2"/>
  <c r="R127" i="2"/>
  <c r="S127" i="2" s="1"/>
  <c r="Q127" i="2"/>
  <c r="P127" i="2"/>
  <c r="X126" i="2"/>
  <c r="U126" i="2"/>
  <c r="T126" i="2"/>
  <c r="R126" i="2"/>
  <c r="Q126" i="2"/>
  <c r="S126" i="2" s="1"/>
  <c r="P126" i="2"/>
  <c r="Y125" i="2"/>
  <c r="U125" i="2"/>
  <c r="T125" i="2"/>
  <c r="R125" i="2"/>
  <c r="Q125" i="2"/>
  <c r="P125" i="2"/>
  <c r="W124" i="2"/>
  <c r="U124" i="2"/>
  <c r="T124" i="2"/>
  <c r="R124" i="2"/>
  <c r="Q124" i="2"/>
  <c r="S124" i="2" s="1"/>
  <c r="P124" i="2"/>
  <c r="X123" i="2"/>
  <c r="U123" i="2"/>
  <c r="T123" i="2"/>
  <c r="R123" i="2"/>
  <c r="Q123" i="2"/>
  <c r="P123" i="2"/>
  <c r="Y122" i="2"/>
  <c r="U122" i="2"/>
  <c r="T122" i="2"/>
  <c r="S122" i="2"/>
  <c r="R122" i="2"/>
  <c r="Q122" i="2"/>
  <c r="P122" i="2"/>
  <c r="W121" i="2"/>
  <c r="U121" i="2"/>
  <c r="T121" i="2"/>
  <c r="R121" i="2"/>
  <c r="Q121" i="2"/>
  <c r="P121" i="2"/>
  <c r="X120" i="2"/>
  <c r="U120" i="2"/>
  <c r="T120" i="2"/>
  <c r="R120" i="2"/>
  <c r="Q120" i="2"/>
  <c r="P120" i="2"/>
  <c r="Y119" i="2"/>
  <c r="U119" i="2"/>
  <c r="T119" i="2"/>
  <c r="S119" i="2"/>
  <c r="R119" i="2"/>
  <c r="Q119" i="2"/>
  <c r="P119" i="2"/>
  <c r="W118" i="2"/>
  <c r="U118" i="2"/>
  <c r="T118" i="2"/>
  <c r="R118" i="2"/>
  <c r="Q118" i="2"/>
  <c r="P118" i="2"/>
  <c r="X117" i="2"/>
  <c r="U117" i="2"/>
  <c r="T117" i="2"/>
  <c r="R117" i="2"/>
  <c r="Q117" i="2"/>
  <c r="P117" i="2"/>
  <c r="Y116" i="2"/>
  <c r="U116" i="2"/>
  <c r="T116" i="2"/>
  <c r="R116" i="2"/>
  <c r="Q116" i="2"/>
  <c r="S116" i="2" s="1"/>
  <c r="P116" i="2"/>
  <c r="W115" i="2"/>
  <c r="U115" i="2"/>
  <c r="T115" i="2"/>
  <c r="R115" i="2"/>
  <c r="Q115" i="2"/>
  <c r="P115" i="2"/>
  <c r="X114" i="2"/>
  <c r="U114" i="2"/>
  <c r="T114" i="2"/>
  <c r="S114" i="2"/>
  <c r="R114" i="2"/>
  <c r="Q114" i="2"/>
  <c r="P114" i="2"/>
  <c r="Y113" i="2"/>
  <c r="U113" i="2"/>
  <c r="T113" i="2"/>
  <c r="R113" i="2"/>
  <c r="Q113" i="2"/>
  <c r="S113" i="2" s="1"/>
  <c r="P113" i="2"/>
  <c r="W112" i="2"/>
  <c r="U112" i="2"/>
  <c r="T112" i="2"/>
  <c r="R112" i="2"/>
  <c r="Q112" i="2"/>
  <c r="P112" i="2"/>
  <c r="X111" i="2"/>
  <c r="U111" i="2"/>
  <c r="T111" i="2"/>
  <c r="R111" i="2"/>
  <c r="S111" i="2" s="1"/>
  <c r="Q111" i="2"/>
  <c r="P111" i="2"/>
  <c r="Y110" i="2"/>
  <c r="U110" i="2"/>
  <c r="T110" i="2"/>
  <c r="R110" i="2"/>
  <c r="Q110" i="2"/>
  <c r="P110" i="2"/>
  <c r="W109" i="2"/>
  <c r="U109" i="2"/>
  <c r="T109" i="2"/>
  <c r="R109" i="2"/>
  <c r="Q109" i="2"/>
  <c r="P109" i="2"/>
  <c r="X108" i="2"/>
  <c r="U108" i="2"/>
  <c r="T108" i="2"/>
  <c r="R108" i="2"/>
  <c r="Q108" i="2"/>
  <c r="S108" i="2" s="1"/>
  <c r="P108" i="2"/>
  <c r="Y107" i="2"/>
  <c r="U107" i="2"/>
  <c r="T107" i="2"/>
  <c r="R107" i="2"/>
  <c r="Q107" i="2"/>
  <c r="P107" i="2"/>
  <c r="W106" i="2"/>
  <c r="U106" i="2"/>
  <c r="T106" i="2"/>
  <c r="S106" i="2"/>
  <c r="R106" i="2"/>
  <c r="Q106" i="2"/>
  <c r="P106" i="2"/>
  <c r="X105" i="2"/>
  <c r="U105" i="2"/>
  <c r="T105" i="2"/>
  <c r="S105" i="2"/>
  <c r="R105" i="2"/>
  <c r="Q105" i="2"/>
  <c r="P105" i="2"/>
  <c r="Y104" i="2"/>
  <c r="U104" i="2"/>
  <c r="T104" i="2"/>
  <c r="R104" i="2"/>
  <c r="Q104" i="2"/>
  <c r="P104" i="2"/>
  <c r="W103" i="2"/>
  <c r="U103" i="2"/>
  <c r="T103" i="2"/>
  <c r="R103" i="2"/>
  <c r="S103" i="2" s="1"/>
  <c r="Q103" i="2"/>
  <c r="P103" i="2"/>
  <c r="X102" i="2"/>
  <c r="U102" i="2"/>
  <c r="T102" i="2"/>
  <c r="R102" i="2"/>
  <c r="S102" i="2" s="1"/>
  <c r="Q102" i="2"/>
  <c r="P102" i="2"/>
  <c r="Y101" i="2"/>
  <c r="U101" i="2"/>
  <c r="T101" i="2"/>
  <c r="R101" i="2"/>
  <c r="Q101" i="2"/>
  <c r="P101" i="2"/>
  <c r="W100" i="2"/>
  <c r="U100" i="2"/>
  <c r="T100" i="2"/>
  <c r="R100" i="2"/>
  <c r="Q100" i="2"/>
  <c r="S100" i="2" s="1"/>
  <c r="P100" i="2"/>
  <c r="X99" i="2"/>
  <c r="U99" i="2"/>
  <c r="T99" i="2"/>
  <c r="R99" i="2"/>
  <c r="Q99" i="2"/>
  <c r="P99" i="2"/>
  <c r="Y98" i="2"/>
  <c r="U98" i="2"/>
  <c r="T98" i="2"/>
  <c r="S98" i="2"/>
  <c r="R98" i="2"/>
  <c r="Q98" i="2"/>
  <c r="P98" i="2"/>
  <c r="W97" i="2"/>
  <c r="U97" i="2"/>
  <c r="T97" i="2"/>
  <c r="R97" i="2"/>
  <c r="Q97" i="2"/>
  <c r="P97" i="2"/>
  <c r="S97" i="2" s="1"/>
  <c r="X96" i="2"/>
  <c r="U96" i="2"/>
  <c r="T96" i="2"/>
  <c r="R96" i="2"/>
  <c r="Q96" i="2"/>
  <c r="P96" i="2"/>
  <c r="Y95" i="2"/>
  <c r="U95" i="2"/>
  <c r="T95" i="2"/>
  <c r="S95" i="2"/>
  <c r="R95" i="2"/>
  <c r="Q95" i="2"/>
  <c r="P95" i="2"/>
  <c r="W94" i="2"/>
  <c r="U94" i="2"/>
  <c r="T94" i="2"/>
  <c r="R94" i="2"/>
  <c r="Q94" i="2"/>
  <c r="P94" i="2"/>
  <c r="S94" i="2" s="1"/>
  <c r="X93" i="2"/>
  <c r="U93" i="2"/>
  <c r="T93" i="2"/>
  <c r="R93" i="2"/>
  <c r="Q93" i="2"/>
  <c r="P93" i="2"/>
  <c r="Y92" i="2"/>
  <c r="U92" i="2"/>
  <c r="T92" i="2"/>
  <c r="R92" i="2"/>
  <c r="S92" i="2" s="1"/>
  <c r="Q92" i="2"/>
  <c r="P92" i="2"/>
  <c r="W91" i="2"/>
  <c r="U91" i="2"/>
  <c r="T91" i="2"/>
  <c r="R91" i="2"/>
  <c r="Q91" i="2"/>
  <c r="P91" i="2"/>
  <c r="X90" i="2"/>
  <c r="U90" i="2"/>
  <c r="T90" i="2"/>
  <c r="S90" i="2"/>
  <c r="R90" i="2"/>
  <c r="Q90" i="2"/>
  <c r="P90" i="2"/>
  <c r="Y89" i="2"/>
  <c r="U89" i="2"/>
  <c r="T89" i="2"/>
  <c r="R89" i="2"/>
  <c r="S89" i="2" s="1"/>
  <c r="Q89" i="2"/>
  <c r="P89" i="2"/>
  <c r="W88" i="2"/>
  <c r="U88" i="2"/>
  <c r="T88" i="2"/>
  <c r="R88" i="2"/>
  <c r="Q88" i="2"/>
  <c r="P88" i="2"/>
  <c r="X87" i="2"/>
  <c r="U87" i="2"/>
  <c r="T87" i="2"/>
  <c r="R87" i="2"/>
  <c r="S87" i="2" s="1"/>
  <c r="Q87" i="2"/>
  <c r="P87" i="2"/>
  <c r="Y86" i="2"/>
  <c r="U86" i="2"/>
  <c r="T86" i="2"/>
  <c r="R86" i="2"/>
  <c r="S86" i="2" s="1"/>
  <c r="Q86" i="2"/>
  <c r="P86" i="2"/>
  <c r="W85" i="2"/>
  <c r="U85" i="2"/>
  <c r="T85" i="2"/>
  <c r="R85" i="2"/>
  <c r="Q85" i="2"/>
  <c r="P85" i="2"/>
  <c r="X84" i="2"/>
  <c r="U84" i="2"/>
  <c r="T84" i="2"/>
  <c r="R84" i="2"/>
  <c r="Q84" i="2"/>
  <c r="P84" i="2"/>
  <c r="Y83" i="2"/>
  <c r="U83" i="2"/>
  <c r="T83" i="2"/>
  <c r="R83" i="2"/>
  <c r="Q83" i="2"/>
  <c r="P83" i="2"/>
  <c r="W82" i="2"/>
  <c r="U82" i="2"/>
  <c r="T82" i="2"/>
  <c r="R82" i="2"/>
  <c r="S82" i="2" s="1"/>
  <c r="Q82" i="2"/>
  <c r="P82" i="2"/>
  <c r="X81" i="2"/>
  <c r="U81" i="2"/>
  <c r="T81" i="2"/>
  <c r="R81" i="2"/>
  <c r="Q81" i="2"/>
  <c r="S81" i="2" s="1"/>
  <c r="P81" i="2"/>
  <c r="Y80" i="2"/>
  <c r="U80" i="2"/>
  <c r="T80" i="2"/>
  <c r="R80" i="2"/>
  <c r="Q80" i="2"/>
  <c r="P80" i="2"/>
  <c r="W79" i="2"/>
  <c r="U79" i="2"/>
  <c r="T79" i="2"/>
  <c r="R79" i="2"/>
  <c r="Q79" i="2"/>
  <c r="S79" i="2" s="1"/>
  <c r="P79" i="2"/>
  <c r="X78" i="2"/>
  <c r="U78" i="2"/>
  <c r="T78" i="2"/>
  <c r="S78" i="2"/>
  <c r="R78" i="2"/>
  <c r="Q78" i="2"/>
  <c r="P78" i="2"/>
  <c r="Y77" i="2"/>
  <c r="U77" i="2"/>
  <c r="T77" i="2"/>
  <c r="R77" i="2"/>
  <c r="Q77" i="2"/>
  <c r="P77" i="2"/>
  <c r="S77" i="2" s="1"/>
  <c r="W76" i="2"/>
  <c r="U76" i="2"/>
  <c r="T76" i="2"/>
  <c r="S76" i="2"/>
  <c r="R76" i="2"/>
  <c r="Q76" i="2"/>
  <c r="P76" i="2"/>
  <c r="X75" i="2"/>
  <c r="U75" i="2"/>
  <c r="T75" i="2"/>
  <c r="R75" i="2"/>
  <c r="Q75" i="2"/>
  <c r="P75" i="2"/>
  <c r="Y74" i="2"/>
  <c r="U74" i="2"/>
  <c r="T74" i="2"/>
  <c r="R74" i="2"/>
  <c r="S74" i="2" s="1"/>
  <c r="Q74" i="2"/>
  <c r="P74" i="2"/>
  <c r="W73" i="2"/>
  <c r="U73" i="2"/>
  <c r="T73" i="2"/>
  <c r="R73" i="2"/>
  <c r="Q73" i="2"/>
  <c r="P73" i="2"/>
  <c r="X72" i="2"/>
  <c r="U72" i="2"/>
  <c r="T72" i="2"/>
  <c r="R72" i="2"/>
  <c r="Q72" i="2"/>
  <c r="P72" i="2"/>
  <c r="Y71" i="2"/>
  <c r="U71" i="2"/>
  <c r="T71" i="2"/>
  <c r="R71" i="2"/>
  <c r="S71" i="2" s="1"/>
  <c r="Q71" i="2"/>
  <c r="P71" i="2"/>
  <c r="W70" i="2"/>
  <c r="U70" i="2"/>
  <c r="T70" i="2"/>
  <c r="R70" i="2"/>
  <c r="Q70" i="2"/>
  <c r="P70" i="2"/>
  <c r="X69" i="2"/>
  <c r="U69" i="2"/>
  <c r="T69" i="2"/>
  <c r="S69" i="2"/>
  <c r="R69" i="2"/>
  <c r="Q69" i="2"/>
  <c r="P69" i="2"/>
  <c r="Y68" i="2"/>
  <c r="U68" i="2"/>
  <c r="T68" i="2"/>
  <c r="R68" i="2"/>
  <c r="Q68" i="2"/>
  <c r="P68" i="2"/>
  <c r="S68" i="2" s="1"/>
  <c r="W67" i="2"/>
  <c r="U67" i="2"/>
  <c r="T67" i="2"/>
  <c r="R67" i="2"/>
  <c r="Q67" i="2"/>
  <c r="P67" i="2"/>
  <c r="X66" i="2"/>
  <c r="U66" i="2"/>
  <c r="T66" i="2"/>
  <c r="R66" i="2"/>
  <c r="S66" i="2" s="1"/>
  <c r="Q66" i="2"/>
  <c r="P66" i="2"/>
  <c r="Y65" i="2"/>
  <c r="U65" i="2"/>
  <c r="T65" i="2"/>
  <c r="R65" i="2"/>
  <c r="Q65" i="2"/>
  <c r="P65" i="2"/>
  <c r="W64" i="2"/>
  <c r="U64" i="2"/>
  <c r="T64" i="2"/>
  <c r="R64" i="2"/>
  <c r="Q64" i="2"/>
  <c r="P64" i="2"/>
  <c r="X63" i="2"/>
  <c r="U63" i="2"/>
  <c r="T63" i="2"/>
  <c r="R63" i="2"/>
  <c r="Q63" i="2"/>
  <c r="S63" i="2" s="1"/>
  <c r="P63" i="2"/>
  <c r="Y62" i="2"/>
  <c r="U62" i="2"/>
  <c r="T62" i="2"/>
  <c r="R62" i="2"/>
  <c r="Q62" i="2"/>
  <c r="I9" i="15" s="1"/>
  <c r="P62" i="2"/>
  <c r="S62" i="2" s="1"/>
  <c r="W61" i="2"/>
  <c r="U61" i="2"/>
  <c r="T61" i="2"/>
  <c r="S61" i="2"/>
  <c r="R61" i="2"/>
  <c r="Q61" i="2"/>
  <c r="P61" i="2"/>
  <c r="X60" i="2"/>
  <c r="U60" i="2"/>
  <c r="T60" i="2"/>
  <c r="R60" i="2"/>
  <c r="Q60" i="2"/>
  <c r="P60" i="2"/>
  <c r="Y59" i="2"/>
  <c r="U59" i="2"/>
  <c r="T59" i="2"/>
  <c r="R59" i="2"/>
  <c r="Q59" i="2"/>
  <c r="P59" i="2"/>
  <c r="W58" i="2"/>
  <c r="U58" i="2"/>
  <c r="T58" i="2"/>
  <c r="S58" i="2"/>
  <c r="R58" i="2"/>
  <c r="Q58" i="2"/>
  <c r="P58" i="2"/>
  <c r="X57" i="2"/>
  <c r="U57" i="2"/>
  <c r="T57" i="2"/>
  <c r="R57" i="2"/>
  <c r="Q57" i="2"/>
  <c r="P57" i="2"/>
  <c r="Y56" i="2"/>
  <c r="U56" i="2"/>
  <c r="T56" i="2"/>
  <c r="R56" i="2"/>
  <c r="Q56" i="2"/>
  <c r="P56" i="2"/>
  <c r="W55" i="2"/>
  <c r="U55" i="2"/>
  <c r="T55" i="2"/>
  <c r="R55" i="2"/>
  <c r="Q55" i="2"/>
  <c r="S55" i="2" s="1"/>
  <c r="P55" i="2"/>
  <c r="X54" i="2"/>
  <c r="U54" i="2"/>
  <c r="T54" i="2"/>
  <c r="R54" i="2"/>
  <c r="Q54" i="2"/>
  <c r="S54" i="2" s="1"/>
  <c r="P54" i="2"/>
  <c r="Y53" i="2"/>
  <c r="U53" i="2"/>
  <c r="T53" i="2"/>
  <c r="R53" i="2"/>
  <c r="Q53" i="2"/>
  <c r="P53" i="2"/>
  <c r="W52" i="2"/>
  <c r="U52" i="2"/>
  <c r="T52" i="2"/>
  <c r="R52" i="2"/>
  <c r="Q52" i="2"/>
  <c r="S52" i="2" s="1"/>
  <c r="P52" i="2"/>
  <c r="X51" i="2"/>
  <c r="U51" i="2"/>
  <c r="T51" i="2"/>
  <c r="R51" i="2"/>
  <c r="Q51" i="2"/>
  <c r="P51" i="2"/>
  <c r="Y50" i="2"/>
  <c r="U50" i="2"/>
  <c r="T50" i="2"/>
  <c r="R50" i="2"/>
  <c r="Q50" i="2"/>
  <c r="P50" i="2"/>
  <c r="W49" i="2"/>
  <c r="U49" i="2"/>
  <c r="T49" i="2"/>
  <c r="S49" i="2"/>
  <c r="R49" i="2"/>
  <c r="Q49" i="2"/>
  <c r="P49" i="2"/>
  <c r="X48" i="2"/>
  <c r="U48" i="2"/>
  <c r="T48" i="2"/>
  <c r="R48" i="2"/>
  <c r="Q48" i="2"/>
  <c r="P48" i="2"/>
  <c r="Y47" i="2"/>
  <c r="U47" i="2"/>
  <c r="T47" i="2"/>
  <c r="R47" i="2"/>
  <c r="S47" i="2" s="1"/>
  <c r="Q47" i="2"/>
  <c r="P47" i="2"/>
  <c r="W46" i="2"/>
  <c r="U46" i="2"/>
  <c r="T46" i="2"/>
  <c r="R46" i="2"/>
  <c r="Q46" i="2"/>
  <c r="P46" i="2"/>
  <c r="X45" i="2"/>
  <c r="U45" i="2"/>
  <c r="T45" i="2"/>
  <c r="S45" i="2"/>
  <c r="R45" i="2"/>
  <c r="Q45" i="2"/>
  <c r="P45" i="2"/>
  <c r="Y44" i="2"/>
  <c r="U44" i="2"/>
  <c r="T44" i="2"/>
  <c r="R44" i="2"/>
  <c r="Q44" i="2"/>
  <c r="P44" i="2"/>
  <c r="W43" i="2"/>
  <c r="U43" i="2"/>
  <c r="T43" i="2"/>
  <c r="S43" i="2"/>
  <c r="R43" i="2"/>
  <c r="Q43" i="2"/>
  <c r="P43" i="2"/>
  <c r="X42" i="2"/>
  <c r="U42" i="2"/>
  <c r="T42" i="2"/>
  <c r="R42" i="2"/>
  <c r="Q42" i="2"/>
  <c r="P42" i="2"/>
  <c r="Y41" i="2"/>
  <c r="U41" i="2"/>
  <c r="T41" i="2"/>
  <c r="R41" i="2"/>
  <c r="Q41" i="2"/>
  <c r="P41" i="2"/>
  <c r="W40" i="2"/>
  <c r="U40" i="2"/>
  <c r="T40" i="2"/>
  <c r="R40" i="2"/>
  <c r="S40" i="2" s="1"/>
  <c r="Q40" i="2"/>
  <c r="P40" i="2"/>
  <c r="X39" i="2"/>
  <c r="U39" i="2"/>
  <c r="T39" i="2"/>
  <c r="R39" i="2"/>
  <c r="Q39" i="2"/>
  <c r="P39" i="2"/>
  <c r="Y38" i="2"/>
  <c r="U38" i="2"/>
  <c r="T38" i="2"/>
  <c r="R38" i="2"/>
  <c r="Q38" i="2"/>
  <c r="P38" i="2"/>
  <c r="S38" i="2" s="1"/>
  <c r="W37" i="2"/>
  <c r="U37" i="2"/>
  <c r="T37" i="2"/>
  <c r="R37" i="2"/>
  <c r="Q37" i="2"/>
  <c r="S37" i="2" s="1"/>
  <c r="P37" i="2"/>
  <c r="X36" i="2"/>
  <c r="U36" i="2"/>
  <c r="T36" i="2"/>
  <c r="R36" i="2"/>
  <c r="Q36" i="2"/>
  <c r="P36" i="2"/>
  <c r="Y35" i="2"/>
  <c r="U35" i="2"/>
  <c r="T35" i="2"/>
  <c r="S35" i="2"/>
  <c r="R35" i="2"/>
  <c r="Q35" i="2"/>
  <c r="P35" i="2"/>
  <c r="W34" i="2"/>
  <c r="U34" i="2"/>
  <c r="T34" i="2"/>
  <c r="R34" i="2"/>
  <c r="Q34" i="2"/>
  <c r="P34" i="2"/>
  <c r="X33" i="2"/>
  <c r="U33" i="2"/>
  <c r="T33" i="2"/>
  <c r="R33" i="2"/>
  <c r="Q33" i="2"/>
  <c r="P33" i="2"/>
  <c r="Y32" i="2"/>
  <c r="U32" i="2"/>
  <c r="T32" i="2"/>
  <c r="R32" i="2"/>
  <c r="S32" i="2" s="1"/>
  <c r="Q32" i="2"/>
  <c r="P32" i="2"/>
  <c r="W31" i="2"/>
  <c r="U31" i="2"/>
  <c r="T31" i="2"/>
  <c r="R31" i="2"/>
  <c r="Q31" i="2"/>
  <c r="P31" i="2"/>
  <c r="X30" i="2"/>
  <c r="U30" i="2"/>
  <c r="T30" i="2"/>
  <c r="R30" i="2"/>
  <c r="Q30" i="2"/>
  <c r="P30" i="2"/>
  <c r="S30" i="2" s="1"/>
  <c r="Y29" i="2"/>
  <c r="U29" i="2"/>
  <c r="T29" i="2"/>
  <c r="R29" i="2"/>
  <c r="Q29" i="2"/>
  <c r="S29" i="2" s="1"/>
  <c r="P29" i="2"/>
  <c r="W28" i="2"/>
  <c r="U28" i="2"/>
  <c r="T28" i="2"/>
  <c r="R28" i="2"/>
  <c r="Q28" i="2"/>
  <c r="P28" i="2"/>
  <c r="X27" i="2"/>
  <c r="U27" i="2"/>
  <c r="T27" i="2"/>
  <c r="S27" i="2"/>
  <c r="R27" i="2"/>
  <c r="Q27" i="2"/>
  <c r="P27" i="2"/>
  <c r="Y26" i="2"/>
  <c r="U26" i="2"/>
  <c r="T26" i="2"/>
  <c r="R26" i="2"/>
  <c r="Q26" i="2"/>
  <c r="P26" i="2"/>
  <c r="W25" i="2"/>
  <c r="U25" i="2"/>
  <c r="T25" i="2"/>
  <c r="R25" i="2"/>
  <c r="Q25" i="2"/>
  <c r="P25" i="2"/>
  <c r="X24" i="2"/>
  <c r="U24" i="2"/>
  <c r="T24" i="2"/>
  <c r="R24" i="2"/>
  <c r="S24" i="2" s="1"/>
  <c r="Q24" i="2"/>
  <c r="P24" i="2"/>
  <c r="Y23" i="2"/>
  <c r="U23" i="2"/>
  <c r="T23" i="2"/>
  <c r="R23" i="2"/>
  <c r="Q23" i="2"/>
  <c r="P23" i="2"/>
  <c r="W22" i="2"/>
  <c r="U22" i="2"/>
  <c r="T22" i="2"/>
  <c r="R22" i="2"/>
  <c r="Q22" i="2"/>
  <c r="P22" i="2"/>
  <c r="S22" i="2" s="1"/>
  <c r="X21" i="2"/>
  <c r="U21" i="2"/>
  <c r="T21" i="2"/>
  <c r="R21" i="2"/>
  <c r="Q21" i="2"/>
  <c r="S21" i="2" s="1"/>
  <c r="P21" i="2"/>
  <c r="Y20" i="2"/>
  <c r="U20" i="2"/>
  <c r="T20" i="2"/>
  <c r="R20" i="2"/>
  <c r="Q20" i="2"/>
  <c r="P20" i="2"/>
  <c r="W19" i="2"/>
  <c r="U19" i="2"/>
  <c r="T19" i="2"/>
  <c r="S19" i="2"/>
  <c r="R19" i="2"/>
  <c r="Q19" i="2"/>
  <c r="P19" i="2"/>
  <c r="X18" i="2"/>
  <c r="U18" i="2"/>
  <c r="T18" i="2"/>
  <c r="R18" i="2"/>
  <c r="Q18" i="2"/>
  <c r="P18" i="2"/>
  <c r="Y17" i="2"/>
  <c r="U17" i="2"/>
  <c r="T17" i="2"/>
  <c r="R17" i="2"/>
  <c r="Q17" i="2"/>
  <c r="P17" i="2"/>
  <c r="W16" i="2"/>
  <c r="U16" i="2"/>
  <c r="T16" i="2"/>
  <c r="R16" i="2"/>
  <c r="S16" i="2" s="1"/>
  <c r="Q16" i="2"/>
  <c r="P16" i="2"/>
  <c r="X15" i="2"/>
  <c r="U15" i="2"/>
  <c r="T15" i="2"/>
  <c r="R15" i="2"/>
  <c r="Q15" i="2"/>
  <c r="P15" i="2"/>
  <c r="Y14" i="2"/>
  <c r="U14" i="2"/>
  <c r="T14" i="2"/>
  <c r="R14" i="2"/>
  <c r="Q14" i="2"/>
  <c r="P14" i="2"/>
  <c r="S14" i="2" s="1"/>
  <c r="W13" i="2"/>
  <c r="U13" i="2"/>
  <c r="T13" i="2"/>
  <c r="R13" i="2"/>
  <c r="Q13" i="2"/>
  <c r="S13" i="2" s="1"/>
  <c r="P13" i="2"/>
  <c r="X12" i="2"/>
  <c r="U12" i="2"/>
  <c r="T12" i="2"/>
  <c r="R12" i="2"/>
  <c r="Q12" i="2"/>
  <c r="P12" i="2"/>
  <c r="Y11" i="2"/>
  <c r="U11" i="2"/>
  <c r="T11" i="2"/>
  <c r="S11" i="2"/>
  <c r="R11" i="2"/>
  <c r="Q11" i="2"/>
  <c r="P11" i="2"/>
  <c r="W10" i="2"/>
  <c r="U10" i="2"/>
  <c r="T10" i="2"/>
  <c r="R10" i="2"/>
  <c r="Q10" i="2"/>
  <c r="P10" i="2"/>
  <c r="X9" i="2"/>
  <c r="U9" i="2"/>
  <c r="T9" i="2"/>
  <c r="R9" i="2"/>
  <c r="Q9" i="2"/>
  <c r="P9" i="2"/>
  <c r="Y8" i="2"/>
  <c r="U8" i="2"/>
  <c r="T8" i="2"/>
  <c r="R8" i="2"/>
  <c r="S8" i="2" s="1"/>
  <c r="Q8" i="2"/>
  <c r="P8" i="2"/>
  <c r="W7" i="2"/>
  <c r="U7" i="2"/>
  <c r="T7" i="2"/>
  <c r="R7" i="2"/>
  <c r="Q7" i="2"/>
  <c r="P7" i="2"/>
  <c r="S7" i="2" s="1"/>
  <c r="X6" i="2"/>
  <c r="U6" i="2"/>
  <c r="T6" i="2"/>
  <c r="R6" i="2"/>
  <c r="Q6" i="2"/>
  <c r="P6" i="2"/>
  <c r="Y5" i="2"/>
  <c r="U5" i="2"/>
  <c r="T5" i="2"/>
  <c r="R5" i="2"/>
  <c r="Q5" i="2"/>
  <c r="S5" i="2" s="1"/>
  <c r="P5" i="2"/>
  <c r="W4" i="2"/>
  <c r="U4" i="2"/>
  <c r="T4" i="2"/>
  <c r="R4" i="2"/>
  <c r="Q4" i="2"/>
  <c r="P4" i="2"/>
  <c r="X3" i="2"/>
  <c r="U3" i="2"/>
  <c r="T3" i="2"/>
  <c r="S3" i="2"/>
  <c r="R3" i="2"/>
  <c r="Q3" i="2"/>
  <c r="P3" i="2"/>
  <c r="Y2" i="2"/>
  <c r="U2" i="2"/>
  <c r="T2" i="2"/>
  <c r="R2" i="2"/>
  <c r="Q2" i="2"/>
  <c r="P2" i="2"/>
  <c r="G29" i="5" l="1"/>
  <c r="F29" i="5"/>
  <c r="E29" i="5"/>
  <c r="J29" i="5"/>
  <c r="I29" i="5"/>
  <c r="H29" i="5"/>
  <c r="S26" i="2"/>
  <c r="G13" i="5"/>
  <c r="F13" i="5"/>
  <c r="E13" i="5"/>
  <c r="J13" i="5"/>
  <c r="I13" i="5"/>
  <c r="H13" i="5"/>
  <c r="S10" i="2"/>
  <c r="G21" i="5"/>
  <c r="F21" i="5"/>
  <c r="E21" i="5"/>
  <c r="J21" i="5"/>
  <c r="I21" i="5"/>
  <c r="H21" i="5"/>
  <c r="S18" i="2"/>
  <c r="H5" i="15"/>
  <c r="G5" i="5"/>
  <c r="F5" i="5"/>
  <c r="E5" i="5"/>
  <c r="J5" i="5"/>
  <c r="I5" i="5"/>
  <c r="H5" i="5"/>
  <c r="S2" i="2"/>
  <c r="G37" i="5"/>
  <c r="F37" i="5"/>
  <c r="E37" i="5"/>
  <c r="J37" i="5"/>
  <c r="I37" i="5"/>
  <c r="H37" i="5"/>
  <c r="S34" i="2"/>
  <c r="G45" i="5"/>
  <c r="F45" i="5"/>
  <c r="E45" i="5"/>
  <c r="J45" i="5"/>
  <c r="I45" i="5"/>
  <c r="H45" i="5"/>
  <c r="S42" i="2"/>
  <c r="F136" i="5"/>
  <c r="E136" i="5"/>
  <c r="J136" i="5"/>
  <c r="I136" i="5"/>
  <c r="H136" i="5"/>
  <c r="G136" i="5"/>
  <c r="S133" i="2"/>
  <c r="J377" i="5"/>
  <c r="I377" i="5"/>
  <c r="H377" i="5"/>
  <c r="G377" i="5"/>
  <c r="F377" i="5"/>
  <c r="E377" i="5"/>
  <c r="S374" i="2"/>
  <c r="J26" i="5"/>
  <c r="I26" i="5"/>
  <c r="H26" i="5"/>
  <c r="G26" i="5"/>
  <c r="F26" i="5"/>
  <c r="E26" i="5"/>
  <c r="J124" i="5"/>
  <c r="I124" i="5"/>
  <c r="H124" i="5"/>
  <c r="G124" i="5"/>
  <c r="E124" i="5"/>
  <c r="F124" i="5"/>
  <c r="J150" i="5"/>
  <c r="I150" i="5"/>
  <c r="H150" i="5"/>
  <c r="G150" i="5"/>
  <c r="F150" i="5"/>
  <c r="E150" i="5"/>
  <c r="S147" i="2"/>
  <c r="H6" i="15"/>
  <c r="F20" i="5"/>
  <c r="E20" i="5"/>
  <c r="J20" i="5"/>
  <c r="I20" i="5"/>
  <c r="H20" i="5"/>
  <c r="G20" i="5"/>
  <c r="G145" i="5"/>
  <c r="F145" i="5"/>
  <c r="E145" i="5"/>
  <c r="J145" i="5"/>
  <c r="I145" i="5"/>
  <c r="H145" i="5"/>
  <c r="F168" i="5"/>
  <c r="E168" i="5"/>
  <c r="J168" i="5"/>
  <c r="I168" i="5"/>
  <c r="H168" i="5"/>
  <c r="G168" i="5"/>
  <c r="S165" i="2"/>
  <c r="B22" i="13"/>
  <c r="J9" i="5"/>
  <c r="I9" i="5"/>
  <c r="H9" i="5"/>
  <c r="G9" i="5"/>
  <c r="F9" i="5"/>
  <c r="E9" i="5"/>
  <c r="J8" i="5"/>
  <c r="I8" i="5"/>
  <c r="H8" i="5"/>
  <c r="G8" i="5"/>
  <c r="F8" i="5"/>
  <c r="E8" i="5"/>
  <c r="S6" i="2"/>
  <c r="J16" i="5"/>
  <c r="I16" i="5"/>
  <c r="H16" i="5"/>
  <c r="G16" i="5"/>
  <c r="F16" i="5"/>
  <c r="E16" i="5"/>
  <c r="J24" i="5"/>
  <c r="I24" i="5"/>
  <c r="H24" i="5"/>
  <c r="G24" i="5"/>
  <c r="F24" i="5"/>
  <c r="E24" i="5"/>
  <c r="J32" i="5"/>
  <c r="I32" i="5"/>
  <c r="H32" i="5"/>
  <c r="G32" i="5"/>
  <c r="F32" i="5"/>
  <c r="E32" i="5"/>
  <c r="I7" i="15"/>
  <c r="J40" i="5"/>
  <c r="I40" i="5"/>
  <c r="H40" i="5"/>
  <c r="G40" i="5"/>
  <c r="F40" i="5"/>
  <c r="E40" i="5"/>
  <c r="I8" i="15"/>
  <c r="I55" i="5"/>
  <c r="H55" i="5"/>
  <c r="G55" i="5"/>
  <c r="F55" i="5"/>
  <c r="E55" i="5"/>
  <c r="J55" i="5"/>
  <c r="J57" i="5"/>
  <c r="I57" i="5"/>
  <c r="H57" i="5"/>
  <c r="G57" i="5"/>
  <c r="F57" i="5"/>
  <c r="E57" i="5"/>
  <c r="E59" i="5"/>
  <c r="J59" i="5"/>
  <c r="I59" i="5"/>
  <c r="H59" i="5"/>
  <c r="G59" i="5"/>
  <c r="F59" i="5"/>
  <c r="S56" i="2"/>
  <c r="J72" i="5"/>
  <c r="I72" i="5"/>
  <c r="H72" i="5"/>
  <c r="G72" i="5"/>
  <c r="F72" i="5"/>
  <c r="E72" i="5"/>
  <c r="F84" i="5"/>
  <c r="E84" i="5"/>
  <c r="J84" i="5"/>
  <c r="I84" i="5"/>
  <c r="H84" i="5"/>
  <c r="G84" i="5"/>
  <c r="I11" i="15"/>
  <c r="H99" i="5"/>
  <c r="G99" i="5"/>
  <c r="F99" i="5"/>
  <c r="J99" i="5"/>
  <c r="I99" i="5"/>
  <c r="E99" i="5"/>
  <c r="S96" i="2"/>
  <c r="J102" i="5"/>
  <c r="I102" i="5"/>
  <c r="G102" i="5"/>
  <c r="F102" i="5"/>
  <c r="E102" i="5"/>
  <c r="H102" i="5"/>
  <c r="S99" i="2"/>
  <c r="F112" i="5"/>
  <c r="E112" i="5"/>
  <c r="I112" i="5"/>
  <c r="H112" i="5"/>
  <c r="G112" i="5"/>
  <c r="J112" i="5"/>
  <c r="S109" i="2"/>
  <c r="J116" i="5"/>
  <c r="I116" i="5"/>
  <c r="H116" i="5"/>
  <c r="G116" i="5"/>
  <c r="E116" i="5"/>
  <c r="F116" i="5"/>
  <c r="G129" i="5"/>
  <c r="F129" i="5"/>
  <c r="E129" i="5"/>
  <c r="J129" i="5"/>
  <c r="I129" i="5"/>
  <c r="H129" i="5"/>
  <c r="I139" i="5"/>
  <c r="H139" i="5"/>
  <c r="G139" i="5"/>
  <c r="F139" i="5"/>
  <c r="E139" i="5"/>
  <c r="J139" i="5"/>
  <c r="S136" i="2"/>
  <c r="I15" i="15"/>
  <c r="J156" i="5"/>
  <c r="I156" i="5"/>
  <c r="H156" i="5"/>
  <c r="G156" i="5"/>
  <c r="F156" i="5"/>
  <c r="E156" i="5"/>
  <c r="J166" i="5"/>
  <c r="I166" i="5"/>
  <c r="H166" i="5"/>
  <c r="G166" i="5"/>
  <c r="F166" i="5"/>
  <c r="E166" i="5"/>
  <c r="S163" i="2"/>
  <c r="F176" i="5"/>
  <c r="E176" i="5"/>
  <c r="J176" i="5"/>
  <c r="I176" i="5"/>
  <c r="H176" i="5"/>
  <c r="G176" i="5"/>
  <c r="S173" i="2"/>
  <c r="I179" i="5"/>
  <c r="H179" i="5"/>
  <c r="G179" i="5"/>
  <c r="F179" i="5"/>
  <c r="E179" i="5"/>
  <c r="J179" i="5"/>
  <c r="S176" i="2"/>
  <c r="J228" i="5"/>
  <c r="I228" i="5"/>
  <c r="H228" i="5"/>
  <c r="G228" i="5"/>
  <c r="F228" i="5"/>
  <c r="E228" i="5"/>
  <c r="S225" i="2"/>
  <c r="F232" i="5"/>
  <c r="E232" i="5"/>
  <c r="J232" i="5"/>
  <c r="I232" i="5"/>
  <c r="H232" i="5"/>
  <c r="G232" i="5"/>
  <c r="S229" i="2"/>
  <c r="J252" i="5"/>
  <c r="I252" i="5"/>
  <c r="H252" i="5"/>
  <c r="G252" i="5"/>
  <c r="F252" i="5"/>
  <c r="E252" i="5"/>
  <c r="J273" i="5"/>
  <c r="I273" i="5"/>
  <c r="E273" i="5"/>
  <c r="F273" i="5"/>
  <c r="H273" i="5"/>
  <c r="G273" i="5"/>
  <c r="S270" i="2"/>
  <c r="I24" i="15"/>
  <c r="S287" i="2"/>
  <c r="G294" i="5"/>
  <c r="F294" i="5"/>
  <c r="E294" i="5"/>
  <c r="J294" i="5"/>
  <c r="I294" i="5"/>
  <c r="H294" i="5"/>
  <c r="S291" i="2"/>
  <c r="J315" i="5"/>
  <c r="I315" i="5"/>
  <c r="H315" i="5"/>
  <c r="G315" i="5"/>
  <c r="F315" i="5"/>
  <c r="E315" i="5"/>
  <c r="S312" i="2"/>
  <c r="E428" i="5"/>
  <c r="J428" i="5"/>
  <c r="I428" i="5"/>
  <c r="H428" i="5"/>
  <c r="G428" i="5"/>
  <c r="F428" i="5"/>
  <c r="S425" i="2"/>
  <c r="G478" i="5"/>
  <c r="F478" i="5"/>
  <c r="J478" i="5"/>
  <c r="I478" i="5"/>
  <c r="H478" i="5"/>
  <c r="E478" i="5"/>
  <c r="S475" i="2"/>
  <c r="E67" i="5"/>
  <c r="J67" i="5"/>
  <c r="I67" i="5"/>
  <c r="H67" i="5"/>
  <c r="G67" i="5"/>
  <c r="F67" i="5"/>
  <c r="S64" i="2"/>
  <c r="B9" i="15" s="1"/>
  <c r="I123" i="5"/>
  <c r="H123" i="5"/>
  <c r="G123" i="5"/>
  <c r="F123" i="5"/>
  <c r="J123" i="5"/>
  <c r="E123" i="5"/>
  <c r="S120" i="2"/>
  <c r="I163" i="5"/>
  <c r="H163" i="5"/>
  <c r="G163" i="5"/>
  <c r="F163" i="5"/>
  <c r="E163" i="5"/>
  <c r="J163" i="5"/>
  <c r="S160" i="2"/>
  <c r="H18" i="15"/>
  <c r="F200" i="5"/>
  <c r="E200" i="5"/>
  <c r="J200" i="5"/>
  <c r="I200" i="5"/>
  <c r="H200" i="5"/>
  <c r="G200" i="5"/>
  <c r="S197" i="2"/>
  <c r="G209" i="5"/>
  <c r="F209" i="5"/>
  <c r="E209" i="5"/>
  <c r="J209" i="5"/>
  <c r="I209" i="5"/>
  <c r="H209" i="5"/>
  <c r="S206" i="2"/>
  <c r="E412" i="5"/>
  <c r="J412" i="5"/>
  <c r="I412" i="5"/>
  <c r="H412" i="5"/>
  <c r="G412" i="5"/>
  <c r="F412" i="5"/>
  <c r="S409" i="2"/>
  <c r="F532" i="5"/>
  <c r="E532" i="5"/>
  <c r="J532" i="5"/>
  <c r="I532" i="5"/>
  <c r="H532" i="5"/>
  <c r="G532" i="5"/>
  <c r="S529" i="2"/>
  <c r="E539" i="5"/>
  <c r="J539" i="5"/>
  <c r="I539" i="5"/>
  <c r="H539" i="5"/>
  <c r="G539" i="5"/>
  <c r="F539" i="5"/>
  <c r="S536" i="2"/>
  <c r="F160" i="5"/>
  <c r="E160" i="5"/>
  <c r="J160" i="5"/>
  <c r="I160" i="5"/>
  <c r="H160" i="5"/>
  <c r="G160" i="5"/>
  <c r="S157" i="2"/>
  <c r="J164" i="5"/>
  <c r="I164" i="5"/>
  <c r="H164" i="5"/>
  <c r="G164" i="5"/>
  <c r="F164" i="5"/>
  <c r="E164" i="5"/>
  <c r="G177" i="5"/>
  <c r="F177" i="5"/>
  <c r="E177" i="5"/>
  <c r="J177" i="5"/>
  <c r="I177" i="5"/>
  <c r="H177" i="5"/>
  <c r="I187" i="5"/>
  <c r="H187" i="5"/>
  <c r="G187" i="5"/>
  <c r="F187" i="5"/>
  <c r="E187" i="5"/>
  <c r="J187" i="5"/>
  <c r="S184" i="2"/>
  <c r="J238" i="5"/>
  <c r="I238" i="5"/>
  <c r="H238" i="5"/>
  <c r="G238" i="5"/>
  <c r="F238" i="5"/>
  <c r="E238" i="5"/>
  <c r="S235" i="2"/>
  <c r="H263" i="5"/>
  <c r="G263" i="5"/>
  <c r="F263" i="5"/>
  <c r="E263" i="5"/>
  <c r="J263" i="5"/>
  <c r="I263" i="5"/>
  <c r="S260" i="2"/>
  <c r="H23" i="15"/>
  <c r="J275" i="5"/>
  <c r="G275" i="5"/>
  <c r="H275" i="5"/>
  <c r="F275" i="5"/>
  <c r="E275" i="5"/>
  <c r="I275" i="5"/>
  <c r="S272" i="2"/>
  <c r="E348" i="5"/>
  <c r="J348" i="5"/>
  <c r="I348" i="5"/>
  <c r="H348" i="5"/>
  <c r="G348" i="5"/>
  <c r="F348" i="5"/>
  <c r="S345" i="2"/>
  <c r="I28" i="15"/>
  <c r="I368" i="5"/>
  <c r="H368" i="5"/>
  <c r="G368" i="5"/>
  <c r="F368" i="5"/>
  <c r="E368" i="5"/>
  <c r="J368" i="5"/>
  <c r="S365" i="2"/>
  <c r="J385" i="5"/>
  <c r="I385" i="5"/>
  <c r="H385" i="5"/>
  <c r="G385" i="5"/>
  <c r="F385" i="5"/>
  <c r="E385" i="5"/>
  <c r="S382" i="2"/>
  <c r="J427" i="5"/>
  <c r="I427" i="5"/>
  <c r="H427" i="5"/>
  <c r="G427" i="5"/>
  <c r="F427" i="5"/>
  <c r="E427" i="5"/>
  <c r="S424" i="2"/>
  <c r="J10" i="5"/>
  <c r="I10" i="5"/>
  <c r="H10" i="5"/>
  <c r="G10" i="5"/>
  <c r="F10" i="5"/>
  <c r="E10" i="5"/>
  <c r="J42" i="5"/>
  <c r="I42" i="5"/>
  <c r="H42" i="5"/>
  <c r="G42" i="5"/>
  <c r="F42" i="5"/>
  <c r="E42" i="5"/>
  <c r="I47" i="5"/>
  <c r="H47" i="5"/>
  <c r="G47" i="5"/>
  <c r="F47" i="5"/>
  <c r="E47" i="5"/>
  <c r="J47" i="5"/>
  <c r="J49" i="5"/>
  <c r="I49" i="5"/>
  <c r="H49" i="5"/>
  <c r="G49" i="5"/>
  <c r="F49" i="5"/>
  <c r="E49" i="5"/>
  <c r="G53" i="5"/>
  <c r="F53" i="5"/>
  <c r="E53" i="5"/>
  <c r="J53" i="5"/>
  <c r="I53" i="5"/>
  <c r="H53" i="5"/>
  <c r="I147" i="5"/>
  <c r="H147" i="5"/>
  <c r="G147" i="5"/>
  <c r="F147" i="5"/>
  <c r="E147" i="5"/>
  <c r="J147" i="5"/>
  <c r="S144" i="2"/>
  <c r="I15" i="5"/>
  <c r="H15" i="5"/>
  <c r="G15" i="5"/>
  <c r="F15" i="5"/>
  <c r="E15" i="5"/>
  <c r="J15" i="5"/>
  <c r="I23" i="5"/>
  <c r="H23" i="5"/>
  <c r="G23" i="5"/>
  <c r="F23" i="5"/>
  <c r="E23" i="5"/>
  <c r="J23" i="5"/>
  <c r="I31" i="5"/>
  <c r="H31" i="5"/>
  <c r="G31" i="5"/>
  <c r="F31" i="5"/>
  <c r="E31" i="5"/>
  <c r="J31" i="5"/>
  <c r="I39" i="5"/>
  <c r="H39" i="5"/>
  <c r="G39" i="5"/>
  <c r="F39" i="5"/>
  <c r="E39" i="5"/>
  <c r="J39" i="5"/>
  <c r="E51" i="5"/>
  <c r="J51" i="5"/>
  <c r="I51" i="5"/>
  <c r="H51" i="5"/>
  <c r="G51" i="5"/>
  <c r="F51" i="5"/>
  <c r="S48" i="2"/>
  <c r="I63" i="5"/>
  <c r="H63" i="5"/>
  <c r="G63" i="5"/>
  <c r="F63" i="5"/>
  <c r="E63" i="5"/>
  <c r="J63" i="5"/>
  <c r="F68" i="5"/>
  <c r="E68" i="5"/>
  <c r="J68" i="5"/>
  <c r="I68" i="5"/>
  <c r="H68" i="5"/>
  <c r="G68" i="5"/>
  <c r="H70" i="5"/>
  <c r="G70" i="5"/>
  <c r="F70" i="5"/>
  <c r="E70" i="5"/>
  <c r="J70" i="5"/>
  <c r="I70" i="5"/>
  <c r="S67" i="2"/>
  <c r="J73" i="5"/>
  <c r="I73" i="5"/>
  <c r="H73" i="5"/>
  <c r="G73" i="5"/>
  <c r="F73" i="5"/>
  <c r="E73" i="5"/>
  <c r="H12" i="15"/>
  <c r="J110" i="5"/>
  <c r="I110" i="5"/>
  <c r="G110" i="5"/>
  <c r="F110" i="5"/>
  <c r="E110" i="5"/>
  <c r="H110" i="5"/>
  <c r="S107" i="2"/>
  <c r="G121" i="5"/>
  <c r="F121" i="5"/>
  <c r="E121" i="5"/>
  <c r="J121" i="5"/>
  <c r="I121" i="5"/>
  <c r="H121" i="5"/>
  <c r="F144" i="5"/>
  <c r="E144" i="5"/>
  <c r="J144" i="5"/>
  <c r="I144" i="5"/>
  <c r="H144" i="5"/>
  <c r="G144" i="5"/>
  <c r="S141" i="2"/>
  <c r="J148" i="5"/>
  <c r="I148" i="5"/>
  <c r="H148" i="5"/>
  <c r="G148" i="5"/>
  <c r="F148" i="5"/>
  <c r="E148" i="5"/>
  <c r="G161" i="5"/>
  <c r="F161" i="5"/>
  <c r="E161" i="5"/>
  <c r="J161" i="5"/>
  <c r="I161" i="5"/>
  <c r="H161" i="5"/>
  <c r="I171" i="5"/>
  <c r="H171" i="5"/>
  <c r="G171" i="5"/>
  <c r="F171" i="5"/>
  <c r="E171" i="5"/>
  <c r="J171" i="5"/>
  <c r="S168" i="2"/>
  <c r="J174" i="5"/>
  <c r="I174" i="5"/>
  <c r="H174" i="5"/>
  <c r="G174" i="5"/>
  <c r="F174" i="5"/>
  <c r="E174" i="5"/>
  <c r="S171" i="2"/>
  <c r="F184" i="5"/>
  <c r="E184" i="5"/>
  <c r="J184" i="5"/>
  <c r="I184" i="5"/>
  <c r="H184" i="5"/>
  <c r="G184" i="5"/>
  <c r="S181" i="2"/>
  <c r="J188" i="5"/>
  <c r="I188" i="5"/>
  <c r="H188" i="5"/>
  <c r="G188" i="5"/>
  <c r="F188" i="5"/>
  <c r="E188" i="5"/>
  <c r="G201" i="5"/>
  <c r="F201" i="5"/>
  <c r="E201" i="5"/>
  <c r="J201" i="5"/>
  <c r="I201" i="5"/>
  <c r="H201" i="5"/>
  <c r="H19" i="15"/>
  <c r="E215" i="5"/>
  <c r="J215" i="5"/>
  <c r="I215" i="5"/>
  <c r="H215" i="5"/>
  <c r="G215" i="5"/>
  <c r="F215" i="5"/>
  <c r="S212" i="2"/>
  <c r="F216" i="5"/>
  <c r="E216" i="5"/>
  <c r="J216" i="5"/>
  <c r="I216" i="5"/>
  <c r="H216" i="5"/>
  <c r="G216" i="5"/>
  <c r="H226" i="5"/>
  <c r="G226" i="5"/>
  <c r="F226" i="5"/>
  <c r="E226" i="5"/>
  <c r="J226" i="5"/>
  <c r="I226" i="5"/>
  <c r="F240" i="5"/>
  <c r="E240" i="5"/>
  <c r="J240" i="5"/>
  <c r="I240" i="5"/>
  <c r="H240" i="5"/>
  <c r="G240" i="5"/>
  <c r="S237" i="2"/>
  <c r="J321" i="5"/>
  <c r="I321" i="5"/>
  <c r="H321" i="5"/>
  <c r="G321" i="5"/>
  <c r="F321" i="5"/>
  <c r="E321" i="5"/>
  <c r="S318" i="2"/>
  <c r="H375" i="5"/>
  <c r="G375" i="5"/>
  <c r="F375" i="5"/>
  <c r="E375" i="5"/>
  <c r="J375" i="5"/>
  <c r="I375" i="5"/>
  <c r="S372" i="2"/>
  <c r="J409" i="5"/>
  <c r="I409" i="5"/>
  <c r="H409" i="5"/>
  <c r="G409" i="5"/>
  <c r="F409" i="5"/>
  <c r="E409" i="5"/>
  <c r="S406" i="2"/>
  <c r="E420" i="5"/>
  <c r="J420" i="5"/>
  <c r="I420" i="5"/>
  <c r="H420" i="5"/>
  <c r="G420" i="5"/>
  <c r="F420" i="5"/>
  <c r="S417" i="2"/>
  <c r="I5" i="15"/>
  <c r="J18" i="5"/>
  <c r="I18" i="5"/>
  <c r="H18" i="5"/>
  <c r="G18" i="5"/>
  <c r="F18" i="5"/>
  <c r="E18" i="5"/>
  <c r="F44" i="5"/>
  <c r="E44" i="5"/>
  <c r="J44" i="5"/>
  <c r="I44" i="5"/>
  <c r="H44" i="5"/>
  <c r="G44" i="5"/>
  <c r="I12" i="15"/>
  <c r="J134" i="5"/>
  <c r="I134" i="5"/>
  <c r="H134" i="5"/>
  <c r="G134" i="5"/>
  <c r="F134" i="5"/>
  <c r="E134" i="5"/>
  <c r="S131" i="2"/>
  <c r="J172" i="5"/>
  <c r="I172" i="5"/>
  <c r="H172" i="5"/>
  <c r="G172" i="5"/>
  <c r="F172" i="5"/>
  <c r="E172" i="5"/>
  <c r="H17" i="15"/>
  <c r="G185" i="5"/>
  <c r="F185" i="5"/>
  <c r="E185" i="5"/>
  <c r="J185" i="5"/>
  <c r="I185" i="5"/>
  <c r="H185" i="5"/>
  <c r="I195" i="5"/>
  <c r="H195" i="5"/>
  <c r="G195" i="5"/>
  <c r="F195" i="5"/>
  <c r="E195" i="5"/>
  <c r="J195" i="5"/>
  <c r="S192" i="2"/>
  <c r="J198" i="5"/>
  <c r="I198" i="5"/>
  <c r="H198" i="5"/>
  <c r="G198" i="5"/>
  <c r="F198" i="5"/>
  <c r="E198" i="5"/>
  <c r="S195" i="2"/>
  <c r="I211" i="5"/>
  <c r="H211" i="5"/>
  <c r="G211" i="5"/>
  <c r="F211" i="5"/>
  <c r="E211" i="5"/>
  <c r="J211" i="5"/>
  <c r="S208" i="2"/>
  <c r="H20" i="15"/>
  <c r="J230" i="5"/>
  <c r="I230" i="5"/>
  <c r="H230" i="5"/>
  <c r="G230" i="5"/>
  <c r="F230" i="5"/>
  <c r="E230" i="5"/>
  <c r="S227" i="2"/>
  <c r="H234" i="5"/>
  <c r="G234" i="5"/>
  <c r="F234" i="5"/>
  <c r="E234" i="5"/>
  <c r="J234" i="5"/>
  <c r="I234" i="5"/>
  <c r="S231" i="2"/>
  <c r="H242" i="5"/>
  <c r="G242" i="5"/>
  <c r="F242" i="5"/>
  <c r="E242" i="5"/>
  <c r="J242" i="5"/>
  <c r="I242" i="5"/>
  <c r="S239" i="2"/>
  <c r="E268" i="5"/>
  <c r="H268" i="5"/>
  <c r="J268" i="5"/>
  <c r="I268" i="5"/>
  <c r="G268" i="5"/>
  <c r="F268" i="5"/>
  <c r="S265" i="2"/>
  <c r="H26" i="15"/>
  <c r="I320" i="5"/>
  <c r="H320" i="5"/>
  <c r="G320" i="5"/>
  <c r="F320" i="5"/>
  <c r="E320" i="5"/>
  <c r="J320" i="5"/>
  <c r="S317" i="2"/>
  <c r="I336" i="5"/>
  <c r="H336" i="5"/>
  <c r="G336" i="5"/>
  <c r="F336" i="5"/>
  <c r="E336" i="5"/>
  <c r="J336" i="5"/>
  <c r="S333" i="2"/>
  <c r="S361" i="2"/>
  <c r="J87" i="5"/>
  <c r="I87" i="5"/>
  <c r="H87" i="5"/>
  <c r="G87" i="5"/>
  <c r="F87" i="5"/>
  <c r="E87" i="5"/>
  <c r="G113" i="5"/>
  <c r="F113" i="5"/>
  <c r="E113" i="5"/>
  <c r="J113" i="5"/>
  <c r="I113" i="5"/>
  <c r="H113" i="5"/>
  <c r="J126" i="5"/>
  <c r="I126" i="5"/>
  <c r="G126" i="5"/>
  <c r="F126" i="5"/>
  <c r="E126" i="5"/>
  <c r="H126" i="5"/>
  <c r="S123" i="2"/>
  <c r="H14" i="15"/>
  <c r="J14" i="15" s="1"/>
  <c r="J140" i="5"/>
  <c r="I140" i="5"/>
  <c r="H140" i="5"/>
  <c r="G140" i="5"/>
  <c r="F140" i="5"/>
  <c r="E140" i="5"/>
  <c r="G153" i="5"/>
  <c r="F153" i="5"/>
  <c r="E153" i="5"/>
  <c r="J153" i="5"/>
  <c r="I153" i="5"/>
  <c r="H153" i="5"/>
  <c r="J323" i="5"/>
  <c r="I323" i="5"/>
  <c r="H323" i="5"/>
  <c r="G323" i="5"/>
  <c r="F323" i="5"/>
  <c r="E323" i="5"/>
  <c r="S320" i="2"/>
  <c r="I352" i="5"/>
  <c r="H352" i="5"/>
  <c r="G352" i="5"/>
  <c r="F352" i="5"/>
  <c r="E352" i="5"/>
  <c r="J352" i="5"/>
  <c r="S349" i="2"/>
  <c r="J34" i="5"/>
  <c r="I34" i="5"/>
  <c r="H34" i="5"/>
  <c r="G34" i="5"/>
  <c r="F34" i="5"/>
  <c r="E34" i="5"/>
  <c r="F60" i="5"/>
  <c r="E60" i="5"/>
  <c r="J60" i="5"/>
  <c r="I60" i="5"/>
  <c r="H60" i="5"/>
  <c r="G60" i="5"/>
  <c r="E75" i="5"/>
  <c r="J75" i="5"/>
  <c r="I75" i="5"/>
  <c r="H75" i="5"/>
  <c r="G75" i="5"/>
  <c r="F75" i="5"/>
  <c r="S72" i="2"/>
  <c r="G137" i="5"/>
  <c r="F137" i="5"/>
  <c r="E137" i="5"/>
  <c r="J137" i="5"/>
  <c r="I137" i="5"/>
  <c r="H137" i="5"/>
  <c r="I7" i="5"/>
  <c r="H7" i="5"/>
  <c r="G7" i="5"/>
  <c r="F7" i="5"/>
  <c r="E7" i="5"/>
  <c r="J7" i="5"/>
  <c r="F36" i="5"/>
  <c r="E36" i="5"/>
  <c r="J36" i="5"/>
  <c r="I36" i="5"/>
  <c r="H36" i="5"/>
  <c r="G36" i="5"/>
  <c r="H78" i="5"/>
  <c r="G78" i="5"/>
  <c r="F78" i="5"/>
  <c r="E78" i="5"/>
  <c r="J78" i="5"/>
  <c r="I78" i="5"/>
  <c r="S75" i="2"/>
  <c r="D9" i="14" s="1"/>
  <c r="G9" i="14" s="1"/>
  <c r="S84" i="2"/>
  <c r="E88" i="5"/>
  <c r="F88" i="5"/>
  <c r="J88" i="5"/>
  <c r="I88" i="5"/>
  <c r="H88" i="5"/>
  <c r="G88" i="5"/>
  <c r="S110" i="2"/>
  <c r="S137" i="2"/>
  <c r="F104" i="5"/>
  <c r="E104" i="5"/>
  <c r="I104" i="5"/>
  <c r="H104" i="5"/>
  <c r="G104" i="5"/>
  <c r="J104" i="5"/>
  <c r="S101" i="2"/>
  <c r="I107" i="5"/>
  <c r="H107" i="5"/>
  <c r="G107" i="5"/>
  <c r="F107" i="5"/>
  <c r="J107" i="5"/>
  <c r="E107" i="5"/>
  <c r="S104" i="2"/>
  <c r="S121" i="2"/>
  <c r="S134" i="2"/>
  <c r="J158" i="5"/>
  <c r="I158" i="5"/>
  <c r="H158" i="5"/>
  <c r="G158" i="5"/>
  <c r="F158" i="5"/>
  <c r="E158" i="5"/>
  <c r="S155" i="2"/>
  <c r="S161" i="2"/>
  <c r="E15" i="14" s="1"/>
  <c r="H15" i="14" s="1"/>
  <c r="G169" i="5"/>
  <c r="F169" i="5"/>
  <c r="E169" i="5"/>
  <c r="J169" i="5"/>
  <c r="I169" i="5"/>
  <c r="H169" i="5"/>
  <c r="S174" i="2"/>
  <c r="I17" i="15"/>
  <c r="F192" i="5"/>
  <c r="E192" i="5"/>
  <c r="J192" i="5"/>
  <c r="I192" i="5"/>
  <c r="H192" i="5"/>
  <c r="G192" i="5"/>
  <c r="S189" i="2"/>
  <c r="J196" i="5"/>
  <c r="I196" i="5"/>
  <c r="H196" i="5"/>
  <c r="G196" i="5"/>
  <c r="F196" i="5"/>
  <c r="E196" i="5"/>
  <c r="G217" i="5"/>
  <c r="F217" i="5"/>
  <c r="E217" i="5"/>
  <c r="J217" i="5"/>
  <c r="I217" i="5"/>
  <c r="H217" i="5"/>
  <c r="S214" i="2"/>
  <c r="H218" i="5"/>
  <c r="G218" i="5"/>
  <c r="F218" i="5"/>
  <c r="E218" i="5"/>
  <c r="J218" i="5"/>
  <c r="I218" i="5"/>
  <c r="J222" i="5"/>
  <c r="I222" i="5"/>
  <c r="H222" i="5"/>
  <c r="G222" i="5"/>
  <c r="F222" i="5"/>
  <c r="E222" i="5"/>
  <c r="S219" i="2"/>
  <c r="I20" i="15"/>
  <c r="J244" i="5"/>
  <c r="I244" i="5"/>
  <c r="H244" i="5"/>
  <c r="G244" i="5"/>
  <c r="F244" i="5"/>
  <c r="E244" i="5"/>
  <c r="S241" i="2"/>
  <c r="F248" i="5"/>
  <c r="E248" i="5"/>
  <c r="J248" i="5"/>
  <c r="I248" i="5"/>
  <c r="H248" i="5"/>
  <c r="G248" i="5"/>
  <c r="S245" i="2"/>
  <c r="F256" i="5"/>
  <c r="E256" i="5"/>
  <c r="J256" i="5"/>
  <c r="I256" i="5"/>
  <c r="H256" i="5"/>
  <c r="G256" i="5"/>
  <c r="S253" i="2"/>
  <c r="G267" i="5"/>
  <c r="J267" i="5"/>
  <c r="I267" i="5"/>
  <c r="H267" i="5"/>
  <c r="F267" i="5"/>
  <c r="E267" i="5"/>
  <c r="S264" i="2"/>
  <c r="G270" i="5"/>
  <c r="F270" i="5"/>
  <c r="J270" i="5"/>
  <c r="I270" i="5"/>
  <c r="H270" i="5"/>
  <c r="E270" i="5"/>
  <c r="S267" i="2"/>
  <c r="I280" i="5"/>
  <c r="H280" i="5"/>
  <c r="G280" i="5"/>
  <c r="F280" i="5"/>
  <c r="E280" i="5"/>
  <c r="J280" i="5"/>
  <c r="S277" i="2"/>
  <c r="I304" i="5"/>
  <c r="H304" i="5"/>
  <c r="G304" i="5"/>
  <c r="F304" i="5"/>
  <c r="E304" i="5"/>
  <c r="J304" i="5"/>
  <c r="S301" i="2"/>
  <c r="I25" i="15"/>
  <c r="H319" i="5"/>
  <c r="G319" i="5"/>
  <c r="F319" i="5"/>
  <c r="E319" i="5"/>
  <c r="J319" i="5"/>
  <c r="I319" i="5"/>
  <c r="S316" i="2"/>
  <c r="G342" i="5"/>
  <c r="F342" i="5"/>
  <c r="E342" i="5"/>
  <c r="J342" i="5"/>
  <c r="I342" i="5"/>
  <c r="H342" i="5"/>
  <c r="S339" i="2"/>
  <c r="J363" i="5"/>
  <c r="I363" i="5"/>
  <c r="H363" i="5"/>
  <c r="G363" i="5"/>
  <c r="F363" i="5"/>
  <c r="E363" i="5"/>
  <c r="S360" i="2"/>
  <c r="F373" i="5"/>
  <c r="E373" i="5"/>
  <c r="J373" i="5"/>
  <c r="I373" i="5"/>
  <c r="H373" i="5"/>
  <c r="G373" i="5"/>
  <c r="S370" i="2"/>
  <c r="S378" i="2"/>
  <c r="G406" i="5"/>
  <c r="F406" i="5"/>
  <c r="E406" i="5"/>
  <c r="J406" i="5"/>
  <c r="I406" i="5"/>
  <c r="H406" i="5"/>
  <c r="S403" i="2"/>
  <c r="F444" i="5"/>
  <c r="E444" i="5"/>
  <c r="J444" i="5"/>
  <c r="I444" i="5"/>
  <c r="H444" i="5"/>
  <c r="G444" i="5"/>
  <c r="S441" i="2"/>
  <c r="J481" i="5"/>
  <c r="I481" i="5"/>
  <c r="G481" i="5"/>
  <c r="F481" i="5"/>
  <c r="E481" i="5"/>
  <c r="H481" i="5"/>
  <c r="S478" i="2"/>
  <c r="E96" i="5"/>
  <c r="H96" i="5"/>
  <c r="G96" i="5"/>
  <c r="J96" i="5"/>
  <c r="I96" i="5"/>
  <c r="F96" i="5"/>
  <c r="S93" i="2"/>
  <c r="J100" i="5"/>
  <c r="I100" i="5"/>
  <c r="H100" i="5"/>
  <c r="G100" i="5"/>
  <c r="E100" i="5"/>
  <c r="F100" i="5"/>
  <c r="B13" i="15"/>
  <c r="J180" i="5"/>
  <c r="I180" i="5"/>
  <c r="H180" i="5"/>
  <c r="G180" i="5"/>
  <c r="F180" i="5"/>
  <c r="E180" i="5"/>
  <c r="J190" i="5"/>
  <c r="I190" i="5"/>
  <c r="H190" i="5"/>
  <c r="G190" i="5"/>
  <c r="F190" i="5"/>
  <c r="E190" i="5"/>
  <c r="S187" i="2"/>
  <c r="F120" i="5"/>
  <c r="E120" i="5"/>
  <c r="I120" i="5"/>
  <c r="H120" i="5"/>
  <c r="G120" i="5"/>
  <c r="J120" i="5"/>
  <c r="S117" i="2"/>
  <c r="F12" i="5"/>
  <c r="E12" i="5"/>
  <c r="J12" i="5"/>
  <c r="I12" i="5"/>
  <c r="H12" i="5"/>
  <c r="G12" i="5"/>
  <c r="F28" i="5"/>
  <c r="E28" i="5"/>
  <c r="J28" i="5"/>
  <c r="I28" i="5"/>
  <c r="H28" i="5"/>
  <c r="G28" i="5"/>
  <c r="J56" i="5"/>
  <c r="I56" i="5"/>
  <c r="H56" i="5"/>
  <c r="G56" i="5"/>
  <c r="F56" i="5"/>
  <c r="E56" i="5"/>
  <c r="F76" i="5"/>
  <c r="E76" i="5"/>
  <c r="J76" i="5"/>
  <c r="I76" i="5"/>
  <c r="H76" i="5"/>
  <c r="G76" i="5"/>
  <c r="J17" i="5"/>
  <c r="I17" i="5"/>
  <c r="H17" i="5"/>
  <c r="G17" i="5"/>
  <c r="F17" i="5"/>
  <c r="E17" i="5"/>
  <c r="S15" i="2"/>
  <c r="J25" i="5"/>
  <c r="I25" i="5"/>
  <c r="H25" i="5"/>
  <c r="G25" i="5"/>
  <c r="F25" i="5"/>
  <c r="E25" i="5"/>
  <c r="S23" i="2"/>
  <c r="J33" i="5"/>
  <c r="I33" i="5"/>
  <c r="H33" i="5"/>
  <c r="G33" i="5"/>
  <c r="F33" i="5"/>
  <c r="E33" i="5"/>
  <c r="J41" i="5"/>
  <c r="I41" i="5"/>
  <c r="H41" i="5"/>
  <c r="G41" i="5"/>
  <c r="F41" i="5"/>
  <c r="E41" i="5"/>
  <c r="S39" i="2"/>
  <c r="S57" i="2"/>
  <c r="J94" i="5"/>
  <c r="F94" i="5"/>
  <c r="E94" i="5"/>
  <c r="H94" i="5"/>
  <c r="G94" i="5"/>
  <c r="I94" i="5"/>
  <c r="S91" i="2"/>
  <c r="H6" i="5"/>
  <c r="G6" i="5"/>
  <c r="F6" i="5"/>
  <c r="E6" i="5"/>
  <c r="J6" i="5"/>
  <c r="I6" i="5"/>
  <c r="S4" i="2"/>
  <c r="H14" i="5"/>
  <c r="G14" i="5"/>
  <c r="F14" i="5"/>
  <c r="E14" i="5"/>
  <c r="J14" i="5"/>
  <c r="I14" i="5"/>
  <c r="H22" i="5"/>
  <c r="G22" i="5"/>
  <c r="F22" i="5"/>
  <c r="E22" i="5"/>
  <c r="J22" i="5"/>
  <c r="I22" i="5"/>
  <c r="S20" i="2"/>
  <c r="J64" i="5"/>
  <c r="I64" i="5"/>
  <c r="H64" i="5"/>
  <c r="G64" i="5"/>
  <c r="F64" i="5"/>
  <c r="E64" i="5"/>
  <c r="S70" i="2"/>
  <c r="C9" i="14" s="1"/>
  <c r="F9" i="14" s="1"/>
  <c r="J81" i="5"/>
  <c r="I81" i="5"/>
  <c r="H81" i="5"/>
  <c r="G81" i="5"/>
  <c r="F81" i="5"/>
  <c r="E81" i="5"/>
  <c r="E83" i="5"/>
  <c r="J83" i="5"/>
  <c r="I83" i="5"/>
  <c r="H83" i="5"/>
  <c r="G83" i="5"/>
  <c r="F83" i="5"/>
  <c r="S80" i="2"/>
  <c r="H91" i="5"/>
  <c r="F91" i="5"/>
  <c r="E91" i="5"/>
  <c r="J91" i="5"/>
  <c r="I91" i="5"/>
  <c r="G91" i="5"/>
  <c r="S88" i="2"/>
  <c r="S145" i="2"/>
  <c r="S158" i="2"/>
  <c r="J182" i="5"/>
  <c r="I182" i="5"/>
  <c r="H182" i="5"/>
  <c r="G182" i="5"/>
  <c r="F182" i="5"/>
  <c r="E182" i="5"/>
  <c r="S179" i="2"/>
  <c r="S213" i="2"/>
  <c r="F224" i="5"/>
  <c r="E224" i="5"/>
  <c r="J224" i="5"/>
  <c r="I224" i="5"/>
  <c r="H224" i="5"/>
  <c r="G224" i="5"/>
  <c r="I22" i="15"/>
  <c r="H271" i="5"/>
  <c r="G271" i="5"/>
  <c r="J271" i="5"/>
  <c r="I271" i="5"/>
  <c r="F271" i="5"/>
  <c r="E271" i="5"/>
  <c r="S268" i="2"/>
  <c r="I272" i="5"/>
  <c r="H272" i="5"/>
  <c r="J272" i="5"/>
  <c r="G272" i="5"/>
  <c r="F272" i="5"/>
  <c r="E272" i="5"/>
  <c r="I288" i="5"/>
  <c r="H288" i="5"/>
  <c r="G288" i="5"/>
  <c r="F288" i="5"/>
  <c r="E288" i="5"/>
  <c r="J288" i="5"/>
  <c r="S285" i="2"/>
  <c r="E300" i="5"/>
  <c r="J300" i="5"/>
  <c r="I300" i="5"/>
  <c r="H300" i="5"/>
  <c r="G300" i="5"/>
  <c r="F300" i="5"/>
  <c r="S297" i="2"/>
  <c r="H62" i="5"/>
  <c r="G62" i="5"/>
  <c r="F62" i="5"/>
  <c r="E62" i="5"/>
  <c r="J62" i="5"/>
  <c r="I62" i="5"/>
  <c r="S59" i="2"/>
  <c r="H9" i="15"/>
  <c r="J9" i="15" s="1"/>
  <c r="J65" i="5"/>
  <c r="I65" i="5"/>
  <c r="H65" i="5"/>
  <c r="G65" i="5"/>
  <c r="F65" i="5"/>
  <c r="E65" i="5"/>
  <c r="I203" i="5"/>
  <c r="H203" i="5"/>
  <c r="G203" i="5"/>
  <c r="F203" i="5"/>
  <c r="E203" i="5"/>
  <c r="J203" i="5"/>
  <c r="S200" i="2"/>
  <c r="J214" i="5"/>
  <c r="I214" i="5"/>
  <c r="H214" i="5"/>
  <c r="G214" i="5"/>
  <c r="F214" i="5"/>
  <c r="E214" i="5"/>
  <c r="S211" i="2"/>
  <c r="J403" i="5"/>
  <c r="I403" i="5"/>
  <c r="H403" i="5"/>
  <c r="G403" i="5"/>
  <c r="F403" i="5"/>
  <c r="E403" i="5"/>
  <c r="S400" i="2"/>
  <c r="H10" i="15"/>
  <c r="J80" i="5"/>
  <c r="I80" i="5"/>
  <c r="H80" i="5"/>
  <c r="G80" i="5"/>
  <c r="F80" i="5"/>
  <c r="E80" i="5"/>
  <c r="F97" i="5"/>
  <c r="E97" i="5"/>
  <c r="J97" i="5"/>
  <c r="I97" i="5"/>
  <c r="H97" i="5"/>
  <c r="G97" i="5"/>
  <c r="I6" i="15"/>
  <c r="S31" i="2"/>
  <c r="S44" i="2"/>
  <c r="S46" i="2"/>
  <c r="S50" i="2"/>
  <c r="I71" i="5"/>
  <c r="H71" i="5"/>
  <c r="G71" i="5"/>
  <c r="F71" i="5"/>
  <c r="E71" i="5"/>
  <c r="J71" i="5"/>
  <c r="S12" i="2"/>
  <c r="H30" i="5"/>
  <c r="G30" i="5"/>
  <c r="F30" i="5"/>
  <c r="E30" i="5"/>
  <c r="J30" i="5"/>
  <c r="I30" i="5"/>
  <c r="S28" i="2"/>
  <c r="H38" i="5"/>
  <c r="G38" i="5"/>
  <c r="F38" i="5"/>
  <c r="E38" i="5"/>
  <c r="J38" i="5"/>
  <c r="I38" i="5"/>
  <c r="S36" i="2"/>
  <c r="H46" i="5"/>
  <c r="G46" i="5"/>
  <c r="F46" i="5"/>
  <c r="E46" i="5"/>
  <c r="J46" i="5"/>
  <c r="I46" i="5"/>
  <c r="J48" i="5"/>
  <c r="I48" i="5"/>
  <c r="H48" i="5"/>
  <c r="G48" i="5"/>
  <c r="F48" i="5"/>
  <c r="E48" i="5"/>
  <c r="F52" i="5"/>
  <c r="E52" i="5"/>
  <c r="J52" i="5"/>
  <c r="I52" i="5"/>
  <c r="H52" i="5"/>
  <c r="G52" i="5"/>
  <c r="H54" i="5"/>
  <c r="G54" i="5"/>
  <c r="F54" i="5"/>
  <c r="E54" i="5"/>
  <c r="J54" i="5"/>
  <c r="I54" i="5"/>
  <c r="S51" i="2"/>
  <c r="S60" i="2"/>
  <c r="S65" i="2"/>
  <c r="I79" i="5"/>
  <c r="H79" i="5"/>
  <c r="G79" i="5"/>
  <c r="F79" i="5"/>
  <c r="E79" i="5"/>
  <c r="J79" i="5"/>
  <c r="J108" i="5"/>
  <c r="I108" i="5"/>
  <c r="H108" i="5"/>
  <c r="G108" i="5"/>
  <c r="E108" i="5"/>
  <c r="F108" i="5"/>
  <c r="J118" i="5"/>
  <c r="I118" i="5"/>
  <c r="G118" i="5"/>
  <c r="F118" i="5"/>
  <c r="E118" i="5"/>
  <c r="H118" i="5"/>
  <c r="S115" i="2"/>
  <c r="S118" i="2"/>
  <c r="F128" i="5"/>
  <c r="E128" i="5"/>
  <c r="I128" i="5"/>
  <c r="H128" i="5"/>
  <c r="G128" i="5"/>
  <c r="J128" i="5"/>
  <c r="S125" i="2"/>
  <c r="I131" i="5"/>
  <c r="H131" i="5"/>
  <c r="G131" i="5"/>
  <c r="F131" i="5"/>
  <c r="E131" i="5"/>
  <c r="J131" i="5"/>
  <c r="S128" i="2"/>
  <c r="S185" i="2"/>
  <c r="G193" i="5"/>
  <c r="F193" i="5"/>
  <c r="E193" i="5"/>
  <c r="J193" i="5"/>
  <c r="I193" i="5"/>
  <c r="H193" i="5"/>
  <c r="S198" i="2"/>
  <c r="J206" i="5"/>
  <c r="I206" i="5"/>
  <c r="H206" i="5"/>
  <c r="G206" i="5"/>
  <c r="F206" i="5"/>
  <c r="E206" i="5"/>
  <c r="S203" i="2"/>
  <c r="E207" i="5"/>
  <c r="J207" i="5"/>
  <c r="I207" i="5"/>
  <c r="H207" i="5"/>
  <c r="G207" i="5"/>
  <c r="F207" i="5"/>
  <c r="S204" i="2"/>
  <c r="C19" i="14"/>
  <c r="F19" i="14" s="1"/>
  <c r="E223" i="5"/>
  <c r="J223" i="5"/>
  <c r="I223" i="5"/>
  <c r="H223" i="5"/>
  <c r="G223" i="5"/>
  <c r="F223" i="5"/>
  <c r="S220" i="2"/>
  <c r="S223" i="2"/>
  <c r="E19" i="14" s="1"/>
  <c r="H19" i="14" s="1"/>
  <c r="J246" i="5"/>
  <c r="I246" i="5"/>
  <c r="H246" i="5"/>
  <c r="G246" i="5"/>
  <c r="F246" i="5"/>
  <c r="E246" i="5"/>
  <c r="S243" i="2"/>
  <c r="E11" i="5"/>
  <c r="J11" i="5"/>
  <c r="I11" i="5"/>
  <c r="H11" i="5"/>
  <c r="G11" i="5"/>
  <c r="F11" i="5"/>
  <c r="S9" i="2"/>
  <c r="E19" i="5"/>
  <c r="J19" i="5"/>
  <c r="I19" i="5"/>
  <c r="H19" i="5"/>
  <c r="G19" i="5"/>
  <c r="F19" i="5"/>
  <c r="S17" i="2"/>
  <c r="E27" i="5"/>
  <c r="J27" i="5"/>
  <c r="I27" i="5"/>
  <c r="H27" i="5"/>
  <c r="G27" i="5"/>
  <c r="F27" i="5"/>
  <c r="S25" i="2"/>
  <c r="H7" i="15"/>
  <c r="J7" i="15" s="1"/>
  <c r="E35" i="5"/>
  <c r="J35" i="5"/>
  <c r="I35" i="5"/>
  <c r="H35" i="5"/>
  <c r="G35" i="5"/>
  <c r="F35" i="5"/>
  <c r="S33" i="2"/>
  <c r="E43" i="5"/>
  <c r="J43" i="5"/>
  <c r="I43" i="5"/>
  <c r="H43" i="5"/>
  <c r="G43" i="5"/>
  <c r="F43" i="5"/>
  <c r="S41" i="2"/>
  <c r="S53" i="2"/>
  <c r="S73" i="2"/>
  <c r="I86" i="5"/>
  <c r="H86" i="5"/>
  <c r="G86" i="5"/>
  <c r="F86" i="5"/>
  <c r="E86" i="5"/>
  <c r="J86" i="5"/>
  <c r="S83" i="2"/>
  <c r="S85" i="2"/>
  <c r="F89" i="5"/>
  <c r="I89" i="5"/>
  <c r="H89" i="5"/>
  <c r="G89" i="5"/>
  <c r="E89" i="5"/>
  <c r="J89" i="5"/>
  <c r="I92" i="5"/>
  <c r="J92" i="5"/>
  <c r="H92" i="5"/>
  <c r="G92" i="5"/>
  <c r="F92" i="5"/>
  <c r="E92" i="5"/>
  <c r="G105" i="5"/>
  <c r="F105" i="5"/>
  <c r="E105" i="5"/>
  <c r="J105" i="5"/>
  <c r="I105" i="5"/>
  <c r="H105" i="5"/>
  <c r="I115" i="5"/>
  <c r="H115" i="5"/>
  <c r="G115" i="5"/>
  <c r="F115" i="5"/>
  <c r="J115" i="5"/>
  <c r="E115" i="5"/>
  <c r="S112" i="2"/>
  <c r="J132" i="5"/>
  <c r="I132" i="5"/>
  <c r="H132" i="5"/>
  <c r="G132" i="5"/>
  <c r="F132" i="5"/>
  <c r="E132" i="5"/>
  <c r="J142" i="5"/>
  <c r="I142" i="5"/>
  <c r="H142" i="5"/>
  <c r="G142" i="5"/>
  <c r="F142" i="5"/>
  <c r="E142" i="5"/>
  <c r="S139" i="2"/>
  <c r="S142" i="2"/>
  <c r="F152" i="5"/>
  <c r="E152" i="5"/>
  <c r="J152" i="5"/>
  <c r="I152" i="5"/>
  <c r="H152" i="5"/>
  <c r="G152" i="5"/>
  <c r="S149" i="2"/>
  <c r="H15" i="15"/>
  <c r="J15" i="15" s="1"/>
  <c r="I155" i="5"/>
  <c r="H155" i="5"/>
  <c r="G155" i="5"/>
  <c r="F155" i="5"/>
  <c r="E155" i="5"/>
  <c r="J155" i="5"/>
  <c r="S152" i="2"/>
  <c r="S169" i="2"/>
  <c r="S182" i="2"/>
  <c r="I219" i="5"/>
  <c r="H219" i="5"/>
  <c r="G219" i="5"/>
  <c r="F219" i="5"/>
  <c r="E219" i="5"/>
  <c r="J219" i="5"/>
  <c r="S216" i="2"/>
  <c r="J220" i="5"/>
  <c r="I220" i="5"/>
  <c r="H220" i="5"/>
  <c r="G220" i="5"/>
  <c r="F220" i="5"/>
  <c r="E220" i="5"/>
  <c r="J236" i="5"/>
  <c r="I236" i="5"/>
  <c r="H236" i="5"/>
  <c r="G236" i="5"/>
  <c r="F236" i="5"/>
  <c r="E236" i="5"/>
  <c r="S233" i="2"/>
  <c r="S247" i="2"/>
  <c r="E292" i="5"/>
  <c r="J292" i="5"/>
  <c r="I292" i="5"/>
  <c r="H292" i="5"/>
  <c r="G292" i="5"/>
  <c r="F292" i="5"/>
  <c r="S292" i="2"/>
  <c r="S294" i="2"/>
  <c r="S321" i="2"/>
  <c r="E340" i="5"/>
  <c r="J340" i="5"/>
  <c r="I340" i="5"/>
  <c r="H340" i="5"/>
  <c r="G340" i="5"/>
  <c r="F340" i="5"/>
  <c r="S337" i="2"/>
  <c r="H30" i="15"/>
  <c r="E380" i="5"/>
  <c r="J380" i="5"/>
  <c r="I380" i="5"/>
  <c r="H380" i="5"/>
  <c r="G380" i="5"/>
  <c r="F380" i="5"/>
  <c r="S377" i="2"/>
  <c r="E388" i="5"/>
  <c r="J388" i="5"/>
  <c r="I388" i="5"/>
  <c r="H388" i="5"/>
  <c r="G388" i="5"/>
  <c r="F388" i="5"/>
  <c r="S385" i="2"/>
  <c r="F397" i="5"/>
  <c r="E397" i="5"/>
  <c r="J397" i="5"/>
  <c r="I397" i="5"/>
  <c r="H397" i="5"/>
  <c r="G397" i="5"/>
  <c r="S394" i="2"/>
  <c r="E404" i="5"/>
  <c r="J404" i="5"/>
  <c r="I404" i="5"/>
  <c r="H404" i="5"/>
  <c r="G404" i="5"/>
  <c r="F404" i="5"/>
  <c r="S401" i="2"/>
  <c r="S537" i="2"/>
  <c r="G302" i="5"/>
  <c r="F302" i="5"/>
  <c r="E302" i="5"/>
  <c r="J302" i="5"/>
  <c r="I302" i="5"/>
  <c r="H302" i="5"/>
  <c r="S299" i="2"/>
  <c r="H25" i="15"/>
  <c r="J25" i="15" s="1"/>
  <c r="J305" i="5"/>
  <c r="I305" i="5"/>
  <c r="H305" i="5"/>
  <c r="G305" i="5"/>
  <c r="F305" i="5"/>
  <c r="E305" i="5"/>
  <c r="J307" i="5"/>
  <c r="I307" i="5"/>
  <c r="H307" i="5"/>
  <c r="G307" i="5"/>
  <c r="F307" i="5"/>
  <c r="E307" i="5"/>
  <c r="S304" i="2"/>
  <c r="H327" i="5"/>
  <c r="G327" i="5"/>
  <c r="F327" i="5"/>
  <c r="E327" i="5"/>
  <c r="J327" i="5"/>
  <c r="I327" i="5"/>
  <c r="E332" i="5"/>
  <c r="J332" i="5"/>
  <c r="I332" i="5"/>
  <c r="H332" i="5"/>
  <c r="G332" i="5"/>
  <c r="F332" i="5"/>
  <c r="G334" i="5"/>
  <c r="F334" i="5"/>
  <c r="E334" i="5"/>
  <c r="J334" i="5"/>
  <c r="I334" i="5"/>
  <c r="H334" i="5"/>
  <c r="S331" i="2"/>
  <c r="J337" i="5"/>
  <c r="I337" i="5"/>
  <c r="H337" i="5"/>
  <c r="G337" i="5"/>
  <c r="F337" i="5"/>
  <c r="E337" i="5"/>
  <c r="H359" i="5"/>
  <c r="G359" i="5"/>
  <c r="F359" i="5"/>
  <c r="E359" i="5"/>
  <c r="J359" i="5"/>
  <c r="I359" i="5"/>
  <c r="G374" i="5"/>
  <c r="F374" i="5"/>
  <c r="E374" i="5"/>
  <c r="J374" i="5"/>
  <c r="I374" i="5"/>
  <c r="H374" i="5"/>
  <c r="S371" i="2"/>
  <c r="J387" i="5"/>
  <c r="I387" i="5"/>
  <c r="H387" i="5"/>
  <c r="G387" i="5"/>
  <c r="F387" i="5"/>
  <c r="E387" i="5"/>
  <c r="S384" i="2"/>
  <c r="I392" i="5"/>
  <c r="H392" i="5"/>
  <c r="G392" i="5"/>
  <c r="F392" i="5"/>
  <c r="E392" i="5"/>
  <c r="J392" i="5"/>
  <c r="S389" i="2"/>
  <c r="I408" i="5"/>
  <c r="H408" i="5"/>
  <c r="G408" i="5"/>
  <c r="F408" i="5"/>
  <c r="E408" i="5"/>
  <c r="J408" i="5"/>
  <c r="S405" i="2"/>
  <c r="H34" i="15"/>
  <c r="I440" i="5"/>
  <c r="H440" i="5"/>
  <c r="G440" i="5"/>
  <c r="F440" i="5"/>
  <c r="E440" i="5"/>
  <c r="J440" i="5"/>
  <c r="S437" i="2"/>
  <c r="J441" i="5"/>
  <c r="I441" i="5"/>
  <c r="H441" i="5"/>
  <c r="G441" i="5"/>
  <c r="F441" i="5"/>
  <c r="E441" i="5"/>
  <c r="S438" i="2"/>
  <c r="H36" i="15"/>
  <c r="J36" i="15" s="1"/>
  <c r="G470" i="5"/>
  <c r="J470" i="5"/>
  <c r="F470" i="5"/>
  <c r="E470" i="5"/>
  <c r="I470" i="5"/>
  <c r="H470" i="5"/>
  <c r="S467" i="2"/>
  <c r="S468" i="2"/>
  <c r="I475" i="5"/>
  <c r="H475" i="5"/>
  <c r="G475" i="5"/>
  <c r="J475" i="5"/>
  <c r="F475" i="5"/>
  <c r="E475" i="5"/>
  <c r="S472" i="2"/>
  <c r="E556" i="5"/>
  <c r="J556" i="5"/>
  <c r="I556" i="5"/>
  <c r="H556" i="5"/>
  <c r="G556" i="5"/>
  <c r="F556" i="5"/>
  <c r="S553" i="2"/>
  <c r="E595" i="5"/>
  <c r="J595" i="5"/>
  <c r="I595" i="5"/>
  <c r="H595" i="5"/>
  <c r="G595" i="5"/>
  <c r="F595" i="5"/>
  <c r="S592" i="2"/>
  <c r="H47" i="15"/>
  <c r="I635" i="5"/>
  <c r="H635" i="5"/>
  <c r="G635" i="5"/>
  <c r="F635" i="5"/>
  <c r="J635" i="5"/>
  <c r="E635" i="5"/>
  <c r="S632" i="2"/>
  <c r="J652" i="5"/>
  <c r="I652" i="5"/>
  <c r="H652" i="5"/>
  <c r="G652" i="5"/>
  <c r="F652" i="5"/>
  <c r="E652" i="5"/>
  <c r="S649" i="2"/>
  <c r="F686" i="5"/>
  <c r="J686" i="5"/>
  <c r="I686" i="5"/>
  <c r="H686" i="5"/>
  <c r="G686" i="5"/>
  <c r="E686" i="5"/>
  <c r="S683" i="2"/>
  <c r="G61" i="5"/>
  <c r="F61" i="5"/>
  <c r="E61" i="5"/>
  <c r="J61" i="5"/>
  <c r="I61" i="5"/>
  <c r="H61" i="5"/>
  <c r="G69" i="5"/>
  <c r="F69" i="5"/>
  <c r="E69" i="5"/>
  <c r="J69" i="5"/>
  <c r="I69" i="5"/>
  <c r="H69" i="5"/>
  <c r="G77" i="5"/>
  <c r="F77" i="5"/>
  <c r="E77" i="5"/>
  <c r="J77" i="5"/>
  <c r="I77" i="5"/>
  <c r="H77" i="5"/>
  <c r="I10" i="15"/>
  <c r="J85" i="5"/>
  <c r="G85" i="5"/>
  <c r="F85" i="5"/>
  <c r="E85" i="5"/>
  <c r="I85" i="5"/>
  <c r="H85" i="5"/>
  <c r="J93" i="5"/>
  <c r="I93" i="5"/>
  <c r="H93" i="5"/>
  <c r="G93" i="5"/>
  <c r="F93" i="5"/>
  <c r="E93" i="5"/>
  <c r="J101" i="5"/>
  <c r="I101" i="5"/>
  <c r="H101" i="5"/>
  <c r="F101" i="5"/>
  <c r="E101" i="5"/>
  <c r="G101" i="5"/>
  <c r="J109" i="5"/>
  <c r="I109" i="5"/>
  <c r="H109" i="5"/>
  <c r="F109" i="5"/>
  <c r="E109" i="5"/>
  <c r="G109" i="5"/>
  <c r="J117" i="5"/>
  <c r="I117" i="5"/>
  <c r="H117" i="5"/>
  <c r="F117" i="5"/>
  <c r="E117" i="5"/>
  <c r="G117" i="5"/>
  <c r="H13" i="15"/>
  <c r="J125" i="5"/>
  <c r="I125" i="5"/>
  <c r="H125" i="5"/>
  <c r="F125" i="5"/>
  <c r="E125" i="5"/>
  <c r="G125" i="5"/>
  <c r="J133" i="5"/>
  <c r="I133" i="5"/>
  <c r="H133" i="5"/>
  <c r="G133" i="5"/>
  <c r="F133" i="5"/>
  <c r="E133" i="5"/>
  <c r="J141" i="5"/>
  <c r="I141" i="5"/>
  <c r="H141" i="5"/>
  <c r="G141" i="5"/>
  <c r="F141" i="5"/>
  <c r="E141" i="5"/>
  <c r="J149" i="5"/>
  <c r="I149" i="5"/>
  <c r="H149" i="5"/>
  <c r="G149" i="5"/>
  <c r="F149" i="5"/>
  <c r="E149" i="5"/>
  <c r="J157" i="5"/>
  <c r="I157" i="5"/>
  <c r="H157" i="5"/>
  <c r="G157" i="5"/>
  <c r="F157" i="5"/>
  <c r="E157" i="5"/>
  <c r="J165" i="5"/>
  <c r="I165" i="5"/>
  <c r="H165" i="5"/>
  <c r="G165" i="5"/>
  <c r="F165" i="5"/>
  <c r="E165" i="5"/>
  <c r="J173" i="5"/>
  <c r="I173" i="5"/>
  <c r="H173" i="5"/>
  <c r="G173" i="5"/>
  <c r="F173" i="5"/>
  <c r="E173" i="5"/>
  <c r="J181" i="5"/>
  <c r="I181" i="5"/>
  <c r="H181" i="5"/>
  <c r="G181" i="5"/>
  <c r="F181" i="5"/>
  <c r="E181" i="5"/>
  <c r="J189" i="5"/>
  <c r="I189" i="5"/>
  <c r="H189" i="5"/>
  <c r="G189" i="5"/>
  <c r="F189" i="5"/>
  <c r="E189" i="5"/>
  <c r="J197" i="5"/>
  <c r="I197" i="5"/>
  <c r="H197" i="5"/>
  <c r="G197" i="5"/>
  <c r="F197" i="5"/>
  <c r="E197" i="5"/>
  <c r="I18" i="15"/>
  <c r="I19" i="15"/>
  <c r="G225" i="5"/>
  <c r="F225" i="5"/>
  <c r="E225" i="5"/>
  <c r="J225" i="5"/>
  <c r="I225" i="5"/>
  <c r="H225" i="5"/>
  <c r="I23" i="15"/>
  <c r="G278" i="5"/>
  <c r="F278" i="5"/>
  <c r="E278" i="5"/>
  <c r="J278" i="5"/>
  <c r="H278" i="5"/>
  <c r="I278" i="5"/>
  <c r="S275" i="2"/>
  <c r="J281" i="5"/>
  <c r="I281" i="5"/>
  <c r="H281" i="5"/>
  <c r="G281" i="5"/>
  <c r="F281" i="5"/>
  <c r="E281" i="5"/>
  <c r="J283" i="5"/>
  <c r="I283" i="5"/>
  <c r="H283" i="5"/>
  <c r="G283" i="5"/>
  <c r="F283" i="5"/>
  <c r="E283" i="5"/>
  <c r="S280" i="2"/>
  <c r="H303" i="5"/>
  <c r="G303" i="5"/>
  <c r="F303" i="5"/>
  <c r="E303" i="5"/>
  <c r="J303" i="5"/>
  <c r="I303" i="5"/>
  <c r="E308" i="5"/>
  <c r="J308" i="5"/>
  <c r="I308" i="5"/>
  <c r="H308" i="5"/>
  <c r="G308" i="5"/>
  <c r="F308" i="5"/>
  <c r="G310" i="5"/>
  <c r="F310" i="5"/>
  <c r="E310" i="5"/>
  <c r="J310" i="5"/>
  <c r="I310" i="5"/>
  <c r="H310" i="5"/>
  <c r="S307" i="2"/>
  <c r="J313" i="5"/>
  <c r="I313" i="5"/>
  <c r="H313" i="5"/>
  <c r="G313" i="5"/>
  <c r="F313" i="5"/>
  <c r="E313" i="5"/>
  <c r="H27" i="15"/>
  <c r="H335" i="5"/>
  <c r="G335" i="5"/>
  <c r="F335" i="5"/>
  <c r="E335" i="5"/>
  <c r="J335" i="5"/>
  <c r="I335" i="5"/>
  <c r="G382" i="5"/>
  <c r="F382" i="5"/>
  <c r="E382" i="5"/>
  <c r="J382" i="5"/>
  <c r="I382" i="5"/>
  <c r="H382" i="5"/>
  <c r="F389" i="5"/>
  <c r="E389" i="5"/>
  <c r="J389" i="5"/>
  <c r="I389" i="5"/>
  <c r="H389" i="5"/>
  <c r="G389" i="5"/>
  <c r="I416" i="5"/>
  <c r="H416" i="5"/>
  <c r="G416" i="5"/>
  <c r="F416" i="5"/>
  <c r="E416" i="5"/>
  <c r="J416" i="5"/>
  <c r="S413" i="2"/>
  <c r="J417" i="5"/>
  <c r="I417" i="5"/>
  <c r="H417" i="5"/>
  <c r="G417" i="5"/>
  <c r="F417" i="5"/>
  <c r="E417" i="5"/>
  <c r="E443" i="5"/>
  <c r="J443" i="5"/>
  <c r="I443" i="5"/>
  <c r="H443" i="5"/>
  <c r="G443" i="5"/>
  <c r="F443" i="5"/>
  <c r="S440" i="2"/>
  <c r="E451" i="5"/>
  <c r="J451" i="5"/>
  <c r="I451" i="5"/>
  <c r="H451" i="5"/>
  <c r="G451" i="5"/>
  <c r="F451" i="5"/>
  <c r="S448" i="2"/>
  <c r="I483" i="5"/>
  <c r="H483" i="5"/>
  <c r="G483" i="5"/>
  <c r="J483" i="5"/>
  <c r="F483" i="5"/>
  <c r="E483" i="5"/>
  <c r="S480" i="2"/>
  <c r="E484" i="5"/>
  <c r="J484" i="5"/>
  <c r="I484" i="5"/>
  <c r="H484" i="5"/>
  <c r="G484" i="5"/>
  <c r="F484" i="5"/>
  <c r="S481" i="2"/>
  <c r="J555" i="5"/>
  <c r="I555" i="5"/>
  <c r="H555" i="5"/>
  <c r="G555" i="5"/>
  <c r="F555" i="5"/>
  <c r="E555" i="5"/>
  <c r="S552" i="2"/>
  <c r="G566" i="5"/>
  <c r="E566" i="5"/>
  <c r="J566" i="5"/>
  <c r="I566" i="5"/>
  <c r="H566" i="5"/>
  <c r="F566" i="5"/>
  <c r="S563" i="2"/>
  <c r="E579" i="5"/>
  <c r="J579" i="5"/>
  <c r="I579" i="5"/>
  <c r="H579" i="5"/>
  <c r="G579" i="5"/>
  <c r="F579" i="5"/>
  <c r="S576" i="2"/>
  <c r="I675" i="5"/>
  <c r="H675" i="5"/>
  <c r="G675" i="5"/>
  <c r="F675" i="5"/>
  <c r="J675" i="5"/>
  <c r="E675" i="5"/>
  <c r="S672" i="2"/>
  <c r="H8" i="15"/>
  <c r="J8" i="15" s="1"/>
  <c r="J50" i="5"/>
  <c r="I50" i="5"/>
  <c r="H50" i="5"/>
  <c r="G50" i="5"/>
  <c r="F50" i="5"/>
  <c r="E50" i="5"/>
  <c r="J58" i="5"/>
  <c r="I58" i="5"/>
  <c r="H58" i="5"/>
  <c r="G58" i="5"/>
  <c r="F58" i="5"/>
  <c r="E58" i="5"/>
  <c r="J66" i="5"/>
  <c r="I66" i="5"/>
  <c r="H66" i="5"/>
  <c r="G66" i="5"/>
  <c r="F66" i="5"/>
  <c r="E66" i="5"/>
  <c r="J74" i="5"/>
  <c r="I74" i="5"/>
  <c r="H74" i="5"/>
  <c r="G74" i="5"/>
  <c r="F74" i="5"/>
  <c r="E74" i="5"/>
  <c r="J82" i="5"/>
  <c r="I82" i="5"/>
  <c r="H82" i="5"/>
  <c r="G82" i="5"/>
  <c r="F82" i="5"/>
  <c r="E82" i="5"/>
  <c r="G90" i="5"/>
  <c r="J90" i="5"/>
  <c r="I90" i="5"/>
  <c r="H90" i="5"/>
  <c r="F90" i="5"/>
  <c r="E90" i="5"/>
  <c r="G98" i="5"/>
  <c r="F98" i="5"/>
  <c r="E98" i="5"/>
  <c r="J98" i="5"/>
  <c r="I98" i="5"/>
  <c r="H98" i="5"/>
  <c r="H106" i="5"/>
  <c r="G106" i="5"/>
  <c r="F106" i="5"/>
  <c r="E106" i="5"/>
  <c r="J106" i="5"/>
  <c r="I106" i="5"/>
  <c r="H114" i="5"/>
  <c r="G114" i="5"/>
  <c r="F114" i="5"/>
  <c r="E114" i="5"/>
  <c r="J114" i="5"/>
  <c r="I114" i="5"/>
  <c r="H122" i="5"/>
  <c r="G122" i="5"/>
  <c r="F122" i="5"/>
  <c r="E122" i="5"/>
  <c r="J122" i="5"/>
  <c r="I122" i="5"/>
  <c r="I13" i="15"/>
  <c r="H130" i="5"/>
  <c r="G130" i="5"/>
  <c r="F130" i="5"/>
  <c r="E130" i="5"/>
  <c r="J130" i="5"/>
  <c r="I130" i="5"/>
  <c r="H138" i="5"/>
  <c r="G138" i="5"/>
  <c r="F138" i="5"/>
  <c r="E138" i="5"/>
  <c r="J138" i="5"/>
  <c r="I138" i="5"/>
  <c r="H146" i="5"/>
  <c r="G146" i="5"/>
  <c r="F146" i="5"/>
  <c r="E146" i="5"/>
  <c r="J146" i="5"/>
  <c r="I146" i="5"/>
  <c r="H154" i="5"/>
  <c r="G154" i="5"/>
  <c r="F154" i="5"/>
  <c r="E154" i="5"/>
  <c r="J154" i="5"/>
  <c r="I154" i="5"/>
  <c r="H162" i="5"/>
  <c r="G162" i="5"/>
  <c r="F162" i="5"/>
  <c r="E162" i="5"/>
  <c r="J162" i="5"/>
  <c r="I162" i="5"/>
  <c r="H16" i="15"/>
  <c r="H170" i="5"/>
  <c r="G170" i="5"/>
  <c r="F170" i="5"/>
  <c r="E170" i="5"/>
  <c r="J170" i="5"/>
  <c r="I170" i="5"/>
  <c r="H178" i="5"/>
  <c r="G178" i="5"/>
  <c r="F178" i="5"/>
  <c r="E178" i="5"/>
  <c r="J178" i="5"/>
  <c r="I178" i="5"/>
  <c r="H186" i="5"/>
  <c r="G186" i="5"/>
  <c r="F186" i="5"/>
  <c r="E186" i="5"/>
  <c r="J186" i="5"/>
  <c r="I186" i="5"/>
  <c r="H194" i="5"/>
  <c r="G194" i="5"/>
  <c r="F194" i="5"/>
  <c r="E194" i="5"/>
  <c r="J194" i="5"/>
  <c r="I194" i="5"/>
  <c r="H202" i="5"/>
  <c r="G202" i="5"/>
  <c r="F202" i="5"/>
  <c r="E202" i="5"/>
  <c r="J202" i="5"/>
  <c r="I202" i="5"/>
  <c r="I227" i="5"/>
  <c r="H227" i="5"/>
  <c r="G227" i="5"/>
  <c r="F227" i="5"/>
  <c r="E227" i="5"/>
  <c r="J227" i="5"/>
  <c r="E231" i="5"/>
  <c r="J231" i="5"/>
  <c r="I231" i="5"/>
  <c r="H231" i="5"/>
  <c r="G231" i="5"/>
  <c r="F231" i="5"/>
  <c r="G233" i="5"/>
  <c r="F233" i="5"/>
  <c r="E233" i="5"/>
  <c r="J233" i="5"/>
  <c r="I233" i="5"/>
  <c r="H233" i="5"/>
  <c r="I235" i="5"/>
  <c r="H235" i="5"/>
  <c r="G235" i="5"/>
  <c r="F235" i="5"/>
  <c r="E235" i="5"/>
  <c r="J235" i="5"/>
  <c r="E247" i="5"/>
  <c r="J247" i="5"/>
  <c r="I247" i="5"/>
  <c r="H247" i="5"/>
  <c r="G247" i="5"/>
  <c r="F247" i="5"/>
  <c r="G249" i="5"/>
  <c r="F249" i="5"/>
  <c r="E249" i="5"/>
  <c r="J249" i="5"/>
  <c r="I249" i="5"/>
  <c r="H249" i="5"/>
  <c r="I251" i="5"/>
  <c r="H251" i="5"/>
  <c r="G251" i="5"/>
  <c r="F251" i="5"/>
  <c r="E251" i="5"/>
  <c r="J251" i="5"/>
  <c r="S248" i="2"/>
  <c r="I264" i="5"/>
  <c r="H264" i="5"/>
  <c r="J264" i="5"/>
  <c r="G264" i="5"/>
  <c r="F264" i="5"/>
  <c r="E264" i="5"/>
  <c r="E276" i="5"/>
  <c r="J276" i="5"/>
  <c r="H276" i="5"/>
  <c r="F276" i="5"/>
  <c r="I276" i="5"/>
  <c r="G276" i="5"/>
  <c r="J291" i="5"/>
  <c r="I291" i="5"/>
  <c r="H291" i="5"/>
  <c r="G291" i="5"/>
  <c r="F291" i="5"/>
  <c r="E291" i="5"/>
  <c r="S288" i="2"/>
  <c r="I296" i="5"/>
  <c r="H296" i="5"/>
  <c r="G296" i="5"/>
  <c r="F296" i="5"/>
  <c r="E296" i="5"/>
  <c r="J296" i="5"/>
  <c r="S302" i="2"/>
  <c r="E316" i="5"/>
  <c r="J316" i="5"/>
  <c r="I316" i="5"/>
  <c r="H316" i="5"/>
  <c r="G316" i="5"/>
  <c r="F316" i="5"/>
  <c r="G318" i="5"/>
  <c r="F318" i="5"/>
  <c r="E318" i="5"/>
  <c r="J318" i="5"/>
  <c r="I318" i="5"/>
  <c r="H318" i="5"/>
  <c r="S315" i="2"/>
  <c r="S324" i="2"/>
  <c r="I328" i="5"/>
  <c r="H328" i="5"/>
  <c r="G328" i="5"/>
  <c r="F328" i="5"/>
  <c r="E328" i="5"/>
  <c r="J328" i="5"/>
  <c r="S329" i="2"/>
  <c r="I27" i="15"/>
  <c r="S334" i="2"/>
  <c r="H343" i="5"/>
  <c r="G343" i="5"/>
  <c r="F343" i="5"/>
  <c r="E343" i="5"/>
  <c r="J343" i="5"/>
  <c r="I343" i="5"/>
  <c r="J345" i="5"/>
  <c r="I345" i="5"/>
  <c r="H345" i="5"/>
  <c r="G345" i="5"/>
  <c r="F345" i="5"/>
  <c r="E345" i="5"/>
  <c r="J347" i="5"/>
  <c r="I347" i="5"/>
  <c r="H347" i="5"/>
  <c r="G347" i="5"/>
  <c r="F347" i="5"/>
  <c r="E347" i="5"/>
  <c r="S344" i="2"/>
  <c r="S356" i="2"/>
  <c r="I360" i="5"/>
  <c r="H360" i="5"/>
  <c r="G360" i="5"/>
  <c r="F360" i="5"/>
  <c r="E360" i="5"/>
  <c r="J360" i="5"/>
  <c r="J371" i="5"/>
  <c r="I371" i="5"/>
  <c r="H371" i="5"/>
  <c r="G371" i="5"/>
  <c r="F371" i="5"/>
  <c r="E371" i="5"/>
  <c r="S368" i="2"/>
  <c r="J379" i="5"/>
  <c r="I379" i="5"/>
  <c r="H379" i="5"/>
  <c r="G379" i="5"/>
  <c r="F379" i="5"/>
  <c r="E379" i="5"/>
  <c r="S376" i="2"/>
  <c r="I424" i="5"/>
  <c r="H424" i="5"/>
  <c r="G424" i="5"/>
  <c r="F424" i="5"/>
  <c r="E424" i="5"/>
  <c r="J424" i="5"/>
  <c r="S421" i="2"/>
  <c r="J435" i="5"/>
  <c r="I435" i="5"/>
  <c r="H435" i="5"/>
  <c r="G435" i="5"/>
  <c r="F435" i="5"/>
  <c r="E435" i="5"/>
  <c r="S432" i="2"/>
  <c r="F452" i="5"/>
  <c r="E452" i="5"/>
  <c r="J452" i="5"/>
  <c r="I452" i="5"/>
  <c r="H452" i="5"/>
  <c r="G452" i="5"/>
  <c r="S449" i="2"/>
  <c r="G486" i="5"/>
  <c r="F486" i="5"/>
  <c r="J486" i="5"/>
  <c r="I486" i="5"/>
  <c r="H486" i="5"/>
  <c r="E486" i="5"/>
  <c r="S483" i="2"/>
  <c r="E492" i="5"/>
  <c r="J492" i="5"/>
  <c r="I492" i="5"/>
  <c r="H492" i="5"/>
  <c r="G492" i="5"/>
  <c r="F492" i="5"/>
  <c r="F516" i="5"/>
  <c r="E516" i="5"/>
  <c r="J516" i="5"/>
  <c r="I516" i="5"/>
  <c r="H516" i="5"/>
  <c r="G516" i="5"/>
  <c r="E531" i="5"/>
  <c r="J531" i="5"/>
  <c r="I531" i="5"/>
  <c r="H531" i="5"/>
  <c r="G531" i="5"/>
  <c r="F531" i="5"/>
  <c r="S528" i="2"/>
  <c r="H46" i="15"/>
  <c r="F620" i="5"/>
  <c r="E620" i="5"/>
  <c r="J620" i="5"/>
  <c r="I620" i="5"/>
  <c r="H620" i="5"/>
  <c r="G620" i="5"/>
  <c r="S617" i="2"/>
  <c r="S681" i="2"/>
  <c r="H11" i="15"/>
  <c r="J11" i="15" s="1"/>
  <c r="G95" i="5"/>
  <c r="F95" i="5"/>
  <c r="E95" i="5"/>
  <c r="J95" i="5"/>
  <c r="I95" i="5"/>
  <c r="H95" i="5"/>
  <c r="E103" i="5"/>
  <c r="J103" i="5"/>
  <c r="H103" i="5"/>
  <c r="G103" i="5"/>
  <c r="F103" i="5"/>
  <c r="I103" i="5"/>
  <c r="E111" i="5"/>
  <c r="J111" i="5"/>
  <c r="H111" i="5"/>
  <c r="G111" i="5"/>
  <c r="F111" i="5"/>
  <c r="I111" i="5"/>
  <c r="E119" i="5"/>
  <c r="J119" i="5"/>
  <c r="H119" i="5"/>
  <c r="G119" i="5"/>
  <c r="F119" i="5"/>
  <c r="I119" i="5"/>
  <c r="E127" i="5"/>
  <c r="J127" i="5"/>
  <c r="H127" i="5"/>
  <c r="G127" i="5"/>
  <c r="F127" i="5"/>
  <c r="I127" i="5"/>
  <c r="E135" i="5"/>
  <c r="J135" i="5"/>
  <c r="I135" i="5"/>
  <c r="H135" i="5"/>
  <c r="G135" i="5"/>
  <c r="F135" i="5"/>
  <c r="E143" i="5"/>
  <c r="J143" i="5"/>
  <c r="I143" i="5"/>
  <c r="H143" i="5"/>
  <c r="G143" i="5"/>
  <c r="F143" i="5"/>
  <c r="E151" i="5"/>
  <c r="J151" i="5"/>
  <c r="I151" i="5"/>
  <c r="H151" i="5"/>
  <c r="G151" i="5"/>
  <c r="F151" i="5"/>
  <c r="E159" i="5"/>
  <c r="J159" i="5"/>
  <c r="I159" i="5"/>
  <c r="H159" i="5"/>
  <c r="G159" i="5"/>
  <c r="F159" i="5"/>
  <c r="E167" i="5"/>
  <c r="J167" i="5"/>
  <c r="I167" i="5"/>
  <c r="H167" i="5"/>
  <c r="G167" i="5"/>
  <c r="F167" i="5"/>
  <c r="I16" i="15"/>
  <c r="E175" i="5"/>
  <c r="J175" i="5"/>
  <c r="I175" i="5"/>
  <c r="H175" i="5"/>
  <c r="G175" i="5"/>
  <c r="F175" i="5"/>
  <c r="E183" i="5"/>
  <c r="J183" i="5"/>
  <c r="I183" i="5"/>
  <c r="H183" i="5"/>
  <c r="G183" i="5"/>
  <c r="F183" i="5"/>
  <c r="E191" i="5"/>
  <c r="J191" i="5"/>
  <c r="I191" i="5"/>
  <c r="H191" i="5"/>
  <c r="G191" i="5"/>
  <c r="F191" i="5"/>
  <c r="E199" i="5"/>
  <c r="J199" i="5"/>
  <c r="I199" i="5"/>
  <c r="H199" i="5"/>
  <c r="G199" i="5"/>
  <c r="F199" i="5"/>
  <c r="J204" i="5"/>
  <c r="I204" i="5"/>
  <c r="H204" i="5"/>
  <c r="G204" i="5"/>
  <c r="F204" i="5"/>
  <c r="E204" i="5"/>
  <c r="F208" i="5"/>
  <c r="E208" i="5"/>
  <c r="J208" i="5"/>
  <c r="I208" i="5"/>
  <c r="H208" i="5"/>
  <c r="G208" i="5"/>
  <c r="H210" i="5"/>
  <c r="G210" i="5"/>
  <c r="F210" i="5"/>
  <c r="E210" i="5"/>
  <c r="J210" i="5"/>
  <c r="I210" i="5"/>
  <c r="J212" i="5"/>
  <c r="I212" i="5"/>
  <c r="H212" i="5"/>
  <c r="G212" i="5"/>
  <c r="F212" i="5"/>
  <c r="E212" i="5"/>
  <c r="E239" i="5"/>
  <c r="J239" i="5"/>
  <c r="I239" i="5"/>
  <c r="H239" i="5"/>
  <c r="G239" i="5"/>
  <c r="F239" i="5"/>
  <c r="G241" i="5"/>
  <c r="F241" i="5"/>
  <c r="E241" i="5"/>
  <c r="J241" i="5"/>
  <c r="I241" i="5"/>
  <c r="H241" i="5"/>
  <c r="I243" i="5"/>
  <c r="H243" i="5"/>
  <c r="G243" i="5"/>
  <c r="F243" i="5"/>
  <c r="E243" i="5"/>
  <c r="J243" i="5"/>
  <c r="J254" i="5"/>
  <c r="I254" i="5"/>
  <c r="H254" i="5"/>
  <c r="G254" i="5"/>
  <c r="F254" i="5"/>
  <c r="E254" i="5"/>
  <c r="S251" i="2"/>
  <c r="G257" i="5"/>
  <c r="F257" i="5"/>
  <c r="E257" i="5"/>
  <c r="J257" i="5"/>
  <c r="I257" i="5"/>
  <c r="H257" i="5"/>
  <c r="I259" i="5"/>
  <c r="H259" i="5"/>
  <c r="G259" i="5"/>
  <c r="F259" i="5"/>
  <c r="E259" i="5"/>
  <c r="J259" i="5"/>
  <c r="S256" i="2"/>
  <c r="H279" i="5"/>
  <c r="G279" i="5"/>
  <c r="F279" i="5"/>
  <c r="E279" i="5"/>
  <c r="J279" i="5"/>
  <c r="I279" i="5"/>
  <c r="E284" i="5"/>
  <c r="J284" i="5"/>
  <c r="I284" i="5"/>
  <c r="H284" i="5"/>
  <c r="G284" i="5"/>
  <c r="F284" i="5"/>
  <c r="G286" i="5"/>
  <c r="F286" i="5"/>
  <c r="E286" i="5"/>
  <c r="J286" i="5"/>
  <c r="I286" i="5"/>
  <c r="H286" i="5"/>
  <c r="S283" i="2"/>
  <c r="J289" i="5"/>
  <c r="I289" i="5"/>
  <c r="H289" i="5"/>
  <c r="G289" i="5"/>
  <c r="F289" i="5"/>
  <c r="E289" i="5"/>
  <c r="H311" i="5"/>
  <c r="G311" i="5"/>
  <c r="F311" i="5"/>
  <c r="E311" i="5"/>
  <c r="J311" i="5"/>
  <c r="I311" i="5"/>
  <c r="H28" i="15"/>
  <c r="J28" i="15" s="1"/>
  <c r="G350" i="5"/>
  <c r="F350" i="5"/>
  <c r="E350" i="5"/>
  <c r="J350" i="5"/>
  <c r="I350" i="5"/>
  <c r="H350" i="5"/>
  <c r="S347" i="2"/>
  <c r="J353" i="5"/>
  <c r="I353" i="5"/>
  <c r="H353" i="5"/>
  <c r="G353" i="5"/>
  <c r="F353" i="5"/>
  <c r="E353" i="5"/>
  <c r="J355" i="5"/>
  <c r="I355" i="5"/>
  <c r="H355" i="5"/>
  <c r="G355" i="5"/>
  <c r="F355" i="5"/>
  <c r="E355" i="5"/>
  <c r="S352" i="2"/>
  <c r="E372" i="5"/>
  <c r="J372" i="5"/>
  <c r="I372" i="5"/>
  <c r="H372" i="5"/>
  <c r="G372" i="5"/>
  <c r="F372" i="5"/>
  <c r="S369" i="2"/>
  <c r="I376" i="5"/>
  <c r="H376" i="5"/>
  <c r="G376" i="5"/>
  <c r="F376" i="5"/>
  <c r="E376" i="5"/>
  <c r="J376" i="5"/>
  <c r="S373" i="2"/>
  <c r="H383" i="5"/>
  <c r="G383" i="5"/>
  <c r="F383" i="5"/>
  <c r="E383" i="5"/>
  <c r="J383" i="5"/>
  <c r="I383" i="5"/>
  <c r="G390" i="5"/>
  <c r="F390" i="5"/>
  <c r="E390" i="5"/>
  <c r="J390" i="5"/>
  <c r="I390" i="5"/>
  <c r="H390" i="5"/>
  <c r="S387" i="2"/>
  <c r="G398" i="5"/>
  <c r="F398" i="5"/>
  <c r="E398" i="5"/>
  <c r="J398" i="5"/>
  <c r="I398" i="5"/>
  <c r="H398" i="5"/>
  <c r="S395" i="2"/>
  <c r="J411" i="5"/>
  <c r="I411" i="5"/>
  <c r="H411" i="5"/>
  <c r="G411" i="5"/>
  <c r="F411" i="5"/>
  <c r="E411" i="5"/>
  <c r="S408" i="2"/>
  <c r="H33" i="15"/>
  <c r="J425" i="5"/>
  <c r="I425" i="5"/>
  <c r="H425" i="5"/>
  <c r="G425" i="5"/>
  <c r="F425" i="5"/>
  <c r="E425" i="5"/>
  <c r="S422" i="2"/>
  <c r="H454" i="5"/>
  <c r="G454" i="5"/>
  <c r="F454" i="5"/>
  <c r="E454" i="5"/>
  <c r="J454" i="5"/>
  <c r="I454" i="5"/>
  <c r="S451" i="2"/>
  <c r="H534" i="5"/>
  <c r="G534" i="5"/>
  <c r="F534" i="5"/>
  <c r="E534" i="5"/>
  <c r="J534" i="5"/>
  <c r="I534" i="5"/>
  <c r="S531" i="2"/>
  <c r="J630" i="5"/>
  <c r="I630" i="5"/>
  <c r="H630" i="5"/>
  <c r="G630" i="5"/>
  <c r="F630" i="5"/>
  <c r="E630" i="5"/>
  <c r="S627" i="2"/>
  <c r="I643" i="5"/>
  <c r="H643" i="5"/>
  <c r="G643" i="5"/>
  <c r="F643" i="5"/>
  <c r="J643" i="5"/>
  <c r="E643" i="5"/>
  <c r="S640" i="2"/>
  <c r="I464" i="5"/>
  <c r="J464" i="5"/>
  <c r="H464" i="5"/>
  <c r="G464" i="5"/>
  <c r="F464" i="5"/>
  <c r="E464" i="5"/>
  <c r="S461" i="2"/>
  <c r="I491" i="5"/>
  <c r="H491" i="5"/>
  <c r="G491" i="5"/>
  <c r="J491" i="5"/>
  <c r="F491" i="5"/>
  <c r="E491" i="5"/>
  <c r="S488" i="2"/>
  <c r="H39" i="15"/>
  <c r="E515" i="5"/>
  <c r="J515" i="5"/>
  <c r="I515" i="5"/>
  <c r="H515" i="5"/>
  <c r="G515" i="5"/>
  <c r="F515" i="5"/>
  <c r="S512" i="2"/>
  <c r="H518" i="5"/>
  <c r="G518" i="5"/>
  <c r="F518" i="5"/>
  <c r="E518" i="5"/>
  <c r="J518" i="5"/>
  <c r="I518" i="5"/>
  <c r="S515" i="2"/>
  <c r="F524" i="5"/>
  <c r="E524" i="5"/>
  <c r="J524" i="5"/>
  <c r="I524" i="5"/>
  <c r="H524" i="5"/>
  <c r="G524" i="5"/>
  <c r="S521" i="2"/>
  <c r="E39" i="14" s="1"/>
  <c r="H39" i="14" s="1"/>
  <c r="I21" i="15"/>
  <c r="E255" i="5"/>
  <c r="J255" i="5"/>
  <c r="I255" i="5"/>
  <c r="H255" i="5"/>
  <c r="G255" i="5"/>
  <c r="F255" i="5"/>
  <c r="H22" i="15"/>
  <c r="J22" i="15" s="1"/>
  <c r="J260" i="5"/>
  <c r="I260" i="5"/>
  <c r="H260" i="5"/>
  <c r="G260" i="5"/>
  <c r="F260" i="5"/>
  <c r="E260" i="5"/>
  <c r="G262" i="5"/>
  <c r="F262" i="5"/>
  <c r="J262" i="5"/>
  <c r="I262" i="5"/>
  <c r="H262" i="5"/>
  <c r="E262" i="5"/>
  <c r="S259" i="2"/>
  <c r="J265" i="5"/>
  <c r="I265" i="5"/>
  <c r="E265" i="5"/>
  <c r="H265" i="5"/>
  <c r="G265" i="5"/>
  <c r="F265" i="5"/>
  <c r="H287" i="5"/>
  <c r="G287" i="5"/>
  <c r="F287" i="5"/>
  <c r="E287" i="5"/>
  <c r="J287" i="5"/>
  <c r="I287" i="5"/>
  <c r="G326" i="5"/>
  <c r="F326" i="5"/>
  <c r="E326" i="5"/>
  <c r="J326" i="5"/>
  <c r="I326" i="5"/>
  <c r="H326" i="5"/>
  <c r="S323" i="2"/>
  <c r="J329" i="5"/>
  <c r="I329" i="5"/>
  <c r="H329" i="5"/>
  <c r="G329" i="5"/>
  <c r="F329" i="5"/>
  <c r="E329" i="5"/>
  <c r="J331" i="5"/>
  <c r="I331" i="5"/>
  <c r="H331" i="5"/>
  <c r="G331" i="5"/>
  <c r="F331" i="5"/>
  <c r="E331" i="5"/>
  <c r="S328" i="2"/>
  <c r="H351" i="5"/>
  <c r="G351" i="5"/>
  <c r="F351" i="5"/>
  <c r="E351" i="5"/>
  <c r="J351" i="5"/>
  <c r="I351" i="5"/>
  <c r="E356" i="5"/>
  <c r="J356" i="5"/>
  <c r="I356" i="5"/>
  <c r="H356" i="5"/>
  <c r="G356" i="5"/>
  <c r="F356" i="5"/>
  <c r="G358" i="5"/>
  <c r="F358" i="5"/>
  <c r="E358" i="5"/>
  <c r="J358" i="5"/>
  <c r="I358" i="5"/>
  <c r="H358" i="5"/>
  <c r="S355" i="2"/>
  <c r="E28" i="14"/>
  <c r="H28" i="14" s="1"/>
  <c r="J361" i="5"/>
  <c r="I361" i="5"/>
  <c r="H361" i="5"/>
  <c r="G361" i="5"/>
  <c r="F361" i="5"/>
  <c r="E361" i="5"/>
  <c r="J369" i="5"/>
  <c r="I369" i="5"/>
  <c r="H369" i="5"/>
  <c r="G369" i="5"/>
  <c r="F369" i="5"/>
  <c r="E369" i="5"/>
  <c r="I400" i="5"/>
  <c r="H400" i="5"/>
  <c r="G400" i="5"/>
  <c r="F400" i="5"/>
  <c r="E400" i="5"/>
  <c r="J400" i="5"/>
  <c r="S397" i="2"/>
  <c r="J401" i="5"/>
  <c r="I401" i="5"/>
  <c r="H401" i="5"/>
  <c r="G401" i="5"/>
  <c r="F401" i="5"/>
  <c r="E401" i="5"/>
  <c r="S398" i="2"/>
  <c r="J419" i="5"/>
  <c r="I419" i="5"/>
  <c r="H419" i="5"/>
  <c r="G419" i="5"/>
  <c r="F419" i="5"/>
  <c r="E419" i="5"/>
  <c r="S416" i="2"/>
  <c r="J448" i="5"/>
  <c r="I448" i="5"/>
  <c r="H448" i="5"/>
  <c r="G448" i="5"/>
  <c r="F448" i="5"/>
  <c r="E448" i="5"/>
  <c r="S445" i="2"/>
  <c r="J465" i="5"/>
  <c r="E465" i="5"/>
  <c r="G465" i="5"/>
  <c r="F465" i="5"/>
  <c r="I465" i="5"/>
  <c r="H465" i="5"/>
  <c r="S462" i="2"/>
  <c r="E476" i="5"/>
  <c r="J476" i="5"/>
  <c r="I476" i="5"/>
  <c r="H476" i="5"/>
  <c r="G476" i="5"/>
  <c r="F476" i="5"/>
  <c r="F508" i="5"/>
  <c r="E508" i="5"/>
  <c r="J508" i="5"/>
  <c r="I508" i="5"/>
  <c r="H508" i="5"/>
  <c r="G508" i="5"/>
  <c r="S505" i="2"/>
  <c r="F548" i="5"/>
  <c r="E548" i="5"/>
  <c r="J548" i="5"/>
  <c r="I548" i="5"/>
  <c r="H548" i="5"/>
  <c r="G548" i="5"/>
  <c r="S545" i="2"/>
  <c r="H598" i="5"/>
  <c r="G598" i="5"/>
  <c r="F598" i="5"/>
  <c r="E598" i="5"/>
  <c r="J598" i="5"/>
  <c r="I598" i="5"/>
  <c r="S595" i="2"/>
  <c r="C44" i="14" s="1"/>
  <c r="F44" i="14" s="1"/>
  <c r="J636" i="5"/>
  <c r="I636" i="5"/>
  <c r="H636" i="5"/>
  <c r="G636" i="5"/>
  <c r="F636" i="5"/>
  <c r="E636" i="5"/>
  <c r="S633" i="2"/>
  <c r="H295" i="5"/>
  <c r="G295" i="5"/>
  <c r="F295" i="5"/>
  <c r="E295" i="5"/>
  <c r="J295" i="5"/>
  <c r="I295" i="5"/>
  <c r="J297" i="5"/>
  <c r="I297" i="5"/>
  <c r="H297" i="5"/>
  <c r="G297" i="5"/>
  <c r="F297" i="5"/>
  <c r="E297" i="5"/>
  <c r="J299" i="5"/>
  <c r="I299" i="5"/>
  <c r="H299" i="5"/>
  <c r="G299" i="5"/>
  <c r="F299" i="5"/>
  <c r="E299" i="5"/>
  <c r="S296" i="2"/>
  <c r="I312" i="5"/>
  <c r="H312" i="5"/>
  <c r="G312" i="5"/>
  <c r="F312" i="5"/>
  <c r="E312" i="5"/>
  <c r="J312" i="5"/>
  <c r="E324" i="5"/>
  <c r="J324" i="5"/>
  <c r="I324" i="5"/>
  <c r="H324" i="5"/>
  <c r="G324" i="5"/>
  <c r="F324" i="5"/>
  <c r="J339" i="5"/>
  <c r="I339" i="5"/>
  <c r="H339" i="5"/>
  <c r="G339" i="5"/>
  <c r="F339" i="5"/>
  <c r="E339" i="5"/>
  <c r="S336" i="2"/>
  <c r="I344" i="5"/>
  <c r="H344" i="5"/>
  <c r="G344" i="5"/>
  <c r="F344" i="5"/>
  <c r="E344" i="5"/>
  <c r="J344" i="5"/>
  <c r="E364" i="5"/>
  <c r="J364" i="5"/>
  <c r="I364" i="5"/>
  <c r="H364" i="5"/>
  <c r="G364" i="5"/>
  <c r="F364" i="5"/>
  <c r="G366" i="5"/>
  <c r="F366" i="5"/>
  <c r="E366" i="5"/>
  <c r="J366" i="5"/>
  <c r="I366" i="5"/>
  <c r="H366" i="5"/>
  <c r="S363" i="2"/>
  <c r="F381" i="5"/>
  <c r="E381" i="5"/>
  <c r="J381" i="5"/>
  <c r="I381" i="5"/>
  <c r="H381" i="5"/>
  <c r="G381" i="5"/>
  <c r="I384" i="5"/>
  <c r="H384" i="5"/>
  <c r="G384" i="5"/>
  <c r="F384" i="5"/>
  <c r="E384" i="5"/>
  <c r="J384" i="5"/>
  <c r="H31" i="15"/>
  <c r="J395" i="5"/>
  <c r="I395" i="5"/>
  <c r="H395" i="5"/>
  <c r="G395" i="5"/>
  <c r="F395" i="5"/>
  <c r="E395" i="5"/>
  <c r="S392" i="2"/>
  <c r="E31" i="14"/>
  <c r="H31" i="14" s="1"/>
  <c r="G414" i="5"/>
  <c r="F414" i="5"/>
  <c r="E414" i="5"/>
  <c r="J414" i="5"/>
  <c r="I414" i="5"/>
  <c r="H414" i="5"/>
  <c r="S411" i="2"/>
  <c r="G430" i="5"/>
  <c r="F430" i="5"/>
  <c r="E430" i="5"/>
  <c r="J430" i="5"/>
  <c r="I430" i="5"/>
  <c r="H430" i="5"/>
  <c r="S427" i="2"/>
  <c r="G438" i="5"/>
  <c r="F438" i="5"/>
  <c r="E438" i="5"/>
  <c r="J438" i="5"/>
  <c r="I438" i="5"/>
  <c r="H438" i="5"/>
  <c r="S435" i="2"/>
  <c r="D33" i="14" s="1"/>
  <c r="G33" i="14" s="1"/>
  <c r="I467" i="5"/>
  <c r="G467" i="5"/>
  <c r="F467" i="5"/>
  <c r="E467" i="5"/>
  <c r="J467" i="5"/>
  <c r="H467" i="5"/>
  <c r="S464" i="2"/>
  <c r="E468" i="5"/>
  <c r="J468" i="5"/>
  <c r="H468" i="5"/>
  <c r="I468" i="5"/>
  <c r="G468" i="5"/>
  <c r="F468" i="5"/>
  <c r="S465" i="2"/>
  <c r="J497" i="5"/>
  <c r="I497" i="5"/>
  <c r="G497" i="5"/>
  <c r="F497" i="5"/>
  <c r="E497" i="5"/>
  <c r="H497" i="5"/>
  <c r="S494" i="2"/>
  <c r="I499" i="5"/>
  <c r="H499" i="5"/>
  <c r="G499" i="5"/>
  <c r="J499" i="5"/>
  <c r="F499" i="5"/>
  <c r="E499" i="5"/>
  <c r="S496" i="2"/>
  <c r="H38" i="15"/>
  <c r="E500" i="5"/>
  <c r="J500" i="5"/>
  <c r="I500" i="5"/>
  <c r="H500" i="5"/>
  <c r="G500" i="5"/>
  <c r="F500" i="5"/>
  <c r="S497" i="2"/>
  <c r="G502" i="5"/>
  <c r="F502" i="5"/>
  <c r="J502" i="5"/>
  <c r="I502" i="5"/>
  <c r="H502" i="5"/>
  <c r="E502" i="5"/>
  <c r="S499" i="2"/>
  <c r="J507" i="5"/>
  <c r="I507" i="5"/>
  <c r="H507" i="5"/>
  <c r="G507" i="5"/>
  <c r="F507" i="5"/>
  <c r="E507" i="5"/>
  <c r="S504" i="2"/>
  <c r="F540" i="5"/>
  <c r="E540" i="5"/>
  <c r="J540" i="5"/>
  <c r="I540" i="5"/>
  <c r="H540" i="5"/>
  <c r="G540" i="5"/>
  <c r="H542" i="5"/>
  <c r="G542" i="5"/>
  <c r="F542" i="5"/>
  <c r="E542" i="5"/>
  <c r="J542" i="5"/>
  <c r="I542" i="5"/>
  <c r="S539" i="2"/>
  <c r="E547" i="5"/>
  <c r="J547" i="5"/>
  <c r="I547" i="5"/>
  <c r="H547" i="5"/>
  <c r="G547" i="5"/>
  <c r="F547" i="5"/>
  <c r="S544" i="2"/>
  <c r="E572" i="5"/>
  <c r="J572" i="5"/>
  <c r="I572" i="5"/>
  <c r="H572" i="5"/>
  <c r="G572" i="5"/>
  <c r="F572" i="5"/>
  <c r="S569" i="2"/>
  <c r="H582" i="5"/>
  <c r="G582" i="5"/>
  <c r="F582" i="5"/>
  <c r="E582" i="5"/>
  <c r="J582" i="5"/>
  <c r="I582" i="5"/>
  <c r="S579" i="2"/>
  <c r="H44" i="15"/>
  <c r="H590" i="5"/>
  <c r="G590" i="5"/>
  <c r="F590" i="5"/>
  <c r="E590" i="5"/>
  <c r="J590" i="5"/>
  <c r="I590" i="5"/>
  <c r="S587" i="2"/>
  <c r="I33" i="15"/>
  <c r="I432" i="5"/>
  <c r="H432" i="5"/>
  <c r="G432" i="5"/>
  <c r="F432" i="5"/>
  <c r="E432" i="5"/>
  <c r="J432" i="5"/>
  <c r="S429" i="2"/>
  <c r="E436" i="5"/>
  <c r="J436" i="5"/>
  <c r="I436" i="5"/>
  <c r="H436" i="5"/>
  <c r="G436" i="5"/>
  <c r="F436" i="5"/>
  <c r="J449" i="5"/>
  <c r="I449" i="5"/>
  <c r="H449" i="5"/>
  <c r="G449" i="5"/>
  <c r="F449" i="5"/>
  <c r="E449" i="5"/>
  <c r="I35" i="15"/>
  <c r="E459" i="5"/>
  <c r="J459" i="5"/>
  <c r="I459" i="5"/>
  <c r="H459" i="5"/>
  <c r="G459" i="5"/>
  <c r="F459" i="5"/>
  <c r="S456" i="2"/>
  <c r="H462" i="5"/>
  <c r="G462" i="5"/>
  <c r="F462" i="5"/>
  <c r="E462" i="5"/>
  <c r="J462" i="5"/>
  <c r="I462" i="5"/>
  <c r="S459" i="2"/>
  <c r="I472" i="5"/>
  <c r="H472" i="5"/>
  <c r="F472" i="5"/>
  <c r="E472" i="5"/>
  <c r="G472" i="5"/>
  <c r="J472" i="5"/>
  <c r="S469" i="2"/>
  <c r="J473" i="5"/>
  <c r="I473" i="5"/>
  <c r="G473" i="5"/>
  <c r="F473" i="5"/>
  <c r="E473" i="5"/>
  <c r="H473" i="5"/>
  <c r="S470" i="2"/>
  <c r="J489" i="5"/>
  <c r="I489" i="5"/>
  <c r="G489" i="5"/>
  <c r="F489" i="5"/>
  <c r="E489" i="5"/>
  <c r="H489" i="5"/>
  <c r="S486" i="2"/>
  <c r="G494" i="5"/>
  <c r="F494" i="5"/>
  <c r="J494" i="5"/>
  <c r="I494" i="5"/>
  <c r="H494" i="5"/>
  <c r="E494" i="5"/>
  <c r="S491" i="2"/>
  <c r="I38" i="15"/>
  <c r="H510" i="5"/>
  <c r="G510" i="5"/>
  <c r="F510" i="5"/>
  <c r="E510" i="5"/>
  <c r="J510" i="5"/>
  <c r="I510" i="5"/>
  <c r="S507" i="2"/>
  <c r="E523" i="5"/>
  <c r="J523" i="5"/>
  <c r="I523" i="5"/>
  <c r="H523" i="5"/>
  <c r="G523" i="5"/>
  <c r="F523" i="5"/>
  <c r="S520" i="2"/>
  <c r="I41" i="15"/>
  <c r="G574" i="5"/>
  <c r="F574" i="5"/>
  <c r="E574" i="5"/>
  <c r="J574" i="5"/>
  <c r="H574" i="5"/>
  <c r="I574" i="5"/>
  <c r="S571" i="2"/>
  <c r="E611" i="5"/>
  <c r="J611" i="5"/>
  <c r="I611" i="5"/>
  <c r="H611" i="5"/>
  <c r="G611" i="5"/>
  <c r="F611" i="5"/>
  <c r="S608" i="2"/>
  <c r="F612" i="5"/>
  <c r="E612" i="5"/>
  <c r="J612" i="5"/>
  <c r="I612" i="5"/>
  <c r="H612" i="5"/>
  <c r="G612" i="5"/>
  <c r="J628" i="5"/>
  <c r="I628" i="5"/>
  <c r="H628" i="5"/>
  <c r="G628" i="5"/>
  <c r="F628" i="5"/>
  <c r="E628" i="5"/>
  <c r="I651" i="5"/>
  <c r="H651" i="5"/>
  <c r="G651" i="5"/>
  <c r="F651" i="5"/>
  <c r="J651" i="5"/>
  <c r="E651" i="5"/>
  <c r="S648" i="2"/>
  <c r="F662" i="5"/>
  <c r="J662" i="5"/>
  <c r="I662" i="5"/>
  <c r="H662" i="5"/>
  <c r="G662" i="5"/>
  <c r="E662" i="5"/>
  <c r="S659" i="2"/>
  <c r="J692" i="5"/>
  <c r="I692" i="5"/>
  <c r="H692" i="5"/>
  <c r="G692" i="5"/>
  <c r="F692" i="5"/>
  <c r="E692" i="5"/>
  <c r="G702" i="5"/>
  <c r="F702" i="5"/>
  <c r="J702" i="5"/>
  <c r="I702" i="5"/>
  <c r="H702" i="5"/>
  <c r="E702" i="5"/>
  <c r="S699" i="2"/>
  <c r="F715" i="5"/>
  <c r="E715" i="5"/>
  <c r="J715" i="5"/>
  <c r="I715" i="5"/>
  <c r="H715" i="5"/>
  <c r="G715" i="5"/>
  <c r="S712" i="2"/>
  <c r="I766" i="5"/>
  <c r="G766" i="5"/>
  <c r="J766" i="5"/>
  <c r="H766" i="5"/>
  <c r="F766" i="5"/>
  <c r="E766" i="5"/>
  <c r="S763" i="2"/>
  <c r="F803" i="5"/>
  <c r="H803" i="5"/>
  <c r="G803" i="5"/>
  <c r="E803" i="5"/>
  <c r="I803" i="5"/>
  <c r="J803" i="5"/>
  <c r="J205" i="5"/>
  <c r="I205" i="5"/>
  <c r="H205" i="5"/>
  <c r="G205" i="5"/>
  <c r="F205" i="5"/>
  <c r="E205" i="5"/>
  <c r="J213" i="5"/>
  <c r="I213" i="5"/>
  <c r="H213" i="5"/>
  <c r="G213" i="5"/>
  <c r="F213" i="5"/>
  <c r="E213" i="5"/>
  <c r="J221" i="5"/>
  <c r="I221" i="5"/>
  <c r="H221" i="5"/>
  <c r="G221" i="5"/>
  <c r="F221" i="5"/>
  <c r="E221" i="5"/>
  <c r="J229" i="5"/>
  <c r="I229" i="5"/>
  <c r="H229" i="5"/>
  <c r="G229" i="5"/>
  <c r="F229" i="5"/>
  <c r="E229" i="5"/>
  <c r="J237" i="5"/>
  <c r="I237" i="5"/>
  <c r="H237" i="5"/>
  <c r="G237" i="5"/>
  <c r="F237" i="5"/>
  <c r="E237" i="5"/>
  <c r="H21" i="15"/>
  <c r="J21" i="15" s="1"/>
  <c r="J245" i="5"/>
  <c r="I245" i="5"/>
  <c r="H245" i="5"/>
  <c r="G245" i="5"/>
  <c r="F245" i="5"/>
  <c r="E245" i="5"/>
  <c r="J253" i="5"/>
  <c r="I253" i="5"/>
  <c r="H253" i="5"/>
  <c r="G253" i="5"/>
  <c r="F253" i="5"/>
  <c r="E253" i="5"/>
  <c r="E261" i="5"/>
  <c r="I261" i="5"/>
  <c r="J261" i="5"/>
  <c r="H261" i="5"/>
  <c r="G261" i="5"/>
  <c r="F261" i="5"/>
  <c r="F269" i="5"/>
  <c r="E269" i="5"/>
  <c r="I269" i="5"/>
  <c r="H269" i="5"/>
  <c r="G269" i="5"/>
  <c r="J269" i="5"/>
  <c r="F277" i="5"/>
  <c r="E277" i="5"/>
  <c r="I277" i="5"/>
  <c r="G277" i="5"/>
  <c r="J277" i="5"/>
  <c r="H277" i="5"/>
  <c r="F285" i="5"/>
  <c r="E285" i="5"/>
  <c r="J285" i="5"/>
  <c r="I285" i="5"/>
  <c r="H285" i="5"/>
  <c r="G285" i="5"/>
  <c r="F293" i="5"/>
  <c r="E293" i="5"/>
  <c r="J293" i="5"/>
  <c r="I293" i="5"/>
  <c r="H293" i="5"/>
  <c r="G293" i="5"/>
  <c r="F301" i="5"/>
  <c r="E301" i="5"/>
  <c r="J301" i="5"/>
  <c r="I301" i="5"/>
  <c r="H301" i="5"/>
  <c r="G301" i="5"/>
  <c r="F309" i="5"/>
  <c r="E309" i="5"/>
  <c r="J309" i="5"/>
  <c r="I309" i="5"/>
  <c r="H309" i="5"/>
  <c r="G309" i="5"/>
  <c r="F317" i="5"/>
  <c r="E317" i="5"/>
  <c r="J317" i="5"/>
  <c r="I317" i="5"/>
  <c r="H317" i="5"/>
  <c r="G317" i="5"/>
  <c r="I26" i="15"/>
  <c r="F325" i="5"/>
  <c r="E325" i="5"/>
  <c r="J325" i="5"/>
  <c r="I325" i="5"/>
  <c r="H325" i="5"/>
  <c r="G325" i="5"/>
  <c r="F333" i="5"/>
  <c r="E333" i="5"/>
  <c r="J333" i="5"/>
  <c r="I333" i="5"/>
  <c r="H333" i="5"/>
  <c r="G333" i="5"/>
  <c r="F341" i="5"/>
  <c r="E341" i="5"/>
  <c r="J341" i="5"/>
  <c r="I341" i="5"/>
  <c r="H341" i="5"/>
  <c r="G341" i="5"/>
  <c r="F349" i="5"/>
  <c r="E349" i="5"/>
  <c r="J349" i="5"/>
  <c r="I349" i="5"/>
  <c r="H349" i="5"/>
  <c r="G349" i="5"/>
  <c r="F357" i="5"/>
  <c r="E357" i="5"/>
  <c r="J357" i="5"/>
  <c r="I357" i="5"/>
  <c r="H357" i="5"/>
  <c r="G357" i="5"/>
  <c r="H29" i="15"/>
  <c r="F365" i="5"/>
  <c r="E365" i="5"/>
  <c r="J365" i="5"/>
  <c r="I365" i="5"/>
  <c r="H365" i="5"/>
  <c r="G365" i="5"/>
  <c r="I30" i="15"/>
  <c r="J393" i="5"/>
  <c r="I393" i="5"/>
  <c r="H393" i="5"/>
  <c r="G393" i="5"/>
  <c r="F393" i="5"/>
  <c r="E393" i="5"/>
  <c r="I31" i="15"/>
  <c r="G422" i="5"/>
  <c r="F422" i="5"/>
  <c r="E422" i="5"/>
  <c r="J422" i="5"/>
  <c r="I422" i="5"/>
  <c r="H422" i="5"/>
  <c r="S419" i="2"/>
  <c r="J433" i="5"/>
  <c r="I433" i="5"/>
  <c r="H433" i="5"/>
  <c r="G433" i="5"/>
  <c r="F433" i="5"/>
  <c r="E433" i="5"/>
  <c r="J456" i="5"/>
  <c r="I456" i="5"/>
  <c r="H456" i="5"/>
  <c r="G456" i="5"/>
  <c r="F456" i="5"/>
  <c r="E456" i="5"/>
  <c r="S453" i="2"/>
  <c r="F460" i="5"/>
  <c r="E460" i="5"/>
  <c r="J460" i="5"/>
  <c r="I460" i="5"/>
  <c r="H460" i="5"/>
  <c r="G460" i="5"/>
  <c r="G550" i="5"/>
  <c r="E550" i="5"/>
  <c r="J550" i="5"/>
  <c r="I550" i="5"/>
  <c r="H550" i="5"/>
  <c r="F550" i="5"/>
  <c r="S547" i="2"/>
  <c r="E587" i="5"/>
  <c r="J587" i="5"/>
  <c r="I587" i="5"/>
  <c r="H587" i="5"/>
  <c r="G587" i="5"/>
  <c r="F587" i="5"/>
  <c r="S584" i="2"/>
  <c r="F588" i="5"/>
  <c r="E588" i="5"/>
  <c r="J588" i="5"/>
  <c r="I588" i="5"/>
  <c r="H588" i="5"/>
  <c r="G588" i="5"/>
  <c r="F604" i="5"/>
  <c r="E604" i="5"/>
  <c r="J604" i="5"/>
  <c r="I604" i="5"/>
  <c r="H604" i="5"/>
  <c r="G604" i="5"/>
  <c r="I627" i="5"/>
  <c r="H627" i="5"/>
  <c r="G627" i="5"/>
  <c r="J627" i="5"/>
  <c r="F627" i="5"/>
  <c r="E627" i="5"/>
  <c r="S624" i="2"/>
  <c r="J638" i="5"/>
  <c r="I638" i="5"/>
  <c r="H638" i="5"/>
  <c r="G638" i="5"/>
  <c r="F638" i="5"/>
  <c r="E638" i="5"/>
  <c r="S635" i="2"/>
  <c r="J668" i="5"/>
  <c r="I668" i="5"/>
  <c r="H668" i="5"/>
  <c r="G668" i="5"/>
  <c r="F668" i="5"/>
  <c r="E668" i="5"/>
  <c r="F678" i="5"/>
  <c r="J678" i="5"/>
  <c r="I678" i="5"/>
  <c r="H678" i="5"/>
  <c r="G678" i="5"/>
  <c r="E678" i="5"/>
  <c r="S675" i="2"/>
  <c r="I691" i="5"/>
  <c r="H691" i="5"/>
  <c r="G691" i="5"/>
  <c r="F691" i="5"/>
  <c r="J691" i="5"/>
  <c r="E691" i="5"/>
  <c r="S688" i="2"/>
  <c r="I742" i="5"/>
  <c r="H742" i="5"/>
  <c r="G742" i="5"/>
  <c r="F742" i="5"/>
  <c r="J742" i="5"/>
  <c r="E742" i="5"/>
  <c r="S739" i="2"/>
  <c r="E794" i="5"/>
  <c r="I794" i="5"/>
  <c r="H794" i="5"/>
  <c r="G794" i="5"/>
  <c r="F794" i="5"/>
  <c r="J794" i="5"/>
  <c r="S791" i="2"/>
  <c r="H250" i="5"/>
  <c r="G250" i="5"/>
  <c r="F250" i="5"/>
  <c r="E250" i="5"/>
  <c r="J250" i="5"/>
  <c r="I250" i="5"/>
  <c r="H258" i="5"/>
  <c r="G258" i="5"/>
  <c r="F258" i="5"/>
  <c r="E258" i="5"/>
  <c r="J258" i="5"/>
  <c r="I258" i="5"/>
  <c r="J266" i="5"/>
  <c r="F266" i="5"/>
  <c r="G266" i="5"/>
  <c r="E266" i="5"/>
  <c r="I266" i="5"/>
  <c r="H266" i="5"/>
  <c r="J274" i="5"/>
  <c r="F274" i="5"/>
  <c r="I274" i="5"/>
  <c r="H274" i="5"/>
  <c r="G274" i="5"/>
  <c r="E274" i="5"/>
  <c r="J282" i="5"/>
  <c r="I282" i="5"/>
  <c r="H282" i="5"/>
  <c r="G282" i="5"/>
  <c r="F282" i="5"/>
  <c r="E282" i="5"/>
  <c r="H24" i="15"/>
  <c r="J24" i="15" s="1"/>
  <c r="J290" i="5"/>
  <c r="I290" i="5"/>
  <c r="H290" i="5"/>
  <c r="G290" i="5"/>
  <c r="F290" i="5"/>
  <c r="E290" i="5"/>
  <c r="J298" i="5"/>
  <c r="I298" i="5"/>
  <c r="H298" i="5"/>
  <c r="G298" i="5"/>
  <c r="F298" i="5"/>
  <c r="E298" i="5"/>
  <c r="J306" i="5"/>
  <c r="I306" i="5"/>
  <c r="H306" i="5"/>
  <c r="G306" i="5"/>
  <c r="F306" i="5"/>
  <c r="E306" i="5"/>
  <c r="J314" i="5"/>
  <c r="I314" i="5"/>
  <c r="H314" i="5"/>
  <c r="G314" i="5"/>
  <c r="F314" i="5"/>
  <c r="E314" i="5"/>
  <c r="J322" i="5"/>
  <c r="I322" i="5"/>
  <c r="H322" i="5"/>
  <c r="G322" i="5"/>
  <c r="F322" i="5"/>
  <c r="E322" i="5"/>
  <c r="J330" i="5"/>
  <c r="I330" i="5"/>
  <c r="H330" i="5"/>
  <c r="G330" i="5"/>
  <c r="F330" i="5"/>
  <c r="E330" i="5"/>
  <c r="J338" i="5"/>
  <c r="I338" i="5"/>
  <c r="H338" i="5"/>
  <c r="G338" i="5"/>
  <c r="F338" i="5"/>
  <c r="E338" i="5"/>
  <c r="J346" i="5"/>
  <c r="I346" i="5"/>
  <c r="H346" i="5"/>
  <c r="G346" i="5"/>
  <c r="F346" i="5"/>
  <c r="E346" i="5"/>
  <c r="J354" i="5"/>
  <c r="I354" i="5"/>
  <c r="H354" i="5"/>
  <c r="G354" i="5"/>
  <c r="F354" i="5"/>
  <c r="E354" i="5"/>
  <c r="J362" i="5"/>
  <c r="I362" i="5"/>
  <c r="H362" i="5"/>
  <c r="G362" i="5"/>
  <c r="F362" i="5"/>
  <c r="E362" i="5"/>
  <c r="H367" i="5"/>
  <c r="G367" i="5"/>
  <c r="F367" i="5"/>
  <c r="E367" i="5"/>
  <c r="J367" i="5"/>
  <c r="I367" i="5"/>
  <c r="E396" i="5"/>
  <c r="J396" i="5"/>
  <c r="I396" i="5"/>
  <c r="H396" i="5"/>
  <c r="G396" i="5"/>
  <c r="F396" i="5"/>
  <c r="H446" i="5"/>
  <c r="G446" i="5"/>
  <c r="F446" i="5"/>
  <c r="E446" i="5"/>
  <c r="J446" i="5"/>
  <c r="I446" i="5"/>
  <c r="S443" i="2"/>
  <c r="S452" i="2"/>
  <c r="J457" i="5"/>
  <c r="I457" i="5"/>
  <c r="H457" i="5"/>
  <c r="G457" i="5"/>
  <c r="F457" i="5"/>
  <c r="E457" i="5"/>
  <c r="H526" i="5"/>
  <c r="G526" i="5"/>
  <c r="F526" i="5"/>
  <c r="E526" i="5"/>
  <c r="J526" i="5"/>
  <c r="I526" i="5"/>
  <c r="S523" i="2"/>
  <c r="J563" i="5"/>
  <c r="I563" i="5"/>
  <c r="H563" i="5"/>
  <c r="G563" i="5"/>
  <c r="F563" i="5"/>
  <c r="E563" i="5"/>
  <c r="S560" i="2"/>
  <c r="E564" i="5"/>
  <c r="J564" i="5"/>
  <c r="I564" i="5"/>
  <c r="H564" i="5"/>
  <c r="G564" i="5"/>
  <c r="F564" i="5"/>
  <c r="I43" i="15"/>
  <c r="F580" i="5"/>
  <c r="E580" i="5"/>
  <c r="J580" i="5"/>
  <c r="I580" i="5"/>
  <c r="H580" i="5"/>
  <c r="G580" i="5"/>
  <c r="E603" i="5"/>
  <c r="J603" i="5"/>
  <c r="I603" i="5"/>
  <c r="H603" i="5"/>
  <c r="G603" i="5"/>
  <c r="F603" i="5"/>
  <c r="S600" i="2"/>
  <c r="H614" i="5"/>
  <c r="G614" i="5"/>
  <c r="F614" i="5"/>
  <c r="E614" i="5"/>
  <c r="J614" i="5"/>
  <c r="I614" i="5"/>
  <c r="S611" i="2"/>
  <c r="J644" i="5"/>
  <c r="I644" i="5"/>
  <c r="H644" i="5"/>
  <c r="G644" i="5"/>
  <c r="F644" i="5"/>
  <c r="E644" i="5"/>
  <c r="F654" i="5"/>
  <c r="J654" i="5"/>
  <c r="I654" i="5"/>
  <c r="H654" i="5"/>
  <c r="G654" i="5"/>
  <c r="E654" i="5"/>
  <c r="S651" i="2"/>
  <c r="I667" i="5"/>
  <c r="H667" i="5"/>
  <c r="G667" i="5"/>
  <c r="F667" i="5"/>
  <c r="J667" i="5"/>
  <c r="E667" i="5"/>
  <c r="S664" i="2"/>
  <c r="I718" i="5"/>
  <c r="H718" i="5"/>
  <c r="G718" i="5"/>
  <c r="F718" i="5"/>
  <c r="J718" i="5"/>
  <c r="E718" i="5"/>
  <c r="S715" i="2"/>
  <c r="H55" i="15"/>
  <c r="I755" i="5"/>
  <c r="H755" i="5"/>
  <c r="F755" i="5"/>
  <c r="G755" i="5"/>
  <c r="J755" i="5"/>
  <c r="E755" i="5"/>
  <c r="S752" i="2"/>
  <c r="J756" i="5"/>
  <c r="I756" i="5"/>
  <c r="G756" i="5"/>
  <c r="E756" i="5"/>
  <c r="F756" i="5"/>
  <c r="H756" i="5"/>
  <c r="J772" i="5"/>
  <c r="I772" i="5"/>
  <c r="G772" i="5"/>
  <c r="E772" i="5"/>
  <c r="H772" i="5"/>
  <c r="F772" i="5"/>
  <c r="F782" i="5"/>
  <c r="E782" i="5"/>
  <c r="J782" i="5"/>
  <c r="I782" i="5"/>
  <c r="G782" i="5"/>
  <c r="H782" i="5"/>
  <c r="S779" i="2"/>
  <c r="H784" i="5"/>
  <c r="G784" i="5"/>
  <c r="F784" i="5"/>
  <c r="E784" i="5"/>
  <c r="I784" i="5"/>
  <c r="J784" i="5"/>
  <c r="S781" i="2"/>
  <c r="J786" i="5"/>
  <c r="I786" i="5"/>
  <c r="H786" i="5"/>
  <c r="G786" i="5"/>
  <c r="F786" i="5"/>
  <c r="E786" i="5"/>
  <c r="S783" i="2"/>
  <c r="E802" i="5"/>
  <c r="J802" i="5"/>
  <c r="I802" i="5"/>
  <c r="H802" i="5"/>
  <c r="F802" i="5"/>
  <c r="G802" i="5"/>
  <c r="S799" i="2"/>
  <c r="S689" i="2"/>
  <c r="F694" i="5"/>
  <c r="J694" i="5"/>
  <c r="I694" i="5"/>
  <c r="H694" i="5"/>
  <c r="G694" i="5"/>
  <c r="E694" i="5"/>
  <c r="S691" i="2"/>
  <c r="F731" i="5"/>
  <c r="E731" i="5"/>
  <c r="H731" i="5"/>
  <c r="G731" i="5"/>
  <c r="J731" i="5"/>
  <c r="I731" i="5"/>
  <c r="S728" i="2"/>
  <c r="G732" i="5"/>
  <c r="F732" i="5"/>
  <c r="E732" i="5"/>
  <c r="H732" i="5"/>
  <c r="J732" i="5"/>
  <c r="I732" i="5"/>
  <c r="I748" i="5"/>
  <c r="G748" i="5"/>
  <c r="F748" i="5"/>
  <c r="E748" i="5"/>
  <c r="J748" i="5"/>
  <c r="H748" i="5"/>
  <c r="J771" i="5"/>
  <c r="I771" i="5"/>
  <c r="H771" i="5"/>
  <c r="F771" i="5"/>
  <c r="E771" i="5"/>
  <c r="G771" i="5"/>
  <c r="S768" i="2"/>
  <c r="S800" i="2"/>
  <c r="F811" i="5"/>
  <c r="J811" i="5"/>
  <c r="I811" i="5"/>
  <c r="H811" i="5"/>
  <c r="G811" i="5"/>
  <c r="E811" i="5"/>
  <c r="S808" i="2"/>
  <c r="S878" i="2"/>
  <c r="I44" i="15"/>
  <c r="F596" i="5"/>
  <c r="E596" i="5"/>
  <c r="J596" i="5"/>
  <c r="I596" i="5"/>
  <c r="H596" i="5"/>
  <c r="G596" i="5"/>
  <c r="H606" i="5"/>
  <c r="G606" i="5"/>
  <c r="F606" i="5"/>
  <c r="E606" i="5"/>
  <c r="J606" i="5"/>
  <c r="I606" i="5"/>
  <c r="S603" i="2"/>
  <c r="E619" i="5"/>
  <c r="J619" i="5"/>
  <c r="I619" i="5"/>
  <c r="H619" i="5"/>
  <c r="G619" i="5"/>
  <c r="F619" i="5"/>
  <c r="S616" i="2"/>
  <c r="F670" i="5"/>
  <c r="J670" i="5"/>
  <c r="I670" i="5"/>
  <c r="H670" i="5"/>
  <c r="G670" i="5"/>
  <c r="E670" i="5"/>
  <c r="S667" i="2"/>
  <c r="E707" i="5"/>
  <c r="I707" i="5"/>
  <c r="H707" i="5"/>
  <c r="G707" i="5"/>
  <c r="F707" i="5"/>
  <c r="J707" i="5"/>
  <c r="S704" i="2"/>
  <c r="F708" i="5"/>
  <c r="E708" i="5"/>
  <c r="J708" i="5"/>
  <c r="I708" i="5"/>
  <c r="H708" i="5"/>
  <c r="G708" i="5"/>
  <c r="G724" i="5"/>
  <c r="F724" i="5"/>
  <c r="E724" i="5"/>
  <c r="H724" i="5"/>
  <c r="J724" i="5"/>
  <c r="I724" i="5"/>
  <c r="H747" i="5"/>
  <c r="F747" i="5"/>
  <c r="E747" i="5"/>
  <c r="J747" i="5"/>
  <c r="I747" i="5"/>
  <c r="G747" i="5"/>
  <c r="S744" i="2"/>
  <c r="I758" i="5"/>
  <c r="G758" i="5"/>
  <c r="J758" i="5"/>
  <c r="H758" i="5"/>
  <c r="F758" i="5"/>
  <c r="E758" i="5"/>
  <c r="S755" i="2"/>
  <c r="H836" i="5"/>
  <c r="G836" i="5"/>
  <c r="E836" i="5"/>
  <c r="J836" i="5"/>
  <c r="F836" i="5"/>
  <c r="I836" i="5"/>
  <c r="S833" i="2"/>
  <c r="H868" i="5"/>
  <c r="G868" i="5"/>
  <c r="J868" i="5"/>
  <c r="I868" i="5"/>
  <c r="F868" i="5"/>
  <c r="E868" i="5"/>
  <c r="S865" i="2"/>
  <c r="F646" i="5"/>
  <c r="J646" i="5"/>
  <c r="I646" i="5"/>
  <c r="H646" i="5"/>
  <c r="G646" i="5"/>
  <c r="E646" i="5"/>
  <c r="S643" i="2"/>
  <c r="I683" i="5"/>
  <c r="H683" i="5"/>
  <c r="G683" i="5"/>
  <c r="F683" i="5"/>
  <c r="J683" i="5"/>
  <c r="E683" i="5"/>
  <c r="S680" i="2"/>
  <c r="J684" i="5"/>
  <c r="I684" i="5"/>
  <c r="H684" i="5"/>
  <c r="G684" i="5"/>
  <c r="F684" i="5"/>
  <c r="E684" i="5"/>
  <c r="I51" i="15"/>
  <c r="J700" i="5"/>
  <c r="I700" i="5"/>
  <c r="H700" i="5"/>
  <c r="G700" i="5"/>
  <c r="F700" i="5"/>
  <c r="E700" i="5"/>
  <c r="F723" i="5"/>
  <c r="E723" i="5"/>
  <c r="H723" i="5"/>
  <c r="G723" i="5"/>
  <c r="J723" i="5"/>
  <c r="I723" i="5"/>
  <c r="S720" i="2"/>
  <c r="I734" i="5"/>
  <c r="H734" i="5"/>
  <c r="G734" i="5"/>
  <c r="F734" i="5"/>
  <c r="J734" i="5"/>
  <c r="E734" i="5"/>
  <c r="S731" i="2"/>
  <c r="J764" i="5"/>
  <c r="I764" i="5"/>
  <c r="G764" i="5"/>
  <c r="E764" i="5"/>
  <c r="F764" i="5"/>
  <c r="H764" i="5"/>
  <c r="H776" i="5"/>
  <c r="G776" i="5"/>
  <c r="F776" i="5"/>
  <c r="E776" i="5"/>
  <c r="I776" i="5"/>
  <c r="J776" i="5"/>
  <c r="S773" i="2"/>
  <c r="G843" i="5"/>
  <c r="I843" i="5"/>
  <c r="J843" i="5"/>
  <c r="H843" i="5"/>
  <c r="F843" i="5"/>
  <c r="E843" i="5"/>
  <c r="S840" i="2"/>
  <c r="G558" i="5"/>
  <c r="E558" i="5"/>
  <c r="J558" i="5"/>
  <c r="I558" i="5"/>
  <c r="H558" i="5"/>
  <c r="F558" i="5"/>
  <c r="S555" i="2"/>
  <c r="J571" i="5"/>
  <c r="I571" i="5"/>
  <c r="H571" i="5"/>
  <c r="G571" i="5"/>
  <c r="F571" i="5"/>
  <c r="E571" i="5"/>
  <c r="S568" i="2"/>
  <c r="H622" i="5"/>
  <c r="G622" i="5"/>
  <c r="F622" i="5"/>
  <c r="E622" i="5"/>
  <c r="J622" i="5"/>
  <c r="I622" i="5"/>
  <c r="S619" i="2"/>
  <c r="I659" i="5"/>
  <c r="H659" i="5"/>
  <c r="G659" i="5"/>
  <c r="F659" i="5"/>
  <c r="J659" i="5"/>
  <c r="E659" i="5"/>
  <c r="S656" i="2"/>
  <c r="J660" i="5"/>
  <c r="I660" i="5"/>
  <c r="H660" i="5"/>
  <c r="G660" i="5"/>
  <c r="F660" i="5"/>
  <c r="E660" i="5"/>
  <c r="J676" i="5"/>
  <c r="I676" i="5"/>
  <c r="H676" i="5"/>
  <c r="G676" i="5"/>
  <c r="F676" i="5"/>
  <c r="E676" i="5"/>
  <c r="I699" i="5"/>
  <c r="H699" i="5"/>
  <c r="G699" i="5"/>
  <c r="F699" i="5"/>
  <c r="J699" i="5"/>
  <c r="E699" i="5"/>
  <c r="S696" i="2"/>
  <c r="H52" i="15"/>
  <c r="J52" i="15" s="1"/>
  <c r="I710" i="5"/>
  <c r="H710" i="5"/>
  <c r="G710" i="5"/>
  <c r="J710" i="5"/>
  <c r="F710" i="5"/>
  <c r="E710" i="5"/>
  <c r="S707" i="2"/>
  <c r="H54" i="15"/>
  <c r="I740" i="5"/>
  <c r="G740" i="5"/>
  <c r="F740" i="5"/>
  <c r="E740" i="5"/>
  <c r="J740" i="5"/>
  <c r="H740" i="5"/>
  <c r="I750" i="5"/>
  <c r="H750" i="5"/>
  <c r="G750" i="5"/>
  <c r="F750" i="5"/>
  <c r="J750" i="5"/>
  <c r="E750" i="5"/>
  <c r="S747" i="2"/>
  <c r="I763" i="5"/>
  <c r="H763" i="5"/>
  <c r="F763" i="5"/>
  <c r="G763" i="5"/>
  <c r="E763" i="5"/>
  <c r="J763" i="5"/>
  <c r="S760" i="2"/>
  <c r="G716" i="5"/>
  <c r="F716" i="5"/>
  <c r="E716" i="5"/>
  <c r="I716" i="5"/>
  <c r="H716" i="5"/>
  <c r="J716" i="5"/>
  <c r="I726" i="5"/>
  <c r="H726" i="5"/>
  <c r="G726" i="5"/>
  <c r="F726" i="5"/>
  <c r="J726" i="5"/>
  <c r="E726" i="5"/>
  <c r="S723" i="2"/>
  <c r="H739" i="5"/>
  <c r="F739" i="5"/>
  <c r="E739" i="5"/>
  <c r="J739" i="5"/>
  <c r="I739" i="5"/>
  <c r="G739" i="5"/>
  <c r="S736" i="2"/>
  <c r="H971" i="5"/>
  <c r="J971" i="5"/>
  <c r="F971" i="5"/>
  <c r="E971" i="5"/>
  <c r="I971" i="5"/>
  <c r="G971" i="5"/>
  <c r="S968" i="2"/>
  <c r="J505" i="5"/>
  <c r="I505" i="5"/>
  <c r="G505" i="5"/>
  <c r="F505" i="5"/>
  <c r="E505" i="5"/>
  <c r="H505" i="5"/>
  <c r="J513" i="5"/>
  <c r="I513" i="5"/>
  <c r="H513" i="5"/>
  <c r="G513" i="5"/>
  <c r="F513" i="5"/>
  <c r="E513" i="5"/>
  <c r="J521" i="5"/>
  <c r="I521" i="5"/>
  <c r="H521" i="5"/>
  <c r="G521" i="5"/>
  <c r="F521" i="5"/>
  <c r="E521" i="5"/>
  <c r="J529" i="5"/>
  <c r="I529" i="5"/>
  <c r="H529" i="5"/>
  <c r="G529" i="5"/>
  <c r="F529" i="5"/>
  <c r="E529" i="5"/>
  <c r="J537" i="5"/>
  <c r="I537" i="5"/>
  <c r="H537" i="5"/>
  <c r="G537" i="5"/>
  <c r="F537" i="5"/>
  <c r="E537" i="5"/>
  <c r="H41" i="15"/>
  <c r="J41" i="15" s="1"/>
  <c r="J545" i="5"/>
  <c r="I545" i="5"/>
  <c r="H545" i="5"/>
  <c r="G545" i="5"/>
  <c r="F545" i="5"/>
  <c r="E545" i="5"/>
  <c r="J553" i="5"/>
  <c r="H553" i="5"/>
  <c r="G553" i="5"/>
  <c r="F553" i="5"/>
  <c r="E553" i="5"/>
  <c r="I553" i="5"/>
  <c r="J561" i="5"/>
  <c r="H561" i="5"/>
  <c r="G561" i="5"/>
  <c r="F561" i="5"/>
  <c r="E561" i="5"/>
  <c r="I561" i="5"/>
  <c r="J569" i="5"/>
  <c r="H569" i="5"/>
  <c r="G569" i="5"/>
  <c r="F569" i="5"/>
  <c r="E569" i="5"/>
  <c r="I569" i="5"/>
  <c r="J577" i="5"/>
  <c r="I577" i="5"/>
  <c r="H577" i="5"/>
  <c r="G577" i="5"/>
  <c r="F577" i="5"/>
  <c r="E577" i="5"/>
  <c r="J585" i="5"/>
  <c r="I585" i="5"/>
  <c r="H585" i="5"/>
  <c r="G585" i="5"/>
  <c r="F585" i="5"/>
  <c r="E585" i="5"/>
  <c r="J593" i="5"/>
  <c r="I593" i="5"/>
  <c r="H593" i="5"/>
  <c r="G593" i="5"/>
  <c r="F593" i="5"/>
  <c r="E593" i="5"/>
  <c r="J601" i="5"/>
  <c r="I601" i="5"/>
  <c r="H601" i="5"/>
  <c r="G601" i="5"/>
  <c r="F601" i="5"/>
  <c r="E601" i="5"/>
  <c r="J609" i="5"/>
  <c r="I609" i="5"/>
  <c r="H609" i="5"/>
  <c r="G609" i="5"/>
  <c r="F609" i="5"/>
  <c r="E609" i="5"/>
  <c r="J617" i="5"/>
  <c r="I617" i="5"/>
  <c r="H617" i="5"/>
  <c r="G617" i="5"/>
  <c r="F617" i="5"/>
  <c r="E617" i="5"/>
  <c r="I46" i="15"/>
  <c r="F625" i="5"/>
  <c r="J625" i="5"/>
  <c r="I625" i="5"/>
  <c r="H625" i="5"/>
  <c r="G625" i="5"/>
  <c r="E625" i="5"/>
  <c r="G633" i="5"/>
  <c r="F633" i="5"/>
  <c r="E633" i="5"/>
  <c r="J633" i="5"/>
  <c r="I633" i="5"/>
  <c r="H633" i="5"/>
  <c r="G641" i="5"/>
  <c r="F641" i="5"/>
  <c r="E641" i="5"/>
  <c r="J641" i="5"/>
  <c r="I641" i="5"/>
  <c r="H641" i="5"/>
  <c r="I649" i="5"/>
  <c r="G649" i="5"/>
  <c r="F649" i="5"/>
  <c r="E649" i="5"/>
  <c r="J649" i="5"/>
  <c r="H649" i="5"/>
  <c r="I657" i="5"/>
  <c r="G657" i="5"/>
  <c r="F657" i="5"/>
  <c r="E657" i="5"/>
  <c r="J657" i="5"/>
  <c r="H657" i="5"/>
  <c r="H49" i="15"/>
  <c r="J49" i="15" s="1"/>
  <c r="I665" i="5"/>
  <c r="G665" i="5"/>
  <c r="F665" i="5"/>
  <c r="E665" i="5"/>
  <c r="J665" i="5"/>
  <c r="H665" i="5"/>
  <c r="I673" i="5"/>
  <c r="G673" i="5"/>
  <c r="F673" i="5"/>
  <c r="E673" i="5"/>
  <c r="J673" i="5"/>
  <c r="H673" i="5"/>
  <c r="I681" i="5"/>
  <c r="G681" i="5"/>
  <c r="F681" i="5"/>
  <c r="E681" i="5"/>
  <c r="J681" i="5"/>
  <c r="H681" i="5"/>
  <c r="I689" i="5"/>
  <c r="G689" i="5"/>
  <c r="F689" i="5"/>
  <c r="E689" i="5"/>
  <c r="J689" i="5"/>
  <c r="H689" i="5"/>
  <c r="I697" i="5"/>
  <c r="G697" i="5"/>
  <c r="F697" i="5"/>
  <c r="E697" i="5"/>
  <c r="J697" i="5"/>
  <c r="H697" i="5"/>
  <c r="J705" i="5"/>
  <c r="I705" i="5"/>
  <c r="G705" i="5"/>
  <c r="F705" i="5"/>
  <c r="E705" i="5"/>
  <c r="H705" i="5"/>
  <c r="J713" i="5"/>
  <c r="G713" i="5"/>
  <c r="F713" i="5"/>
  <c r="E713" i="5"/>
  <c r="I713" i="5"/>
  <c r="H713" i="5"/>
  <c r="J721" i="5"/>
  <c r="I721" i="5"/>
  <c r="H721" i="5"/>
  <c r="G721" i="5"/>
  <c r="F721" i="5"/>
  <c r="E721" i="5"/>
  <c r="J729" i="5"/>
  <c r="I729" i="5"/>
  <c r="H729" i="5"/>
  <c r="G729" i="5"/>
  <c r="F729" i="5"/>
  <c r="E729" i="5"/>
  <c r="F737" i="5"/>
  <c r="J737" i="5"/>
  <c r="I737" i="5"/>
  <c r="H737" i="5"/>
  <c r="G737" i="5"/>
  <c r="E737" i="5"/>
  <c r="I54" i="15"/>
  <c r="F745" i="5"/>
  <c r="J745" i="5"/>
  <c r="I745" i="5"/>
  <c r="H745" i="5"/>
  <c r="G745" i="5"/>
  <c r="E745" i="5"/>
  <c r="G753" i="5"/>
  <c r="F753" i="5"/>
  <c r="J753" i="5"/>
  <c r="H753" i="5"/>
  <c r="E753" i="5"/>
  <c r="I753" i="5"/>
  <c r="G761" i="5"/>
  <c r="F761" i="5"/>
  <c r="J761" i="5"/>
  <c r="I761" i="5"/>
  <c r="E761" i="5"/>
  <c r="H761" i="5"/>
  <c r="G769" i="5"/>
  <c r="F769" i="5"/>
  <c r="J769" i="5"/>
  <c r="I769" i="5"/>
  <c r="E769" i="5"/>
  <c r="H769" i="5"/>
  <c r="F774" i="5"/>
  <c r="E774" i="5"/>
  <c r="J774" i="5"/>
  <c r="I774" i="5"/>
  <c r="G774" i="5"/>
  <c r="H774" i="5"/>
  <c r="J779" i="5"/>
  <c r="I779" i="5"/>
  <c r="H779" i="5"/>
  <c r="G779" i="5"/>
  <c r="F779" i="5"/>
  <c r="E779" i="5"/>
  <c r="J787" i="5"/>
  <c r="I787" i="5"/>
  <c r="H787" i="5"/>
  <c r="G787" i="5"/>
  <c r="F787" i="5"/>
  <c r="E787" i="5"/>
  <c r="H797" i="5"/>
  <c r="J797" i="5"/>
  <c r="I797" i="5"/>
  <c r="G797" i="5"/>
  <c r="F797" i="5"/>
  <c r="E797" i="5"/>
  <c r="G804" i="5"/>
  <c r="J804" i="5"/>
  <c r="I804" i="5"/>
  <c r="H804" i="5"/>
  <c r="F804" i="5"/>
  <c r="E804" i="5"/>
  <c r="G812" i="5"/>
  <c r="H812" i="5"/>
  <c r="F812" i="5"/>
  <c r="E812" i="5"/>
  <c r="I812" i="5"/>
  <c r="J812" i="5"/>
  <c r="G851" i="5"/>
  <c r="I851" i="5"/>
  <c r="J851" i="5"/>
  <c r="H851" i="5"/>
  <c r="F851" i="5"/>
  <c r="E851" i="5"/>
  <c r="S848" i="2"/>
  <c r="H979" i="5"/>
  <c r="E979" i="5"/>
  <c r="G979" i="5"/>
  <c r="I979" i="5"/>
  <c r="J979" i="5"/>
  <c r="F979" i="5"/>
  <c r="S976" i="2"/>
  <c r="I480" i="5"/>
  <c r="H480" i="5"/>
  <c r="F480" i="5"/>
  <c r="E480" i="5"/>
  <c r="J480" i="5"/>
  <c r="G480" i="5"/>
  <c r="I488" i="5"/>
  <c r="H488" i="5"/>
  <c r="F488" i="5"/>
  <c r="E488" i="5"/>
  <c r="G488" i="5"/>
  <c r="J488" i="5"/>
  <c r="I496" i="5"/>
  <c r="H496" i="5"/>
  <c r="F496" i="5"/>
  <c r="E496" i="5"/>
  <c r="J496" i="5"/>
  <c r="G496" i="5"/>
  <c r="I504" i="5"/>
  <c r="H504" i="5"/>
  <c r="F504" i="5"/>
  <c r="E504" i="5"/>
  <c r="G504" i="5"/>
  <c r="J504" i="5"/>
  <c r="S502" i="2"/>
  <c r="J512" i="5"/>
  <c r="I512" i="5"/>
  <c r="H512" i="5"/>
  <c r="G512" i="5"/>
  <c r="F512" i="5"/>
  <c r="E512" i="5"/>
  <c r="S510" i="2"/>
  <c r="I39" i="15"/>
  <c r="J520" i="5"/>
  <c r="I520" i="5"/>
  <c r="H520" i="5"/>
  <c r="G520" i="5"/>
  <c r="F520" i="5"/>
  <c r="E520" i="5"/>
  <c r="S518" i="2"/>
  <c r="J528" i="5"/>
  <c r="I528" i="5"/>
  <c r="H528" i="5"/>
  <c r="G528" i="5"/>
  <c r="F528" i="5"/>
  <c r="E528" i="5"/>
  <c r="S526" i="2"/>
  <c r="J536" i="5"/>
  <c r="I536" i="5"/>
  <c r="H536" i="5"/>
  <c r="G536" i="5"/>
  <c r="F536" i="5"/>
  <c r="E536" i="5"/>
  <c r="S534" i="2"/>
  <c r="J544" i="5"/>
  <c r="I544" i="5"/>
  <c r="H544" i="5"/>
  <c r="G544" i="5"/>
  <c r="F544" i="5"/>
  <c r="E544" i="5"/>
  <c r="S542" i="2"/>
  <c r="I552" i="5"/>
  <c r="G552" i="5"/>
  <c r="F552" i="5"/>
  <c r="E552" i="5"/>
  <c r="J552" i="5"/>
  <c r="H552" i="5"/>
  <c r="S550" i="2"/>
  <c r="H42" i="15"/>
  <c r="I560" i="5"/>
  <c r="G560" i="5"/>
  <c r="F560" i="5"/>
  <c r="E560" i="5"/>
  <c r="J560" i="5"/>
  <c r="H560" i="5"/>
  <c r="S558" i="2"/>
  <c r="I568" i="5"/>
  <c r="G568" i="5"/>
  <c r="F568" i="5"/>
  <c r="E568" i="5"/>
  <c r="J568" i="5"/>
  <c r="H568" i="5"/>
  <c r="S566" i="2"/>
  <c r="I576" i="5"/>
  <c r="H576" i="5"/>
  <c r="G576" i="5"/>
  <c r="F576" i="5"/>
  <c r="E576" i="5"/>
  <c r="J576" i="5"/>
  <c r="S574" i="2"/>
  <c r="J584" i="5"/>
  <c r="I584" i="5"/>
  <c r="H584" i="5"/>
  <c r="G584" i="5"/>
  <c r="F584" i="5"/>
  <c r="E584" i="5"/>
  <c r="S582" i="2"/>
  <c r="J592" i="5"/>
  <c r="I592" i="5"/>
  <c r="H592" i="5"/>
  <c r="G592" i="5"/>
  <c r="F592" i="5"/>
  <c r="E592" i="5"/>
  <c r="S590" i="2"/>
  <c r="J600" i="5"/>
  <c r="I600" i="5"/>
  <c r="H600" i="5"/>
  <c r="G600" i="5"/>
  <c r="F600" i="5"/>
  <c r="E600" i="5"/>
  <c r="S598" i="2"/>
  <c r="J608" i="5"/>
  <c r="I608" i="5"/>
  <c r="H608" i="5"/>
  <c r="G608" i="5"/>
  <c r="F608" i="5"/>
  <c r="E608" i="5"/>
  <c r="S606" i="2"/>
  <c r="J616" i="5"/>
  <c r="I616" i="5"/>
  <c r="H616" i="5"/>
  <c r="G616" i="5"/>
  <c r="F616" i="5"/>
  <c r="E616" i="5"/>
  <c r="S614" i="2"/>
  <c r="J624" i="5"/>
  <c r="I624" i="5"/>
  <c r="H624" i="5"/>
  <c r="G624" i="5"/>
  <c r="F624" i="5"/>
  <c r="E624" i="5"/>
  <c r="S622" i="2"/>
  <c r="F632" i="5"/>
  <c r="E632" i="5"/>
  <c r="J632" i="5"/>
  <c r="I632" i="5"/>
  <c r="H632" i="5"/>
  <c r="G632" i="5"/>
  <c r="S630" i="2"/>
  <c r="I47" i="15"/>
  <c r="F640" i="5"/>
  <c r="E640" i="5"/>
  <c r="J640" i="5"/>
  <c r="I640" i="5"/>
  <c r="H640" i="5"/>
  <c r="G640" i="5"/>
  <c r="S638" i="2"/>
  <c r="H648" i="5"/>
  <c r="F648" i="5"/>
  <c r="E648" i="5"/>
  <c r="J648" i="5"/>
  <c r="I648" i="5"/>
  <c r="G648" i="5"/>
  <c r="S646" i="2"/>
  <c r="H656" i="5"/>
  <c r="F656" i="5"/>
  <c r="E656" i="5"/>
  <c r="I656" i="5"/>
  <c r="G656" i="5"/>
  <c r="J656" i="5"/>
  <c r="S654" i="2"/>
  <c r="H664" i="5"/>
  <c r="F664" i="5"/>
  <c r="E664" i="5"/>
  <c r="J664" i="5"/>
  <c r="I664" i="5"/>
  <c r="G664" i="5"/>
  <c r="S662" i="2"/>
  <c r="H672" i="5"/>
  <c r="F672" i="5"/>
  <c r="E672" i="5"/>
  <c r="I672" i="5"/>
  <c r="G672" i="5"/>
  <c r="J672" i="5"/>
  <c r="S670" i="2"/>
  <c r="H50" i="15"/>
  <c r="J50" i="15" s="1"/>
  <c r="H680" i="5"/>
  <c r="F680" i="5"/>
  <c r="E680" i="5"/>
  <c r="J680" i="5"/>
  <c r="I680" i="5"/>
  <c r="G680" i="5"/>
  <c r="S678" i="2"/>
  <c r="H688" i="5"/>
  <c r="F688" i="5"/>
  <c r="E688" i="5"/>
  <c r="I688" i="5"/>
  <c r="G688" i="5"/>
  <c r="J688" i="5"/>
  <c r="S686" i="2"/>
  <c r="H696" i="5"/>
  <c r="F696" i="5"/>
  <c r="E696" i="5"/>
  <c r="J696" i="5"/>
  <c r="I696" i="5"/>
  <c r="G696" i="5"/>
  <c r="S694" i="2"/>
  <c r="I704" i="5"/>
  <c r="H704" i="5"/>
  <c r="F704" i="5"/>
  <c r="E704" i="5"/>
  <c r="J704" i="5"/>
  <c r="G704" i="5"/>
  <c r="S702" i="2"/>
  <c r="J712" i="5"/>
  <c r="I712" i="5"/>
  <c r="H712" i="5"/>
  <c r="G712" i="5"/>
  <c r="F712" i="5"/>
  <c r="E712" i="5"/>
  <c r="S710" i="2"/>
  <c r="J720" i="5"/>
  <c r="I720" i="5"/>
  <c r="H720" i="5"/>
  <c r="E720" i="5"/>
  <c r="G720" i="5"/>
  <c r="F720" i="5"/>
  <c r="S718" i="2"/>
  <c r="J728" i="5"/>
  <c r="I728" i="5"/>
  <c r="H728" i="5"/>
  <c r="E728" i="5"/>
  <c r="G728" i="5"/>
  <c r="F728" i="5"/>
  <c r="S726" i="2"/>
  <c r="E736" i="5"/>
  <c r="J736" i="5"/>
  <c r="I736" i="5"/>
  <c r="H736" i="5"/>
  <c r="G736" i="5"/>
  <c r="F736" i="5"/>
  <c r="S734" i="2"/>
  <c r="E744" i="5"/>
  <c r="J744" i="5"/>
  <c r="I744" i="5"/>
  <c r="H744" i="5"/>
  <c r="G744" i="5"/>
  <c r="F744" i="5"/>
  <c r="S742" i="2"/>
  <c r="F752" i="5"/>
  <c r="E752" i="5"/>
  <c r="J752" i="5"/>
  <c r="I752" i="5"/>
  <c r="H752" i="5"/>
  <c r="G752" i="5"/>
  <c r="S750" i="2"/>
  <c r="I55" i="15"/>
  <c r="F760" i="5"/>
  <c r="E760" i="5"/>
  <c r="I760" i="5"/>
  <c r="H760" i="5"/>
  <c r="G760" i="5"/>
  <c r="J760" i="5"/>
  <c r="S758" i="2"/>
  <c r="F768" i="5"/>
  <c r="E768" i="5"/>
  <c r="I768" i="5"/>
  <c r="H768" i="5"/>
  <c r="G768" i="5"/>
  <c r="J768" i="5"/>
  <c r="S766" i="2"/>
  <c r="S771" i="2"/>
  <c r="S776" i="2"/>
  <c r="J780" i="5"/>
  <c r="I780" i="5"/>
  <c r="H780" i="5"/>
  <c r="G780" i="5"/>
  <c r="E780" i="5"/>
  <c r="F780" i="5"/>
  <c r="S784" i="2"/>
  <c r="J788" i="5"/>
  <c r="I788" i="5"/>
  <c r="H788" i="5"/>
  <c r="G788" i="5"/>
  <c r="E788" i="5"/>
  <c r="F788" i="5"/>
  <c r="S794" i="2"/>
  <c r="S801" i="2"/>
  <c r="S809" i="2"/>
  <c r="I59" i="15"/>
  <c r="S812" i="2"/>
  <c r="G835" i="5"/>
  <c r="I835" i="5"/>
  <c r="J835" i="5"/>
  <c r="H835" i="5"/>
  <c r="F835" i="5"/>
  <c r="E835" i="5"/>
  <c r="S832" i="2"/>
  <c r="G867" i="5"/>
  <c r="I867" i="5"/>
  <c r="H867" i="5"/>
  <c r="E867" i="5"/>
  <c r="F867" i="5"/>
  <c r="J867" i="5"/>
  <c r="S864" i="2"/>
  <c r="H955" i="5"/>
  <c r="J955" i="5"/>
  <c r="E955" i="5"/>
  <c r="I955" i="5"/>
  <c r="F955" i="5"/>
  <c r="G955" i="5"/>
  <c r="S952" i="2"/>
  <c r="H963" i="5"/>
  <c r="E963" i="5"/>
  <c r="I963" i="5"/>
  <c r="G963" i="5"/>
  <c r="F963" i="5"/>
  <c r="J963" i="5"/>
  <c r="S960" i="2"/>
  <c r="F405" i="5"/>
  <c r="E405" i="5"/>
  <c r="J405" i="5"/>
  <c r="I405" i="5"/>
  <c r="H405" i="5"/>
  <c r="G405" i="5"/>
  <c r="F413" i="5"/>
  <c r="E413" i="5"/>
  <c r="J413" i="5"/>
  <c r="I413" i="5"/>
  <c r="H413" i="5"/>
  <c r="G413" i="5"/>
  <c r="F421" i="5"/>
  <c r="E421" i="5"/>
  <c r="J421" i="5"/>
  <c r="I421" i="5"/>
  <c r="H421" i="5"/>
  <c r="G421" i="5"/>
  <c r="F429" i="5"/>
  <c r="E429" i="5"/>
  <c r="J429" i="5"/>
  <c r="I429" i="5"/>
  <c r="H429" i="5"/>
  <c r="G429" i="5"/>
  <c r="F437" i="5"/>
  <c r="E437" i="5"/>
  <c r="J437" i="5"/>
  <c r="I437" i="5"/>
  <c r="H437" i="5"/>
  <c r="G437" i="5"/>
  <c r="I34" i="15"/>
  <c r="G445" i="5"/>
  <c r="F445" i="5"/>
  <c r="E445" i="5"/>
  <c r="J445" i="5"/>
  <c r="I445" i="5"/>
  <c r="H445" i="5"/>
  <c r="G453" i="5"/>
  <c r="F453" i="5"/>
  <c r="E453" i="5"/>
  <c r="J453" i="5"/>
  <c r="I453" i="5"/>
  <c r="H453" i="5"/>
  <c r="G461" i="5"/>
  <c r="F461" i="5"/>
  <c r="E461" i="5"/>
  <c r="J461" i="5"/>
  <c r="I461" i="5"/>
  <c r="H461" i="5"/>
  <c r="F469" i="5"/>
  <c r="I469" i="5"/>
  <c r="J469" i="5"/>
  <c r="H469" i="5"/>
  <c r="G469" i="5"/>
  <c r="E469" i="5"/>
  <c r="F477" i="5"/>
  <c r="E477" i="5"/>
  <c r="J477" i="5"/>
  <c r="I477" i="5"/>
  <c r="H477" i="5"/>
  <c r="G477" i="5"/>
  <c r="H37" i="15"/>
  <c r="F485" i="5"/>
  <c r="E485" i="5"/>
  <c r="J485" i="5"/>
  <c r="I485" i="5"/>
  <c r="H485" i="5"/>
  <c r="G485" i="5"/>
  <c r="F493" i="5"/>
  <c r="E493" i="5"/>
  <c r="J493" i="5"/>
  <c r="I493" i="5"/>
  <c r="H493" i="5"/>
  <c r="G493" i="5"/>
  <c r="F501" i="5"/>
  <c r="E501" i="5"/>
  <c r="J501" i="5"/>
  <c r="I501" i="5"/>
  <c r="H501" i="5"/>
  <c r="G501" i="5"/>
  <c r="G509" i="5"/>
  <c r="F509" i="5"/>
  <c r="E509" i="5"/>
  <c r="J509" i="5"/>
  <c r="I509" i="5"/>
  <c r="H509" i="5"/>
  <c r="G517" i="5"/>
  <c r="F517" i="5"/>
  <c r="E517" i="5"/>
  <c r="J517" i="5"/>
  <c r="I517" i="5"/>
  <c r="H517" i="5"/>
  <c r="G525" i="5"/>
  <c r="F525" i="5"/>
  <c r="E525" i="5"/>
  <c r="J525" i="5"/>
  <c r="I525" i="5"/>
  <c r="H525" i="5"/>
  <c r="G533" i="5"/>
  <c r="F533" i="5"/>
  <c r="E533" i="5"/>
  <c r="J533" i="5"/>
  <c r="I533" i="5"/>
  <c r="H533" i="5"/>
  <c r="G541" i="5"/>
  <c r="F541" i="5"/>
  <c r="E541" i="5"/>
  <c r="J541" i="5"/>
  <c r="I541" i="5"/>
  <c r="H541" i="5"/>
  <c r="F549" i="5"/>
  <c r="J549" i="5"/>
  <c r="I549" i="5"/>
  <c r="H549" i="5"/>
  <c r="G549" i="5"/>
  <c r="E549" i="5"/>
  <c r="F557" i="5"/>
  <c r="J557" i="5"/>
  <c r="I557" i="5"/>
  <c r="H557" i="5"/>
  <c r="G557" i="5"/>
  <c r="E557" i="5"/>
  <c r="I42" i="15"/>
  <c r="F565" i="5"/>
  <c r="J565" i="5"/>
  <c r="I565" i="5"/>
  <c r="H565" i="5"/>
  <c r="G565" i="5"/>
  <c r="E565" i="5"/>
  <c r="F573" i="5"/>
  <c r="E573" i="5"/>
  <c r="J573" i="5"/>
  <c r="I573" i="5"/>
  <c r="H573" i="5"/>
  <c r="G573" i="5"/>
  <c r="G581" i="5"/>
  <c r="F581" i="5"/>
  <c r="E581" i="5"/>
  <c r="J581" i="5"/>
  <c r="I581" i="5"/>
  <c r="H581" i="5"/>
  <c r="G589" i="5"/>
  <c r="F589" i="5"/>
  <c r="E589" i="5"/>
  <c r="J589" i="5"/>
  <c r="I589" i="5"/>
  <c r="H589" i="5"/>
  <c r="G597" i="5"/>
  <c r="F597" i="5"/>
  <c r="E597" i="5"/>
  <c r="J597" i="5"/>
  <c r="I597" i="5"/>
  <c r="H597" i="5"/>
  <c r="H45" i="15"/>
  <c r="G605" i="5"/>
  <c r="F605" i="5"/>
  <c r="E605" i="5"/>
  <c r="J605" i="5"/>
  <c r="I605" i="5"/>
  <c r="H605" i="5"/>
  <c r="G613" i="5"/>
  <c r="F613" i="5"/>
  <c r="E613" i="5"/>
  <c r="J613" i="5"/>
  <c r="I613" i="5"/>
  <c r="H613" i="5"/>
  <c r="G621" i="5"/>
  <c r="F621" i="5"/>
  <c r="E621" i="5"/>
  <c r="J621" i="5"/>
  <c r="I621" i="5"/>
  <c r="H621" i="5"/>
  <c r="J629" i="5"/>
  <c r="I629" i="5"/>
  <c r="H629" i="5"/>
  <c r="G629" i="5"/>
  <c r="F629" i="5"/>
  <c r="E629" i="5"/>
  <c r="J637" i="5"/>
  <c r="I637" i="5"/>
  <c r="H637" i="5"/>
  <c r="G637" i="5"/>
  <c r="F637" i="5"/>
  <c r="E637" i="5"/>
  <c r="E645" i="5"/>
  <c r="J645" i="5"/>
  <c r="I645" i="5"/>
  <c r="H645" i="5"/>
  <c r="G645" i="5"/>
  <c r="F645" i="5"/>
  <c r="E653" i="5"/>
  <c r="J653" i="5"/>
  <c r="I653" i="5"/>
  <c r="H653" i="5"/>
  <c r="G653" i="5"/>
  <c r="F653" i="5"/>
  <c r="E661" i="5"/>
  <c r="J661" i="5"/>
  <c r="I661" i="5"/>
  <c r="H661" i="5"/>
  <c r="G661" i="5"/>
  <c r="F661" i="5"/>
  <c r="E669" i="5"/>
  <c r="J669" i="5"/>
  <c r="I669" i="5"/>
  <c r="H669" i="5"/>
  <c r="G669" i="5"/>
  <c r="F669" i="5"/>
  <c r="E677" i="5"/>
  <c r="J677" i="5"/>
  <c r="I677" i="5"/>
  <c r="H677" i="5"/>
  <c r="G677" i="5"/>
  <c r="F677" i="5"/>
  <c r="I50" i="15"/>
  <c r="E685" i="5"/>
  <c r="J685" i="5"/>
  <c r="I685" i="5"/>
  <c r="H685" i="5"/>
  <c r="G685" i="5"/>
  <c r="F685" i="5"/>
  <c r="E693" i="5"/>
  <c r="J693" i="5"/>
  <c r="I693" i="5"/>
  <c r="H693" i="5"/>
  <c r="G693" i="5"/>
  <c r="F693" i="5"/>
  <c r="F701" i="5"/>
  <c r="E701" i="5"/>
  <c r="J701" i="5"/>
  <c r="I701" i="5"/>
  <c r="H701" i="5"/>
  <c r="G701" i="5"/>
  <c r="H709" i="5"/>
  <c r="G709" i="5"/>
  <c r="F709" i="5"/>
  <c r="J709" i="5"/>
  <c r="I709" i="5"/>
  <c r="E709" i="5"/>
  <c r="H717" i="5"/>
  <c r="G717" i="5"/>
  <c r="F717" i="5"/>
  <c r="E717" i="5"/>
  <c r="I717" i="5"/>
  <c r="J717" i="5"/>
  <c r="H53" i="15"/>
  <c r="H725" i="5"/>
  <c r="G725" i="5"/>
  <c r="F725" i="5"/>
  <c r="E725" i="5"/>
  <c r="I725" i="5"/>
  <c r="J725" i="5"/>
  <c r="J733" i="5"/>
  <c r="H733" i="5"/>
  <c r="G733" i="5"/>
  <c r="F733" i="5"/>
  <c r="E733" i="5"/>
  <c r="I733" i="5"/>
  <c r="J741" i="5"/>
  <c r="H741" i="5"/>
  <c r="G741" i="5"/>
  <c r="F741" i="5"/>
  <c r="E741" i="5"/>
  <c r="I741" i="5"/>
  <c r="J749" i="5"/>
  <c r="H749" i="5"/>
  <c r="G749" i="5"/>
  <c r="F749" i="5"/>
  <c r="E749" i="5"/>
  <c r="I749" i="5"/>
  <c r="J757" i="5"/>
  <c r="H757" i="5"/>
  <c r="F757" i="5"/>
  <c r="I757" i="5"/>
  <c r="G757" i="5"/>
  <c r="E757" i="5"/>
  <c r="J765" i="5"/>
  <c r="H765" i="5"/>
  <c r="F765" i="5"/>
  <c r="I765" i="5"/>
  <c r="G765" i="5"/>
  <c r="E765" i="5"/>
  <c r="E773" i="5"/>
  <c r="J773" i="5"/>
  <c r="H773" i="5"/>
  <c r="F773" i="5"/>
  <c r="I773" i="5"/>
  <c r="G773" i="5"/>
  <c r="F795" i="5"/>
  <c r="J795" i="5"/>
  <c r="I795" i="5"/>
  <c r="H795" i="5"/>
  <c r="G795" i="5"/>
  <c r="E795" i="5"/>
  <c r="H62" i="15"/>
  <c r="H860" i="5"/>
  <c r="G860" i="5"/>
  <c r="F860" i="5"/>
  <c r="J860" i="5"/>
  <c r="I860" i="5"/>
  <c r="E860" i="5"/>
  <c r="I68" i="15"/>
  <c r="S947" i="2"/>
  <c r="I29" i="15"/>
  <c r="J370" i="5"/>
  <c r="I370" i="5"/>
  <c r="H370" i="5"/>
  <c r="G370" i="5"/>
  <c r="F370" i="5"/>
  <c r="E370" i="5"/>
  <c r="J378" i="5"/>
  <c r="I378" i="5"/>
  <c r="H378" i="5"/>
  <c r="G378" i="5"/>
  <c r="F378" i="5"/>
  <c r="E378" i="5"/>
  <c r="J386" i="5"/>
  <c r="I386" i="5"/>
  <c r="H386" i="5"/>
  <c r="G386" i="5"/>
  <c r="F386" i="5"/>
  <c r="E386" i="5"/>
  <c r="J394" i="5"/>
  <c r="I394" i="5"/>
  <c r="H394" i="5"/>
  <c r="G394" i="5"/>
  <c r="F394" i="5"/>
  <c r="E394" i="5"/>
  <c r="J402" i="5"/>
  <c r="I402" i="5"/>
  <c r="H402" i="5"/>
  <c r="G402" i="5"/>
  <c r="F402" i="5"/>
  <c r="E402" i="5"/>
  <c r="H32" i="15"/>
  <c r="J410" i="5"/>
  <c r="I410" i="5"/>
  <c r="H410" i="5"/>
  <c r="G410" i="5"/>
  <c r="F410" i="5"/>
  <c r="E410" i="5"/>
  <c r="J418" i="5"/>
  <c r="I418" i="5"/>
  <c r="H418" i="5"/>
  <c r="G418" i="5"/>
  <c r="F418" i="5"/>
  <c r="E418" i="5"/>
  <c r="J426" i="5"/>
  <c r="I426" i="5"/>
  <c r="H426" i="5"/>
  <c r="G426" i="5"/>
  <c r="F426" i="5"/>
  <c r="E426" i="5"/>
  <c r="J434" i="5"/>
  <c r="I434" i="5"/>
  <c r="H434" i="5"/>
  <c r="G434" i="5"/>
  <c r="F434" i="5"/>
  <c r="E434" i="5"/>
  <c r="J442" i="5"/>
  <c r="I442" i="5"/>
  <c r="H442" i="5"/>
  <c r="G442" i="5"/>
  <c r="F442" i="5"/>
  <c r="E442" i="5"/>
  <c r="J450" i="5"/>
  <c r="I450" i="5"/>
  <c r="H450" i="5"/>
  <c r="G450" i="5"/>
  <c r="F450" i="5"/>
  <c r="E450" i="5"/>
  <c r="J458" i="5"/>
  <c r="I458" i="5"/>
  <c r="H458" i="5"/>
  <c r="G458" i="5"/>
  <c r="F458" i="5"/>
  <c r="E458" i="5"/>
  <c r="F466" i="5"/>
  <c r="J466" i="5"/>
  <c r="I466" i="5"/>
  <c r="H466" i="5"/>
  <c r="G466" i="5"/>
  <c r="E466" i="5"/>
  <c r="J474" i="5"/>
  <c r="H474" i="5"/>
  <c r="G474" i="5"/>
  <c r="F474" i="5"/>
  <c r="I474" i="5"/>
  <c r="E474" i="5"/>
  <c r="J482" i="5"/>
  <c r="H482" i="5"/>
  <c r="G482" i="5"/>
  <c r="F482" i="5"/>
  <c r="I482" i="5"/>
  <c r="E482" i="5"/>
  <c r="I37" i="15"/>
  <c r="J490" i="5"/>
  <c r="H490" i="5"/>
  <c r="G490" i="5"/>
  <c r="F490" i="5"/>
  <c r="I490" i="5"/>
  <c r="E490" i="5"/>
  <c r="J498" i="5"/>
  <c r="H498" i="5"/>
  <c r="G498" i="5"/>
  <c r="F498" i="5"/>
  <c r="I498" i="5"/>
  <c r="E498" i="5"/>
  <c r="J506" i="5"/>
  <c r="H506" i="5"/>
  <c r="G506" i="5"/>
  <c r="F506" i="5"/>
  <c r="I506" i="5"/>
  <c r="E506" i="5"/>
  <c r="J514" i="5"/>
  <c r="I514" i="5"/>
  <c r="H514" i="5"/>
  <c r="G514" i="5"/>
  <c r="F514" i="5"/>
  <c r="E514" i="5"/>
  <c r="J522" i="5"/>
  <c r="I522" i="5"/>
  <c r="H522" i="5"/>
  <c r="G522" i="5"/>
  <c r="F522" i="5"/>
  <c r="E522" i="5"/>
  <c r="H40" i="15"/>
  <c r="J40" i="15" s="1"/>
  <c r="J530" i="5"/>
  <c r="I530" i="5"/>
  <c r="H530" i="5"/>
  <c r="G530" i="5"/>
  <c r="F530" i="5"/>
  <c r="E530" i="5"/>
  <c r="J538" i="5"/>
  <c r="I538" i="5"/>
  <c r="H538" i="5"/>
  <c r="G538" i="5"/>
  <c r="F538" i="5"/>
  <c r="E538" i="5"/>
  <c r="J546" i="5"/>
  <c r="I546" i="5"/>
  <c r="H546" i="5"/>
  <c r="G546" i="5"/>
  <c r="F546" i="5"/>
  <c r="E546" i="5"/>
  <c r="I554" i="5"/>
  <c r="H554" i="5"/>
  <c r="G554" i="5"/>
  <c r="F554" i="5"/>
  <c r="J554" i="5"/>
  <c r="E554" i="5"/>
  <c r="I562" i="5"/>
  <c r="H562" i="5"/>
  <c r="G562" i="5"/>
  <c r="F562" i="5"/>
  <c r="J562" i="5"/>
  <c r="E562" i="5"/>
  <c r="I570" i="5"/>
  <c r="H570" i="5"/>
  <c r="G570" i="5"/>
  <c r="F570" i="5"/>
  <c r="J570" i="5"/>
  <c r="E570" i="5"/>
  <c r="J578" i="5"/>
  <c r="I578" i="5"/>
  <c r="H578" i="5"/>
  <c r="G578" i="5"/>
  <c r="F578" i="5"/>
  <c r="E578" i="5"/>
  <c r="J586" i="5"/>
  <c r="I586" i="5"/>
  <c r="H586" i="5"/>
  <c r="G586" i="5"/>
  <c r="F586" i="5"/>
  <c r="E586" i="5"/>
  <c r="J594" i="5"/>
  <c r="I594" i="5"/>
  <c r="H594" i="5"/>
  <c r="G594" i="5"/>
  <c r="F594" i="5"/>
  <c r="E594" i="5"/>
  <c r="J602" i="5"/>
  <c r="I602" i="5"/>
  <c r="H602" i="5"/>
  <c r="G602" i="5"/>
  <c r="F602" i="5"/>
  <c r="E602" i="5"/>
  <c r="I45" i="15"/>
  <c r="J610" i="5"/>
  <c r="I610" i="5"/>
  <c r="H610" i="5"/>
  <c r="G610" i="5"/>
  <c r="F610" i="5"/>
  <c r="E610" i="5"/>
  <c r="J618" i="5"/>
  <c r="I618" i="5"/>
  <c r="H618" i="5"/>
  <c r="G618" i="5"/>
  <c r="F618" i="5"/>
  <c r="E618" i="5"/>
  <c r="H626" i="5"/>
  <c r="G626" i="5"/>
  <c r="I626" i="5"/>
  <c r="F626" i="5"/>
  <c r="E626" i="5"/>
  <c r="J626" i="5"/>
  <c r="H634" i="5"/>
  <c r="G634" i="5"/>
  <c r="F634" i="5"/>
  <c r="E634" i="5"/>
  <c r="J634" i="5"/>
  <c r="I634" i="5"/>
  <c r="H642" i="5"/>
  <c r="G642" i="5"/>
  <c r="F642" i="5"/>
  <c r="E642" i="5"/>
  <c r="J642" i="5"/>
  <c r="I642" i="5"/>
  <c r="H48" i="15"/>
  <c r="J650" i="5"/>
  <c r="H650" i="5"/>
  <c r="G650" i="5"/>
  <c r="F650" i="5"/>
  <c r="E650" i="5"/>
  <c r="I650" i="5"/>
  <c r="J658" i="5"/>
  <c r="H658" i="5"/>
  <c r="G658" i="5"/>
  <c r="F658" i="5"/>
  <c r="E658" i="5"/>
  <c r="I658" i="5"/>
  <c r="J666" i="5"/>
  <c r="H666" i="5"/>
  <c r="G666" i="5"/>
  <c r="F666" i="5"/>
  <c r="E666" i="5"/>
  <c r="I666" i="5"/>
  <c r="J674" i="5"/>
  <c r="H674" i="5"/>
  <c r="G674" i="5"/>
  <c r="F674" i="5"/>
  <c r="E674" i="5"/>
  <c r="I674" i="5"/>
  <c r="J682" i="5"/>
  <c r="H682" i="5"/>
  <c r="G682" i="5"/>
  <c r="F682" i="5"/>
  <c r="E682" i="5"/>
  <c r="I682" i="5"/>
  <c r="J690" i="5"/>
  <c r="H690" i="5"/>
  <c r="G690" i="5"/>
  <c r="F690" i="5"/>
  <c r="E690" i="5"/>
  <c r="I690" i="5"/>
  <c r="J698" i="5"/>
  <c r="H698" i="5"/>
  <c r="G698" i="5"/>
  <c r="F698" i="5"/>
  <c r="E698" i="5"/>
  <c r="I698" i="5"/>
  <c r="E706" i="5"/>
  <c r="J706" i="5"/>
  <c r="I706" i="5"/>
  <c r="H706" i="5"/>
  <c r="G706" i="5"/>
  <c r="F706" i="5"/>
  <c r="E714" i="5"/>
  <c r="J714" i="5"/>
  <c r="I714" i="5"/>
  <c r="H714" i="5"/>
  <c r="G714" i="5"/>
  <c r="F714" i="5"/>
  <c r="E722" i="5"/>
  <c r="J722" i="5"/>
  <c r="I722" i="5"/>
  <c r="H722" i="5"/>
  <c r="G722" i="5"/>
  <c r="F722" i="5"/>
  <c r="I53" i="15"/>
  <c r="E730" i="5"/>
  <c r="J730" i="5"/>
  <c r="I730" i="5"/>
  <c r="H730" i="5"/>
  <c r="G730" i="5"/>
  <c r="F730" i="5"/>
  <c r="G738" i="5"/>
  <c r="E738" i="5"/>
  <c r="J738" i="5"/>
  <c r="I738" i="5"/>
  <c r="H738" i="5"/>
  <c r="F738" i="5"/>
  <c r="G746" i="5"/>
  <c r="E746" i="5"/>
  <c r="J746" i="5"/>
  <c r="I746" i="5"/>
  <c r="H746" i="5"/>
  <c r="F746" i="5"/>
  <c r="H754" i="5"/>
  <c r="G754" i="5"/>
  <c r="E754" i="5"/>
  <c r="I754" i="5"/>
  <c r="J754" i="5"/>
  <c r="F754" i="5"/>
  <c r="H762" i="5"/>
  <c r="G762" i="5"/>
  <c r="E762" i="5"/>
  <c r="I762" i="5"/>
  <c r="J762" i="5"/>
  <c r="F762" i="5"/>
  <c r="H56" i="15"/>
  <c r="J56" i="15" s="1"/>
  <c r="J770" i="5"/>
  <c r="H770" i="5"/>
  <c r="G770" i="5"/>
  <c r="E770" i="5"/>
  <c r="I770" i="5"/>
  <c r="F770" i="5"/>
  <c r="H820" i="5"/>
  <c r="G820" i="5"/>
  <c r="E820" i="5"/>
  <c r="J820" i="5"/>
  <c r="F820" i="5"/>
  <c r="I820" i="5"/>
  <c r="H828" i="5"/>
  <c r="G828" i="5"/>
  <c r="E828" i="5"/>
  <c r="J828" i="5"/>
  <c r="F828" i="5"/>
  <c r="I828" i="5"/>
  <c r="G859" i="5"/>
  <c r="I859" i="5"/>
  <c r="J859" i="5"/>
  <c r="H859" i="5"/>
  <c r="F859" i="5"/>
  <c r="E859" i="5"/>
  <c r="S856" i="2"/>
  <c r="E883" i="5"/>
  <c r="H883" i="5"/>
  <c r="G883" i="5"/>
  <c r="J883" i="5"/>
  <c r="I883" i="5"/>
  <c r="F883" i="5"/>
  <c r="S880" i="2"/>
  <c r="E907" i="5"/>
  <c r="I907" i="5"/>
  <c r="F907" i="5"/>
  <c r="J907" i="5"/>
  <c r="H907" i="5"/>
  <c r="G907" i="5"/>
  <c r="S904" i="2"/>
  <c r="H931" i="5"/>
  <c r="I931" i="5"/>
  <c r="G931" i="5"/>
  <c r="F931" i="5"/>
  <c r="J931" i="5"/>
  <c r="E931" i="5"/>
  <c r="S928" i="2"/>
  <c r="H947" i="5"/>
  <c r="E947" i="5"/>
  <c r="G947" i="5"/>
  <c r="I947" i="5"/>
  <c r="F947" i="5"/>
  <c r="J947" i="5"/>
  <c r="S944" i="2"/>
  <c r="H391" i="5"/>
  <c r="G391" i="5"/>
  <c r="F391" i="5"/>
  <c r="E391" i="5"/>
  <c r="J391" i="5"/>
  <c r="I391" i="5"/>
  <c r="H399" i="5"/>
  <c r="G399" i="5"/>
  <c r="F399" i="5"/>
  <c r="E399" i="5"/>
  <c r="J399" i="5"/>
  <c r="I399" i="5"/>
  <c r="H407" i="5"/>
  <c r="G407" i="5"/>
  <c r="F407" i="5"/>
  <c r="E407" i="5"/>
  <c r="J407" i="5"/>
  <c r="I407" i="5"/>
  <c r="I32" i="15"/>
  <c r="H415" i="5"/>
  <c r="G415" i="5"/>
  <c r="F415" i="5"/>
  <c r="E415" i="5"/>
  <c r="J415" i="5"/>
  <c r="I415" i="5"/>
  <c r="H423" i="5"/>
  <c r="G423" i="5"/>
  <c r="F423" i="5"/>
  <c r="E423" i="5"/>
  <c r="J423" i="5"/>
  <c r="I423" i="5"/>
  <c r="H431" i="5"/>
  <c r="G431" i="5"/>
  <c r="F431" i="5"/>
  <c r="E431" i="5"/>
  <c r="J431" i="5"/>
  <c r="I431" i="5"/>
  <c r="H439" i="5"/>
  <c r="G439" i="5"/>
  <c r="F439" i="5"/>
  <c r="E439" i="5"/>
  <c r="J439" i="5"/>
  <c r="I439" i="5"/>
  <c r="I447" i="5"/>
  <c r="H447" i="5"/>
  <c r="G447" i="5"/>
  <c r="F447" i="5"/>
  <c r="E447" i="5"/>
  <c r="J447" i="5"/>
  <c r="H35" i="15"/>
  <c r="J35" i="15" s="1"/>
  <c r="I455" i="5"/>
  <c r="H455" i="5"/>
  <c r="G455" i="5"/>
  <c r="F455" i="5"/>
  <c r="E455" i="5"/>
  <c r="J455" i="5"/>
  <c r="I463" i="5"/>
  <c r="H463" i="5"/>
  <c r="G463" i="5"/>
  <c r="F463" i="5"/>
  <c r="E463" i="5"/>
  <c r="J463" i="5"/>
  <c r="H471" i="5"/>
  <c r="G471" i="5"/>
  <c r="E471" i="5"/>
  <c r="J471" i="5"/>
  <c r="I471" i="5"/>
  <c r="F471" i="5"/>
  <c r="H479" i="5"/>
  <c r="G479" i="5"/>
  <c r="E479" i="5"/>
  <c r="J479" i="5"/>
  <c r="I479" i="5"/>
  <c r="F479" i="5"/>
  <c r="S477" i="2"/>
  <c r="H487" i="5"/>
  <c r="G487" i="5"/>
  <c r="E487" i="5"/>
  <c r="J487" i="5"/>
  <c r="I487" i="5"/>
  <c r="F487" i="5"/>
  <c r="S485" i="2"/>
  <c r="X866" i="2" s="1"/>
  <c r="H495" i="5"/>
  <c r="G495" i="5"/>
  <c r="E495" i="5"/>
  <c r="J495" i="5"/>
  <c r="I495" i="5"/>
  <c r="F495" i="5"/>
  <c r="S493" i="2"/>
  <c r="H503" i="5"/>
  <c r="G503" i="5"/>
  <c r="E503" i="5"/>
  <c r="J503" i="5"/>
  <c r="I503" i="5"/>
  <c r="F503" i="5"/>
  <c r="S501" i="2"/>
  <c r="I511" i="5"/>
  <c r="H511" i="5"/>
  <c r="G511" i="5"/>
  <c r="F511" i="5"/>
  <c r="E511" i="5"/>
  <c r="J511" i="5"/>
  <c r="S509" i="2"/>
  <c r="I519" i="5"/>
  <c r="H519" i="5"/>
  <c r="G519" i="5"/>
  <c r="F519" i="5"/>
  <c r="E519" i="5"/>
  <c r="J519" i="5"/>
  <c r="S517" i="2"/>
  <c r="I527" i="5"/>
  <c r="H527" i="5"/>
  <c r="G527" i="5"/>
  <c r="F527" i="5"/>
  <c r="E527" i="5"/>
  <c r="J527" i="5"/>
  <c r="S525" i="2"/>
  <c r="I40" i="15"/>
  <c r="I535" i="5"/>
  <c r="H535" i="5"/>
  <c r="G535" i="5"/>
  <c r="F535" i="5"/>
  <c r="E535" i="5"/>
  <c r="J535" i="5"/>
  <c r="S533" i="2"/>
  <c r="I543" i="5"/>
  <c r="H543" i="5"/>
  <c r="G543" i="5"/>
  <c r="F543" i="5"/>
  <c r="E543" i="5"/>
  <c r="J543" i="5"/>
  <c r="S541" i="2"/>
  <c r="H551" i="5"/>
  <c r="F551" i="5"/>
  <c r="E551" i="5"/>
  <c r="J551" i="5"/>
  <c r="I551" i="5"/>
  <c r="G551" i="5"/>
  <c r="S549" i="2"/>
  <c r="H559" i="5"/>
  <c r="F559" i="5"/>
  <c r="E559" i="5"/>
  <c r="J559" i="5"/>
  <c r="I559" i="5"/>
  <c r="G559" i="5"/>
  <c r="S557" i="2"/>
  <c r="H567" i="5"/>
  <c r="F567" i="5"/>
  <c r="E567" i="5"/>
  <c r="J567" i="5"/>
  <c r="I567" i="5"/>
  <c r="G567" i="5"/>
  <c r="S565" i="2"/>
  <c r="H43" i="15"/>
  <c r="J43" i="15" s="1"/>
  <c r="H575" i="5"/>
  <c r="G575" i="5"/>
  <c r="F575" i="5"/>
  <c r="E575" i="5"/>
  <c r="J575" i="5"/>
  <c r="I575" i="5"/>
  <c r="S573" i="2"/>
  <c r="I583" i="5"/>
  <c r="H583" i="5"/>
  <c r="G583" i="5"/>
  <c r="F583" i="5"/>
  <c r="E583" i="5"/>
  <c r="J583" i="5"/>
  <c r="S581" i="2"/>
  <c r="I591" i="5"/>
  <c r="H591" i="5"/>
  <c r="G591" i="5"/>
  <c r="F591" i="5"/>
  <c r="E591" i="5"/>
  <c r="J591" i="5"/>
  <c r="S589" i="2"/>
  <c r="I599" i="5"/>
  <c r="H599" i="5"/>
  <c r="G599" i="5"/>
  <c r="F599" i="5"/>
  <c r="E599" i="5"/>
  <c r="J599" i="5"/>
  <c r="S597" i="2"/>
  <c r="I607" i="5"/>
  <c r="H607" i="5"/>
  <c r="G607" i="5"/>
  <c r="F607" i="5"/>
  <c r="E607" i="5"/>
  <c r="J607" i="5"/>
  <c r="S605" i="2"/>
  <c r="B45" i="15" s="1"/>
  <c r="I615" i="5"/>
  <c r="H615" i="5"/>
  <c r="G615" i="5"/>
  <c r="F615" i="5"/>
  <c r="E615" i="5"/>
  <c r="J615" i="5"/>
  <c r="S613" i="2"/>
  <c r="I623" i="5"/>
  <c r="H623" i="5"/>
  <c r="G623" i="5"/>
  <c r="F623" i="5"/>
  <c r="E623" i="5"/>
  <c r="J623" i="5"/>
  <c r="S621" i="2"/>
  <c r="E631" i="5"/>
  <c r="J631" i="5"/>
  <c r="F631" i="5"/>
  <c r="I631" i="5"/>
  <c r="H631" i="5"/>
  <c r="G631" i="5"/>
  <c r="S629" i="2"/>
  <c r="E639" i="5"/>
  <c r="J639" i="5"/>
  <c r="F639" i="5"/>
  <c r="I639" i="5"/>
  <c r="H639" i="5"/>
  <c r="G639" i="5"/>
  <c r="S637" i="2"/>
  <c r="Z892" i="2" s="1"/>
  <c r="G647" i="5"/>
  <c r="E647" i="5"/>
  <c r="J647" i="5"/>
  <c r="I647" i="5"/>
  <c r="H647" i="5"/>
  <c r="F647" i="5"/>
  <c r="S645" i="2"/>
  <c r="AB915" i="2" s="1"/>
  <c r="I48" i="15"/>
  <c r="G655" i="5"/>
  <c r="E655" i="5"/>
  <c r="J655" i="5"/>
  <c r="H655" i="5"/>
  <c r="F655" i="5"/>
  <c r="I655" i="5"/>
  <c r="S653" i="2"/>
  <c r="G663" i="5"/>
  <c r="E663" i="5"/>
  <c r="J663" i="5"/>
  <c r="I663" i="5"/>
  <c r="H663" i="5"/>
  <c r="F663" i="5"/>
  <c r="S661" i="2"/>
  <c r="G671" i="5"/>
  <c r="E671" i="5"/>
  <c r="J671" i="5"/>
  <c r="H671" i="5"/>
  <c r="F671" i="5"/>
  <c r="I671" i="5"/>
  <c r="S669" i="2"/>
  <c r="G679" i="5"/>
  <c r="E679" i="5"/>
  <c r="J679" i="5"/>
  <c r="I679" i="5"/>
  <c r="H679" i="5"/>
  <c r="F679" i="5"/>
  <c r="S677" i="2"/>
  <c r="G687" i="5"/>
  <c r="E687" i="5"/>
  <c r="J687" i="5"/>
  <c r="H687" i="5"/>
  <c r="F687" i="5"/>
  <c r="I687" i="5"/>
  <c r="S685" i="2"/>
  <c r="H51" i="15"/>
  <c r="J51" i="15" s="1"/>
  <c r="G695" i="5"/>
  <c r="E695" i="5"/>
  <c r="J695" i="5"/>
  <c r="I695" i="5"/>
  <c r="H695" i="5"/>
  <c r="F695" i="5"/>
  <c r="S693" i="2"/>
  <c r="H703" i="5"/>
  <c r="G703" i="5"/>
  <c r="E703" i="5"/>
  <c r="J703" i="5"/>
  <c r="I703" i="5"/>
  <c r="F703" i="5"/>
  <c r="S701" i="2"/>
  <c r="J711" i="5"/>
  <c r="I711" i="5"/>
  <c r="H711" i="5"/>
  <c r="F711" i="5"/>
  <c r="E711" i="5"/>
  <c r="G711" i="5"/>
  <c r="S709" i="2"/>
  <c r="Y780" i="2" s="1"/>
  <c r="J719" i="5"/>
  <c r="I719" i="5"/>
  <c r="H719" i="5"/>
  <c r="G719" i="5"/>
  <c r="F719" i="5"/>
  <c r="E719" i="5"/>
  <c r="S717" i="2"/>
  <c r="J727" i="5"/>
  <c r="I727" i="5"/>
  <c r="H727" i="5"/>
  <c r="G727" i="5"/>
  <c r="F727" i="5"/>
  <c r="E727" i="5"/>
  <c r="S725" i="2"/>
  <c r="J735" i="5"/>
  <c r="I735" i="5"/>
  <c r="H735" i="5"/>
  <c r="G735" i="5"/>
  <c r="F735" i="5"/>
  <c r="E735" i="5"/>
  <c r="S733" i="2"/>
  <c r="J743" i="5"/>
  <c r="I743" i="5"/>
  <c r="H743" i="5"/>
  <c r="G743" i="5"/>
  <c r="F743" i="5"/>
  <c r="E743" i="5"/>
  <c r="S741" i="2"/>
  <c r="E751" i="5"/>
  <c r="J751" i="5"/>
  <c r="F751" i="5"/>
  <c r="I751" i="5"/>
  <c r="H751" i="5"/>
  <c r="G751" i="5"/>
  <c r="S749" i="2"/>
  <c r="E759" i="5"/>
  <c r="J759" i="5"/>
  <c r="H759" i="5"/>
  <c r="I759" i="5"/>
  <c r="G759" i="5"/>
  <c r="F759" i="5"/>
  <c r="S757" i="2"/>
  <c r="E767" i="5"/>
  <c r="J767" i="5"/>
  <c r="H767" i="5"/>
  <c r="I767" i="5"/>
  <c r="G767" i="5"/>
  <c r="F767" i="5"/>
  <c r="S765" i="2"/>
  <c r="I56" i="15"/>
  <c r="J778" i="5"/>
  <c r="I778" i="5"/>
  <c r="H778" i="5"/>
  <c r="G778" i="5"/>
  <c r="F778" i="5"/>
  <c r="E778" i="5"/>
  <c r="S775" i="2"/>
  <c r="S777" i="2"/>
  <c r="E781" i="5"/>
  <c r="J781" i="5"/>
  <c r="I781" i="5"/>
  <c r="H781" i="5"/>
  <c r="F781" i="5"/>
  <c r="G781" i="5"/>
  <c r="S785" i="2"/>
  <c r="H789" i="5"/>
  <c r="E789" i="5"/>
  <c r="J789" i="5"/>
  <c r="I789" i="5"/>
  <c r="F789" i="5"/>
  <c r="G789" i="5"/>
  <c r="J792" i="5"/>
  <c r="I792" i="5"/>
  <c r="H792" i="5"/>
  <c r="G792" i="5"/>
  <c r="E792" i="5"/>
  <c r="F792" i="5"/>
  <c r="S789" i="2"/>
  <c r="G796" i="5"/>
  <c r="F796" i="5"/>
  <c r="E796" i="5"/>
  <c r="J796" i="5"/>
  <c r="H796" i="5"/>
  <c r="I796" i="5"/>
  <c r="G827" i="5"/>
  <c r="I827" i="5"/>
  <c r="J827" i="5"/>
  <c r="H827" i="5"/>
  <c r="F827" i="5"/>
  <c r="E827" i="5"/>
  <c r="S824" i="2"/>
  <c r="H63" i="15"/>
  <c r="J63" i="15" s="1"/>
  <c r="E875" i="5"/>
  <c r="H875" i="5"/>
  <c r="G875" i="5"/>
  <c r="I875" i="5"/>
  <c r="F875" i="5"/>
  <c r="J875" i="5"/>
  <c r="S872" i="2"/>
  <c r="E891" i="5"/>
  <c r="J891" i="5"/>
  <c r="F891" i="5"/>
  <c r="I891" i="5"/>
  <c r="H891" i="5"/>
  <c r="G891" i="5"/>
  <c r="S888" i="2"/>
  <c r="E899" i="5"/>
  <c r="H899" i="5"/>
  <c r="G899" i="5"/>
  <c r="J899" i="5"/>
  <c r="I899" i="5"/>
  <c r="F899" i="5"/>
  <c r="S896" i="2"/>
  <c r="H915" i="5"/>
  <c r="I915" i="5"/>
  <c r="G915" i="5"/>
  <c r="F915" i="5"/>
  <c r="J915" i="5"/>
  <c r="E915" i="5"/>
  <c r="S912" i="2"/>
  <c r="H923" i="5"/>
  <c r="G923" i="5"/>
  <c r="F923" i="5"/>
  <c r="I923" i="5"/>
  <c r="E923" i="5"/>
  <c r="J923" i="5"/>
  <c r="S920" i="2"/>
  <c r="H939" i="5"/>
  <c r="G939" i="5"/>
  <c r="E939" i="5"/>
  <c r="I939" i="5"/>
  <c r="F939" i="5"/>
  <c r="J939" i="5"/>
  <c r="S936" i="2"/>
  <c r="G819" i="5"/>
  <c r="I819" i="5"/>
  <c r="J819" i="5"/>
  <c r="H819" i="5"/>
  <c r="F819" i="5"/>
  <c r="E819" i="5"/>
  <c r="S816" i="2"/>
  <c r="I60" i="15"/>
  <c r="S827" i="2"/>
  <c r="H844" i="5"/>
  <c r="G844" i="5"/>
  <c r="E844" i="5"/>
  <c r="J844" i="5"/>
  <c r="F844" i="5"/>
  <c r="I844" i="5"/>
  <c r="H852" i="5"/>
  <c r="G852" i="5"/>
  <c r="E852" i="5"/>
  <c r="J852" i="5"/>
  <c r="F852" i="5"/>
  <c r="I852" i="5"/>
  <c r="I57" i="15"/>
  <c r="I790" i="5"/>
  <c r="H790" i="5"/>
  <c r="G790" i="5"/>
  <c r="F790" i="5"/>
  <c r="E790" i="5"/>
  <c r="J790" i="5"/>
  <c r="I798" i="5"/>
  <c r="J798" i="5"/>
  <c r="H798" i="5"/>
  <c r="G798" i="5"/>
  <c r="E798" i="5"/>
  <c r="F798" i="5"/>
  <c r="I806" i="5"/>
  <c r="H806" i="5"/>
  <c r="G806" i="5"/>
  <c r="F806" i="5"/>
  <c r="E806" i="5"/>
  <c r="J806" i="5"/>
  <c r="I814" i="5"/>
  <c r="E814" i="5"/>
  <c r="H814" i="5"/>
  <c r="G814" i="5"/>
  <c r="F814" i="5"/>
  <c r="J814" i="5"/>
  <c r="J822" i="5"/>
  <c r="H822" i="5"/>
  <c r="G822" i="5"/>
  <c r="F822" i="5"/>
  <c r="E822" i="5"/>
  <c r="I822" i="5"/>
  <c r="H60" i="15"/>
  <c r="J60" i="15" s="1"/>
  <c r="J830" i="5"/>
  <c r="H830" i="5"/>
  <c r="G830" i="5"/>
  <c r="F830" i="5"/>
  <c r="E830" i="5"/>
  <c r="I830" i="5"/>
  <c r="J838" i="5"/>
  <c r="H838" i="5"/>
  <c r="G838" i="5"/>
  <c r="F838" i="5"/>
  <c r="E838" i="5"/>
  <c r="I838" i="5"/>
  <c r="J846" i="5"/>
  <c r="H846" i="5"/>
  <c r="G846" i="5"/>
  <c r="F846" i="5"/>
  <c r="E846" i="5"/>
  <c r="I846" i="5"/>
  <c r="J854" i="5"/>
  <c r="H854" i="5"/>
  <c r="G854" i="5"/>
  <c r="I854" i="5"/>
  <c r="F854" i="5"/>
  <c r="E854" i="5"/>
  <c r="J862" i="5"/>
  <c r="H862" i="5"/>
  <c r="E862" i="5"/>
  <c r="I862" i="5"/>
  <c r="F862" i="5"/>
  <c r="G862" i="5"/>
  <c r="J870" i="5"/>
  <c r="H870" i="5"/>
  <c r="G870" i="5"/>
  <c r="I870" i="5"/>
  <c r="F870" i="5"/>
  <c r="E870" i="5"/>
  <c r="H878" i="5"/>
  <c r="G878" i="5"/>
  <c r="F878" i="5"/>
  <c r="E878" i="5"/>
  <c r="J878" i="5"/>
  <c r="I878" i="5"/>
  <c r="H886" i="5"/>
  <c r="G886" i="5"/>
  <c r="F886" i="5"/>
  <c r="I886" i="5"/>
  <c r="E886" i="5"/>
  <c r="J886" i="5"/>
  <c r="H894" i="5"/>
  <c r="G894" i="5"/>
  <c r="F894" i="5"/>
  <c r="E894" i="5"/>
  <c r="J894" i="5"/>
  <c r="I894" i="5"/>
  <c r="H902" i="5"/>
  <c r="G902" i="5"/>
  <c r="F902" i="5"/>
  <c r="I902" i="5"/>
  <c r="E902" i="5"/>
  <c r="J902" i="5"/>
  <c r="I65" i="15"/>
  <c r="J910" i="5"/>
  <c r="I910" i="5"/>
  <c r="G910" i="5"/>
  <c r="H910" i="5"/>
  <c r="F910" i="5"/>
  <c r="E910" i="5"/>
  <c r="J918" i="5"/>
  <c r="G918" i="5"/>
  <c r="F918" i="5"/>
  <c r="E918" i="5"/>
  <c r="I918" i="5"/>
  <c r="H918" i="5"/>
  <c r="F926" i="5"/>
  <c r="J926" i="5"/>
  <c r="I926" i="5"/>
  <c r="E926" i="5"/>
  <c r="G926" i="5"/>
  <c r="H926" i="5"/>
  <c r="J934" i="5"/>
  <c r="G934" i="5"/>
  <c r="F934" i="5"/>
  <c r="E934" i="5"/>
  <c r="H934" i="5"/>
  <c r="I934" i="5"/>
  <c r="F942" i="5"/>
  <c r="J942" i="5"/>
  <c r="I942" i="5"/>
  <c r="E942" i="5"/>
  <c r="H942" i="5"/>
  <c r="G942" i="5"/>
  <c r="H68" i="15"/>
  <c r="J68" i="15" s="1"/>
  <c r="I950" i="5"/>
  <c r="F950" i="5"/>
  <c r="E950" i="5"/>
  <c r="G950" i="5"/>
  <c r="H950" i="5"/>
  <c r="J950" i="5"/>
  <c r="H958" i="5"/>
  <c r="I958" i="5"/>
  <c r="E958" i="5"/>
  <c r="J958" i="5"/>
  <c r="G958" i="5"/>
  <c r="F958" i="5"/>
  <c r="E966" i="5"/>
  <c r="J966" i="5"/>
  <c r="I966" i="5"/>
  <c r="H966" i="5"/>
  <c r="F966" i="5"/>
  <c r="G966" i="5"/>
  <c r="H974" i="5"/>
  <c r="J974" i="5"/>
  <c r="I974" i="5"/>
  <c r="G974" i="5"/>
  <c r="F974" i="5"/>
  <c r="E974" i="5"/>
  <c r="H58" i="15"/>
  <c r="H800" i="5"/>
  <c r="G800" i="5"/>
  <c r="F800" i="5"/>
  <c r="E800" i="5"/>
  <c r="I800" i="5"/>
  <c r="J800" i="5"/>
  <c r="G808" i="5"/>
  <c r="H808" i="5"/>
  <c r="F808" i="5"/>
  <c r="E808" i="5"/>
  <c r="I808" i="5"/>
  <c r="J808" i="5"/>
  <c r="H816" i="5"/>
  <c r="I816" i="5"/>
  <c r="G816" i="5"/>
  <c r="F816" i="5"/>
  <c r="E816" i="5"/>
  <c r="J816" i="5"/>
  <c r="H824" i="5"/>
  <c r="I824" i="5"/>
  <c r="G824" i="5"/>
  <c r="F824" i="5"/>
  <c r="E824" i="5"/>
  <c r="J824" i="5"/>
  <c r="H832" i="5"/>
  <c r="I832" i="5"/>
  <c r="G832" i="5"/>
  <c r="F832" i="5"/>
  <c r="E832" i="5"/>
  <c r="J832" i="5"/>
  <c r="H840" i="5"/>
  <c r="I840" i="5"/>
  <c r="G840" i="5"/>
  <c r="F840" i="5"/>
  <c r="E840" i="5"/>
  <c r="J840" i="5"/>
  <c r="H848" i="5"/>
  <c r="I848" i="5"/>
  <c r="G848" i="5"/>
  <c r="F848" i="5"/>
  <c r="E848" i="5"/>
  <c r="J848" i="5"/>
  <c r="H856" i="5"/>
  <c r="F856" i="5"/>
  <c r="E856" i="5"/>
  <c r="J856" i="5"/>
  <c r="G856" i="5"/>
  <c r="I856" i="5"/>
  <c r="H864" i="5"/>
  <c r="G864" i="5"/>
  <c r="J864" i="5"/>
  <c r="I864" i="5"/>
  <c r="F864" i="5"/>
  <c r="E864" i="5"/>
  <c r="J872" i="5"/>
  <c r="I872" i="5"/>
  <c r="F872" i="5"/>
  <c r="H872" i="5"/>
  <c r="G872" i="5"/>
  <c r="E872" i="5"/>
  <c r="I63" i="15"/>
  <c r="J880" i="5"/>
  <c r="I880" i="5"/>
  <c r="H880" i="5"/>
  <c r="F880" i="5"/>
  <c r="G880" i="5"/>
  <c r="E880" i="5"/>
  <c r="J888" i="5"/>
  <c r="I888" i="5"/>
  <c r="H888" i="5"/>
  <c r="F888" i="5"/>
  <c r="E888" i="5"/>
  <c r="G888" i="5"/>
  <c r="J896" i="5"/>
  <c r="I896" i="5"/>
  <c r="H896" i="5"/>
  <c r="G896" i="5"/>
  <c r="F896" i="5"/>
  <c r="E896" i="5"/>
  <c r="J904" i="5"/>
  <c r="I904" i="5"/>
  <c r="H904" i="5"/>
  <c r="F904" i="5"/>
  <c r="G904" i="5"/>
  <c r="E904" i="5"/>
  <c r="E912" i="5"/>
  <c r="H912" i="5"/>
  <c r="G912" i="5"/>
  <c r="F912" i="5"/>
  <c r="I912" i="5"/>
  <c r="J912" i="5"/>
  <c r="H66" i="15"/>
  <c r="E920" i="5"/>
  <c r="G920" i="5"/>
  <c r="J920" i="5"/>
  <c r="H920" i="5"/>
  <c r="F920" i="5"/>
  <c r="I920" i="5"/>
  <c r="E928" i="5"/>
  <c r="H928" i="5"/>
  <c r="G928" i="5"/>
  <c r="F928" i="5"/>
  <c r="J928" i="5"/>
  <c r="I928" i="5"/>
  <c r="E936" i="5"/>
  <c r="G936" i="5"/>
  <c r="J936" i="5"/>
  <c r="F936" i="5"/>
  <c r="I936" i="5"/>
  <c r="H936" i="5"/>
  <c r="E944" i="5"/>
  <c r="H944" i="5"/>
  <c r="G944" i="5"/>
  <c r="F944" i="5"/>
  <c r="I944" i="5"/>
  <c r="J944" i="5"/>
  <c r="E952" i="5"/>
  <c r="I952" i="5"/>
  <c r="J952" i="5"/>
  <c r="F952" i="5"/>
  <c r="H952" i="5"/>
  <c r="G952" i="5"/>
  <c r="E960" i="5"/>
  <c r="G960" i="5"/>
  <c r="J960" i="5"/>
  <c r="I960" i="5"/>
  <c r="F960" i="5"/>
  <c r="H960" i="5"/>
  <c r="E968" i="5"/>
  <c r="I968" i="5"/>
  <c r="J968" i="5"/>
  <c r="H968" i="5"/>
  <c r="F968" i="5"/>
  <c r="G968" i="5"/>
  <c r="E976" i="5"/>
  <c r="H976" i="5"/>
  <c r="G976" i="5"/>
  <c r="F976" i="5"/>
  <c r="I976" i="5"/>
  <c r="J976" i="5"/>
  <c r="I58" i="15"/>
  <c r="H805" i="5"/>
  <c r="E805" i="5"/>
  <c r="J805" i="5"/>
  <c r="I805" i="5"/>
  <c r="F805" i="5"/>
  <c r="G805" i="5"/>
  <c r="H813" i="5"/>
  <c r="J813" i="5"/>
  <c r="I813" i="5"/>
  <c r="G813" i="5"/>
  <c r="F813" i="5"/>
  <c r="E813" i="5"/>
  <c r="I821" i="5"/>
  <c r="F821" i="5"/>
  <c r="J821" i="5"/>
  <c r="H821" i="5"/>
  <c r="G821" i="5"/>
  <c r="E821" i="5"/>
  <c r="I829" i="5"/>
  <c r="F829" i="5"/>
  <c r="J829" i="5"/>
  <c r="H829" i="5"/>
  <c r="G829" i="5"/>
  <c r="E829" i="5"/>
  <c r="I837" i="5"/>
  <c r="F837" i="5"/>
  <c r="J837" i="5"/>
  <c r="H837" i="5"/>
  <c r="G837" i="5"/>
  <c r="E837" i="5"/>
  <c r="H61" i="15"/>
  <c r="J61" i="15" s="1"/>
  <c r="I845" i="5"/>
  <c r="F845" i="5"/>
  <c r="J845" i="5"/>
  <c r="H845" i="5"/>
  <c r="G845" i="5"/>
  <c r="E845" i="5"/>
  <c r="I853" i="5"/>
  <c r="F853" i="5"/>
  <c r="E853" i="5"/>
  <c r="J853" i="5"/>
  <c r="H853" i="5"/>
  <c r="G853" i="5"/>
  <c r="I861" i="5"/>
  <c r="F861" i="5"/>
  <c r="J861" i="5"/>
  <c r="H861" i="5"/>
  <c r="G861" i="5"/>
  <c r="E861" i="5"/>
  <c r="I869" i="5"/>
  <c r="F869" i="5"/>
  <c r="E869" i="5"/>
  <c r="J869" i="5"/>
  <c r="H869" i="5"/>
  <c r="G869" i="5"/>
  <c r="G877" i="5"/>
  <c r="F877" i="5"/>
  <c r="E877" i="5"/>
  <c r="I877" i="5"/>
  <c r="J877" i="5"/>
  <c r="H877" i="5"/>
  <c r="G885" i="5"/>
  <c r="F885" i="5"/>
  <c r="E885" i="5"/>
  <c r="I885" i="5"/>
  <c r="H885" i="5"/>
  <c r="J885" i="5"/>
  <c r="G893" i="5"/>
  <c r="F893" i="5"/>
  <c r="E893" i="5"/>
  <c r="I893" i="5"/>
  <c r="J893" i="5"/>
  <c r="H893" i="5"/>
  <c r="G901" i="5"/>
  <c r="F901" i="5"/>
  <c r="E901" i="5"/>
  <c r="J901" i="5"/>
  <c r="I901" i="5"/>
  <c r="H901" i="5"/>
  <c r="J909" i="5"/>
  <c r="I909" i="5"/>
  <c r="H909" i="5"/>
  <c r="G909" i="5"/>
  <c r="F909" i="5"/>
  <c r="E909" i="5"/>
  <c r="J917" i="5"/>
  <c r="E917" i="5"/>
  <c r="I917" i="5"/>
  <c r="G917" i="5"/>
  <c r="F917" i="5"/>
  <c r="H917" i="5"/>
  <c r="I66" i="15"/>
  <c r="J925" i="5"/>
  <c r="I925" i="5"/>
  <c r="H925" i="5"/>
  <c r="G925" i="5"/>
  <c r="F925" i="5"/>
  <c r="E925" i="5"/>
  <c r="J933" i="5"/>
  <c r="H933" i="5"/>
  <c r="E933" i="5"/>
  <c r="G933" i="5"/>
  <c r="F933" i="5"/>
  <c r="I933" i="5"/>
  <c r="J941" i="5"/>
  <c r="I941" i="5"/>
  <c r="H941" i="5"/>
  <c r="G941" i="5"/>
  <c r="E941" i="5"/>
  <c r="F941" i="5"/>
  <c r="J949" i="5"/>
  <c r="F949" i="5"/>
  <c r="I949" i="5"/>
  <c r="E949" i="5"/>
  <c r="H949" i="5"/>
  <c r="G949" i="5"/>
  <c r="J957" i="5"/>
  <c r="F957" i="5"/>
  <c r="I957" i="5"/>
  <c r="H957" i="5"/>
  <c r="G957" i="5"/>
  <c r="E957" i="5"/>
  <c r="H69" i="15"/>
  <c r="J69" i="15" s="1"/>
  <c r="J965" i="5"/>
  <c r="G965" i="5"/>
  <c r="F965" i="5"/>
  <c r="E965" i="5"/>
  <c r="I965" i="5"/>
  <c r="H965" i="5"/>
  <c r="J973" i="5"/>
  <c r="F973" i="5"/>
  <c r="I973" i="5"/>
  <c r="E973" i="5"/>
  <c r="G973" i="5"/>
  <c r="H973" i="5"/>
  <c r="E810" i="5"/>
  <c r="I810" i="5"/>
  <c r="H810" i="5"/>
  <c r="G810" i="5"/>
  <c r="F810" i="5"/>
  <c r="J810" i="5"/>
  <c r="F818" i="5"/>
  <c r="J818" i="5"/>
  <c r="E818" i="5"/>
  <c r="I818" i="5"/>
  <c r="H818" i="5"/>
  <c r="G818" i="5"/>
  <c r="F826" i="5"/>
  <c r="E826" i="5"/>
  <c r="J826" i="5"/>
  <c r="I826" i="5"/>
  <c r="H826" i="5"/>
  <c r="G826" i="5"/>
  <c r="F834" i="5"/>
  <c r="J834" i="5"/>
  <c r="E834" i="5"/>
  <c r="I834" i="5"/>
  <c r="H834" i="5"/>
  <c r="G834" i="5"/>
  <c r="F842" i="5"/>
  <c r="E842" i="5"/>
  <c r="J842" i="5"/>
  <c r="I842" i="5"/>
  <c r="H842" i="5"/>
  <c r="G842" i="5"/>
  <c r="I61" i="15"/>
  <c r="F850" i="5"/>
  <c r="J850" i="5"/>
  <c r="E850" i="5"/>
  <c r="I850" i="5"/>
  <c r="H850" i="5"/>
  <c r="G850" i="5"/>
  <c r="F858" i="5"/>
  <c r="E858" i="5"/>
  <c r="J858" i="5"/>
  <c r="I858" i="5"/>
  <c r="H858" i="5"/>
  <c r="G858" i="5"/>
  <c r="F866" i="5"/>
  <c r="J866" i="5"/>
  <c r="E866" i="5"/>
  <c r="H866" i="5"/>
  <c r="G866" i="5"/>
  <c r="I866" i="5"/>
  <c r="J874" i="5"/>
  <c r="G874" i="5"/>
  <c r="F874" i="5"/>
  <c r="H874" i="5"/>
  <c r="E874" i="5"/>
  <c r="I874" i="5"/>
  <c r="J882" i="5"/>
  <c r="I882" i="5"/>
  <c r="E882" i="5"/>
  <c r="H882" i="5"/>
  <c r="G882" i="5"/>
  <c r="F882" i="5"/>
  <c r="H64" i="15"/>
  <c r="J890" i="5"/>
  <c r="G890" i="5"/>
  <c r="I890" i="5"/>
  <c r="H890" i="5"/>
  <c r="F890" i="5"/>
  <c r="E890" i="5"/>
  <c r="J898" i="5"/>
  <c r="H898" i="5"/>
  <c r="I898" i="5"/>
  <c r="F898" i="5"/>
  <c r="E898" i="5"/>
  <c r="G898" i="5"/>
  <c r="J906" i="5"/>
  <c r="G906" i="5"/>
  <c r="H906" i="5"/>
  <c r="F906" i="5"/>
  <c r="E906" i="5"/>
  <c r="I906" i="5"/>
  <c r="G914" i="5"/>
  <c r="E914" i="5"/>
  <c r="J914" i="5"/>
  <c r="F914" i="5"/>
  <c r="I914" i="5"/>
  <c r="H914" i="5"/>
  <c r="G922" i="5"/>
  <c r="J922" i="5"/>
  <c r="I922" i="5"/>
  <c r="H922" i="5"/>
  <c r="E922" i="5"/>
  <c r="F922" i="5"/>
  <c r="G930" i="5"/>
  <c r="I930" i="5"/>
  <c r="E930" i="5"/>
  <c r="J930" i="5"/>
  <c r="H930" i="5"/>
  <c r="F930" i="5"/>
  <c r="G938" i="5"/>
  <c r="J938" i="5"/>
  <c r="I938" i="5"/>
  <c r="H938" i="5"/>
  <c r="F938" i="5"/>
  <c r="E938" i="5"/>
  <c r="G946" i="5"/>
  <c r="H946" i="5"/>
  <c r="F946" i="5"/>
  <c r="E946" i="5"/>
  <c r="J946" i="5"/>
  <c r="I946" i="5"/>
  <c r="G954" i="5"/>
  <c r="F954" i="5"/>
  <c r="J954" i="5"/>
  <c r="E954" i="5"/>
  <c r="I954" i="5"/>
  <c r="H954" i="5"/>
  <c r="G962" i="5"/>
  <c r="F962" i="5"/>
  <c r="J962" i="5"/>
  <c r="I962" i="5"/>
  <c r="H962" i="5"/>
  <c r="E962" i="5"/>
  <c r="I69" i="15"/>
  <c r="G970" i="5"/>
  <c r="F970" i="5"/>
  <c r="J970" i="5"/>
  <c r="I970" i="5"/>
  <c r="H970" i="5"/>
  <c r="E970" i="5"/>
  <c r="G978" i="5"/>
  <c r="H978" i="5"/>
  <c r="F978" i="5"/>
  <c r="E978" i="5"/>
  <c r="I978" i="5"/>
  <c r="J978" i="5"/>
  <c r="G775" i="5"/>
  <c r="F775" i="5"/>
  <c r="E775" i="5"/>
  <c r="J775" i="5"/>
  <c r="H775" i="5"/>
  <c r="I775" i="5"/>
  <c r="G783" i="5"/>
  <c r="F783" i="5"/>
  <c r="E783" i="5"/>
  <c r="J783" i="5"/>
  <c r="H783" i="5"/>
  <c r="I783" i="5"/>
  <c r="J791" i="5"/>
  <c r="I791" i="5"/>
  <c r="H791" i="5"/>
  <c r="G791" i="5"/>
  <c r="F791" i="5"/>
  <c r="E791" i="5"/>
  <c r="J799" i="5"/>
  <c r="F799" i="5"/>
  <c r="E799" i="5"/>
  <c r="I799" i="5"/>
  <c r="G799" i="5"/>
  <c r="H799" i="5"/>
  <c r="S797" i="2"/>
  <c r="J807" i="5"/>
  <c r="F807" i="5"/>
  <c r="I807" i="5"/>
  <c r="H807" i="5"/>
  <c r="G807" i="5"/>
  <c r="E807" i="5"/>
  <c r="S805" i="2"/>
  <c r="Y906" i="2" s="1"/>
  <c r="H59" i="15"/>
  <c r="J59" i="15" s="1"/>
  <c r="J815" i="5"/>
  <c r="F815" i="5"/>
  <c r="I815" i="5"/>
  <c r="H815" i="5"/>
  <c r="G815" i="5"/>
  <c r="E815" i="5"/>
  <c r="S813" i="2"/>
  <c r="F823" i="5"/>
  <c r="J823" i="5"/>
  <c r="I823" i="5"/>
  <c r="H823" i="5"/>
  <c r="G823" i="5"/>
  <c r="E823" i="5"/>
  <c r="S821" i="2"/>
  <c r="Z881" i="2" s="1"/>
  <c r="J831" i="5"/>
  <c r="F831" i="5"/>
  <c r="I831" i="5"/>
  <c r="H831" i="5"/>
  <c r="G831" i="5"/>
  <c r="E831" i="5"/>
  <c r="S829" i="2"/>
  <c r="F839" i="5"/>
  <c r="J839" i="5"/>
  <c r="I839" i="5"/>
  <c r="H839" i="5"/>
  <c r="G839" i="5"/>
  <c r="E839" i="5"/>
  <c r="S837" i="2"/>
  <c r="J847" i="5"/>
  <c r="F847" i="5"/>
  <c r="I847" i="5"/>
  <c r="H847" i="5"/>
  <c r="G847" i="5"/>
  <c r="E847" i="5"/>
  <c r="S845" i="2"/>
  <c r="F855" i="5"/>
  <c r="J855" i="5"/>
  <c r="I855" i="5"/>
  <c r="H855" i="5"/>
  <c r="G855" i="5"/>
  <c r="E855" i="5"/>
  <c r="S853" i="2"/>
  <c r="J863" i="5"/>
  <c r="F863" i="5"/>
  <c r="E863" i="5"/>
  <c r="I863" i="5"/>
  <c r="H863" i="5"/>
  <c r="G863" i="5"/>
  <c r="S861" i="2"/>
  <c r="B62" i="15" s="1"/>
  <c r="I871" i="5"/>
  <c r="H871" i="5"/>
  <c r="E871" i="5"/>
  <c r="J871" i="5"/>
  <c r="G871" i="5"/>
  <c r="F871" i="5"/>
  <c r="S869" i="2"/>
  <c r="I879" i="5"/>
  <c r="H879" i="5"/>
  <c r="G879" i="5"/>
  <c r="J879" i="5"/>
  <c r="F879" i="5"/>
  <c r="E879" i="5"/>
  <c r="I887" i="5"/>
  <c r="H887" i="5"/>
  <c r="G887" i="5"/>
  <c r="F887" i="5"/>
  <c r="E887" i="5"/>
  <c r="J887" i="5"/>
  <c r="I64" i="15"/>
  <c r="Z890" i="2"/>
  <c r="I895" i="5"/>
  <c r="H895" i="5"/>
  <c r="G895" i="5"/>
  <c r="F895" i="5"/>
  <c r="J895" i="5"/>
  <c r="E895" i="5"/>
  <c r="S893" i="2"/>
  <c r="Z898" i="2"/>
  <c r="I903" i="5"/>
  <c r="H903" i="5"/>
  <c r="G903" i="5"/>
  <c r="E903" i="5"/>
  <c r="J903" i="5"/>
  <c r="F903" i="5"/>
  <c r="S901" i="2"/>
  <c r="E911" i="5"/>
  <c r="J911" i="5"/>
  <c r="G911" i="5"/>
  <c r="F911" i="5"/>
  <c r="I911" i="5"/>
  <c r="H911" i="5"/>
  <c r="S909" i="2"/>
  <c r="I919" i="5"/>
  <c r="H919" i="5"/>
  <c r="G919" i="5"/>
  <c r="J919" i="5"/>
  <c r="F919" i="5"/>
  <c r="E919" i="5"/>
  <c r="S917" i="2"/>
  <c r="Z922" i="2"/>
  <c r="H927" i="5"/>
  <c r="E927" i="5"/>
  <c r="I927" i="5"/>
  <c r="J927" i="5"/>
  <c r="G927" i="5"/>
  <c r="F927" i="5"/>
  <c r="H67" i="15"/>
  <c r="J67" i="15" s="1"/>
  <c r="I935" i="5"/>
  <c r="H935" i="5"/>
  <c r="G935" i="5"/>
  <c r="F935" i="5"/>
  <c r="J935" i="5"/>
  <c r="E935" i="5"/>
  <c r="H943" i="5"/>
  <c r="E943" i="5"/>
  <c r="J943" i="5"/>
  <c r="F943" i="5"/>
  <c r="I943" i="5"/>
  <c r="G943" i="5"/>
  <c r="F951" i="5"/>
  <c r="J951" i="5"/>
  <c r="I951" i="5"/>
  <c r="H951" i="5"/>
  <c r="G951" i="5"/>
  <c r="E951" i="5"/>
  <c r="J959" i="5"/>
  <c r="H959" i="5"/>
  <c r="G959" i="5"/>
  <c r="F959" i="5"/>
  <c r="I959" i="5"/>
  <c r="E959" i="5"/>
  <c r="F967" i="5"/>
  <c r="I967" i="5"/>
  <c r="E967" i="5"/>
  <c r="H967" i="5"/>
  <c r="J967" i="5"/>
  <c r="G967" i="5"/>
  <c r="J975" i="5"/>
  <c r="G975" i="5"/>
  <c r="I975" i="5"/>
  <c r="E975" i="5"/>
  <c r="H975" i="5"/>
  <c r="F975" i="5"/>
  <c r="F876" i="5"/>
  <c r="E876" i="5"/>
  <c r="J876" i="5"/>
  <c r="G876" i="5"/>
  <c r="I876" i="5"/>
  <c r="H876" i="5"/>
  <c r="F884" i="5"/>
  <c r="E884" i="5"/>
  <c r="J884" i="5"/>
  <c r="I884" i="5"/>
  <c r="G884" i="5"/>
  <c r="H884" i="5"/>
  <c r="F892" i="5"/>
  <c r="E892" i="5"/>
  <c r="J892" i="5"/>
  <c r="I892" i="5"/>
  <c r="H892" i="5"/>
  <c r="G892" i="5"/>
  <c r="F900" i="5"/>
  <c r="E900" i="5"/>
  <c r="G900" i="5"/>
  <c r="J900" i="5"/>
  <c r="I900" i="5"/>
  <c r="H900" i="5"/>
  <c r="I908" i="5"/>
  <c r="G908" i="5"/>
  <c r="F908" i="5"/>
  <c r="E908" i="5"/>
  <c r="J908" i="5"/>
  <c r="H908" i="5"/>
  <c r="I916" i="5"/>
  <c r="J916" i="5"/>
  <c r="F916" i="5"/>
  <c r="H916" i="5"/>
  <c r="G916" i="5"/>
  <c r="E916" i="5"/>
  <c r="I924" i="5"/>
  <c r="G924" i="5"/>
  <c r="F924" i="5"/>
  <c r="E924" i="5"/>
  <c r="H924" i="5"/>
  <c r="J924" i="5"/>
  <c r="I932" i="5"/>
  <c r="F932" i="5"/>
  <c r="J932" i="5"/>
  <c r="H932" i="5"/>
  <c r="E932" i="5"/>
  <c r="G932" i="5"/>
  <c r="I67" i="15"/>
  <c r="I940" i="5"/>
  <c r="G940" i="5"/>
  <c r="F940" i="5"/>
  <c r="E940" i="5"/>
  <c r="J940" i="5"/>
  <c r="H940" i="5"/>
  <c r="I948" i="5"/>
  <c r="H948" i="5"/>
  <c r="J948" i="5"/>
  <c r="G948" i="5"/>
  <c r="F948" i="5"/>
  <c r="E948" i="5"/>
  <c r="S946" i="2"/>
  <c r="I956" i="5"/>
  <c r="J956" i="5"/>
  <c r="F956" i="5"/>
  <c r="E956" i="5"/>
  <c r="H956" i="5"/>
  <c r="G956" i="5"/>
  <c r="S954" i="2"/>
  <c r="I964" i="5"/>
  <c r="H964" i="5"/>
  <c r="G964" i="5"/>
  <c r="J964" i="5"/>
  <c r="F964" i="5"/>
  <c r="E964" i="5"/>
  <c r="S962" i="2"/>
  <c r="I972" i="5"/>
  <c r="E972" i="5"/>
  <c r="J972" i="5"/>
  <c r="H972" i="5"/>
  <c r="F972" i="5"/>
  <c r="G972" i="5"/>
  <c r="S970" i="2"/>
  <c r="I777" i="5"/>
  <c r="H777" i="5"/>
  <c r="G777" i="5"/>
  <c r="F777" i="5"/>
  <c r="E777" i="5"/>
  <c r="J777" i="5"/>
  <c r="H57" i="15"/>
  <c r="J57" i="15" s="1"/>
  <c r="I785" i="5"/>
  <c r="H785" i="5"/>
  <c r="G785" i="5"/>
  <c r="F785" i="5"/>
  <c r="E785" i="5"/>
  <c r="J785" i="5"/>
  <c r="F793" i="5"/>
  <c r="E793" i="5"/>
  <c r="J793" i="5"/>
  <c r="I793" i="5"/>
  <c r="G793" i="5"/>
  <c r="H793" i="5"/>
  <c r="J801" i="5"/>
  <c r="I801" i="5"/>
  <c r="H801" i="5"/>
  <c r="G801" i="5"/>
  <c r="F801" i="5"/>
  <c r="E801" i="5"/>
  <c r="H809" i="5"/>
  <c r="J809" i="5"/>
  <c r="I809" i="5"/>
  <c r="G809" i="5"/>
  <c r="F809" i="5"/>
  <c r="E809" i="5"/>
  <c r="S807" i="2"/>
  <c r="Z882" i="2" s="1"/>
  <c r="E817" i="5"/>
  <c r="G817" i="5"/>
  <c r="J817" i="5"/>
  <c r="I817" i="5"/>
  <c r="F817" i="5"/>
  <c r="H817" i="5"/>
  <c r="S815" i="2"/>
  <c r="AB905" i="2" s="1"/>
  <c r="E825" i="5"/>
  <c r="G825" i="5"/>
  <c r="J825" i="5"/>
  <c r="I825" i="5"/>
  <c r="F825" i="5"/>
  <c r="H825" i="5"/>
  <c r="S823" i="2"/>
  <c r="AB913" i="2" s="1"/>
  <c r="E833" i="5"/>
  <c r="G833" i="5"/>
  <c r="J833" i="5"/>
  <c r="P833" i="5" s="1"/>
  <c r="I833" i="5"/>
  <c r="F833" i="5"/>
  <c r="H833" i="5"/>
  <c r="S831" i="2"/>
  <c r="AB966" i="2" s="1"/>
  <c r="E841" i="5"/>
  <c r="G841" i="5"/>
  <c r="J841" i="5"/>
  <c r="I841" i="5"/>
  <c r="F841" i="5"/>
  <c r="H841" i="5"/>
  <c r="S839" i="2"/>
  <c r="AB929" i="2" s="1"/>
  <c r="E849" i="5"/>
  <c r="G849" i="5"/>
  <c r="J849" i="5"/>
  <c r="I849" i="5"/>
  <c r="F849" i="5"/>
  <c r="H849" i="5"/>
  <c r="S847" i="2"/>
  <c r="AB862" i="2" s="1"/>
  <c r="E857" i="5"/>
  <c r="G857" i="5"/>
  <c r="F857" i="5"/>
  <c r="J857" i="5"/>
  <c r="I857" i="5"/>
  <c r="H857" i="5"/>
  <c r="S855" i="2"/>
  <c r="Z930" i="2" s="1"/>
  <c r="I62" i="15"/>
  <c r="E865" i="5"/>
  <c r="G865" i="5"/>
  <c r="J865" i="5"/>
  <c r="I865" i="5"/>
  <c r="H865" i="5"/>
  <c r="F865" i="5"/>
  <c r="S863" i="2"/>
  <c r="AB938" i="2" s="1"/>
  <c r="J873" i="5"/>
  <c r="F873" i="5"/>
  <c r="E873" i="5"/>
  <c r="H873" i="5"/>
  <c r="G873" i="5"/>
  <c r="I873" i="5"/>
  <c r="S871" i="2"/>
  <c r="Z796" i="2" s="1"/>
  <c r="J881" i="5"/>
  <c r="I881" i="5"/>
  <c r="G881" i="5"/>
  <c r="H881" i="5"/>
  <c r="F881" i="5"/>
  <c r="E881" i="5"/>
  <c r="S879" i="2"/>
  <c r="Z834" i="2" s="1"/>
  <c r="AB882" i="2"/>
  <c r="J889" i="5"/>
  <c r="I889" i="5"/>
  <c r="G889" i="5"/>
  <c r="H889" i="5"/>
  <c r="F889" i="5"/>
  <c r="E889" i="5"/>
  <c r="S887" i="2"/>
  <c r="J897" i="5"/>
  <c r="P897" i="5" s="1"/>
  <c r="I897" i="5"/>
  <c r="G897" i="5"/>
  <c r="F897" i="5"/>
  <c r="E897" i="5"/>
  <c r="H897" i="5"/>
  <c r="S895" i="2"/>
  <c r="H65" i="15"/>
  <c r="J65" i="15" s="1"/>
  <c r="J905" i="5"/>
  <c r="P905" i="5" s="1"/>
  <c r="I905" i="5"/>
  <c r="H905" i="5"/>
  <c r="E905" i="5"/>
  <c r="G905" i="5"/>
  <c r="F905" i="5"/>
  <c r="S903" i="2"/>
  <c r="F913" i="5"/>
  <c r="J913" i="5"/>
  <c r="P913" i="5" s="1"/>
  <c r="I913" i="5"/>
  <c r="H913" i="5"/>
  <c r="G913" i="5"/>
  <c r="E913" i="5"/>
  <c r="S911" i="2"/>
  <c r="F921" i="5"/>
  <c r="J921" i="5"/>
  <c r="G921" i="5"/>
  <c r="M921" i="5" s="1"/>
  <c r="E921" i="5"/>
  <c r="I921" i="5"/>
  <c r="H921" i="5"/>
  <c r="S919" i="2"/>
  <c r="F929" i="5"/>
  <c r="E929" i="5"/>
  <c r="J929" i="5"/>
  <c r="I929" i="5"/>
  <c r="O929" i="5" s="1"/>
  <c r="H929" i="5"/>
  <c r="G929" i="5"/>
  <c r="S927" i="2"/>
  <c r="F937" i="5"/>
  <c r="J937" i="5"/>
  <c r="G937" i="5"/>
  <c r="E937" i="5"/>
  <c r="H937" i="5"/>
  <c r="N937" i="5" s="1"/>
  <c r="I937" i="5"/>
  <c r="S935" i="2"/>
  <c r="F945" i="5"/>
  <c r="H945" i="5"/>
  <c r="G945" i="5"/>
  <c r="J945" i="5"/>
  <c r="I945" i="5"/>
  <c r="E945" i="5"/>
  <c r="K945" i="5" s="1"/>
  <c r="S943" i="2"/>
  <c r="F953" i="5"/>
  <c r="J953" i="5"/>
  <c r="I953" i="5"/>
  <c r="H953" i="5"/>
  <c r="G953" i="5"/>
  <c r="E953" i="5"/>
  <c r="S951" i="2"/>
  <c r="Z906" i="2" s="1"/>
  <c r="F961" i="5"/>
  <c r="H961" i="5"/>
  <c r="I961" i="5"/>
  <c r="G961" i="5"/>
  <c r="E961" i="5"/>
  <c r="J961" i="5"/>
  <c r="S959" i="2"/>
  <c r="Z914" i="2" s="1"/>
  <c r="F969" i="5"/>
  <c r="L969" i="5" s="1"/>
  <c r="I969" i="5"/>
  <c r="E969" i="5"/>
  <c r="G969" i="5"/>
  <c r="H969" i="5"/>
  <c r="J969" i="5"/>
  <c r="S967" i="2"/>
  <c r="F977" i="5"/>
  <c r="H977" i="5"/>
  <c r="N977" i="5" s="1"/>
  <c r="G977" i="5"/>
  <c r="E977" i="5"/>
  <c r="J977" i="5"/>
  <c r="I977" i="5"/>
  <c r="S975" i="2"/>
  <c r="E69" i="14" s="1"/>
  <c r="H69" i="14" s="1"/>
  <c r="B10" i="9"/>
  <c r="B11" i="9"/>
  <c r="B9" i="7"/>
  <c r="D15" i="7"/>
  <c r="D13" i="7"/>
  <c r="C9" i="16"/>
  <c r="M9" i="15"/>
  <c r="B10" i="11"/>
  <c r="B12" i="11" s="1"/>
  <c r="C6" i="16"/>
  <c r="C76" i="16" s="1"/>
  <c r="M6" i="15"/>
  <c r="M8" i="15"/>
  <c r="M5" i="15"/>
  <c r="C20" i="16"/>
  <c r="M20" i="15"/>
  <c r="C28" i="16"/>
  <c r="M28" i="15"/>
  <c r="C23" i="16"/>
  <c r="M23" i="15"/>
  <c r="C25" i="16"/>
  <c r="M25" i="15"/>
  <c r="C12" i="16"/>
  <c r="M12" i="15"/>
  <c r="C16" i="16"/>
  <c r="M16" i="15"/>
  <c r="C22" i="16"/>
  <c r="M22" i="15"/>
  <c r="C30" i="16"/>
  <c r="M30" i="15"/>
  <c r="C19" i="16"/>
  <c r="M19" i="15"/>
  <c r="C27" i="16"/>
  <c r="M27" i="15"/>
  <c r="C45" i="16"/>
  <c r="M45" i="15"/>
  <c r="C7" i="16"/>
  <c r="M7" i="15"/>
  <c r="D17" i="19" s="1"/>
  <c r="E62" i="20" s="1"/>
  <c r="F62" i="20" s="1"/>
  <c r="G62" i="20" s="1"/>
  <c r="C24" i="16"/>
  <c r="M24" i="15"/>
  <c r="C34" i="16"/>
  <c r="M34" i="15"/>
  <c r="C21" i="16"/>
  <c r="M21" i="15"/>
  <c r="C29" i="16"/>
  <c r="M29" i="15"/>
  <c r="C36" i="16"/>
  <c r="M36" i="15"/>
  <c r="C10" i="16"/>
  <c r="M10" i="15"/>
  <c r="C14" i="16"/>
  <c r="M14" i="15"/>
  <c r="C18" i="16"/>
  <c r="M18" i="15"/>
  <c r="C26" i="16"/>
  <c r="M26" i="15"/>
  <c r="C40" i="16"/>
  <c r="M40" i="15"/>
  <c r="C42" i="16"/>
  <c r="M42" i="15"/>
  <c r="C52" i="16"/>
  <c r="M52" i="15"/>
  <c r="C54" i="16"/>
  <c r="M54" i="15"/>
  <c r="C56" i="16"/>
  <c r="M56" i="15"/>
  <c r="C58" i="16"/>
  <c r="M58" i="15"/>
  <c r="C60" i="16"/>
  <c r="M60" i="15"/>
  <c r="C62" i="16"/>
  <c r="M62" i="15"/>
  <c r="M33" i="15"/>
  <c r="C33" i="16"/>
  <c r="C37" i="16"/>
  <c r="M37" i="15"/>
  <c r="M47" i="15"/>
  <c r="C47" i="16"/>
  <c r="M11" i="15"/>
  <c r="M15" i="15"/>
  <c r="C49" i="16"/>
  <c r="M49" i="15"/>
  <c r="C68" i="16"/>
  <c r="M68" i="15"/>
  <c r="B80" i="15"/>
  <c r="B81" i="15"/>
  <c r="C39" i="16"/>
  <c r="M39" i="15"/>
  <c r="M51" i="15"/>
  <c r="C51" i="16"/>
  <c r="M31" i="15"/>
  <c r="C31" i="16"/>
  <c r="C32" i="16"/>
  <c r="M32" i="15"/>
  <c r="C44" i="16"/>
  <c r="M44" i="15"/>
  <c r="C53" i="16"/>
  <c r="M53" i="15"/>
  <c r="M55" i="15"/>
  <c r="C55" i="16"/>
  <c r="C57" i="16"/>
  <c r="M57" i="15"/>
  <c r="M59" i="15"/>
  <c r="C59" i="16"/>
  <c r="C61" i="16"/>
  <c r="M61" i="15"/>
  <c r="M63" i="15"/>
  <c r="C41" i="16"/>
  <c r="M41" i="15"/>
  <c r="C46" i="16"/>
  <c r="M46" i="15"/>
  <c r="M13" i="15"/>
  <c r="M17" i="15"/>
  <c r="C35" i="16"/>
  <c r="M35" i="15"/>
  <c r="C48" i="16"/>
  <c r="M48" i="15"/>
  <c r="M67" i="15"/>
  <c r="C5" i="16"/>
  <c r="M66" i="15"/>
  <c r="M65" i="15"/>
  <c r="C38" i="16"/>
  <c r="M38" i="15"/>
  <c r="C43" i="16"/>
  <c r="M43" i="15"/>
  <c r="C50" i="16"/>
  <c r="M50" i="15"/>
  <c r="E76" i="17"/>
  <c r="D76" i="17"/>
  <c r="C76" i="17"/>
  <c r="B76" i="17"/>
  <c r="B83" i="17" s="1"/>
  <c r="D74" i="17"/>
  <c r="M69" i="15"/>
  <c r="D74" i="16"/>
  <c r="E77" i="17"/>
  <c r="D77" i="17"/>
  <c r="C77" i="17"/>
  <c r="B76" i="18"/>
  <c r="D74" i="18"/>
  <c r="B77" i="18"/>
  <c r="E77" i="18"/>
  <c r="D77" i="18"/>
  <c r="C77" i="18"/>
  <c r="E74" i="18"/>
  <c r="M64" i="15"/>
  <c r="B75" i="17"/>
  <c r="E75" i="17"/>
  <c r="B81" i="17" s="1"/>
  <c r="C74" i="17"/>
  <c r="C74" i="18"/>
  <c r="E83" i="18" s="1"/>
  <c r="D76" i="16"/>
  <c r="B76" i="16"/>
  <c r="B77" i="17"/>
  <c r="E74" i="17"/>
  <c r="C81" i="17"/>
  <c r="B75" i="18"/>
  <c r="C83" i="18" s="1"/>
  <c r="E75" i="18"/>
  <c r="D75" i="18"/>
  <c r="C75" i="18"/>
  <c r="F62" i="17" l="1"/>
  <c r="E62" i="16"/>
  <c r="M825" i="5"/>
  <c r="M892" i="5"/>
  <c r="N884" i="5"/>
  <c r="O876" i="5"/>
  <c r="O975" i="5"/>
  <c r="L967" i="5"/>
  <c r="M951" i="5"/>
  <c r="P943" i="5"/>
  <c r="O935" i="5"/>
  <c r="N927" i="5"/>
  <c r="O919" i="5"/>
  <c r="K911" i="5"/>
  <c r="O903" i="5"/>
  <c r="O895" i="5"/>
  <c r="O887" i="5"/>
  <c r="AB869" i="2"/>
  <c r="Z869" i="2"/>
  <c r="X869" i="2"/>
  <c r="V869" i="2"/>
  <c r="W869" i="2"/>
  <c r="M863" i="5"/>
  <c r="M855" i="5"/>
  <c r="N847" i="5"/>
  <c r="O839" i="5"/>
  <c r="L831" i="5"/>
  <c r="L823" i="5"/>
  <c r="F59" i="18"/>
  <c r="B58" i="15"/>
  <c r="X797" i="2"/>
  <c r="V797" i="2"/>
  <c r="AB797" i="2"/>
  <c r="Z797" i="2"/>
  <c r="W797" i="2"/>
  <c r="L791" i="5"/>
  <c r="K783" i="5"/>
  <c r="M775" i="5"/>
  <c r="N970" i="5"/>
  <c r="O962" i="5"/>
  <c r="L954" i="5"/>
  <c r="K938" i="5"/>
  <c r="N930" i="5"/>
  <c r="N922" i="5"/>
  <c r="K914" i="5"/>
  <c r="P906" i="5"/>
  <c r="K890" i="5"/>
  <c r="L882" i="5"/>
  <c r="K874" i="5"/>
  <c r="K866" i="5"/>
  <c r="L858" i="5"/>
  <c r="M842" i="5"/>
  <c r="O834" i="5"/>
  <c r="K826" i="5"/>
  <c r="P810" i="5"/>
  <c r="K973" i="5"/>
  <c r="M965" i="5"/>
  <c r="P957" i="5"/>
  <c r="K941" i="5"/>
  <c r="K933" i="5"/>
  <c r="O925" i="5"/>
  <c r="K917" i="5"/>
  <c r="X898" i="2"/>
  <c r="N893" i="5"/>
  <c r="O885" i="5"/>
  <c r="K877" i="5"/>
  <c r="O869" i="5"/>
  <c r="N853" i="5"/>
  <c r="P845" i="5"/>
  <c r="L837" i="5"/>
  <c r="K821" i="5"/>
  <c r="M813" i="5"/>
  <c r="K805" i="5"/>
  <c r="K976" i="5"/>
  <c r="L960" i="5"/>
  <c r="P952" i="5"/>
  <c r="K944" i="5"/>
  <c r="O928" i="5"/>
  <c r="N920" i="5"/>
  <c r="L912" i="5"/>
  <c r="N904" i="5"/>
  <c r="P896" i="5"/>
  <c r="W882" i="2"/>
  <c r="K872" i="5"/>
  <c r="O864" i="5"/>
  <c r="L856" i="5"/>
  <c r="P840" i="5"/>
  <c r="L832" i="5"/>
  <c r="O824" i="5"/>
  <c r="P808" i="5"/>
  <c r="K800" i="5"/>
  <c r="O974" i="5"/>
  <c r="K966" i="5"/>
  <c r="N950" i="5"/>
  <c r="K942" i="5"/>
  <c r="M934" i="5"/>
  <c r="N918" i="5"/>
  <c r="N910" i="5"/>
  <c r="L902" i="5"/>
  <c r="N894" i="5"/>
  <c r="P878" i="5"/>
  <c r="M870" i="5"/>
  <c r="P862" i="5"/>
  <c r="K846" i="5"/>
  <c r="M838" i="5"/>
  <c r="P830" i="5"/>
  <c r="P814" i="5"/>
  <c r="L806" i="5"/>
  <c r="P798" i="5"/>
  <c r="V945" i="2"/>
  <c r="Z905" i="2"/>
  <c r="X862" i="2"/>
  <c r="AB857" i="2"/>
  <c r="N852" i="5"/>
  <c r="L939" i="5"/>
  <c r="V923" i="2"/>
  <c r="M923" i="5"/>
  <c r="N915" i="5"/>
  <c r="Y834" i="2"/>
  <c r="V824" i="2"/>
  <c r="AB824" i="2"/>
  <c r="Z824" i="2"/>
  <c r="W824" i="2"/>
  <c r="X824" i="2"/>
  <c r="D59" i="14"/>
  <c r="G59" i="14" s="1"/>
  <c r="Y819" i="2"/>
  <c r="V789" i="2"/>
  <c r="Z789" i="2"/>
  <c r="Y789" i="2"/>
  <c r="W789" i="2"/>
  <c r="AB789" i="2"/>
  <c r="E57" i="14"/>
  <c r="H57" i="14" s="1"/>
  <c r="D57" i="14"/>
  <c r="G57" i="14" s="1"/>
  <c r="C57" i="14"/>
  <c r="F57" i="14" s="1"/>
  <c r="Y775" i="2"/>
  <c r="Z775" i="2"/>
  <c r="X775" i="2"/>
  <c r="V775" i="2"/>
  <c r="AB775" i="2"/>
  <c r="Z765" i="2"/>
  <c r="Y765" i="2"/>
  <c r="V765" i="2"/>
  <c r="AB765" i="2"/>
  <c r="W765" i="2"/>
  <c r="E55" i="14"/>
  <c r="H55" i="14" s="1"/>
  <c r="L759" i="5"/>
  <c r="N751" i="5"/>
  <c r="M743" i="5"/>
  <c r="N735" i="5"/>
  <c r="O727" i="5"/>
  <c r="P719" i="5"/>
  <c r="Z701" i="2"/>
  <c r="X701" i="2"/>
  <c r="AB701" i="2"/>
  <c r="W701" i="2"/>
  <c r="V701" i="2"/>
  <c r="C51" i="14"/>
  <c r="F51" i="14" s="1"/>
  <c r="L695" i="5"/>
  <c r="O687" i="5"/>
  <c r="N679" i="5"/>
  <c r="N671" i="5"/>
  <c r="P663" i="5"/>
  <c r="K655" i="5"/>
  <c r="K647" i="5"/>
  <c r="K639" i="5"/>
  <c r="Z621" i="2"/>
  <c r="Y621" i="2"/>
  <c r="W621" i="2"/>
  <c r="AB621" i="2"/>
  <c r="V621" i="2"/>
  <c r="P615" i="5"/>
  <c r="K607" i="5"/>
  <c r="L599" i="5"/>
  <c r="M591" i="5"/>
  <c r="N583" i="5"/>
  <c r="N575" i="5"/>
  <c r="N567" i="5"/>
  <c r="Z549" i="2"/>
  <c r="Y549" i="2"/>
  <c r="W549" i="2"/>
  <c r="V549" i="2"/>
  <c r="AB549" i="2"/>
  <c r="C41" i="14"/>
  <c r="F41" i="14" s="1"/>
  <c r="Z819" i="2"/>
  <c r="Z924" i="2"/>
  <c r="Z804" i="2"/>
  <c r="AB939" i="2"/>
  <c r="AB969" i="2"/>
  <c r="Z969" i="2"/>
  <c r="Z939" i="2"/>
  <c r="P543" i="5"/>
  <c r="K535" i="5"/>
  <c r="K527" i="5"/>
  <c r="L519" i="5"/>
  <c r="Y543" i="2"/>
  <c r="X931" i="2"/>
  <c r="V880" i="2"/>
  <c r="AB880" i="2"/>
  <c r="Z880" i="2"/>
  <c r="Y880" i="2"/>
  <c r="X880" i="2"/>
  <c r="D63" i="14"/>
  <c r="G63" i="14" s="1"/>
  <c r="P828" i="5"/>
  <c r="M820" i="5"/>
  <c r="F56" i="18"/>
  <c r="P754" i="5"/>
  <c r="P746" i="5"/>
  <c r="M738" i="5"/>
  <c r="L722" i="5"/>
  <c r="N714" i="5"/>
  <c r="P706" i="5"/>
  <c r="O690" i="5"/>
  <c r="L682" i="5"/>
  <c r="N674" i="5"/>
  <c r="O658" i="5"/>
  <c r="L650" i="5"/>
  <c r="L642" i="5"/>
  <c r="N634" i="5"/>
  <c r="L618" i="5"/>
  <c r="N610" i="5"/>
  <c r="O602" i="5"/>
  <c r="K586" i="5"/>
  <c r="M578" i="5"/>
  <c r="N570" i="5"/>
  <c r="K554" i="5"/>
  <c r="M546" i="5"/>
  <c r="O538" i="5"/>
  <c r="F40" i="18"/>
  <c r="L514" i="5"/>
  <c r="M506" i="5"/>
  <c r="P498" i="5"/>
  <c r="K482" i="5"/>
  <c r="L474" i="5"/>
  <c r="P466" i="5"/>
  <c r="K450" i="5"/>
  <c r="M442" i="5"/>
  <c r="O434" i="5"/>
  <c r="K418" i="5"/>
  <c r="M410" i="5"/>
  <c r="N402" i="5"/>
  <c r="P394" i="5"/>
  <c r="L378" i="5"/>
  <c r="N370" i="5"/>
  <c r="M860" i="5"/>
  <c r="M795" i="5"/>
  <c r="AB964" i="2"/>
  <c r="AB722" i="2"/>
  <c r="C46" i="14"/>
  <c r="F46" i="14" s="1"/>
  <c r="Z761" i="2"/>
  <c r="AB703" i="2"/>
  <c r="AB319" i="2"/>
  <c r="AB764" i="2"/>
  <c r="X455" i="2"/>
  <c r="D83" i="18"/>
  <c r="K801" i="5"/>
  <c r="M924" i="5"/>
  <c r="K953" i="5"/>
  <c r="K825" i="5"/>
  <c r="L932" i="5"/>
  <c r="N892" i="5"/>
  <c r="K943" i="5"/>
  <c r="O847" i="5"/>
  <c r="O970" i="5"/>
  <c r="M954" i="5"/>
  <c r="N874" i="5"/>
  <c r="N842" i="5"/>
  <c r="L826" i="5"/>
  <c r="L810" i="5"/>
  <c r="P965" i="5"/>
  <c r="M949" i="5"/>
  <c r="P925" i="5"/>
  <c r="N901" i="5"/>
  <c r="P893" i="5"/>
  <c r="K885" i="5"/>
  <c r="L877" i="5"/>
  <c r="K861" i="5"/>
  <c r="P853" i="5"/>
  <c r="L845" i="5"/>
  <c r="O837" i="5"/>
  <c r="M821" i="5"/>
  <c r="O813" i="5"/>
  <c r="N805" i="5"/>
  <c r="M968" i="5"/>
  <c r="O960" i="5"/>
  <c r="O952" i="5"/>
  <c r="N936" i="5"/>
  <c r="P928" i="5"/>
  <c r="P920" i="5"/>
  <c r="M912" i="5"/>
  <c r="O904" i="5"/>
  <c r="W890" i="2"/>
  <c r="K880" i="5"/>
  <c r="M872" i="5"/>
  <c r="P864" i="5"/>
  <c r="N856" i="5"/>
  <c r="K840" i="5"/>
  <c r="M832" i="5"/>
  <c r="N824" i="5"/>
  <c r="O808" i="5"/>
  <c r="L800" i="5"/>
  <c r="P974" i="5"/>
  <c r="L958" i="5"/>
  <c r="M950" i="5"/>
  <c r="O942" i="5"/>
  <c r="P934" i="5"/>
  <c r="O918" i="5"/>
  <c r="M910" i="5"/>
  <c r="M902" i="5"/>
  <c r="P886" i="5"/>
  <c r="K878" i="5"/>
  <c r="N870" i="5"/>
  <c r="K854" i="5"/>
  <c r="L846" i="5"/>
  <c r="N838" i="5"/>
  <c r="F60" i="18"/>
  <c r="L814" i="5"/>
  <c r="M806" i="5"/>
  <c r="O798" i="5"/>
  <c r="V973" i="2"/>
  <c r="V966" i="2"/>
  <c r="W945" i="2"/>
  <c r="V929" i="2"/>
  <c r="V857" i="2"/>
  <c r="W972" i="2"/>
  <c r="O939" i="5"/>
  <c r="W923" i="2"/>
  <c r="N923" i="5"/>
  <c r="X899" i="2"/>
  <c r="L875" i="5"/>
  <c r="M789" i="5"/>
  <c r="M781" i="5"/>
  <c r="K778" i="5"/>
  <c r="L767" i="5"/>
  <c r="M759" i="5"/>
  <c r="O751" i="5"/>
  <c r="N743" i="5"/>
  <c r="O735" i="5"/>
  <c r="P727" i="5"/>
  <c r="Z709" i="2"/>
  <c r="Y709" i="2"/>
  <c r="X709" i="2"/>
  <c r="AB709" i="2"/>
  <c r="V709" i="2"/>
  <c r="D52" i="14"/>
  <c r="G52" i="14" s="1"/>
  <c r="AB889" i="2"/>
  <c r="L703" i="5"/>
  <c r="N695" i="5"/>
  <c r="L687" i="5"/>
  <c r="O679" i="5"/>
  <c r="P671" i="5"/>
  <c r="K663" i="5"/>
  <c r="M655" i="5"/>
  <c r="M647" i="5"/>
  <c r="Z629" i="2"/>
  <c r="X629" i="2"/>
  <c r="V629" i="2"/>
  <c r="W629" i="2"/>
  <c r="AB629" i="2"/>
  <c r="D46" i="14"/>
  <c r="G46" i="14" s="1"/>
  <c r="Z854" i="2"/>
  <c r="AB899" i="2"/>
  <c r="P623" i="5"/>
  <c r="K615" i="5"/>
  <c r="L607" i="5"/>
  <c r="M599" i="5"/>
  <c r="N591" i="5"/>
  <c r="O583" i="5"/>
  <c r="F43" i="18"/>
  <c r="B42" i="15"/>
  <c r="Z557" i="2"/>
  <c r="X557" i="2"/>
  <c r="W557" i="2"/>
  <c r="AB557" i="2"/>
  <c r="V557" i="2"/>
  <c r="AB842" i="2"/>
  <c r="Z932" i="2"/>
  <c r="Z857" i="2"/>
  <c r="Z842" i="2"/>
  <c r="M551" i="5"/>
  <c r="K543" i="5"/>
  <c r="L535" i="5"/>
  <c r="L527" i="5"/>
  <c r="M519" i="5"/>
  <c r="N511" i="5"/>
  <c r="N503" i="5"/>
  <c r="Z485" i="2"/>
  <c r="X485" i="2"/>
  <c r="AB485" i="2"/>
  <c r="W485" i="2"/>
  <c r="V485" i="2"/>
  <c r="X607" i="2"/>
  <c r="X674" i="2"/>
  <c r="X700" i="2"/>
  <c r="X949" i="2"/>
  <c r="AB650" i="2"/>
  <c r="X602" i="2"/>
  <c r="X703" i="2"/>
  <c r="X754" i="2"/>
  <c r="X770" i="2"/>
  <c r="X818" i="2"/>
  <c r="X958" i="2"/>
  <c r="X965" i="2"/>
  <c r="X814" i="2"/>
  <c r="X842" i="2"/>
  <c r="X910" i="2"/>
  <c r="X916" i="2"/>
  <c r="X793" i="2"/>
  <c r="X572" i="2"/>
  <c r="X610" i="2"/>
  <c r="X751" i="2"/>
  <c r="Z740" i="2"/>
  <c r="X719" i="2"/>
  <c r="AB950" i="2"/>
  <c r="X884" i="2"/>
  <c r="AB530" i="2"/>
  <c r="X647" i="2"/>
  <c r="X698" i="2"/>
  <c r="X790" i="2"/>
  <c r="X562" i="2"/>
  <c r="X730" i="2"/>
  <c r="X820" i="2"/>
  <c r="X836" i="2"/>
  <c r="B37" i="15"/>
  <c r="X851" i="2"/>
  <c r="X782" i="2"/>
  <c r="X743" i="2"/>
  <c r="X854" i="2"/>
  <c r="X934" i="2"/>
  <c r="X941" i="2"/>
  <c r="X892" i="2"/>
  <c r="X961" i="2"/>
  <c r="X974" i="2"/>
  <c r="Z875" i="2"/>
  <c r="Z860" i="2"/>
  <c r="X599" i="2"/>
  <c r="X764" i="2"/>
  <c r="X727" i="2"/>
  <c r="X802" i="2"/>
  <c r="X956" i="2"/>
  <c r="X908" i="2"/>
  <c r="X806" i="2"/>
  <c r="X817" i="2"/>
  <c r="X883" i="2"/>
  <c r="X938" i="2"/>
  <c r="X721" i="2"/>
  <c r="Z650" i="2"/>
  <c r="X676" i="2"/>
  <c r="X767" i="2"/>
  <c r="AB860" i="2"/>
  <c r="X551" i="2"/>
  <c r="X841" i="2"/>
  <c r="AB965" i="2"/>
  <c r="X811" i="2"/>
  <c r="X868" i="2"/>
  <c r="X907" i="2"/>
  <c r="X796" i="2"/>
  <c r="AB455" i="2"/>
  <c r="X490" i="2"/>
  <c r="X631" i="2"/>
  <c r="X682" i="2"/>
  <c r="X955" i="2"/>
  <c r="X650" i="2"/>
  <c r="X740" i="2"/>
  <c r="X628" i="2"/>
  <c r="X926" i="2"/>
  <c r="AB770" i="2"/>
  <c r="X850" i="2"/>
  <c r="X826" i="2"/>
  <c r="X950" i="2"/>
  <c r="X877" i="2"/>
  <c r="X838" i="2"/>
  <c r="X953" i="2"/>
  <c r="AB830" i="2"/>
  <c r="AB575" i="2"/>
  <c r="X844" i="2"/>
  <c r="Z530" i="2"/>
  <c r="X658" i="2"/>
  <c r="X787" i="2"/>
  <c r="X971" i="2"/>
  <c r="X778" i="2"/>
  <c r="Z770" i="2"/>
  <c r="Z965" i="2"/>
  <c r="X932" i="2"/>
  <c r="L479" i="5"/>
  <c r="P471" i="5"/>
  <c r="N463" i="5"/>
  <c r="F35" i="18"/>
  <c r="P439" i="5"/>
  <c r="L431" i="5"/>
  <c r="N423" i="5"/>
  <c r="O407" i="5"/>
  <c r="K399" i="5"/>
  <c r="M391" i="5"/>
  <c r="V928" i="2"/>
  <c r="AB928" i="2"/>
  <c r="Z928" i="2"/>
  <c r="Y928" i="2"/>
  <c r="X928" i="2"/>
  <c r="AB838" i="2"/>
  <c r="K828" i="5"/>
  <c r="Z772" i="2"/>
  <c r="E47" i="14"/>
  <c r="H47" i="14" s="1"/>
  <c r="W671" i="2"/>
  <c r="D62" i="14"/>
  <c r="G62" i="14" s="1"/>
  <c r="Z871" i="2"/>
  <c r="Y871" i="2"/>
  <c r="X871" i="2"/>
  <c r="V871" i="2"/>
  <c r="AB871" i="2"/>
  <c r="AB931" i="2"/>
  <c r="N785" i="5"/>
  <c r="L940" i="5"/>
  <c r="D82" i="18"/>
  <c r="L913" i="5"/>
  <c r="F65" i="18"/>
  <c r="B64" i="15"/>
  <c r="Z887" i="2"/>
  <c r="X887" i="2"/>
  <c r="W887" i="2"/>
  <c r="V887" i="2"/>
  <c r="AB887" i="2"/>
  <c r="Z879" i="2"/>
  <c r="Y879" i="2"/>
  <c r="W879" i="2"/>
  <c r="V879" i="2"/>
  <c r="AB879" i="2"/>
  <c r="O857" i="5"/>
  <c r="K964" i="5"/>
  <c r="K959" i="5"/>
  <c r="N799" i="5"/>
  <c r="L938" i="5"/>
  <c r="M914" i="5"/>
  <c r="P866" i="5"/>
  <c r="M850" i="5"/>
  <c r="K834" i="5"/>
  <c r="O973" i="5"/>
  <c r="M941" i="5"/>
  <c r="N933" i="5"/>
  <c r="P917" i="5"/>
  <c r="D81" i="17"/>
  <c r="D80" i="18"/>
  <c r="Z967" i="2"/>
  <c r="Y967" i="2"/>
  <c r="X967" i="2"/>
  <c r="V967" i="2"/>
  <c r="AB967" i="2"/>
  <c r="P961" i="5"/>
  <c r="M953" i="5"/>
  <c r="P945" i="5"/>
  <c r="M937" i="5"/>
  <c r="K929" i="5"/>
  <c r="L921" i="5"/>
  <c r="Z903" i="2"/>
  <c r="Y903" i="2"/>
  <c r="W903" i="2"/>
  <c r="V903" i="2"/>
  <c r="AB903" i="2"/>
  <c r="B65" i="15"/>
  <c r="Z895" i="2"/>
  <c r="Y895" i="2"/>
  <c r="X895" i="2"/>
  <c r="V895" i="2"/>
  <c r="AB895" i="2"/>
  <c r="K889" i="5"/>
  <c r="K881" i="5"/>
  <c r="M873" i="5"/>
  <c r="O865" i="5"/>
  <c r="P857" i="5"/>
  <c r="P849" i="5"/>
  <c r="M841" i="5"/>
  <c r="K833" i="5"/>
  <c r="X815" i="2"/>
  <c r="W815" i="2"/>
  <c r="V815" i="2"/>
  <c r="AB815" i="2"/>
  <c r="Z815" i="2"/>
  <c r="K809" i="5"/>
  <c r="M801" i="5"/>
  <c r="K793" i="5"/>
  <c r="F57" i="18"/>
  <c r="M972" i="5"/>
  <c r="L964" i="5"/>
  <c r="K956" i="5"/>
  <c r="P948" i="5"/>
  <c r="O940" i="5"/>
  <c r="O932" i="5"/>
  <c r="N908" i="5"/>
  <c r="O900" i="5"/>
  <c r="O892" i="5"/>
  <c r="O884" i="5"/>
  <c r="P876" i="5"/>
  <c r="P975" i="5"/>
  <c r="O959" i="5"/>
  <c r="O951" i="5"/>
  <c r="N943" i="5"/>
  <c r="B66" i="15"/>
  <c r="AB917" i="2"/>
  <c r="Z917" i="2"/>
  <c r="X917" i="2"/>
  <c r="V917" i="2"/>
  <c r="W917" i="2"/>
  <c r="AB909" i="2"/>
  <c r="Z909" i="2"/>
  <c r="Y909" i="2"/>
  <c r="V909" i="2"/>
  <c r="W909" i="2"/>
  <c r="C65" i="14"/>
  <c r="F65" i="14" s="1"/>
  <c r="D64" i="14"/>
  <c r="G64" i="14" s="1"/>
  <c r="AB901" i="2"/>
  <c r="Z901" i="2"/>
  <c r="Y901" i="2"/>
  <c r="X901" i="2"/>
  <c r="V901" i="2"/>
  <c r="C64" i="14"/>
  <c r="F64" i="14" s="1"/>
  <c r="AB893" i="2"/>
  <c r="Z893" i="2"/>
  <c r="X893" i="2"/>
  <c r="V893" i="2"/>
  <c r="W893" i="2"/>
  <c r="L879" i="5"/>
  <c r="M871" i="5"/>
  <c r="O863" i="5"/>
  <c r="O855" i="5"/>
  <c r="L847" i="5"/>
  <c r="L839" i="5"/>
  <c r="Z821" i="2"/>
  <c r="X821" i="2"/>
  <c r="V821" i="2"/>
  <c r="AB821" i="2"/>
  <c r="W821" i="2"/>
  <c r="E59" i="14"/>
  <c r="H59" i="14" s="1"/>
  <c r="K815" i="5"/>
  <c r="K807" i="5"/>
  <c r="M799" i="5"/>
  <c r="N791" i="5"/>
  <c r="M783" i="5"/>
  <c r="O978" i="5"/>
  <c r="P970" i="5"/>
  <c r="L962" i="5"/>
  <c r="O946" i="5"/>
  <c r="N938" i="5"/>
  <c r="K930" i="5"/>
  <c r="P922" i="5"/>
  <c r="M898" i="5"/>
  <c r="N890" i="5"/>
  <c r="N882" i="5"/>
  <c r="L874" i="5"/>
  <c r="L866" i="5"/>
  <c r="N850" i="5"/>
  <c r="O842" i="5"/>
  <c r="P834" i="5"/>
  <c r="M818" i="5"/>
  <c r="M810" i="5"/>
  <c r="L973" i="5"/>
  <c r="F69" i="18"/>
  <c r="N949" i="5"/>
  <c r="N941" i="5"/>
  <c r="P933" i="5"/>
  <c r="K909" i="5"/>
  <c r="O901" i="5"/>
  <c r="O893" i="5"/>
  <c r="L885" i="5"/>
  <c r="M877" i="5"/>
  <c r="M861" i="5"/>
  <c r="K853" i="5"/>
  <c r="O845" i="5"/>
  <c r="K829" i="5"/>
  <c r="N821" i="5"/>
  <c r="P813" i="5"/>
  <c r="L968" i="5"/>
  <c r="P960" i="5"/>
  <c r="K952" i="5"/>
  <c r="O936" i="5"/>
  <c r="L928" i="5"/>
  <c r="M920" i="5"/>
  <c r="N912" i="5"/>
  <c r="P904" i="5"/>
  <c r="M888" i="5"/>
  <c r="M880" i="5"/>
  <c r="N872" i="5"/>
  <c r="M864" i="5"/>
  <c r="P848" i="5"/>
  <c r="L840" i="5"/>
  <c r="O832" i="5"/>
  <c r="P816" i="5"/>
  <c r="K808" i="5"/>
  <c r="M800" i="5"/>
  <c r="N974" i="5"/>
  <c r="M958" i="5"/>
  <c r="K950" i="5"/>
  <c r="P942" i="5"/>
  <c r="N926" i="5"/>
  <c r="K918" i="5"/>
  <c r="O910" i="5"/>
  <c r="N902" i="5"/>
  <c r="K886" i="5"/>
  <c r="L878" i="5"/>
  <c r="P870" i="5"/>
  <c r="L854" i="5"/>
  <c r="M846" i="5"/>
  <c r="P838" i="5"/>
  <c r="O822" i="5"/>
  <c r="M814" i="5"/>
  <c r="N806" i="5"/>
  <c r="P790" i="5"/>
  <c r="X973" i="2"/>
  <c r="W966" i="2"/>
  <c r="Y945" i="2"/>
  <c r="X929" i="2"/>
  <c r="W905" i="2"/>
  <c r="AB881" i="2"/>
  <c r="W860" i="2"/>
  <c r="L844" i="5"/>
  <c r="K819" i="5"/>
  <c r="Y972" i="2"/>
  <c r="K939" i="5"/>
  <c r="C66" i="14"/>
  <c r="F66" i="14" s="1"/>
  <c r="E65" i="14"/>
  <c r="H65" i="14" s="1"/>
  <c r="V912" i="2"/>
  <c r="AB912" i="2"/>
  <c r="Z912" i="2"/>
  <c r="Y912" i="2"/>
  <c r="W912" i="2"/>
  <c r="Z899" i="2"/>
  <c r="K899" i="5"/>
  <c r="X875" i="2"/>
  <c r="AB834" i="2"/>
  <c r="O796" i="5"/>
  <c r="K792" i="5"/>
  <c r="L789" i="5"/>
  <c r="L781" i="5"/>
  <c r="L778" i="5"/>
  <c r="M767" i="5"/>
  <c r="O759" i="5"/>
  <c r="L751" i="5"/>
  <c r="O743" i="5"/>
  <c r="P735" i="5"/>
  <c r="E52" i="14"/>
  <c r="H52" i="14" s="1"/>
  <c r="Z717" i="2"/>
  <c r="Y717" i="2"/>
  <c r="AB717" i="2"/>
  <c r="W717" i="2"/>
  <c r="V717" i="2"/>
  <c r="M711" i="5"/>
  <c r="O703" i="5"/>
  <c r="O695" i="5"/>
  <c r="N687" i="5"/>
  <c r="P679" i="5"/>
  <c r="K671" i="5"/>
  <c r="M663" i="5"/>
  <c r="Z637" i="2"/>
  <c r="Y637" i="2"/>
  <c r="X637" i="2"/>
  <c r="AB637" i="2"/>
  <c r="V637" i="2"/>
  <c r="AB907" i="2"/>
  <c r="Z907" i="2"/>
  <c r="AB937" i="2"/>
  <c r="M631" i="5"/>
  <c r="K623" i="5"/>
  <c r="L615" i="5"/>
  <c r="M607" i="5"/>
  <c r="N599" i="5"/>
  <c r="O591" i="5"/>
  <c r="Z573" i="2"/>
  <c r="Y573" i="2"/>
  <c r="AB573" i="2"/>
  <c r="W573" i="2"/>
  <c r="V573" i="2"/>
  <c r="B43" i="15"/>
  <c r="Z858" i="2"/>
  <c r="AB933" i="2"/>
  <c r="AB918" i="2"/>
  <c r="Z933" i="2"/>
  <c r="AB858" i="2"/>
  <c r="Z873" i="2"/>
  <c r="Z565" i="2"/>
  <c r="Y565" i="2"/>
  <c r="X565" i="2"/>
  <c r="V565" i="2"/>
  <c r="AB565" i="2"/>
  <c r="Z820" i="2"/>
  <c r="AB910" i="2"/>
  <c r="AB925" i="2"/>
  <c r="AB835" i="2"/>
  <c r="M559" i="5"/>
  <c r="O551" i="5"/>
  <c r="L543" i="5"/>
  <c r="M535" i="5"/>
  <c r="M527" i="5"/>
  <c r="N519" i="5"/>
  <c r="O511" i="5"/>
  <c r="Z493" i="2"/>
  <c r="Y493" i="2"/>
  <c r="X493" i="2"/>
  <c r="V493" i="2"/>
  <c r="AB493" i="2"/>
  <c r="AB658" i="2"/>
  <c r="Z793" i="2"/>
  <c r="Z628" i="2"/>
  <c r="Z958" i="2"/>
  <c r="AB583" i="2"/>
  <c r="AB958" i="2"/>
  <c r="AB388" i="2"/>
  <c r="Z868" i="2"/>
  <c r="Z883" i="2"/>
  <c r="Z913" i="2"/>
  <c r="Y937" i="2"/>
  <c r="AB298" i="2"/>
  <c r="Z433" i="2"/>
  <c r="Z658" i="2"/>
  <c r="Z703" i="2"/>
  <c r="AB778" i="2"/>
  <c r="Z778" i="2"/>
  <c r="Z418" i="2"/>
  <c r="AB793" i="2"/>
  <c r="AB898" i="2"/>
  <c r="L487" i="5"/>
  <c r="O479" i="5"/>
  <c r="K471" i="5"/>
  <c r="O463" i="5"/>
  <c r="P447" i="5"/>
  <c r="K439" i="5"/>
  <c r="M431" i="5"/>
  <c r="O415" i="5"/>
  <c r="P407" i="5"/>
  <c r="L399" i="5"/>
  <c r="N391" i="5"/>
  <c r="O947" i="5"/>
  <c r="K931" i="5"/>
  <c r="V915" i="2"/>
  <c r="V838" i="2"/>
  <c r="M828" i="5"/>
  <c r="V939" i="2"/>
  <c r="J62" i="15"/>
  <c r="Z698" i="2"/>
  <c r="Z690" i="2"/>
  <c r="AB498" i="2"/>
  <c r="N857" i="5"/>
  <c r="P932" i="5"/>
  <c r="K937" i="5"/>
  <c r="M833" i="5"/>
  <c r="E58" i="14"/>
  <c r="H58" i="14" s="1"/>
  <c r="Y807" i="2"/>
  <c r="W807" i="2"/>
  <c r="V807" i="2"/>
  <c r="AB807" i="2"/>
  <c r="Z807" i="2"/>
  <c r="O924" i="5"/>
  <c r="M876" i="5"/>
  <c r="L871" i="5"/>
  <c r="P839" i="5"/>
  <c r="Y898" i="2"/>
  <c r="K961" i="5"/>
  <c r="M945" i="5"/>
  <c r="L881" i="5"/>
  <c r="L857" i="5"/>
  <c r="L809" i="5"/>
  <c r="N801" i="5"/>
  <c r="L793" i="5"/>
  <c r="P777" i="5"/>
  <c r="L972" i="5"/>
  <c r="P964" i="5"/>
  <c r="L956" i="5"/>
  <c r="N948" i="5"/>
  <c r="K916" i="5"/>
  <c r="P908" i="5"/>
  <c r="P900" i="5"/>
  <c r="P892" i="5"/>
  <c r="P884" i="5"/>
  <c r="K876" i="5"/>
  <c r="M967" i="5"/>
  <c r="L959" i="5"/>
  <c r="P951" i="5"/>
  <c r="K935" i="5"/>
  <c r="L927" i="5"/>
  <c r="K919" i="5"/>
  <c r="N911" i="5"/>
  <c r="L903" i="5"/>
  <c r="K895" i="5"/>
  <c r="P887" i="5"/>
  <c r="P879" i="5"/>
  <c r="P871" i="5"/>
  <c r="K863" i="5"/>
  <c r="P855" i="5"/>
  <c r="P847" i="5"/>
  <c r="Z829" i="2"/>
  <c r="Y829" i="2"/>
  <c r="X829" i="2"/>
  <c r="V829" i="2"/>
  <c r="AB829" i="2"/>
  <c r="K823" i="5"/>
  <c r="M815" i="5"/>
  <c r="M807" i="5"/>
  <c r="O799" i="5"/>
  <c r="O791" i="5"/>
  <c r="O775" i="5"/>
  <c r="K978" i="5"/>
  <c r="L970" i="5"/>
  <c r="M962" i="5"/>
  <c r="P946" i="5"/>
  <c r="O938" i="5"/>
  <c r="O930" i="5"/>
  <c r="M922" i="5"/>
  <c r="O906" i="5"/>
  <c r="K898" i="5"/>
  <c r="O890" i="5"/>
  <c r="K882" i="5"/>
  <c r="M874" i="5"/>
  <c r="M858" i="5"/>
  <c r="O850" i="5"/>
  <c r="P842" i="5"/>
  <c r="L834" i="5"/>
  <c r="N818" i="5"/>
  <c r="N810" i="5"/>
  <c r="P973" i="5"/>
  <c r="K957" i="5"/>
  <c r="K949" i="5"/>
  <c r="O941" i="5"/>
  <c r="X922" i="2"/>
  <c r="X914" i="2"/>
  <c r="L909" i="5"/>
  <c r="P901" i="5"/>
  <c r="K893" i="5"/>
  <c r="M885" i="5"/>
  <c r="M869" i="5"/>
  <c r="N861" i="5"/>
  <c r="L853" i="5"/>
  <c r="F61" i="18"/>
  <c r="M829" i="5"/>
  <c r="P821" i="5"/>
  <c r="N813" i="5"/>
  <c r="P976" i="5"/>
  <c r="N968" i="5"/>
  <c r="M960" i="5"/>
  <c r="P944" i="5"/>
  <c r="L936" i="5"/>
  <c r="M928" i="5"/>
  <c r="K920" i="5"/>
  <c r="K912" i="5"/>
  <c r="K896" i="5"/>
  <c r="K888" i="5"/>
  <c r="L880" i="5"/>
  <c r="L872" i="5"/>
  <c r="N864" i="5"/>
  <c r="K848" i="5"/>
  <c r="M840" i="5"/>
  <c r="N832" i="5"/>
  <c r="K816" i="5"/>
  <c r="L808" i="5"/>
  <c r="N800" i="5"/>
  <c r="M966" i="5"/>
  <c r="P958" i="5"/>
  <c r="L950" i="5"/>
  <c r="L942" i="5"/>
  <c r="M926" i="5"/>
  <c r="L918" i="5"/>
  <c r="P910" i="5"/>
  <c r="O894" i="5"/>
  <c r="O886" i="5"/>
  <c r="M878" i="5"/>
  <c r="M862" i="5"/>
  <c r="O854" i="5"/>
  <c r="N846" i="5"/>
  <c r="O830" i="5"/>
  <c r="K822" i="5"/>
  <c r="N814" i="5"/>
  <c r="O806" i="5"/>
  <c r="K790" i="5"/>
  <c r="Y973" i="2"/>
  <c r="Z937" i="2"/>
  <c r="AB914" i="2"/>
  <c r="X905" i="2"/>
  <c r="V881" i="2"/>
  <c r="X860" i="2"/>
  <c r="O852" i="5"/>
  <c r="P844" i="5"/>
  <c r="L819" i="5"/>
  <c r="Z972" i="2"/>
  <c r="M939" i="5"/>
  <c r="V899" i="2"/>
  <c r="M875" i="5"/>
  <c r="N827" i="5"/>
  <c r="N796" i="5"/>
  <c r="M792" i="5"/>
  <c r="O789" i="5"/>
  <c r="N781" i="5"/>
  <c r="M778" i="5"/>
  <c r="O767" i="5"/>
  <c r="N759" i="5"/>
  <c r="P751" i="5"/>
  <c r="P743" i="5"/>
  <c r="Z725" i="2"/>
  <c r="X725" i="2"/>
  <c r="W725" i="2"/>
  <c r="V725" i="2"/>
  <c r="AB725" i="2"/>
  <c r="K719" i="5"/>
  <c r="K711" i="5"/>
  <c r="P703" i="5"/>
  <c r="P695" i="5"/>
  <c r="P687" i="5"/>
  <c r="K679" i="5"/>
  <c r="M671" i="5"/>
  <c r="C48" i="14"/>
  <c r="F48" i="14" s="1"/>
  <c r="Z653" i="2"/>
  <c r="X653" i="2"/>
  <c r="AB653" i="2"/>
  <c r="W653" i="2"/>
  <c r="V653" i="2"/>
  <c r="Z953" i="2"/>
  <c r="Z645" i="2"/>
  <c r="Y645" i="2"/>
  <c r="W645" i="2"/>
  <c r="V645" i="2"/>
  <c r="AB645" i="2"/>
  <c r="AB945" i="2"/>
  <c r="M639" i="5"/>
  <c r="N631" i="5"/>
  <c r="L623" i="5"/>
  <c r="M615" i="5"/>
  <c r="N607" i="5"/>
  <c r="O599" i="5"/>
  <c r="Z581" i="2"/>
  <c r="X581" i="2"/>
  <c r="V581" i="2"/>
  <c r="AB581" i="2"/>
  <c r="W581" i="2"/>
  <c r="AB941" i="2"/>
  <c r="Z941" i="2"/>
  <c r="AB866" i="2"/>
  <c r="AB806" i="2"/>
  <c r="Z866" i="2"/>
  <c r="AB956" i="2"/>
  <c r="O575" i="5"/>
  <c r="M567" i="5"/>
  <c r="O559" i="5"/>
  <c r="P551" i="5"/>
  <c r="M543" i="5"/>
  <c r="N535" i="5"/>
  <c r="N527" i="5"/>
  <c r="O519" i="5"/>
  <c r="Z501" i="2"/>
  <c r="Y501" i="2"/>
  <c r="V501" i="2"/>
  <c r="AB501" i="2"/>
  <c r="W501" i="2"/>
  <c r="AB786" i="2"/>
  <c r="Z786" i="2"/>
  <c r="AB666" i="2"/>
  <c r="AB921" i="2"/>
  <c r="AB846" i="2"/>
  <c r="Z636" i="2"/>
  <c r="Z966" i="2"/>
  <c r="Z921" i="2"/>
  <c r="Z756" i="2"/>
  <c r="Z876" i="2"/>
  <c r="Z666" i="2"/>
  <c r="AB906" i="2"/>
  <c r="AB756" i="2"/>
  <c r="L495" i="5"/>
  <c r="O487" i="5"/>
  <c r="P479" i="5"/>
  <c r="M471" i="5"/>
  <c r="P455" i="5"/>
  <c r="K447" i="5"/>
  <c r="L439" i="5"/>
  <c r="N431" i="5"/>
  <c r="P415" i="5"/>
  <c r="K407" i="5"/>
  <c r="M399" i="5"/>
  <c r="M947" i="5"/>
  <c r="P931" i="5"/>
  <c r="V907" i="2"/>
  <c r="Z891" i="2"/>
  <c r="L859" i="5"/>
  <c r="Z836" i="2"/>
  <c r="V933" i="2"/>
  <c r="W867" i="2"/>
  <c r="Z810" i="2"/>
  <c r="AB665" i="2"/>
  <c r="Z522" i="2"/>
  <c r="AB572" i="2"/>
  <c r="Z350" i="2"/>
  <c r="Z228" i="2"/>
  <c r="L849" i="5"/>
  <c r="L948" i="5"/>
  <c r="E83" i="17"/>
  <c r="N865" i="5"/>
  <c r="P841" i="5"/>
  <c r="N956" i="5"/>
  <c r="N951" i="5"/>
  <c r="F67" i="18"/>
  <c r="P831" i="5"/>
  <c r="Z813" i="2"/>
  <c r="Y813" i="2"/>
  <c r="V813" i="2"/>
  <c r="W813" i="2"/>
  <c r="AB813" i="2"/>
  <c r="Z805" i="2"/>
  <c r="Y805" i="2"/>
  <c r="X805" i="2"/>
  <c r="V805" i="2"/>
  <c r="AB805" i="2"/>
  <c r="D58" i="14"/>
  <c r="G58" i="14" s="1"/>
  <c r="C58" i="14"/>
  <c r="F58" i="14" s="1"/>
  <c r="M791" i="5"/>
  <c r="P930" i="5"/>
  <c r="P969" i="5"/>
  <c r="L929" i="5"/>
  <c r="Z911" i="2"/>
  <c r="X911" i="2"/>
  <c r="W911" i="2"/>
  <c r="V911" i="2"/>
  <c r="AB911" i="2"/>
  <c r="N873" i="5"/>
  <c r="N817" i="5"/>
  <c r="E82" i="17"/>
  <c r="B82" i="18"/>
  <c r="B83" i="18"/>
  <c r="E82" i="18"/>
  <c r="B80" i="18"/>
  <c r="O977" i="5"/>
  <c r="N969" i="5"/>
  <c r="N945" i="5"/>
  <c r="K913" i="5"/>
  <c r="K897" i="5"/>
  <c r="N881" i="5"/>
  <c r="M865" i="5"/>
  <c r="K849" i="5"/>
  <c r="Y831" i="2"/>
  <c r="W831" i="2"/>
  <c r="V831" i="2"/>
  <c r="AB831" i="2"/>
  <c r="Z831" i="2"/>
  <c r="M809" i="5"/>
  <c r="P785" i="5"/>
  <c r="K777" i="5"/>
  <c r="N972" i="5"/>
  <c r="M964" i="5"/>
  <c r="P956" i="5"/>
  <c r="O948" i="5"/>
  <c r="P924" i="5"/>
  <c r="M916" i="5"/>
  <c r="K908" i="5"/>
  <c r="M900" i="5"/>
  <c r="K892" i="5"/>
  <c r="K884" i="5"/>
  <c r="L876" i="5"/>
  <c r="P967" i="5"/>
  <c r="M959" i="5"/>
  <c r="L951" i="5"/>
  <c r="P935" i="5"/>
  <c r="M927" i="5"/>
  <c r="L919" i="5"/>
  <c r="O911" i="5"/>
  <c r="P903" i="5"/>
  <c r="P895" i="5"/>
  <c r="K887" i="5"/>
  <c r="M879" i="5"/>
  <c r="K871" i="5"/>
  <c r="L863" i="5"/>
  <c r="L855" i="5"/>
  <c r="E60" i="14"/>
  <c r="H60" i="14" s="1"/>
  <c r="Z837" i="2"/>
  <c r="Y837" i="2"/>
  <c r="V837" i="2"/>
  <c r="W837" i="2"/>
  <c r="AB837" i="2"/>
  <c r="K831" i="5"/>
  <c r="M823" i="5"/>
  <c r="N815" i="5"/>
  <c r="N807" i="5"/>
  <c r="K799" i="5"/>
  <c r="P791" i="5"/>
  <c r="N775" i="5"/>
  <c r="L978" i="5"/>
  <c r="M970" i="5"/>
  <c r="N954" i="5"/>
  <c r="K946" i="5"/>
  <c r="P938" i="5"/>
  <c r="M930" i="5"/>
  <c r="N914" i="5"/>
  <c r="K906" i="5"/>
  <c r="L898" i="5"/>
  <c r="M890" i="5"/>
  <c r="O882" i="5"/>
  <c r="P874" i="5"/>
  <c r="N858" i="5"/>
  <c r="K850" i="5"/>
  <c r="K842" i="5"/>
  <c r="M826" i="5"/>
  <c r="O818" i="5"/>
  <c r="O810" i="5"/>
  <c r="N965" i="5"/>
  <c r="M957" i="5"/>
  <c r="O949" i="5"/>
  <c r="P941" i="5"/>
  <c r="K925" i="5"/>
  <c r="N917" i="5"/>
  <c r="M909" i="5"/>
  <c r="K901" i="5"/>
  <c r="L893" i="5"/>
  <c r="X874" i="2"/>
  <c r="N869" i="5"/>
  <c r="P861" i="5"/>
  <c r="O853" i="5"/>
  <c r="K837" i="5"/>
  <c r="N829" i="5"/>
  <c r="L821" i="5"/>
  <c r="M805" i="5"/>
  <c r="O976" i="5"/>
  <c r="P968" i="5"/>
  <c r="K960" i="5"/>
  <c r="O944" i="5"/>
  <c r="P936" i="5"/>
  <c r="N928" i="5"/>
  <c r="J66" i="15"/>
  <c r="W906" i="2"/>
  <c r="L896" i="5"/>
  <c r="L888" i="5"/>
  <c r="N880" i="5"/>
  <c r="O872" i="5"/>
  <c r="O856" i="5"/>
  <c r="L848" i="5"/>
  <c r="O840" i="5"/>
  <c r="P824" i="5"/>
  <c r="L816" i="5"/>
  <c r="N808" i="5"/>
  <c r="J58" i="15"/>
  <c r="L966" i="5"/>
  <c r="K958" i="5"/>
  <c r="O950" i="5"/>
  <c r="O934" i="5"/>
  <c r="K926" i="5"/>
  <c r="M918" i="5"/>
  <c r="P894" i="5"/>
  <c r="L886" i="5"/>
  <c r="N878" i="5"/>
  <c r="L862" i="5"/>
  <c r="M854" i="5"/>
  <c r="P846" i="5"/>
  <c r="K830" i="5"/>
  <c r="L822" i="5"/>
  <c r="K814" i="5"/>
  <c r="L798" i="5"/>
  <c r="L790" i="5"/>
  <c r="Z973" i="2"/>
  <c r="V964" i="2"/>
  <c r="V937" i="2"/>
  <c r="AB890" i="2"/>
  <c r="X881" i="2"/>
  <c r="X859" i="2"/>
  <c r="L852" i="5"/>
  <c r="K844" i="5"/>
  <c r="N819" i="5"/>
  <c r="V896" i="2"/>
  <c r="AB896" i="2"/>
  <c r="Z896" i="2"/>
  <c r="W896" i="2"/>
  <c r="X896" i="2"/>
  <c r="E64" i="14"/>
  <c r="H64" i="14" s="1"/>
  <c r="M891" i="5"/>
  <c r="AB875" i="2"/>
  <c r="N875" i="5"/>
  <c r="X830" i="2"/>
  <c r="P796" i="5"/>
  <c r="N792" i="5"/>
  <c r="AB554" i="2"/>
  <c r="AB953" i="2"/>
  <c r="K947" i="5"/>
  <c r="V904" i="2"/>
  <c r="AB904" i="2"/>
  <c r="Z904" i="2"/>
  <c r="Y904" i="2"/>
  <c r="X904" i="2"/>
  <c r="D65" i="14"/>
  <c r="G65" i="14" s="1"/>
  <c r="N859" i="5"/>
  <c r="X835" i="2"/>
  <c r="V969" i="2"/>
  <c r="X925" i="2"/>
  <c r="AB849" i="2"/>
  <c r="X724" i="2"/>
  <c r="Z325" i="2"/>
  <c r="Z138" i="2"/>
  <c r="L865" i="5"/>
  <c r="O916" i="5"/>
  <c r="E81" i="18"/>
  <c r="L977" i="5"/>
  <c r="Z959" i="2"/>
  <c r="X959" i="2"/>
  <c r="W959" i="2"/>
  <c r="V959" i="2"/>
  <c r="AB959" i="2"/>
  <c r="P929" i="5"/>
  <c r="O873" i="5"/>
  <c r="P793" i="5"/>
  <c r="M948" i="5"/>
  <c r="N900" i="5"/>
  <c r="K879" i="5"/>
  <c r="M961" i="5"/>
  <c r="O953" i="5"/>
  <c r="L937" i="5"/>
  <c r="Z919" i="2"/>
  <c r="Y919" i="2"/>
  <c r="X919" i="2"/>
  <c r="V919" i="2"/>
  <c r="AB919" i="2"/>
  <c r="D66" i="14"/>
  <c r="G66" i="14" s="1"/>
  <c r="M905" i="5"/>
  <c r="N889" i="5"/>
  <c r="K873" i="5"/>
  <c r="M857" i="5"/>
  <c r="N825" i="5"/>
  <c r="L817" i="5"/>
  <c r="O801" i="5"/>
  <c r="C81" i="18"/>
  <c r="D83" i="17"/>
  <c r="D80" i="17"/>
  <c r="C83" i="17"/>
  <c r="C80" i="17"/>
  <c r="E81" i="17"/>
  <c r="B80" i="17"/>
  <c r="C82" i="17"/>
  <c r="B82" i="17"/>
  <c r="D82" i="17"/>
  <c r="D75" i="16"/>
  <c r="C75" i="16"/>
  <c r="B75" i="16"/>
  <c r="C74" i="16"/>
  <c r="D18" i="19"/>
  <c r="E71" i="20" s="1"/>
  <c r="F71" i="20" s="1"/>
  <c r="G71" i="20" s="1"/>
  <c r="P977" i="5"/>
  <c r="M969" i="5"/>
  <c r="O961" i="5"/>
  <c r="P953" i="5"/>
  <c r="L945" i="5"/>
  <c r="E66" i="14"/>
  <c r="H66" i="14" s="1"/>
  <c r="Z927" i="2"/>
  <c r="Y927" i="2"/>
  <c r="W927" i="2"/>
  <c r="V927" i="2"/>
  <c r="AB927" i="2"/>
  <c r="N921" i="5"/>
  <c r="M913" i="5"/>
  <c r="K905" i="5"/>
  <c r="L897" i="5"/>
  <c r="M889" i="5"/>
  <c r="M881" i="5"/>
  <c r="L873" i="5"/>
  <c r="K865" i="5"/>
  <c r="K857" i="5"/>
  <c r="X839" i="2"/>
  <c r="W839" i="2"/>
  <c r="V839" i="2"/>
  <c r="AB839" i="2"/>
  <c r="Z839" i="2"/>
  <c r="D60" i="14"/>
  <c r="G60" i="14" s="1"/>
  <c r="N833" i="5"/>
  <c r="L825" i="5"/>
  <c r="O817" i="5"/>
  <c r="O809" i="5"/>
  <c r="P801" i="5"/>
  <c r="K785" i="5"/>
  <c r="L777" i="5"/>
  <c r="P972" i="5"/>
  <c r="N964" i="5"/>
  <c r="O956" i="5"/>
  <c r="N940" i="5"/>
  <c r="M932" i="5"/>
  <c r="N924" i="5"/>
  <c r="N916" i="5"/>
  <c r="L908" i="5"/>
  <c r="K900" i="5"/>
  <c r="L892" i="5"/>
  <c r="L884" i="5"/>
  <c r="L975" i="5"/>
  <c r="N967" i="5"/>
  <c r="N959" i="5"/>
  <c r="M943" i="5"/>
  <c r="L935" i="5"/>
  <c r="P927" i="5"/>
  <c r="P919" i="5"/>
  <c r="L911" i="5"/>
  <c r="K903" i="5"/>
  <c r="L895" i="5"/>
  <c r="L887" i="5"/>
  <c r="N879" i="5"/>
  <c r="N871" i="5"/>
  <c r="P863" i="5"/>
  <c r="Z845" i="2"/>
  <c r="X845" i="2"/>
  <c r="V845" i="2"/>
  <c r="W845" i="2"/>
  <c r="AB845" i="2"/>
  <c r="B61" i="15"/>
  <c r="K839" i="5"/>
  <c r="M831" i="5"/>
  <c r="N823" i="5"/>
  <c r="O815" i="5"/>
  <c r="O807" i="5"/>
  <c r="L799" i="5"/>
  <c r="O783" i="5"/>
  <c r="P775" i="5"/>
  <c r="N978" i="5"/>
  <c r="O954" i="5"/>
  <c r="L946" i="5"/>
  <c r="M938" i="5"/>
  <c r="Y922" i="2"/>
  <c r="O914" i="5"/>
  <c r="L906" i="5"/>
  <c r="O898" i="5"/>
  <c r="P890" i="5"/>
  <c r="P882" i="5"/>
  <c r="O866" i="5"/>
  <c r="O858" i="5"/>
  <c r="P850" i="5"/>
  <c r="L842" i="5"/>
  <c r="N826" i="5"/>
  <c r="K818" i="5"/>
  <c r="K810" i="5"/>
  <c r="O965" i="5"/>
  <c r="N957" i="5"/>
  <c r="L949" i="5"/>
  <c r="O933" i="5"/>
  <c r="L925" i="5"/>
  <c r="L917" i="5"/>
  <c r="N909" i="5"/>
  <c r="L901" i="5"/>
  <c r="M893" i="5"/>
  <c r="N877" i="5"/>
  <c r="P869" i="5"/>
  <c r="L861" i="5"/>
  <c r="K845" i="5"/>
  <c r="M837" i="5"/>
  <c r="P829" i="5"/>
  <c r="O821" i="5"/>
  <c r="L805" i="5"/>
  <c r="L976" i="5"/>
  <c r="O968" i="5"/>
  <c r="M952" i="5"/>
  <c r="L944" i="5"/>
  <c r="M936" i="5"/>
  <c r="K928" i="5"/>
  <c r="W914" i="2"/>
  <c r="K904" i="5"/>
  <c r="M896" i="5"/>
  <c r="N888" i="5"/>
  <c r="O880" i="5"/>
  <c r="P872" i="5"/>
  <c r="M856" i="5"/>
  <c r="M848" i="5"/>
  <c r="N840" i="5"/>
  <c r="K824" i="5"/>
  <c r="M816" i="5"/>
  <c r="M808" i="5"/>
  <c r="K974" i="5"/>
  <c r="N966" i="5"/>
  <c r="O958" i="5"/>
  <c r="F68" i="18"/>
  <c r="N934" i="5"/>
  <c r="O926" i="5"/>
  <c r="P918" i="5"/>
  <c r="P902" i="5"/>
  <c r="K894" i="5"/>
  <c r="M886" i="5"/>
  <c r="K870" i="5"/>
  <c r="O862" i="5"/>
  <c r="N854" i="5"/>
  <c r="O838" i="5"/>
  <c r="L830" i="5"/>
  <c r="M822" i="5"/>
  <c r="O814" i="5"/>
  <c r="K798" i="5"/>
  <c r="M790" i="5"/>
  <c r="X964" i="2"/>
  <c r="X937" i="2"/>
  <c r="V913" i="2"/>
  <c r="Z889" i="2"/>
  <c r="Y862" i="2"/>
  <c r="Z859" i="2"/>
  <c r="P852" i="5"/>
  <c r="M844" i="5"/>
  <c r="P819" i="5"/>
  <c r="W941" i="2"/>
  <c r="X923" i="2"/>
  <c r="K923" i="5"/>
  <c r="L915" i="5"/>
  <c r="L899" i="5"/>
  <c r="N891" i="5"/>
  <c r="V875" i="2"/>
  <c r="K875" i="5"/>
  <c r="V828" i="2"/>
  <c r="O827" i="5"/>
  <c r="K796" i="5"/>
  <c r="O792" i="5"/>
  <c r="V953" i="2"/>
  <c r="M907" i="5"/>
  <c r="AB891" i="2"/>
  <c r="P859" i="5"/>
  <c r="Z835" i="2"/>
  <c r="Y969" i="2"/>
  <c r="Z925" i="2"/>
  <c r="W804" i="2"/>
  <c r="Z902" i="2"/>
  <c r="AB716" i="2"/>
  <c r="AB546" i="2"/>
  <c r="AB657" i="2"/>
  <c r="Z190" i="2"/>
  <c r="Z668" i="2"/>
  <c r="O841" i="5"/>
  <c r="K817" i="5"/>
  <c r="O777" i="5"/>
  <c r="B69" i="15"/>
  <c r="AB962" i="2"/>
  <c r="Z962" i="2"/>
  <c r="X962" i="2"/>
  <c r="W962" i="2"/>
  <c r="V962" i="2"/>
  <c r="P921" i="5"/>
  <c r="L801" i="5"/>
  <c r="O785" i="5"/>
  <c r="AB970" i="2"/>
  <c r="Z970" i="2"/>
  <c r="Y970" i="2"/>
  <c r="X970" i="2"/>
  <c r="V970" i="2"/>
  <c r="M975" i="5"/>
  <c r="N863" i="5"/>
  <c r="L783" i="5"/>
  <c r="O922" i="5"/>
  <c r="M882" i="5"/>
  <c r="P937" i="5"/>
  <c r="L905" i="5"/>
  <c r="L889" i="5"/>
  <c r="K841" i="5"/>
  <c r="Y823" i="2"/>
  <c r="X823" i="2"/>
  <c r="V823" i="2"/>
  <c r="AB823" i="2"/>
  <c r="Z823" i="2"/>
  <c r="K977" i="5"/>
  <c r="N961" i="5"/>
  <c r="M929" i="5"/>
  <c r="O921" i="5"/>
  <c r="N913" i="5"/>
  <c r="M897" i="5"/>
  <c r="O881" i="5"/>
  <c r="N841" i="5"/>
  <c r="O825" i="5"/>
  <c r="P817" i="5"/>
  <c r="L785" i="5"/>
  <c r="K972" i="5"/>
  <c r="P940" i="5"/>
  <c r="K932" i="5"/>
  <c r="K924" i="5"/>
  <c r="M908" i="5"/>
  <c r="L900" i="5"/>
  <c r="N975" i="5"/>
  <c r="K967" i="5"/>
  <c r="P959" i="5"/>
  <c r="O943" i="5"/>
  <c r="M935" i="5"/>
  <c r="O927" i="5"/>
  <c r="M919" i="5"/>
  <c r="M911" i="5"/>
  <c r="M903" i="5"/>
  <c r="M895" i="5"/>
  <c r="M887" i="5"/>
  <c r="O879" i="5"/>
  <c r="O871" i="5"/>
  <c r="Z853" i="2"/>
  <c r="Y853" i="2"/>
  <c r="X853" i="2"/>
  <c r="V853" i="2"/>
  <c r="AB853" i="2"/>
  <c r="E61" i="14"/>
  <c r="H61" i="14" s="1"/>
  <c r="K847" i="5"/>
  <c r="M839" i="5"/>
  <c r="N831" i="5"/>
  <c r="O823" i="5"/>
  <c r="L815" i="5"/>
  <c r="L807" i="5"/>
  <c r="P799" i="5"/>
  <c r="N783" i="5"/>
  <c r="K775" i="5"/>
  <c r="M978" i="5"/>
  <c r="K962" i="5"/>
  <c r="K954" i="5"/>
  <c r="N946" i="5"/>
  <c r="Y930" i="2"/>
  <c r="L922" i="5"/>
  <c r="L914" i="5"/>
  <c r="N906" i="5"/>
  <c r="N898" i="5"/>
  <c r="J64" i="15"/>
  <c r="Y874" i="2"/>
  <c r="M866" i="5"/>
  <c r="P858" i="5"/>
  <c r="L850" i="5"/>
  <c r="M834" i="5"/>
  <c r="O826" i="5"/>
  <c r="P818" i="5"/>
  <c r="N973" i="5"/>
  <c r="K965" i="5"/>
  <c r="O957" i="5"/>
  <c r="P949" i="5"/>
  <c r="L933" i="5"/>
  <c r="M925" i="5"/>
  <c r="M917" i="5"/>
  <c r="O909" i="5"/>
  <c r="M901" i="5"/>
  <c r="P885" i="5"/>
  <c r="P877" i="5"/>
  <c r="K869" i="5"/>
  <c r="O861" i="5"/>
  <c r="M845" i="5"/>
  <c r="N837" i="5"/>
  <c r="L829" i="5"/>
  <c r="K813" i="5"/>
  <c r="O805" i="5"/>
  <c r="M976" i="5"/>
  <c r="K968" i="5"/>
  <c r="N952" i="5"/>
  <c r="M944" i="5"/>
  <c r="K936" i="5"/>
  <c r="O920" i="5"/>
  <c r="P912" i="5"/>
  <c r="M904" i="5"/>
  <c r="N896" i="5"/>
  <c r="O888" i="5"/>
  <c r="P880" i="5"/>
  <c r="K864" i="5"/>
  <c r="P856" i="5"/>
  <c r="O848" i="5"/>
  <c r="P832" i="5"/>
  <c r="L824" i="5"/>
  <c r="O816" i="5"/>
  <c r="P800" i="5"/>
  <c r="L974" i="5"/>
  <c r="O966" i="5"/>
  <c r="N958" i="5"/>
  <c r="M942" i="5"/>
  <c r="K934" i="5"/>
  <c r="P926" i="5"/>
  <c r="K910" i="5"/>
  <c r="K902" i="5"/>
  <c r="L894" i="5"/>
  <c r="N886" i="5"/>
  <c r="L870" i="5"/>
  <c r="K862" i="5"/>
  <c r="P854" i="5"/>
  <c r="K838" i="5"/>
  <c r="M830" i="5"/>
  <c r="N822" i="5"/>
  <c r="P806" i="5"/>
  <c r="M798" i="5"/>
  <c r="N790" i="5"/>
  <c r="AB973" i="2"/>
  <c r="Z964" i="2"/>
  <c r="AB930" i="2"/>
  <c r="X913" i="2"/>
  <c r="V889" i="2"/>
  <c r="V936" i="2"/>
  <c r="AB936" i="2"/>
  <c r="Z936" i="2"/>
  <c r="Y936" i="2"/>
  <c r="W936" i="2"/>
  <c r="Z923" i="2"/>
  <c r="O899" i="5"/>
  <c r="O891" i="5"/>
  <c r="W875" i="2"/>
  <c r="F63" i="18"/>
  <c r="W828" i="2"/>
  <c r="M827" i="5"/>
  <c r="N789" i="5"/>
  <c r="K781" i="5"/>
  <c r="P778" i="5"/>
  <c r="K767" i="5"/>
  <c r="Z749" i="2"/>
  <c r="X749" i="2"/>
  <c r="W749" i="2"/>
  <c r="V749" i="2"/>
  <c r="AB749" i="2"/>
  <c r="C54" i="14"/>
  <c r="F54" i="14" s="1"/>
  <c r="D54" i="14"/>
  <c r="G54" i="14" s="1"/>
  <c r="K743" i="5"/>
  <c r="L735" i="5"/>
  <c r="M727" i="5"/>
  <c r="N719" i="5"/>
  <c r="O711" i="5"/>
  <c r="F45" i="17"/>
  <c r="E45" i="16"/>
  <c r="W953" i="2"/>
  <c r="AB883" i="2"/>
  <c r="K883" i="5"/>
  <c r="P820" i="5"/>
  <c r="N770" i="5"/>
  <c r="N762" i="5"/>
  <c r="N746" i="5"/>
  <c r="P738" i="5"/>
  <c r="K730" i="5"/>
  <c r="L714" i="5"/>
  <c r="N706" i="5"/>
  <c r="N698" i="5"/>
  <c r="O682" i="5"/>
  <c r="L674" i="5"/>
  <c r="N666" i="5"/>
  <c r="O650" i="5"/>
  <c r="P642" i="5"/>
  <c r="L634" i="5"/>
  <c r="N626" i="5"/>
  <c r="L610" i="5"/>
  <c r="M602" i="5"/>
  <c r="O594" i="5"/>
  <c r="K578" i="5"/>
  <c r="L570" i="5"/>
  <c r="N562" i="5"/>
  <c r="K546" i="5"/>
  <c r="M538" i="5"/>
  <c r="O530" i="5"/>
  <c r="P522" i="5"/>
  <c r="O506" i="5"/>
  <c r="M498" i="5"/>
  <c r="P490" i="5"/>
  <c r="K474" i="5"/>
  <c r="N466" i="5"/>
  <c r="O458" i="5"/>
  <c r="K442" i="5"/>
  <c r="M434" i="5"/>
  <c r="O426" i="5"/>
  <c r="K410" i="5"/>
  <c r="L402" i="5"/>
  <c r="N394" i="5"/>
  <c r="P386" i="5"/>
  <c r="L370" i="5"/>
  <c r="D68" i="14"/>
  <c r="G68" i="14" s="1"/>
  <c r="W900" i="2"/>
  <c r="X803" i="2"/>
  <c r="Z963" i="2"/>
  <c r="Z955" i="2"/>
  <c r="C52" i="14"/>
  <c r="F52" i="14" s="1"/>
  <c r="Z580" i="2"/>
  <c r="Z482" i="2"/>
  <c r="AB202" i="2"/>
  <c r="AB625" i="2"/>
  <c r="V196" i="2"/>
  <c r="Z90" i="2"/>
  <c r="Z951" i="2"/>
  <c r="Y951" i="2"/>
  <c r="W951" i="2"/>
  <c r="V951" i="2"/>
  <c r="AB951" i="2"/>
  <c r="E68" i="14"/>
  <c r="H68" i="14" s="1"/>
  <c r="O793" i="5"/>
  <c r="M956" i="5"/>
  <c r="O945" i="5"/>
  <c r="O849" i="5"/>
  <c r="M940" i="5"/>
  <c r="M884" i="5"/>
  <c r="N855" i="5"/>
  <c r="P978" i="5"/>
  <c r="P962" i="5"/>
  <c r="L890" i="5"/>
  <c r="E80" i="17"/>
  <c r="E80" i="18"/>
  <c r="B81" i="18"/>
  <c r="Z975" i="2"/>
  <c r="Y975" i="2"/>
  <c r="W975" i="2"/>
  <c r="V975" i="2"/>
  <c r="AB975" i="2"/>
  <c r="N953" i="5"/>
  <c r="N897" i="5"/>
  <c r="P865" i="5"/>
  <c r="M849" i="5"/>
  <c r="K969" i="5"/>
  <c r="L953" i="5"/>
  <c r="Z935" i="2"/>
  <c r="X935" i="2"/>
  <c r="W935" i="2"/>
  <c r="V935" i="2"/>
  <c r="AB935" i="2"/>
  <c r="B67" i="15"/>
  <c r="N905" i="5"/>
  <c r="O889" i="5"/>
  <c r="P873" i="5"/>
  <c r="Y847" i="2"/>
  <c r="X847" i="2"/>
  <c r="V847" i="2"/>
  <c r="AB847" i="2"/>
  <c r="Z847" i="2"/>
  <c r="L833" i="5"/>
  <c r="P809" i="5"/>
  <c r="N793" i="5"/>
  <c r="M777" i="5"/>
  <c r="O964" i="5"/>
  <c r="D67" i="14"/>
  <c r="G67" i="14" s="1"/>
  <c r="AB946" i="2"/>
  <c r="Z946" i="2"/>
  <c r="Y946" i="2"/>
  <c r="X946" i="2"/>
  <c r="V946" i="2"/>
  <c r="L916" i="5"/>
  <c r="C82" i="18"/>
  <c r="D81" i="18"/>
  <c r="C80" i="18"/>
  <c r="M977" i="5"/>
  <c r="O969" i="5"/>
  <c r="L961" i="5"/>
  <c r="Z943" i="2"/>
  <c r="Y943" i="2"/>
  <c r="X943" i="2"/>
  <c r="V943" i="2"/>
  <c r="AB943" i="2"/>
  <c r="E67" i="14"/>
  <c r="H67" i="14" s="1"/>
  <c r="O937" i="5"/>
  <c r="N929" i="5"/>
  <c r="K921" i="5"/>
  <c r="O913" i="5"/>
  <c r="O905" i="5"/>
  <c r="O897" i="5"/>
  <c r="P889" i="5"/>
  <c r="P881" i="5"/>
  <c r="C62" i="14"/>
  <c r="F62" i="14" s="1"/>
  <c r="X863" i="2"/>
  <c r="W863" i="2"/>
  <c r="V863" i="2"/>
  <c r="AB863" i="2"/>
  <c r="Z863" i="2"/>
  <c r="Y855" i="2"/>
  <c r="W855" i="2"/>
  <c r="V855" i="2"/>
  <c r="AB855" i="2"/>
  <c r="Z855" i="2"/>
  <c r="N849" i="5"/>
  <c r="L841" i="5"/>
  <c r="O833" i="5"/>
  <c r="P825" i="5"/>
  <c r="M817" i="5"/>
  <c r="N809" i="5"/>
  <c r="M793" i="5"/>
  <c r="M785" i="5"/>
  <c r="N777" i="5"/>
  <c r="O972" i="5"/>
  <c r="AB954" i="2"/>
  <c r="Z954" i="2"/>
  <c r="Y954" i="2"/>
  <c r="W954" i="2"/>
  <c r="V954" i="2"/>
  <c r="C68" i="14"/>
  <c r="F68" i="14" s="1"/>
  <c r="K948" i="5"/>
  <c r="K940" i="5"/>
  <c r="N932" i="5"/>
  <c r="L924" i="5"/>
  <c r="P916" i="5"/>
  <c r="O908" i="5"/>
  <c r="E63" i="14"/>
  <c r="H63" i="14" s="1"/>
  <c r="N876" i="5"/>
  <c r="K975" i="5"/>
  <c r="O967" i="5"/>
  <c r="K951" i="5"/>
  <c r="L943" i="5"/>
  <c r="N935" i="5"/>
  <c r="K927" i="5"/>
  <c r="N919" i="5"/>
  <c r="P911" i="5"/>
  <c r="N903" i="5"/>
  <c r="N895" i="5"/>
  <c r="N887" i="5"/>
  <c r="Z874" i="2"/>
  <c r="Z861" i="2"/>
  <c r="Y861" i="2"/>
  <c r="V861" i="2"/>
  <c r="AB861" i="2"/>
  <c r="W861" i="2"/>
  <c r="E62" i="14"/>
  <c r="H62" i="14" s="1"/>
  <c r="K855" i="5"/>
  <c r="M847" i="5"/>
  <c r="N839" i="5"/>
  <c r="O831" i="5"/>
  <c r="P823" i="5"/>
  <c r="P815" i="5"/>
  <c r="P807" i="5"/>
  <c r="K791" i="5"/>
  <c r="P783" i="5"/>
  <c r="L775" i="5"/>
  <c r="K970" i="5"/>
  <c r="N962" i="5"/>
  <c r="P954" i="5"/>
  <c r="M946" i="5"/>
  <c r="L930" i="5"/>
  <c r="K922" i="5"/>
  <c r="P914" i="5"/>
  <c r="M906" i="5"/>
  <c r="P898" i="5"/>
  <c r="Y882" i="2"/>
  <c r="O874" i="5"/>
  <c r="N866" i="5"/>
  <c r="K858" i="5"/>
  <c r="N834" i="5"/>
  <c r="P826" i="5"/>
  <c r="L818" i="5"/>
  <c r="M973" i="5"/>
  <c r="L965" i="5"/>
  <c r="L957" i="5"/>
  <c r="L941" i="5"/>
  <c r="M933" i="5"/>
  <c r="N925" i="5"/>
  <c r="O917" i="5"/>
  <c r="P909" i="5"/>
  <c r="X890" i="2"/>
  <c r="N885" i="5"/>
  <c r="O877" i="5"/>
  <c r="L869" i="5"/>
  <c r="M853" i="5"/>
  <c r="N845" i="5"/>
  <c r="P837" i="5"/>
  <c r="O829" i="5"/>
  <c r="L813" i="5"/>
  <c r="P805" i="5"/>
  <c r="N976" i="5"/>
  <c r="N960" i="5"/>
  <c r="L952" i="5"/>
  <c r="N944" i="5"/>
  <c r="W930" i="2"/>
  <c r="L920" i="5"/>
  <c r="O912" i="5"/>
  <c r="L904" i="5"/>
  <c r="O896" i="5"/>
  <c r="P888" i="5"/>
  <c r="L864" i="5"/>
  <c r="K856" i="5"/>
  <c r="N848" i="5"/>
  <c r="K832" i="5"/>
  <c r="M824" i="5"/>
  <c r="N816" i="5"/>
  <c r="O800" i="5"/>
  <c r="M974" i="5"/>
  <c r="P966" i="5"/>
  <c r="P950" i="5"/>
  <c r="N942" i="5"/>
  <c r="L934" i="5"/>
  <c r="Z945" i="2"/>
  <c r="Z929" i="2"/>
  <c r="Y913" i="2"/>
  <c r="X889" i="2"/>
  <c r="V862" i="2"/>
  <c r="AB859" i="2"/>
  <c r="M852" i="5"/>
  <c r="B60" i="15"/>
  <c r="W827" i="2"/>
  <c r="AB827" i="2"/>
  <c r="Z827" i="2"/>
  <c r="X827" i="2"/>
  <c r="V827" i="2"/>
  <c r="M819" i="5"/>
  <c r="AB923" i="2"/>
  <c r="L923" i="5"/>
  <c r="O915" i="5"/>
  <c r="P899" i="5"/>
  <c r="L891" i="5"/>
  <c r="V842" i="2"/>
  <c r="Z828" i="2"/>
  <c r="AB820" i="2"/>
  <c r="X788" i="2"/>
  <c r="Z811" i="2"/>
  <c r="C67" i="14"/>
  <c r="F67" i="14" s="1"/>
  <c r="V883" i="2"/>
  <c r="W866" i="2"/>
  <c r="K820" i="5"/>
  <c r="P770" i="5"/>
  <c r="L754" i="5"/>
  <c r="O746" i="5"/>
  <c r="K738" i="5"/>
  <c r="M714" i="5"/>
  <c r="O706" i="5"/>
  <c r="P698" i="5"/>
  <c r="K682" i="5"/>
  <c r="M674" i="5"/>
  <c r="P666" i="5"/>
  <c r="K650" i="5"/>
  <c r="K642" i="5"/>
  <c r="M634" i="5"/>
  <c r="K618" i="5"/>
  <c r="M610" i="5"/>
  <c r="Z950" i="2"/>
  <c r="Z900" i="2"/>
  <c r="L773" i="5"/>
  <c r="N765" i="5"/>
  <c r="O749" i="5"/>
  <c r="L741" i="5"/>
  <c r="N733" i="5"/>
  <c r="J53" i="15"/>
  <c r="O709" i="5"/>
  <c r="P701" i="5"/>
  <c r="K693" i="5"/>
  <c r="L677" i="5"/>
  <c r="N669" i="5"/>
  <c r="AB746" i="2"/>
  <c r="AB232" i="2"/>
  <c r="Z748" i="2"/>
  <c r="AB626" i="2"/>
  <c r="AB564" i="2"/>
  <c r="V330" i="2"/>
  <c r="Y390" i="2"/>
  <c r="X487" i="2"/>
  <c r="Z359" i="2"/>
  <c r="O795" i="5"/>
  <c r="P773" i="5"/>
  <c r="K757" i="5"/>
  <c r="L749" i="5"/>
  <c r="N741" i="5"/>
  <c r="P725" i="5"/>
  <c r="O717" i="5"/>
  <c r="L709" i="5"/>
  <c r="L701" i="5"/>
  <c r="M685" i="5"/>
  <c r="N677" i="5"/>
  <c r="P669" i="5"/>
  <c r="L653" i="5"/>
  <c r="N645" i="5"/>
  <c r="O637" i="5"/>
  <c r="N621" i="5"/>
  <c r="P613" i="5"/>
  <c r="L605" i="5"/>
  <c r="M597" i="5"/>
  <c r="O581" i="5"/>
  <c r="P573" i="5"/>
  <c r="L565" i="5"/>
  <c r="K549" i="5"/>
  <c r="P541" i="5"/>
  <c r="L533" i="5"/>
  <c r="N517" i="5"/>
  <c r="P509" i="5"/>
  <c r="K501" i="5"/>
  <c r="M485" i="5"/>
  <c r="N477" i="5"/>
  <c r="P469" i="5"/>
  <c r="M461" i="5"/>
  <c r="O445" i="5"/>
  <c r="O437" i="5"/>
  <c r="K429" i="5"/>
  <c r="M413" i="5"/>
  <c r="O405" i="5"/>
  <c r="M963" i="5"/>
  <c r="K955" i="5"/>
  <c r="Y934" i="2"/>
  <c r="Y918" i="2"/>
  <c r="Y916" i="2"/>
  <c r="Z885" i="2"/>
  <c r="V877" i="2"/>
  <c r="W876" i="2"/>
  <c r="V864" i="2"/>
  <c r="AB864" i="2"/>
  <c r="Z864" i="2"/>
  <c r="Y864" i="2"/>
  <c r="W864" i="2"/>
  <c r="V858" i="2"/>
  <c r="O835" i="5"/>
  <c r="B59" i="15"/>
  <c r="Z812" i="2"/>
  <c r="X812" i="2"/>
  <c r="W812" i="2"/>
  <c r="V812" i="2"/>
  <c r="AB812" i="2"/>
  <c r="Y801" i="2"/>
  <c r="W801" i="2"/>
  <c r="AB801" i="2"/>
  <c r="Z801" i="2"/>
  <c r="V801" i="2"/>
  <c r="V784" i="2"/>
  <c r="AB784" i="2"/>
  <c r="Y784" i="2"/>
  <c r="X784" i="2"/>
  <c r="Z784" i="2"/>
  <c r="V776" i="2"/>
  <c r="AB776" i="2"/>
  <c r="W776" i="2"/>
  <c r="X776" i="2"/>
  <c r="Z776" i="2"/>
  <c r="L768" i="5"/>
  <c r="V742" i="2"/>
  <c r="AB742" i="2"/>
  <c r="X742" i="2"/>
  <c r="Z742" i="2"/>
  <c r="Y742" i="2"/>
  <c r="L736" i="5"/>
  <c r="M728" i="5"/>
  <c r="K720" i="5"/>
  <c r="N712" i="5"/>
  <c r="N704" i="5"/>
  <c r="N696" i="5"/>
  <c r="V678" i="2"/>
  <c r="AB678" i="2"/>
  <c r="Z678" i="2"/>
  <c r="Y678" i="2"/>
  <c r="W678" i="2"/>
  <c r="V670" i="2"/>
  <c r="AB670" i="2"/>
  <c r="X670" i="2"/>
  <c r="Z670" i="2"/>
  <c r="Y670" i="2"/>
  <c r="M664" i="5"/>
  <c r="M656" i="5"/>
  <c r="P648" i="5"/>
  <c r="P640" i="5"/>
  <c r="P632" i="5"/>
  <c r="O624" i="5"/>
  <c r="P616" i="5"/>
  <c r="V598" i="2"/>
  <c r="AB598" i="2"/>
  <c r="X598" i="2"/>
  <c r="Z598" i="2"/>
  <c r="Y598" i="2"/>
  <c r="K592" i="5"/>
  <c r="L584" i="5"/>
  <c r="L576" i="5"/>
  <c r="L568" i="5"/>
  <c r="M560" i="5"/>
  <c r="M552" i="5"/>
  <c r="P544" i="5"/>
  <c r="D39" i="14"/>
  <c r="G39" i="14" s="1"/>
  <c r="V526" i="2"/>
  <c r="AB526" i="2"/>
  <c r="X526" i="2"/>
  <c r="Z526" i="2"/>
  <c r="Y526" i="2"/>
  <c r="K520" i="5"/>
  <c r="K512" i="5"/>
  <c r="M504" i="5"/>
  <c r="L496" i="5"/>
  <c r="O488" i="5"/>
  <c r="L979" i="5"/>
  <c r="W950" i="2"/>
  <c r="Z852" i="2"/>
  <c r="M851" i="5"/>
  <c r="V825" i="2"/>
  <c r="O812" i="5"/>
  <c r="O804" i="5"/>
  <c r="N797" i="5"/>
  <c r="Z780" i="2"/>
  <c r="M774" i="5"/>
  <c r="P769" i="5"/>
  <c r="M761" i="5"/>
  <c r="M745" i="5"/>
  <c r="N737" i="5"/>
  <c r="O729" i="5"/>
  <c r="N713" i="5"/>
  <c r="L705" i="5"/>
  <c r="M697" i="5"/>
  <c r="N681" i="5"/>
  <c r="K673" i="5"/>
  <c r="M665" i="5"/>
  <c r="O657" i="5"/>
  <c r="O641" i="5"/>
  <c r="K633" i="5"/>
  <c r="L625" i="5"/>
  <c r="K609" i="5"/>
  <c r="M601" i="5"/>
  <c r="O593" i="5"/>
  <c r="K577" i="5"/>
  <c r="L569" i="5"/>
  <c r="N561" i="5"/>
  <c r="K545" i="5"/>
  <c r="L537" i="5"/>
  <c r="N529" i="5"/>
  <c r="P521" i="5"/>
  <c r="K505" i="5"/>
  <c r="K971" i="5"/>
  <c r="Z818" i="2"/>
  <c r="P739" i="5"/>
  <c r="AB723" i="2"/>
  <c r="Z723" i="2"/>
  <c r="W723" i="2"/>
  <c r="Y723" i="2"/>
  <c r="V723" i="2"/>
  <c r="AB721" i="2"/>
  <c r="N716" i="5"/>
  <c r="Z957" i="2"/>
  <c r="V942" i="2"/>
  <c r="W926" i="2"/>
  <c r="P763" i="5"/>
  <c r="Y754" i="2"/>
  <c r="O750" i="5"/>
  <c r="K740" i="5"/>
  <c r="P710" i="5"/>
  <c r="Y703" i="2"/>
  <c r="K676" i="5"/>
  <c r="Y666" i="2"/>
  <c r="AB656" i="2"/>
  <c r="Z656" i="2"/>
  <c r="V656" i="2"/>
  <c r="X656" i="2"/>
  <c r="W656" i="2"/>
  <c r="V628" i="2"/>
  <c r="N622" i="5"/>
  <c r="Z602" i="2"/>
  <c r="M571" i="5"/>
  <c r="AB555" i="2"/>
  <c r="Z555" i="2"/>
  <c r="W555" i="2"/>
  <c r="V555" i="2"/>
  <c r="Y555" i="2"/>
  <c r="V551" i="2"/>
  <c r="V894" i="2"/>
  <c r="O843" i="5"/>
  <c r="Z782" i="2"/>
  <c r="C56" i="14"/>
  <c r="F56" i="14" s="1"/>
  <c r="X773" i="2"/>
  <c r="W773" i="2"/>
  <c r="V773" i="2"/>
  <c r="Z773" i="2"/>
  <c r="AB773" i="2"/>
  <c r="V767" i="2"/>
  <c r="O764" i="5"/>
  <c r="W740" i="2"/>
  <c r="O734" i="5"/>
  <c r="M723" i="5"/>
  <c r="O700" i="5"/>
  <c r="L684" i="5"/>
  <c r="L683" i="5"/>
  <c r="O646" i="5"/>
  <c r="W639" i="2"/>
  <c r="P868" i="5"/>
  <c r="W851" i="2"/>
  <c r="Y792" i="2"/>
  <c r="Z764" i="2"/>
  <c r="N758" i="5"/>
  <c r="Z721" i="2"/>
  <c r="W714" i="2"/>
  <c r="L708" i="5"/>
  <c r="Z676" i="2"/>
  <c r="O670" i="5"/>
  <c r="W650" i="2"/>
  <c r="M619" i="5"/>
  <c r="Z610" i="2"/>
  <c r="K596" i="5"/>
  <c r="Y949" i="2"/>
  <c r="Y948" i="2"/>
  <c r="O811" i="5"/>
  <c r="P771" i="5"/>
  <c r="O748" i="5"/>
  <c r="K732" i="5"/>
  <c r="K731" i="5"/>
  <c r="D50" i="14"/>
  <c r="G50" i="14" s="1"/>
  <c r="AB691" i="2"/>
  <c r="Z691" i="2"/>
  <c r="Y691" i="2"/>
  <c r="X691" i="2"/>
  <c r="V691" i="2"/>
  <c r="Z674" i="2"/>
  <c r="M802" i="5"/>
  <c r="L786" i="5"/>
  <c r="K784" i="5"/>
  <c r="P782" i="5"/>
  <c r="O772" i="5"/>
  <c r="L756" i="5"/>
  <c r="M755" i="5"/>
  <c r="K718" i="5"/>
  <c r="W711" i="2"/>
  <c r="AB664" i="2"/>
  <c r="Z664" i="2"/>
  <c r="Y664" i="2"/>
  <c r="V664" i="2"/>
  <c r="X664" i="2"/>
  <c r="P654" i="5"/>
  <c r="L644" i="5"/>
  <c r="P614" i="5"/>
  <c r="Y607" i="2"/>
  <c r="Y588" i="2"/>
  <c r="AB570" i="2"/>
  <c r="P564" i="5"/>
  <c r="P563" i="5"/>
  <c r="K457" i="5"/>
  <c r="O446" i="5"/>
  <c r="P367" i="5"/>
  <c r="N362" i="5"/>
  <c r="P354" i="5"/>
  <c r="L338" i="5"/>
  <c r="N330" i="5"/>
  <c r="P322" i="5"/>
  <c r="L306" i="5"/>
  <c r="N298" i="5"/>
  <c r="P290" i="5"/>
  <c r="K274" i="5"/>
  <c r="K266" i="5"/>
  <c r="M258" i="5"/>
  <c r="Y955" i="2"/>
  <c r="N794" i="5"/>
  <c r="AB739" i="2"/>
  <c r="Z739" i="2"/>
  <c r="V739" i="2"/>
  <c r="Y739" i="2"/>
  <c r="X739" i="2"/>
  <c r="V735" i="2"/>
  <c r="B53" i="15"/>
  <c r="AB682" i="2"/>
  <c r="N678" i="5"/>
  <c r="K668" i="5"/>
  <c r="AB635" i="2"/>
  <c r="Z635" i="2"/>
  <c r="W635" i="2"/>
  <c r="V635" i="2"/>
  <c r="X635" i="2"/>
  <c r="V631" i="2"/>
  <c r="M627" i="5"/>
  <c r="L604" i="5"/>
  <c r="P588" i="5"/>
  <c r="P587" i="5"/>
  <c r="M550" i="5"/>
  <c r="K460" i="5"/>
  <c r="P456" i="5"/>
  <c r="N422" i="5"/>
  <c r="L393" i="5"/>
  <c r="O365" i="5"/>
  <c r="P357" i="5"/>
  <c r="L349" i="5"/>
  <c r="N333" i="5"/>
  <c r="P325" i="5"/>
  <c r="K317" i="5"/>
  <c r="M301" i="5"/>
  <c r="O293" i="5"/>
  <c r="K285" i="5"/>
  <c r="P269" i="5"/>
  <c r="N261" i="5"/>
  <c r="O253" i="5"/>
  <c r="F21" i="18"/>
  <c r="L229" i="5"/>
  <c r="N221" i="5"/>
  <c r="P213" i="5"/>
  <c r="Y886" i="2"/>
  <c r="AB796" i="2"/>
  <c r="K766" i="5"/>
  <c r="W759" i="2"/>
  <c r="M715" i="5"/>
  <c r="Y706" i="2"/>
  <c r="L702" i="5"/>
  <c r="L692" i="5"/>
  <c r="K662" i="5"/>
  <c r="X655" i="2"/>
  <c r="O651" i="5"/>
  <c r="P628" i="5"/>
  <c r="P612" i="5"/>
  <c r="P611" i="5"/>
  <c r="K574" i="5"/>
  <c r="N523" i="5"/>
  <c r="E38" i="14"/>
  <c r="H38" i="14" s="1"/>
  <c r="AB507" i="2"/>
  <c r="Z507" i="2"/>
  <c r="W507" i="2"/>
  <c r="Y507" i="2"/>
  <c r="V507" i="2"/>
  <c r="V503" i="2"/>
  <c r="O494" i="5"/>
  <c r="M489" i="5"/>
  <c r="K473" i="5"/>
  <c r="K472" i="5"/>
  <c r="L462" i="5"/>
  <c r="M459" i="5"/>
  <c r="M449" i="5"/>
  <c r="P436" i="5"/>
  <c r="O432" i="5"/>
  <c r="Y684" i="2"/>
  <c r="V652" i="2"/>
  <c r="N590" i="5"/>
  <c r="N582" i="5"/>
  <c r="AB544" i="2"/>
  <c r="Z544" i="2"/>
  <c r="Y544" i="2"/>
  <c r="V544" i="2"/>
  <c r="X544" i="2"/>
  <c r="V540" i="2"/>
  <c r="N542" i="5"/>
  <c r="K507" i="5"/>
  <c r="N502" i="5"/>
  <c r="N500" i="5"/>
  <c r="P499" i="5"/>
  <c r="M497" i="5"/>
  <c r="P468" i="5"/>
  <c r="O467" i="5"/>
  <c r="M438" i="5"/>
  <c r="P430" i="5"/>
  <c r="AB411" i="2"/>
  <c r="Y411" i="2"/>
  <c r="V411" i="2"/>
  <c r="Z411" i="2"/>
  <c r="W411" i="2"/>
  <c r="AB402" i="2"/>
  <c r="N395" i="5"/>
  <c r="L384" i="5"/>
  <c r="K381" i="5"/>
  <c r="M366" i="5"/>
  <c r="K344" i="5"/>
  <c r="L339" i="5"/>
  <c r="M324" i="5"/>
  <c r="M312" i="5"/>
  <c r="N299" i="5"/>
  <c r="P297" i="5"/>
  <c r="K636" i="5"/>
  <c r="P598" i="5"/>
  <c r="X583" i="2"/>
  <c r="O548" i="5"/>
  <c r="M508" i="5"/>
  <c r="AB482" i="2"/>
  <c r="O476" i="5"/>
  <c r="K465" i="5"/>
  <c r="K448" i="5"/>
  <c r="X442" i="2"/>
  <c r="N419" i="5"/>
  <c r="O401" i="5"/>
  <c r="O400" i="5"/>
  <c r="P369" i="5"/>
  <c r="Z357" i="2"/>
  <c r="M358" i="5"/>
  <c r="P351" i="5"/>
  <c r="L331" i="5"/>
  <c r="N329" i="5"/>
  <c r="P326" i="5"/>
  <c r="O287" i="5"/>
  <c r="N265" i="5"/>
  <c r="N262" i="5"/>
  <c r="N260" i="5"/>
  <c r="P255" i="5"/>
  <c r="Z692" i="2"/>
  <c r="V660" i="2"/>
  <c r="V535" i="2"/>
  <c r="V527" i="2"/>
  <c r="P524" i="5"/>
  <c r="M518" i="5"/>
  <c r="K515" i="5"/>
  <c r="O491" i="5"/>
  <c r="Z461" i="2"/>
  <c r="V461" i="2"/>
  <c r="AB461" i="2"/>
  <c r="X461" i="2"/>
  <c r="W461" i="2"/>
  <c r="Y708" i="2"/>
  <c r="P643" i="5"/>
  <c r="M630" i="5"/>
  <c r="W620" i="2"/>
  <c r="AB599" i="2"/>
  <c r="AB531" i="2"/>
  <c r="Z531" i="2"/>
  <c r="W531" i="2"/>
  <c r="Y531" i="2"/>
  <c r="V531" i="2"/>
  <c r="Z495" i="2"/>
  <c r="D34" i="14"/>
  <c r="G34" i="14" s="1"/>
  <c r="AB451" i="2"/>
  <c r="V451" i="2"/>
  <c r="Z451" i="2"/>
  <c r="Y451" i="2"/>
  <c r="X451" i="2"/>
  <c r="K425" i="5"/>
  <c r="AB412" i="2"/>
  <c r="O411" i="5"/>
  <c r="L398" i="5"/>
  <c r="L390" i="5"/>
  <c r="N383" i="5"/>
  <c r="V369" i="2"/>
  <c r="AB369" i="2"/>
  <c r="Z369" i="2"/>
  <c r="Y369" i="2"/>
  <c r="W369" i="2"/>
  <c r="N355" i="5"/>
  <c r="P353" i="5"/>
  <c r="F28" i="18"/>
  <c r="P311" i="5"/>
  <c r="L289" i="5"/>
  <c r="P286" i="5"/>
  <c r="P284" i="5"/>
  <c r="D21" i="14"/>
  <c r="G21" i="14" s="1"/>
  <c r="Z256" i="2"/>
  <c r="Y256" i="2"/>
  <c r="X256" i="2"/>
  <c r="AB256" i="2"/>
  <c r="V256" i="2"/>
  <c r="O257" i="5"/>
  <c r="M254" i="5"/>
  <c r="L243" i="5"/>
  <c r="L241" i="5"/>
  <c r="K212" i="5"/>
  <c r="K210" i="5"/>
  <c r="K208" i="5"/>
  <c r="O204" i="5"/>
  <c r="L191" i="5"/>
  <c r="N183" i="5"/>
  <c r="P175" i="5"/>
  <c r="K167" i="5"/>
  <c r="M151" i="5"/>
  <c r="O143" i="5"/>
  <c r="K135" i="5"/>
  <c r="L119" i="5"/>
  <c r="N111" i="5"/>
  <c r="K103" i="5"/>
  <c r="Y786" i="2"/>
  <c r="W681" i="2"/>
  <c r="V681" i="2"/>
  <c r="AB681" i="2"/>
  <c r="Y681" i="2"/>
  <c r="Z681" i="2"/>
  <c r="B46" i="15"/>
  <c r="W617" i="2"/>
  <c r="V617" i="2"/>
  <c r="AB617" i="2"/>
  <c r="X617" i="2"/>
  <c r="Z617" i="2"/>
  <c r="AB591" i="2"/>
  <c r="X586" i="2"/>
  <c r="X578" i="2"/>
  <c r="V522" i="2"/>
  <c r="O492" i="5"/>
  <c r="P486" i="5"/>
  <c r="X466" i="2"/>
  <c r="V455" i="2"/>
  <c r="V447" i="2"/>
  <c r="X436" i="2"/>
  <c r="N435" i="5"/>
  <c r="M424" i="5"/>
  <c r="V383" i="2"/>
  <c r="Y375" i="2"/>
  <c r="P371" i="5"/>
  <c r="Z344" i="2"/>
  <c r="AB344" i="2"/>
  <c r="X344" i="2"/>
  <c r="V344" i="2"/>
  <c r="W344" i="2"/>
  <c r="L345" i="5"/>
  <c r="L343" i="5"/>
  <c r="X325" i="2"/>
  <c r="AB315" i="2"/>
  <c r="Z315" i="2"/>
  <c r="Y315" i="2"/>
  <c r="V315" i="2"/>
  <c r="W315" i="2"/>
  <c r="M316" i="5"/>
  <c r="K296" i="5"/>
  <c r="M291" i="5"/>
  <c r="O276" i="5"/>
  <c r="P264" i="5"/>
  <c r="N251" i="5"/>
  <c r="L247" i="5"/>
  <c r="K235" i="5"/>
  <c r="K233" i="5"/>
  <c r="K231" i="5"/>
  <c r="O202" i="5"/>
  <c r="K194" i="5"/>
  <c r="M186" i="5"/>
  <c r="O170" i="5"/>
  <c r="P162" i="5"/>
  <c r="L154" i="5"/>
  <c r="N146" i="5"/>
  <c r="P130" i="5"/>
  <c r="K122" i="5"/>
  <c r="M114" i="5"/>
  <c r="N98" i="5"/>
  <c r="N90" i="5"/>
  <c r="O82" i="5"/>
  <c r="K66" i="5"/>
  <c r="M58" i="5"/>
  <c r="O50" i="5"/>
  <c r="L675" i="5"/>
  <c r="V623" i="2"/>
  <c r="W593" i="2"/>
  <c r="K579" i="5"/>
  <c r="M555" i="5"/>
  <c r="Z546" i="2"/>
  <c r="N484" i="5"/>
  <c r="M483" i="5"/>
  <c r="O451" i="5"/>
  <c r="L443" i="5"/>
  <c r="M417" i="5"/>
  <c r="M416" i="5"/>
  <c r="K389" i="5"/>
  <c r="Z364" i="2"/>
  <c r="N335" i="5"/>
  <c r="O313" i="5"/>
  <c r="M310" i="5"/>
  <c r="P303" i="5"/>
  <c r="K283" i="5"/>
  <c r="M281" i="5"/>
  <c r="K278" i="5"/>
  <c r="P225" i="5"/>
  <c r="K197" i="5"/>
  <c r="M189" i="5"/>
  <c r="O181" i="5"/>
  <c r="K165" i="5"/>
  <c r="M157" i="5"/>
  <c r="O149" i="5"/>
  <c r="K133" i="5"/>
  <c r="L125" i="5"/>
  <c r="N117" i="5"/>
  <c r="P109" i="5"/>
  <c r="W713" i="2"/>
  <c r="V732" i="2"/>
  <c r="N686" i="5"/>
  <c r="V649" i="2"/>
  <c r="AB649" i="2"/>
  <c r="Y649" i="2"/>
  <c r="X649" i="2"/>
  <c r="Z649" i="2"/>
  <c r="AB644" i="2"/>
  <c r="X634" i="2"/>
  <c r="N635" i="5"/>
  <c r="Z625" i="2"/>
  <c r="V596" i="2"/>
  <c r="W522" i="2"/>
  <c r="V495" i="2"/>
  <c r="L441" i="5"/>
  <c r="L440" i="5"/>
  <c r="Y415" i="2"/>
  <c r="Y396" i="2"/>
  <c r="N392" i="5"/>
  <c r="X338" i="2"/>
  <c r="D26" i="14"/>
  <c r="G26" i="14" s="1"/>
  <c r="AB331" i="2"/>
  <c r="X331" i="2"/>
  <c r="Y331" i="2"/>
  <c r="Z331" i="2"/>
  <c r="V331" i="2"/>
  <c r="M332" i="5"/>
  <c r="L327" i="5"/>
  <c r="O307" i="5"/>
  <c r="F25" i="18"/>
  <c r="X298" i="2"/>
  <c r="Y561" i="2"/>
  <c r="X500" i="2"/>
  <c r="L292" i="5"/>
  <c r="AB266" i="2"/>
  <c r="N115" i="5"/>
  <c r="K92" i="5"/>
  <c r="M89" i="5"/>
  <c r="L86" i="5"/>
  <c r="Z548" i="2"/>
  <c r="AB153" i="2"/>
  <c r="Z460" i="2"/>
  <c r="B21" i="15"/>
  <c r="C18" i="14"/>
  <c r="F18" i="14" s="1"/>
  <c r="X203" i="2"/>
  <c r="W203" i="2"/>
  <c r="V203" i="2"/>
  <c r="AB203" i="2"/>
  <c r="Z203" i="2"/>
  <c r="AB713" i="2"/>
  <c r="AB338" i="2"/>
  <c r="Z383" i="2"/>
  <c r="Z473" i="2"/>
  <c r="Z196" i="2"/>
  <c r="Z154" i="2"/>
  <c r="L108" i="5"/>
  <c r="O54" i="5"/>
  <c r="AB366" i="2"/>
  <c r="AB436" i="2"/>
  <c r="V350" i="2"/>
  <c r="P288" i="5"/>
  <c r="AB105" i="2"/>
  <c r="E18" i="14"/>
  <c r="H18" i="14" s="1"/>
  <c r="B16" i="15"/>
  <c r="D15" i="14"/>
  <c r="G15" i="14" s="1"/>
  <c r="L926" i="5"/>
  <c r="L910" i="5"/>
  <c r="O902" i="5"/>
  <c r="M894" i="5"/>
  <c r="O878" i="5"/>
  <c r="O870" i="5"/>
  <c r="N862" i="5"/>
  <c r="O846" i="5"/>
  <c r="L838" i="5"/>
  <c r="N830" i="5"/>
  <c r="P822" i="5"/>
  <c r="K806" i="5"/>
  <c r="N798" i="5"/>
  <c r="O790" i="5"/>
  <c r="Y966" i="2"/>
  <c r="Y964" i="2"/>
  <c r="W929" i="2"/>
  <c r="W881" i="2"/>
  <c r="V860" i="2"/>
  <c r="K852" i="5"/>
  <c r="N844" i="5"/>
  <c r="O819" i="5"/>
  <c r="N939" i="5"/>
  <c r="V920" i="2"/>
  <c r="AB920" i="2"/>
  <c r="Z920" i="2"/>
  <c r="W920" i="2"/>
  <c r="X920" i="2"/>
  <c r="K915" i="5"/>
  <c r="M899" i="5"/>
  <c r="P891" i="5"/>
  <c r="B63" i="15"/>
  <c r="V872" i="2"/>
  <c r="AB872" i="2"/>
  <c r="Z872" i="2"/>
  <c r="W872" i="2"/>
  <c r="X872" i="2"/>
  <c r="AB852" i="2"/>
  <c r="K827" i="5"/>
  <c r="L796" i="5"/>
  <c r="P792" i="5"/>
  <c r="P789" i="5"/>
  <c r="O781" i="5"/>
  <c r="N778" i="5"/>
  <c r="N767" i="5"/>
  <c r="P759" i="5"/>
  <c r="K751" i="5"/>
  <c r="Z733" i="2"/>
  <c r="Y733" i="2"/>
  <c r="X733" i="2"/>
  <c r="AB733" i="2"/>
  <c r="V733" i="2"/>
  <c r="K727" i="5"/>
  <c r="L719" i="5"/>
  <c r="L711" i="5"/>
  <c r="K703" i="5"/>
  <c r="K695" i="5"/>
  <c r="K687" i="5"/>
  <c r="M679" i="5"/>
  <c r="D48" i="14"/>
  <c r="G48" i="14" s="1"/>
  <c r="Z661" i="2"/>
  <c r="Y661" i="2"/>
  <c r="X661" i="2"/>
  <c r="AB661" i="2"/>
  <c r="V661" i="2"/>
  <c r="O655" i="5"/>
  <c r="L647" i="5"/>
  <c r="N639" i="5"/>
  <c r="O631" i="5"/>
  <c r="M623" i="5"/>
  <c r="N615" i="5"/>
  <c r="O607" i="5"/>
  <c r="Z589" i="2"/>
  <c r="Y589" i="2"/>
  <c r="X589" i="2"/>
  <c r="AB589" i="2"/>
  <c r="V589" i="2"/>
  <c r="P583" i="5"/>
  <c r="P575" i="5"/>
  <c r="O567" i="5"/>
  <c r="P559" i="5"/>
  <c r="K551" i="5"/>
  <c r="N543" i="5"/>
  <c r="O535" i="5"/>
  <c r="O527" i="5"/>
  <c r="Z509" i="2"/>
  <c r="X509" i="2"/>
  <c r="AB509" i="2"/>
  <c r="W509" i="2"/>
  <c r="V509" i="2"/>
  <c r="L503" i="5"/>
  <c r="O495" i="5"/>
  <c r="P487" i="5"/>
  <c r="K479" i="5"/>
  <c r="N471" i="5"/>
  <c r="K455" i="5"/>
  <c r="L447" i="5"/>
  <c r="M439" i="5"/>
  <c r="O423" i="5"/>
  <c r="K415" i="5"/>
  <c r="L407" i="5"/>
  <c r="N399" i="5"/>
  <c r="AB974" i="2"/>
  <c r="N947" i="5"/>
  <c r="Z931" i="2"/>
  <c r="L931" i="5"/>
  <c r="W915" i="2"/>
  <c r="N907" i="5"/>
  <c r="V891" i="2"/>
  <c r="L883" i="5"/>
  <c r="O859" i="5"/>
  <c r="N828" i="5"/>
  <c r="N820" i="5"/>
  <c r="L762" i="5"/>
  <c r="O754" i="5"/>
  <c r="K746" i="5"/>
  <c r="L730" i="5"/>
  <c r="M722" i="5"/>
  <c r="O714" i="5"/>
  <c r="K706" i="5"/>
  <c r="K690" i="5"/>
  <c r="M682" i="5"/>
  <c r="P674" i="5"/>
  <c r="K658" i="5"/>
  <c r="M650" i="5"/>
  <c r="M642" i="5"/>
  <c r="P626" i="5"/>
  <c r="M618" i="5"/>
  <c r="O610" i="5"/>
  <c r="P602" i="5"/>
  <c r="L586" i="5"/>
  <c r="N578" i="5"/>
  <c r="O570" i="5"/>
  <c r="P554" i="5"/>
  <c r="N546" i="5"/>
  <c r="P538" i="5"/>
  <c r="K522" i="5"/>
  <c r="M514" i="5"/>
  <c r="N506" i="5"/>
  <c r="K490" i="5"/>
  <c r="O482" i="5"/>
  <c r="M474" i="5"/>
  <c r="L466" i="5"/>
  <c r="L450" i="5"/>
  <c r="N442" i="5"/>
  <c r="P434" i="5"/>
  <c r="L418" i="5"/>
  <c r="N410" i="5"/>
  <c r="O402" i="5"/>
  <c r="K386" i="5"/>
  <c r="M378" i="5"/>
  <c r="O370" i="5"/>
  <c r="Z961" i="2"/>
  <c r="B68" i="15"/>
  <c r="W947" i="2"/>
  <c r="V947" i="2"/>
  <c r="AB947" i="2"/>
  <c r="Z947" i="2"/>
  <c r="X947" i="2"/>
  <c r="Y933" i="2"/>
  <c r="V868" i="2"/>
  <c r="Z803" i="2"/>
  <c r="P795" i="5"/>
  <c r="K773" i="5"/>
  <c r="M757" i="5"/>
  <c r="M749" i="5"/>
  <c r="P741" i="5"/>
  <c r="O725" i="5"/>
  <c r="K717" i="5"/>
  <c r="M709" i="5"/>
  <c r="L693" i="5"/>
  <c r="N685" i="5"/>
  <c r="O677" i="5"/>
  <c r="K669" i="5"/>
  <c r="M653" i="5"/>
  <c r="O645" i="5"/>
  <c r="P637" i="5"/>
  <c r="O621" i="5"/>
  <c r="K613" i="5"/>
  <c r="M605" i="5"/>
  <c r="N589" i="5"/>
  <c r="P581" i="5"/>
  <c r="K573" i="5"/>
  <c r="M549" i="5"/>
  <c r="K541" i="5"/>
  <c r="M533" i="5"/>
  <c r="O517" i="5"/>
  <c r="K509" i="5"/>
  <c r="L501" i="5"/>
  <c r="N485" i="5"/>
  <c r="O477" i="5"/>
  <c r="O469" i="5"/>
  <c r="N453" i="5"/>
  <c r="P445" i="5"/>
  <c r="P437" i="5"/>
  <c r="L429" i="5"/>
  <c r="N413" i="5"/>
  <c r="P405" i="5"/>
  <c r="O963" i="5"/>
  <c r="P955" i="5"/>
  <c r="Z916" i="2"/>
  <c r="V908" i="2"/>
  <c r="Y876" i="2"/>
  <c r="P867" i="5"/>
  <c r="W854" i="2"/>
  <c r="M835" i="5"/>
  <c r="AB794" i="2"/>
  <c r="Z794" i="2"/>
  <c r="W794" i="2"/>
  <c r="V794" i="2"/>
  <c r="X794" i="2"/>
  <c r="V780" i="2"/>
  <c r="W771" i="2"/>
  <c r="V771" i="2"/>
  <c r="AB771" i="2"/>
  <c r="Y771" i="2"/>
  <c r="Z771" i="2"/>
  <c r="C55" i="14"/>
  <c r="F55" i="14" s="1"/>
  <c r="V758" i="2"/>
  <c r="AB758" i="2"/>
  <c r="X758" i="2"/>
  <c r="Z758" i="2"/>
  <c r="W758" i="2"/>
  <c r="V750" i="2"/>
  <c r="AB750" i="2"/>
  <c r="W750" i="2"/>
  <c r="Z750" i="2"/>
  <c r="Y750" i="2"/>
  <c r="L744" i="5"/>
  <c r="M736" i="5"/>
  <c r="K728" i="5"/>
  <c r="N720" i="5"/>
  <c r="O712" i="5"/>
  <c r="O704" i="5"/>
  <c r="V686" i="2"/>
  <c r="AB686" i="2"/>
  <c r="X686" i="2"/>
  <c r="W686" i="2"/>
  <c r="Z686" i="2"/>
  <c r="M680" i="5"/>
  <c r="P672" i="5"/>
  <c r="O664" i="5"/>
  <c r="O656" i="5"/>
  <c r="K648" i="5"/>
  <c r="K640" i="5"/>
  <c r="K632" i="5"/>
  <c r="P624" i="5"/>
  <c r="V606" i="2"/>
  <c r="AB606" i="2"/>
  <c r="Y606" i="2"/>
  <c r="W606" i="2"/>
  <c r="Z606" i="2"/>
  <c r="K600" i="5"/>
  <c r="L592" i="5"/>
  <c r="M584" i="5"/>
  <c r="M576" i="5"/>
  <c r="M568" i="5"/>
  <c r="O560" i="5"/>
  <c r="O552" i="5"/>
  <c r="V534" i="2"/>
  <c r="AB534" i="2"/>
  <c r="Z534" i="2"/>
  <c r="Y534" i="2"/>
  <c r="W534" i="2"/>
  <c r="K528" i="5"/>
  <c r="L520" i="5"/>
  <c r="L512" i="5"/>
  <c r="K504" i="5"/>
  <c r="N496" i="5"/>
  <c r="M480" i="5"/>
  <c r="P979" i="5"/>
  <c r="V956" i="2"/>
  <c r="Z897" i="2"/>
  <c r="AB873" i="2"/>
  <c r="W825" i="2"/>
  <c r="AB819" i="2"/>
  <c r="K812" i="5"/>
  <c r="P804" i="5"/>
  <c r="K787" i="5"/>
  <c r="K779" i="5"/>
  <c r="O774" i="5"/>
  <c r="L769" i="5"/>
  <c r="O753" i="5"/>
  <c r="N745" i="5"/>
  <c r="O737" i="5"/>
  <c r="P729" i="5"/>
  <c r="O713" i="5"/>
  <c r="M705" i="5"/>
  <c r="O697" i="5"/>
  <c r="P681" i="5"/>
  <c r="L673" i="5"/>
  <c r="O665" i="5"/>
  <c r="N649" i="5"/>
  <c r="P641" i="5"/>
  <c r="L633" i="5"/>
  <c r="L609" i="5"/>
  <c r="N601" i="5"/>
  <c r="P593" i="5"/>
  <c r="L577" i="5"/>
  <c r="M569" i="5"/>
  <c r="P561" i="5"/>
  <c r="L545" i="5"/>
  <c r="M537" i="5"/>
  <c r="O529" i="5"/>
  <c r="K513" i="5"/>
  <c r="L505" i="5"/>
  <c r="L971" i="5"/>
  <c r="AB822" i="2"/>
  <c r="AB818" i="2"/>
  <c r="K739" i="5"/>
  <c r="K726" i="5"/>
  <c r="V721" i="2"/>
  <c r="O716" i="5"/>
  <c r="W942" i="2"/>
  <c r="W798" i="2"/>
  <c r="K763" i="5"/>
  <c r="Z754" i="2"/>
  <c r="L740" i="5"/>
  <c r="M710" i="5"/>
  <c r="AB696" i="2"/>
  <c r="Z696" i="2"/>
  <c r="Y696" i="2"/>
  <c r="V696" i="2"/>
  <c r="W696" i="2"/>
  <c r="L676" i="5"/>
  <c r="K659" i="5"/>
  <c r="N571" i="5"/>
  <c r="L558" i="5"/>
  <c r="W551" i="2"/>
  <c r="W894" i="2"/>
  <c r="M843" i="5"/>
  <c r="P776" i="5"/>
  <c r="W767" i="2"/>
  <c r="P764" i="5"/>
  <c r="N723" i="5"/>
  <c r="P700" i="5"/>
  <c r="M684" i="5"/>
  <c r="M683" i="5"/>
  <c r="P646" i="5"/>
  <c r="Y639" i="2"/>
  <c r="M868" i="5"/>
  <c r="C60" i="14"/>
  <c r="F60" i="14" s="1"/>
  <c r="W833" i="2"/>
  <c r="V833" i="2"/>
  <c r="AB833" i="2"/>
  <c r="Z833" i="2"/>
  <c r="X833" i="2"/>
  <c r="Z792" i="2"/>
  <c r="V764" i="2"/>
  <c r="P758" i="5"/>
  <c r="AB744" i="2"/>
  <c r="Z744" i="2"/>
  <c r="Y744" i="2"/>
  <c r="V744" i="2"/>
  <c r="W744" i="2"/>
  <c r="O724" i="5"/>
  <c r="Y714" i="2"/>
  <c r="AB704" i="2"/>
  <c r="Z704" i="2"/>
  <c r="V704" i="2"/>
  <c r="X704" i="2"/>
  <c r="W704" i="2"/>
  <c r="V676" i="2"/>
  <c r="P670" i="5"/>
  <c r="N619" i="5"/>
  <c r="AB603" i="2"/>
  <c r="Z603" i="2"/>
  <c r="W603" i="2"/>
  <c r="V603" i="2"/>
  <c r="Y603" i="2"/>
  <c r="V599" i="2"/>
  <c r="L596" i="5"/>
  <c r="Z971" i="2"/>
  <c r="Z949" i="2"/>
  <c r="Z948" i="2"/>
  <c r="P811" i="5"/>
  <c r="Y793" i="2"/>
  <c r="V772" i="2"/>
  <c r="Y756" i="2"/>
  <c r="AB738" i="2"/>
  <c r="L732" i="5"/>
  <c r="L731" i="5"/>
  <c r="K694" i="5"/>
  <c r="V687" i="2"/>
  <c r="Y963" i="2"/>
  <c r="Y843" i="2"/>
  <c r="L802" i="5"/>
  <c r="M786" i="5"/>
  <c r="L784" i="5"/>
  <c r="K782" i="5"/>
  <c r="P772" i="5"/>
  <c r="K756" i="5"/>
  <c r="L755" i="5"/>
  <c r="P718" i="5"/>
  <c r="Y711" i="2"/>
  <c r="K667" i="5"/>
  <c r="Y658" i="2"/>
  <c r="L654" i="5"/>
  <c r="M644" i="5"/>
  <c r="K614" i="5"/>
  <c r="AB600" i="2"/>
  <c r="Z600" i="2"/>
  <c r="Y600" i="2"/>
  <c r="V600" i="2"/>
  <c r="W600" i="2"/>
  <c r="M580" i="5"/>
  <c r="W570" i="2"/>
  <c r="K564" i="5"/>
  <c r="AB523" i="2"/>
  <c r="Z523" i="2"/>
  <c r="Y523" i="2"/>
  <c r="X523" i="2"/>
  <c r="V523" i="2"/>
  <c r="V519" i="2"/>
  <c r="L457" i="5"/>
  <c r="P446" i="5"/>
  <c r="L396" i="5"/>
  <c r="K367" i="5"/>
  <c r="O362" i="5"/>
  <c r="K346" i="5"/>
  <c r="M338" i="5"/>
  <c r="O330" i="5"/>
  <c r="K314" i="5"/>
  <c r="M306" i="5"/>
  <c r="O298" i="5"/>
  <c r="F24" i="18"/>
  <c r="M274" i="5"/>
  <c r="M266" i="5"/>
  <c r="N258" i="5"/>
  <c r="AB795" i="2"/>
  <c r="O794" i="5"/>
  <c r="K742" i="5"/>
  <c r="W735" i="2"/>
  <c r="AB688" i="2"/>
  <c r="Z688" i="2"/>
  <c r="Y688" i="2"/>
  <c r="V688" i="2"/>
  <c r="X688" i="2"/>
  <c r="O678" i="5"/>
  <c r="L668" i="5"/>
  <c r="K638" i="5"/>
  <c r="N627" i="5"/>
  <c r="AB594" i="2"/>
  <c r="K588" i="5"/>
  <c r="K587" i="5"/>
  <c r="L460" i="5"/>
  <c r="K433" i="5"/>
  <c r="O422" i="5"/>
  <c r="M393" i="5"/>
  <c r="P365" i="5"/>
  <c r="K357" i="5"/>
  <c r="M341" i="5"/>
  <c r="O333" i="5"/>
  <c r="K325" i="5"/>
  <c r="L317" i="5"/>
  <c r="N301" i="5"/>
  <c r="P293" i="5"/>
  <c r="L285" i="5"/>
  <c r="M269" i="5"/>
  <c r="P261" i="5"/>
  <c r="P253" i="5"/>
  <c r="K237" i="5"/>
  <c r="M229" i="5"/>
  <c r="O221" i="5"/>
  <c r="K205" i="5"/>
  <c r="AB940" i="2"/>
  <c r="V849" i="2"/>
  <c r="Z844" i="2"/>
  <c r="Y772" i="2"/>
  <c r="L766" i="5"/>
  <c r="Y759" i="2"/>
  <c r="N715" i="5"/>
  <c r="Z706" i="2"/>
  <c r="M702" i="5"/>
  <c r="M692" i="5"/>
  <c r="M662" i="5"/>
  <c r="Y655" i="2"/>
  <c r="X641" i="2"/>
  <c r="AB618" i="2"/>
  <c r="K612" i="5"/>
  <c r="K611" i="5"/>
  <c r="L574" i="5"/>
  <c r="W554" i="2"/>
  <c r="O523" i="5"/>
  <c r="O510" i="5"/>
  <c r="W503" i="2"/>
  <c r="P494" i="5"/>
  <c r="O489" i="5"/>
  <c r="L473" i="5"/>
  <c r="L472" i="5"/>
  <c r="M462" i="5"/>
  <c r="N459" i="5"/>
  <c r="N449" i="5"/>
  <c r="K436" i="5"/>
  <c r="AB724" i="2"/>
  <c r="Z684" i="2"/>
  <c r="X652" i="2"/>
  <c r="J44" i="15"/>
  <c r="W569" i="2"/>
  <c r="V569" i="2"/>
  <c r="AB569" i="2"/>
  <c r="Z569" i="2"/>
  <c r="X569" i="2"/>
  <c r="L547" i="5"/>
  <c r="W540" i="2"/>
  <c r="M540" i="5"/>
  <c r="L507" i="5"/>
  <c r="O502" i="5"/>
  <c r="O500" i="5"/>
  <c r="M499" i="5"/>
  <c r="O497" i="5"/>
  <c r="K468" i="5"/>
  <c r="Y433" i="2"/>
  <c r="K430" i="5"/>
  <c r="N414" i="5"/>
  <c r="Y402" i="2"/>
  <c r="O395" i="5"/>
  <c r="M384" i="5"/>
  <c r="L381" i="5"/>
  <c r="L364" i="5"/>
  <c r="L344" i="5"/>
  <c r="M339" i="5"/>
  <c r="N324" i="5"/>
  <c r="N312" i="5"/>
  <c r="O299" i="5"/>
  <c r="O295" i="5"/>
  <c r="AB751" i="2"/>
  <c r="V666" i="2"/>
  <c r="Y657" i="2"/>
  <c r="L636" i="5"/>
  <c r="K598" i="5"/>
  <c r="Y583" i="2"/>
  <c r="P548" i="5"/>
  <c r="N508" i="5"/>
  <c r="W482" i="2"/>
  <c r="P476" i="5"/>
  <c r="P465" i="5"/>
  <c r="L448" i="5"/>
  <c r="Y442" i="2"/>
  <c r="O419" i="5"/>
  <c r="P401" i="5"/>
  <c r="K361" i="5"/>
  <c r="L356" i="5"/>
  <c r="K351" i="5"/>
  <c r="M331" i="5"/>
  <c r="O329" i="5"/>
  <c r="K326" i="5"/>
  <c r="P287" i="5"/>
  <c r="K265" i="5"/>
  <c r="O262" i="5"/>
  <c r="O260" i="5"/>
  <c r="K255" i="5"/>
  <c r="AB737" i="2"/>
  <c r="Z716" i="2"/>
  <c r="V692" i="2"/>
  <c r="W660" i="2"/>
  <c r="Z641" i="2"/>
  <c r="X535" i="2"/>
  <c r="W527" i="2"/>
  <c r="K524" i="5"/>
  <c r="N518" i="5"/>
  <c r="J39" i="15"/>
  <c r="V484" i="2"/>
  <c r="K464" i="5"/>
  <c r="L643" i="5"/>
  <c r="N630" i="5"/>
  <c r="X620" i="2"/>
  <c r="O534" i="5"/>
  <c r="Z471" i="2"/>
  <c r="O454" i="5"/>
  <c r="L425" i="5"/>
  <c r="V412" i="2"/>
  <c r="P411" i="5"/>
  <c r="M398" i="5"/>
  <c r="M390" i="5"/>
  <c r="Z373" i="2"/>
  <c r="AB373" i="2"/>
  <c r="Y373" i="2"/>
  <c r="X373" i="2"/>
  <c r="V373" i="2"/>
  <c r="L372" i="5"/>
  <c r="X367" i="2"/>
  <c r="O355" i="5"/>
  <c r="B28" i="15"/>
  <c r="AB347" i="2"/>
  <c r="X347" i="2"/>
  <c r="W347" i="2"/>
  <c r="V347" i="2"/>
  <c r="Z347" i="2"/>
  <c r="X346" i="2"/>
  <c r="K311" i="5"/>
  <c r="M289" i="5"/>
  <c r="K286" i="5"/>
  <c r="K284" i="5"/>
  <c r="P259" i="5"/>
  <c r="P257" i="5"/>
  <c r="N254" i="5"/>
  <c r="M243" i="5"/>
  <c r="M241" i="5"/>
  <c r="L212" i="5"/>
  <c r="L210" i="5"/>
  <c r="L208" i="5"/>
  <c r="P204" i="5"/>
  <c r="M191" i="5"/>
  <c r="O183" i="5"/>
  <c r="K175" i="5"/>
  <c r="L159" i="5"/>
  <c r="N151" i="5"/>
  <c r="P143" i="5"/>
  <c r="O127" i="5"/>
  <c r="M119" i="5"/>
  <c r="P111" i="5"/>
  <c r="N95" i="5"/>
  <c r="AB767" i="2"/>
  <c r="Y748" i="2"/>
  <c r="M620" i="5"/>
  <c r="Y586" i="2"/>
  <c r="Z578" i="2"/>
  <c r="AB528" i="2"/>
  <c r="Z528" i="2"/>
  <c r="Y528" i="2"/>
  <c r="V528" i="2"/>
  <c r="W528" i="2"/>
  <c r="Y516" i="2"/>
  <c r="AB508" i="2"/>
  <c r="P492" i="5"/>
  <c r="L486" i="5"/>
  <c r="Y466" i="2"/>
  <c r="W449" i="2"/>
  <c r="V449" i="2"/>
  <c r="AB449" i="2"/>
  <c r="Z449" i="2"/>
  <c r="X449" i="2"/>
  <c r="W447" i="2"/>
  <c r="O435" i="5"/>
  <c r="N424" i="5"/>
  <c r="D29" i="14"/>
  <c r="G29" i="14" s="1"/>
  <c r="V376" i="2"/>
  <c r="AB376" i="2"/>
  <c r="Z376" i="2"/>
  <c r="Y376" i="2"/>
  <c r="X376" i="2"/>
  <c r="Z375" i="2"/>
  <c r="P360" i="5"/>
  <c r="K347" i="5"/>
  <c r="M345" i="5"/>
  <c r="M343" i="5"/>
  <c r="P328" i="5"/>
  <c r="N318" i="5"/>
  <c r="N316" i="5"/>
  <c r="L296" i="5"/>
  <c r="N291" i="5"/>
  <c r="L276" i="5"/>
  <c r="N264" i="5"/>
  <c r="O251" i="5"/>
  <c r="M247" i="5"/>
  <c r="L235" i="5"/>
  <c r="L233" i="5"/>
  <c r="P227" i="5"/>
  <c r="P202" i="5"/>
  <c r="L194" i="5"/>
  <c r="N186" i="5"/>
  <c r="P170" i="5"/>
  <c r="K162" i="5"/>
  <c r="M154" i="5"/>
  <c r="O138" i="5"/>
  <c r="K130" i="5"/>
  <c r="L122" i="5"/>
  <c r="N114" i="5"/>
  <c r="O98" i="5"/>
  <c r="O90" i="5"/>
  <c r="P82" i="5"/>
  <c r="L66" i="5"/>
  <c r="N58" i="5"/>
  <c r="P50" i="5"/>
  <c r="Y705" i="2"/>
  <c r="M675" i="5"/>
  <c r="W623" i="2"/>
  <c r="C42" i="14"/>
  <c r="F42" i="14" s="1"/>
  <c r="AB563" i="2"/>
  <c r="Z563" i="2"/>
  <c r="W563" i="2"/>
  <c r="X563" i="2"/>
  <c r="V563" i="2"/>
  <c r="Z556" i="2"/>
  <c r="N555" i="5"/>
  <c r="V538" i="2"/>
  <c r="W498" i="2"/>
  <c r="O484" i="5"/>
  <c r="N483" i="5"/>
  <c r="P451" i="5"/>
  <c r="M443" i="5"/>
  <c r="N417" i="5"/>
  <c r="N416" i="5"/>
  <c r="L389" i="5"/>
  <c r="W357" i="2"/>
  <c r="J27" i="15"/>
  <c r="P313" i="5"/>
  <c r="L308" i="5"/>
  <c r="K303" i="5"/>
  <c r="L283" i="5"/>
  <c r="N281" i="5"/>
  <c r="L278" i="5"/>
  <c r="K225" i="5"/>
  <c r="L197" i="5"/>
  <c r="N189" i="5"/>
  <c r="P181" i="5"/>
  <c r="L165" i="5"/>
  <c r="N157" i="5"/>
  <c r="P149" i="5"/>
  <c r="L133" i="5"/>
  <c r="N125" i="5"/>
  <c r="O117" i="5"/>
  <c r="M101" i="5"/>
  <c r="M93" i="5"/>
  <c r="M85" i="5"/>
  <c r="M77" i="5"/>
  <c r="O61" i="5"/>
  <c r="Y745" i="2"/>
  <c r="W732" i="2"/>
  <c r="O686" i="5"/>
  <c r="K652" i="5"/>
  <c r="Z644" i="2"/>
  <c r="Y634" i="2"/>
  <c r="O635" i="5"/>
  <c r="X596" i="2"/>
  <c r="AB588" i="2"/>
  <c r="L556" i="5"/>
  <c r="Y522" i="2"/>
  <c r="AB472" i="2"/>
  <c r="Z472" i="2"/>
  <c r="Y472" i="2"/>
  <c r="X472" i="2"/>
  <c r="V472" i="2"/>
  <c r="B36" i="15"/>
  <c r="AB467" i="2"/>
  <c r="X467" i="2"/>
  <c r="W467" i="2"/>
  <c r="V467" i="2"/>
  <c r="Z467" i="2"/>
  <c r="C36" i="14"/>
  <c r="F36" i="14" s="1"/>
  <c r="W455" i="2"/>
  <c r="M441" i="5"/>
  <c r="M440" i="5"/>
  <c r="Z405" i="2"/>
  <c r="Y405" i="2"/>
  <c r="W405" i="2"/>
  <c r="AB405" i="2"/>
  <c r="V405" i="2"/>
  <c r="Z396" i="2"/>
  <c r="O392" i="5"/>
  <c r="X383" i="2"/>
  <c r="M374" i="5"/>
  <c r="C27" i="14"/>
  <c r="F27" i="14" s="1"/>
  <c r="N334" i="5"/>
  <c r="N332" i="5"/>
  <c r="M327" i="5"/>
  <c r="P307" i="5"/>
  <c r="AB299" i="2"/>
  <c r="X299" i="2"/>
  <c r="W299" i="2"/>
  <c r="Z299" i="2"/>
  <c r="V299" i="2"/>
  <c r="Y298" i="2"/>
  <c r="AB561" i="2"/>
  <c r="P404" i="5"/>
  <c r="L397" i="5"/>
  <c r="O340" i="5"/>
  <c r="X247" i="2"/>
  <c r="AB247" i="2"/>
  <c r="Z247" i="2"/>
  <c r="Y247" i="2"/>
  <c r="V247" i="2"/>
  <c r="AB228" i="2"/>
  <c r="M155" i="5"/>
  <c r="P152" i="5"/>
  <c r="N142" i="5"/>
  <c r="L92" i="5"/>
  <c r="N89" i="5"/>
  <c r="M86" i="5"/>
  <c r="Z41" i="2"/>
  <c r="X41" i="2"/>
  <c r="W41" i="2"/>
  <c r="V41" i="2"/>
  <c r="AB41" i="2"/>
  <c r="AB71" i="2"/>
  <c r="AB836" i="2"/>
  <c r="AB11" i="2"/>
  <c r="AB191" i="2"/>
  <c r="O14" i="12"/>
  <c r="Z11" i="2"/>
  <c r="Z386" i="2"/>
  <c r="AB431" i="2"/>
  <c r="AB311" i="2"/>
  <c r="Z281" i="2"/>
  <c r="AB116" i="2"/>
  <c r="Z191" i="2"/>
  <c r="Z431" i="2"/>
  <c r="Z341" i="2"/>
  <c r="D14" i="8"/>
  <c r="Z476" i="2"/>
  <c r="B8" i="6"/>
  <c r="AB386" i="2"/>
  <c r="AB326" i="2"/>
  <c r="AB671" i="2"/>
  <c r="AB551" i="2"/>
  <c r="AB221" i="2"/>
  <c r="AB341" i="2"/>
  <c r="Z146" i="2"/>
  <c r="AB236" i="2"/>
  <c r="Z671" i="2"/>
  <c r="Z236" i="2"/>
  <c r="Z806" i="2"/>
  <c r="AB146" i="2"/>
  <c r="Z311" i="2"/>
  <c r="Z221" i="2"/>
  <c r="Z326" i="2"/>
  <c r="L35" i="5"/>
  <c r="L27" i="5"/>
  <c r="M19" i="5"/>
  <c r="N11" i="5"/>
  <c r="V204" i="2"/>
  <c r="AB204" i="2"/>
  <c r="Z204" i="2"/>
  <c r="Y204" i="2"/>
  <c r="W204" i="2"/>
  <c r="K206" i="5"/>
  <c r="N118" i="5"/>
  <c r="Z623" i="2"/>
  <c r="C17" i="14"/>
  <c r="F17" i="14" s="1"/>
  <c r="Z71" i="2"/>
  <c r="P923" i="5"/>
  <c r="P915" i="5"/>
  <c r="N899" i="5"/>
  <c r="K891" i="5"/>
  <c r="P875" i="5"/>
  <c r="W846" i="2"/>
  <c r="V830" i="2"/>
  <c r="L827" i="5"/>
  <c r="M796" i="5"/>
  <c r="K789" i="5"/>
  <c r="P781" i="5"/>
  <c r="O778" i="5"/>
  <c r="P767" i="5"/>
  <c r="K759" i="5"/>
  <c r="Z741" i="2"/>
  <c r="Y741" i="2"/>
  <c r="AB741" i="2"/>
  <c r="W741" i="2"/>
  <c r="V741" i="2"/>
  <c r="K735" i="5"/>
  <c r="L727" i="5"/>
  <c r="M719" i="5"/>
  <c r="N711" i="5"/>
  <c r="M703" i="5"/>
  <c r="M695" i="5"/>
  <c r="M687" i="5"/>
  <c r="Z669" i="2"/>
  <c r="Y669" i="2"/>
  <c r="AB669" i="2"/>
  <c r="W669" i="2"/>
  <c r="V669" i="2"/>
  <c r="L663" i="5"/>
  <c r="L655" i="5"/>
  <c r="N647" i="5"/>
  <c r="O639" i="5"/>
  <c r="L631" i="5"/>
  <c r="N623" i="5"/>
  <c r="O615" i="5"/>
  <c r="E44" i="14"/>
  <c r="H44" i="14" s="1"/>
  <c r="Z597" i="2"/>
  <c r="Y597" i="2"/>
  <c r="V597" i="2"/>
  <c r="AB597" i="2"/>
  <c r="W597" i="2"/>
  <c r="P591" i="5"/>
  <c r="K583" i="5"/>
  <c r="K575" i="5"/>
  <c r="P567" i="5"/>
  <c r="K559" i="5"/>
  <c r="L551" i="5"/>
  <c r="O543" i="5"/>
  <c r="Z517" i="2"/>
  <c r="Y517" i="2"/>
  <c r="X517" i="2"/>
  <c r="AB517" i="2"/>
  <c r="V517" i="2"/>
  <c r="P511" i="5"/>
  <c r="O503" i="5"/>
  <c r="P495" i="5"/>
  <c r="K487" i="5"/>
  <c r="M479" i="5"/>
  <c r="P463" i="5"/>
  <c r="L455" i="5"/>
  <c r="M447" i="5"/>
  <c r="N439" i="5"/>
  <c r="P423" i="5"/>
  <c r="L415" i="5"/>
  <c r="M407" i="5"/>
  <c r="O391" i="5"/>
  <c r="V974" i="2"/>
  <c r="W938" i="2"/>
  <c r="M931" i="5"/>
  <c r="P907" i="5"/>
  <c r="W891" i="2"/>
  <c r="O883" i="5"/>
  <c r="M859" i="5"/>
  <c r="Y820" i="2"/>
  <c r="L770" i="5"/>
  <c r="P762" i="5"/>
  <c r="K754" i="5"/>
  <c r="M746" i="5"/>
  <c r="M730" i="5"/>
  <c r="N722" i="5"/>
  <c r="P714" i="5"/>
  <c r="O698" i="5"/>
  <c r="L690" i="5"/>
  <c r="N682" i="5"/>
  <c r="O666" i="5"/>
  <c r="L658" i="5"/>
  <c r="N650" i="5"/>
  <c r="N642" i="5"/>
  <c r="K626" i="5"/>
  <c r="N618" i="5"/>
  <c r="P610" i="5"/>
  <c r="K594" i="5"/>
  <c r="M586" i="5"/>
  <c r="O578" i="5"/>
  <c r="K562" i="5"/>
  <c r="L554" i="5"/>
  <c r="O546" i="5"/>
  <c r="K530" i="5"/>
  <c r="L522" i="5"/>
  <c r="N514" i="5"/>
  <c r="P506" i="5"/>
  <c r="O490" i="5"/>
  <c r="L482" i="5"/>
  <c r="N474" i="5"/>
  <c r="K458" i="5"/>
  <c r="M450" i="5"/>
  <c r="O442" i="5"/>
  <c r="K426" i="5"/>
  <c r="M418" i="5"/>
  <c r="O410" i="5"/>
  <c r="P402" i="5"/>
  <c r="L386" i="5"/>
  <c r="N378" i="5"/>
  <c r="P370" i="5"/>
  <c r="AB961" i="2"/>
  <c r="K860" i="5"/>
  <c r="V819" i="2"/>
  <c r="V806" i="2"/>
  <c r="L795" i="5"/>
  <c r="K765" i="5"/>
  <c r="O757" i="5"/>
  <c r="N749" i="5"/>
  <c r="O733" i="5"/>
  <c r="K725" i="5"/>
  <c r="L717" i="5"/>
  <c r="N709" i="5"/>
  <c r="M693" i="5"/>
  <c r="O685" i="5"/>
  <c r="P677" i="5"/>
  <c r="L661" i="5"/>
  <c r="N653" i="5"/>
  <c r="P645" i="5"/>
  <c r="K629" i="5"/>
  <c r="P621" i="5"/>
  <c r="L613" i="5"/>
  <c r="J45" i="15"/>
  <c r="O589" i="5"/>
  <c r="K581" i="5"/>
  <c r="L573" i="5"/>
  <c r="K557" i="5"/>
  <c r="N549" i="5"/>
  <c r="L541" i="5"/>
  <c r="N525" i="5"/>
  <c r="P517" i="5"/>
  <c r="L509" i="5"/>
  <c r="M493" i="5"/>
  <c r="O485" i="5"/>
  <c r="P477" i="5"/>
  <c r="L469" i="5"/>
  <c r="O453" i="5"/>
  <c r="K445" i="5"/>
  <c r="K437" i="5"/>
  <c r="M421" i="5"/>
  <c r="O413" i="5"/>
  <c r="K405" i="5"/>
  <c r="K963" i="5"/>
  <c r="N955" i="5"/>
  <c r="AB934" i="2"/>
  <c r="W908" i="2"/>
  <c r="AB885" i="2"/>
  <c r="Y877" i="2"/>
  <c r="L867" i="5"/>
  <c r="Y846" i="2"/>
  <c r="V826" i="2"/>
  <c r="L788" i="5"/>
  <c r="L780" i="5"/>
  <c r="D55" i="14"/>
  <c r="G55" i="14" s="1"/>
  <c r="V766" i="2"/>
  <c r="AB766" i="2"/>
  <c r="X766" i="2"/>
  <c r="Z766" i="2"/>
  <c r="Y766" i="2"/>
  <c r="P760" i="5"/>
  <c r="M752" i="5"/>
  <c r="M744" i="5"/>
  <c r="N736" i="5"/>
  <c r="N728" i="5"/>
  <c r="O720" i="5"/>
  <c r="P712" i="5"/>
  <c r="V694" i="2"/>
  <c r="AB694" i="2"/>
  <c r="X694" i="2"/>
  <c r="Z694" i="2"/>
  <c r="Y694" i="2"/>
  <c r="P688" i="5"/>
  <c r="O680" i="5"/>
  <c r="M672" i="5"/>
  <c r="P664" i="5"/>
  <c r="K656" i="5"/>
  <c r="L648" i="5"/>
  <c r="L640" i="5"/>
  <c r="L632" i="5"/>
  <c r="V614" i="2"/>
  <c r="AB614" i="2"/>
  <c r="X614" i="2"/>
  <c r="W614" i="2"/>
  <c r="Z614" i="2"/>
  <c r="K608" i="5"/>
  <c r="L600" i="5"/>
  <c r="M592" i="5"/>
  <c r="N584" i="5"/>
  <c r="N576" i="5"/>
  <c r="O568" i="5"/>
  <c r="J42" i="15"/>
  <c r="B41" i="15"/>
  <c r="V542" i="2"/>
  <c r="AB542" i="2"/>
  <c r="X542" i="2"/>
  <c r="Z542" i="2"/>
  <c r="W542" i="2"/>
  <c r="K536" i="5"/>
  <c r="L528" i="5"/>
  <c r="M520" i="5"/>
  <c r="M512" i="5"/>
  <c r="L504" i="5"/>
  <c r="O496" i="5"/>
  <c r="P480" i="5"/>
  <c r="O979" i="5"/>
  <c r="W956" i="2"/>
  <c r="AB922" i="2"/>
  <c r="AB897" i="2"/>
  <c r="V873" i="2"/>
  <c r="AB854" i="2"/>
  <c r="C61" i="14"/>
  <c r="F61" i="14" s="1"/>
  <c r="V848" i="2"/>
  <c r="AB848" i="2"/>
  <c r="Z848" i="2"/>
  <c r="W848" i="2"/>
  <c r="X848" i="2"/>
  <c r="Y826" i="2"/>
  <c r="Y825" i="2"/>
  <c r="W819" i="2"/>
  <c r="L812" i="5"/>
  <c r="M804" i="5"/>
  <c r="L787" i="5"/>
  <c r="L779" i="5"/>
  <c r="P774" i="5"/>
  <c r="M769" i="5"/>
  <c r="K753" i="5"/>
  <c r="O745" i="5"/>
  <c r="P737" i="5"/>
  <c r="K721" i="5"/>
  <c r="K713" i="5"/>
  <c r="O705" i="5"/>
  <c r="N689" i="5"/>
  <c r="K681" i="5"/>
  <c r="M673" i="5"/>
  <c r="F49" i="18"/>
  <c r="P649" i="5"/>
  <c r="K641" i="5"/>
  <c r="M633" i="5"/>
  <c r="K617" i="5"/>
  <c r="M609" i="5"/>
  <c r="O601" i="5"/>
  <c r="K585" i="5"/>
  <c r="M577" i="5"/>
  <c r="N569" i="5"/>
  <c r="O553" i="5"/>
  <c r="M545" i="5"/>
  <c r="N537" i="5"/>
  <c r="P529" i="5"/>
  <c r="L513" i="5"/>
  <c r="M505" i="5"/>
  <c r="P971" i="5"/>
  <c r="Y850" i="2"/>
  <c r="V822" i="2"/>
  <c r="C59" i="14"/>
  <c r="F59" i="14" s="1"/>
  <c r="L739" i="5"/>
  <c r="P726" i="5"/>
  <c r="K716" i="5"/>
  <c r="AB957" i="2"/>
  <c r="Z798" i="2"/>
  <c r="M763" i="5"/>
  <c r="E54" i="14"/>
  <c r="H54" i="14" s="1"/>
  <c r="AB747" i="2"/>
  <c r="Z747" i="2"/>
  <c r="W747" i="2"/>
  <c r="Y747" i="2"/>
  <c r="V747" i="2"/>
  <c r="V743" i="2"/>
  <c r="M740" i="5"/>
  <c r="N710" i="5"/>
  <c r="K699" i="5"/>
  <c r="M676" i="5"/>
  <c r="K660" i="5"/>
  <c r="P659" i="5"/>
  <c r="AB619" i="2"/>
  <c r="Z619" i="2"/>
  <c r="Y619" i="2"/>
  <c r="X619" i="2"/>
  <c r="V619" i="2"/>
  <c r="V615" i="2"/>
  <c r="Z588" i="2"/>
  <c r="O571" i="5"/>
  <c r="N558" i="5"/>
  <c r="Y802" i="2"/>
  <c r="AB782" i="2"/>
  <c r="O776" i="5"/>
  <c r="Y753" i="2"/>
  <c r="AB731" i="2"/>
  <c r="Z731" i="2"/>
  <c r="W731" i="2"/>
  <c r="X731" i="2"/>
  <c r="V731" i="2"/>
  <c r="V727" i="2"/>
  <c r="K723" i="5"/>
  <c r="N684" i="5"/>
  <c r="N683" i="5"/>
  <c r="L646" i="5"/>
  <c r="N868" i="5"/>
  <c r="O836" i="5"/>
  <c r="W764" i="2"/>
  <c r="M758" i="5"/>
  <c r="M747" i="5"/>
  <c r="P724" i="5"/>
  <c r="Z714" i="2"/>
  <c r="P707" i="5"/>
  <c r="L670" i="5"/>
  <c r="O619" i="5"/>
  <c r="O606" i="5"/>
  <c r="W599" i="2"/>
  <c r="C63" i="14"/>
  <c r="F63" i="14" s="1"/>
  <c r="X878" i="2"/>
  <c r="W878" i="2"/>
  <c r="V878" i="2"/>
  <c r="AB878" i="2"/>
  <c r="Z878" i="2"/>
  <c r="L811" i="5"/>
  <c r="AB768" i="2"/>
  <c r="Z768" i="2"/>
  <c r="Y768" i="2"/>
  <c r="V768" i="2"/>
  <c r="W768" i="2"/>
  <c r="V746" i="2"/>
  <c r="W738" i="2"/>
  <c r="M732" i="5"/>
  <c r="M694" i="5"/>
  <c r="W687" i="2"/>
  <c r="V843" i="2"/>
  <c r="N802" i="5"/>
  <c r="N786" i="5"/>
  <c r="M784" i="5"/>
  <c r="L782" i="5"/>
  <c r="AB762" i="2"/>
  <c r="M756" i="5"/>
  <c r="N755" i="5"/>
  <c r="L718" i="5"/>
  <c r="P667" i="5"/>
  <c r="N644" i="5"/>
  <c r="L614" i="5"/>
  <c r="L603" i="5"/>
  <c r="N580" i="5"/>
  <c r="Y570" i="2"/>
  <c r="AB560" i="2"/>
  <c r="Z560" i="2"/>
  <c r="V560" i="2"/>
  <c r="X560" i="2"/>
  <c r="W560" i="2"/>
  <c r="O526" i="5"/>
  <c r="W519" i="2"/>
  <c r="M457" i="5"/>
  <c r="K446" i="5"/>
  <c r="M396" i="5"/>
  <c r="L367" i="5"/>
  <c r="P362" i="5"/>
  <c r="L346" i="5"/>
  <c r="N338" i="5"/>
  <c r="P330" i="5"/>
  <c r="L314" i="5"/>
  <c r="N306" i="5"/>
  <c r="P298" i="5"/>
  <c r="K282" i="5"/>
  <c r="N274" i="5"/>
  <c r="L266" i="5"/>
  <c r="O250" i="5"/>
  <c r="AB902" i="2"/>
  <c r="Z795" i="2"/>
  <c r="K794" i="5"/>
  <c r="P742" i="5"/>
  <c r="Y735" i="2"/>
  <c r="K691" i="5"/>
  <c r="Y682" i="2"/>
  <c r="P678" i="5"/>
  <c r="M668" i="5"/>
  <c r="L638" i="5"/>
  <c r="Y631" i="2"/>
  <c r="O627" i="5"/>
  <c r="W594" i="2"/>
  <c r="L588" i="5"/>
  <c r="AB547" i="2"/>
  <c r="Z547" i="2"/>
  <c r="Y547" i="2"/>
  <c r="X547" i="2"/>
  <c r="V547" i="2"/>
  <c r="V543" i="2"/>
  <c r="Y490" i="2"/>
  <c r="Z453" i="2"/>
  <c r="Y453" i="2"/>
  <c r="AB453" i="2"/>
  <c r="W453" i="2"/>
  <c r="V453" i="2"/>
  <c r="L433" i="5"/>
  <c r="P422" i="5"/>
  <c r="N393" i="5"/>
  <c r="K365" i="5"/>
  <c r="L357" i="5"/>
  <c r="N341" i="5"/>
  <c r="P333" i="5"/>
  <c r="L325" i="5"/>
  <c r="M309" i="5"/>
  <c r="O301" i="5"/>
  <c r="K293" i="5"/>
  <c r="N277" i="5"/>
  <c r="N269" i="5"/>
  <c r="O261" i="5"/>
  <c r="K245" i="5"/>
  <c r="L237" i="5"/>
  <c r="N229" i="5"/>
  <c r="P221" i="5"/>
  <c r="L205" i="5"/>
  <c r="AB886" i="2"/>
  <c r="W849" i="2"/>
  <c r="P803" i="5"/>
  <c r="N766" i="5"/>
  <c r="Z751" i="2"/>
  <c r="O715" i="5"/>
  <c r="D51" i="14"/>
  <c r="G51" i="14" s="1"/>
  <c r="N692" i="5"/>
  <c r="N662" i="5"/>
  <c r="AB648" i="2"/>
  <c r="Z648" i="2"/>
  <c r="Y648" i="2"/>
  <c r="V648" i="2"/>
  <c r="W648" i="2"/>
  <c r="Y636" i="2"/>
  <c r="W618" i="2"/>
  <c r="L612" i="5"/>
  <c r="Z599" i="2"/>
  <c r="M574" i="5"/>
  <c r="X554" i="2"/>
  <c r="P523" i="5"/>
  <c r="P510" i="5"/>
  <c r="X503" i="2"/>
  <c r="L494" i="5"/>
  <c r="P489" i="5"/>
  <c r="M473" i="5"/>
  <c r="N472" i="5"/>
  <c r="N462" i="5"/>
  <c r="O459" i="5"/>
  <c r="O449" i="5"/>
  <c r="Z429" i="2"/>
  <c r="Y429" i="2"/>
  <c r="AB429" i="2"/>
  <c r="W429" i="2"/>
  <c r="V429" i="2"/>
  <c r="C33" i="14"/>
  <c r="F33" i="14" s="1"/>
  <c r="X769" i="2"/>
  <c r="Y724" i="2"/>
  <c r="V684" i="2"/>
  <c r="B44" i="15"/>
  <c r="AB587" i="2"/>
  <c r="Z587" i="2"/>
  <c r="W587" i="2"/>
  <c r="X587" i="2"/>
  <c r="V587" i="2"/>
  <c r="AB579" i="2"/>
  <c r="Z579" i="2"/>
  <c r="W579" i="2"/>
  <c r="Y579" i="2"/>
  <c r="V579" i="2"/>
  <c r="L572" i="5"/>
  <c r="M547" i="5"/>
  <c r="AB539" i="2"/>
  <c r="Z539" i="2"/>
  <c r="W539" i="2"/>
  <c r="V539" i="2"/>
  <c r="X539" i="2"/>
  <c r="N540" i="5"/>
  <c r="M507" i="5"/>
  <c r="P502" i="5"/>
  <c r="P500" i="5"/>
  <c r="N499" i="5"/>
  <c r="P497" i="5"/>
  <c r="AB464" i="2"/>
  <c r="Z464" i="2"/>
  <c r="V464" i="2"/>
  <c r="X464" i="2"/>
  <c r="W464" i="2"/>
  <c r="AB435" i="2"/>
  <c r="Z435" i="2"/>
  <c r="Y435" i="2"/>
  <c r="V435" i="2"/>
  <c r="W435" i="2"/>
  <c r="L430" i="5"/>
  <c r="O414" i="5"/>
  <c r="Z402" i="2"/>
  <c r="P395" i="5"/>
  <c r="N384" i="5"/>
  <c r="AB363" i="2"/>
  <c r="Y363" i="2"/>
  <c r="V363" i="2"/>
  <c r="Z363" i="2"/>
  <c r="W363" i="2"/>
  <c r="B29" i="15"/>
  <c r="M364" i="5"/>
  <c r="M344" i="5"/>
  <c r="N339" i="5"/>
  <c r="O324" i="5"/>
  <c r="O312" i="5"/>
  <c r="P299" i="5"/>
  <c r="P295" i="5"/>
  <c r="Z729" i="2"/>
  <c r="Z665" i="2"/>
  <c r="M636" i="5"/>
  <c r="L598" i="5"/>
  <c r="Y580" i="2"/>
  <c r="V575" i="2"/>
  <c r="K548" i="5"/>
  <c r="O508" i="5"/>
  <c r="X482" i="2"/>
  <c r="K476" i="5"/>
  <c r="M448" i="5"/>
  <c r="Z442" i="2"/>
  <c r="P419" i="5"/>
  <c r="Z397" i="2"/>
  <c r="Y397" i="2"/>
  <c r="V397" i="2"/>
  <c r="X397" i="2"/>
  <c r="AB397" i="2"/>
  <c r="L361" i="5"/>
  <c r="AB355" i="2"/>
  <c r="Z355" i="2"/>
  <c r="Y355" i="2"/>
  <c r="V355" i="2"/>
  <c r="X355" i="2"/>
  <c r="C28" i="14"/>
  <c r="F28" i="14" s="1"/>
  <c r="M356" i="5"/>
  <c r="L351" i="5"/>
  <c r="N331" i="5"/>
  <c r="P329" i="5"/>
  <c r="L326" i="5"/>
  <c r="K287" i="5"/>
  <c r="O265" i="5"/>
  <c r="P262" i="5"/>
  <c r="P260" i="5"/>
  <c r="V737" i="2"/>
  <c r="V716" i="2"/>
  <c r="W692" i="2"/>
  <c r="V642" i="2"/>
  <c r="AB628" i="2"/>
  <c r="Y535" i="2"/>
  <c r="X527" i="2"/>
  <c r="L524" i="5"/>
  <c r="B39" i="15"/>
  <c r="AB512" i="2"/>
  <c r="Z512" i="2"/>
  <c r="V512" i="2"/>
  <c r="X512" i="2"/>
  <c r="W512" i="2"/>
  <c r="C37" i="14"/>
  <c r="F37" i="14" s="1"/>
  <c r="AB488" i="2"/>
  <c r="Z488" i="2"/>
  <c r="X488" i="2"/>
  <c r="W488" i="2"/>
  <c r="V488" i="2"/>
  <c r="X484" i="2"/>
  <c r="L464" i="5"/>
  <c r="AB708" i="2"/>
  <c r="M643" i="5"/>
  <c r="O630" i="5"/>
  <c r="Z585" i="2"/>
  <c r="P534" i="5"/>
  <c r="P454" i="5"/>
  <c r="M425" i="5"/>
  <c r="X412" i="2"/>
  <c r="Y388" i="2"/>
  <c r="W383" i="2"/>
  <c r="P376" i="5"/>
  <c r="M372" i="5"/>
  <c r="AB364" i="2"/>
  <c r="P355" i="5"/>
  <c r="N350" i="5"/>
  <c r="Y346" i="2"/>
  <c r="L311" i="5"/>
  <c r="N289" i="5"/>
  <c r="L286" i="5"/>
  <c r="O279" i="5"/>
  <c r="K259" i="5"/>
  <c r="K257" i="5"/>
  <c r="O254" i="5"/>
  <c r="N243" i="5"/>
  <c r="L239" i="5"/>
  <c r="M212" i="5"/>
  <c r="M210" i="5"/>
  <c r="L199" i="5"/>
  <c r="N191" i="5"/>
  <c r="P183" i="5"/>
  <c r="M159" i="5"/>
  <c r="O151" i="5"/>
  <c r="K143" i="5"/>
  <c r="L127" i="5"/>
  <c r="N119" i="5"/>
  <c r="K111" i="5"/>
  <c r="O95" i="5"/>
  <c r="X761" i="2"/>
  <c r="AB668" i="2"/>
  <c r="N620" i="5"/>
  <c r="V591" i="2"/>
  <c r="Z586" i="2"/>
  <c r="C43" i="14"/>
  <c r="F43" i="14" s="1"/>
  <c r="L531" i="5"/>
  <c r="M516" i="5"/>
  <c r="Z508" i="2"/>
  <c r="K492" i="5"/>
  <c r="M486" i="5"/>
  <c r="Z466" i="2"/>
  <c r="M452" i="5"/>
  <c r="Y447" i="2"/>
  <c r="W434" i="2"/>
  <c r="P435" i="5"/>
  <c r="O424" i="5"/>
  <c r="K379" i="5"/>
  <c r="C29" i="14"/>
  <c r="F29" i="14" s="1"/>
  <c r="W368" i="2"/>
  <c r="V368" i="2"/>
  <c r="AB368" i="2"/>
  <c r="Z368" i="2"/>
  <c r="X368" i="2"/>
  <c r="K360" i="5"/>
  <c r="L347" i="5"/>
  <c r="N345" i="5"/>
  <c r="N343" i="5"/>
  <c r="K328" i="5"/>
  <c r="O318" i="5"/>
  <c r="O316" i="5"/>
  <c r="M296" i="5"/>
  <c r="O291" i="5"/>
  <c r="N276" i="5"/>
  <c r="O264" i="5"/>
  <c r="N249" i="5"/>
  <c r="N247" i="5"/>
  <c r="M235" i="5"/>
  <c r="M233" i="5"/>
  <c r="K227" i="5"/>
  <c r="K202" i="5"/>
  <c r="M194" i="5"/>
  <c r="O178" i="5"/>
  <c r="K170" i="5"/>
  <c r="L162" i="5"/>
  <c r="N154" i="5"/>
  <c r="P138" i="5"/>
  <c r="L130" i="5"/>
  <c r="M122" i="5"/>
  <c r="O106" i="5"/>
  <c r="P98" i="5"/>
  <c r="P90" i="5"/>
  <c r="K74" i="5"/>
  <c r="M66" i="5"/>
  <c r="O58" i="5"/>
  <c r="F8" i="18"/>
  <c r="AB705" i="2"/>
  <c r="N675" i="5"/>
  <c r="X623" i="2"/>
  <c r="AB576" i="2"/>
  <c r="Z576" i="2"/>
  <c r="Y576" i="2"/>
  <c r="V576" i="2"/>
  <c r="W576" i="2"/>
  <c r="L566" i="5"/>
  <c r="V556" i="2"/>
  <c r="O555" i="5"/>
  <c r="AB538" i="2"/>
  <c r="Y498" i="2"/>
  <c r="P484" i="5"/>
  <c r="O483" i="5"/>
  <c r="K451" i="5"/>
  <c r="N443" i="5"/>
  <c r="O417" i="5"/>
  <c r="O416" i="5"/>
  <c r="N382" i="5"/>
  <c r="AB307" i="2"/>
  <c r="V307" i="2"/>
  <c r="Z307" i="2"/>
  <c r="Y307" i="2"/>
  <c r="X307" i="2"/>
  <c r="M308" i="5"/>
  <c r="L303" i="5"/>
  <c r="M283" i="5"/>
  <c r="O281" i="5"/>
  <c r="M278" i="5"/>
  <c r="L225" i="5"/>
  <c r="M197" i="5"/>
  <c r="O189" i="5"/>
  <c r="K173" i="5"/>
  <c r="M165" i="5"/>
  <c r="O157" i="5"/>
  <c r="K141" i="5"/>
  <c r="M133" i="5"/>
  <c r="O125" i="5"/>
  <c r="P117" i="5"/>
  <c r="K101" i="5"/>
  <c r="N93" i="5"/>
  <c r="P85" i="5"/>
  <c r="N69" i="5"/>
  <c r="P61" i="5"/>
  <c r="AB745" i="2"/>
  <c r="AB700" i="2"/>
  <c r="E53" i="14"/>
  <c r="H53" i="14" s="1"/>
  <c r="P686" i="5"/>
  <c r="L652" i="5"/>
  <c r="V644" i="2"/>
  <c r="Z634" i="2"/>
  <c r="J47" i="15"/>
  <c r="AB592" i="2"/>
  <c r="Z592" i="2"/>
  <c r="Y592" i="2"/>
  <c r="V592" i="2"/>
  <c r="X592" i="2"/>
  <c r="Z559" i="2"/>
  <c r="M556" i="5"/>
  <c r="K475" i="5"/>
  <c r="N470" i="5"/>
  <c r="P408" i="5"/>
  <c r="V396" i="2"/>
  <c r="AB384" i="2"/>
  <c r="V384" i="2"/>
  <c r="Y384" i="2"/>
  <c r="Z384" i="2"/>
  <c r="W384" i="2"/>
  <c r="C30" i="14"/>
  <c r="F30" i="14" s="1"/>
  <c r="O359" i="5"/>
  <c r="Z601" i="2"/>
  <c r="E40" i="14"/>
  <c r="H40" i="14" s="1"/>
  <c r="W537" i="2"/>
  <c r="V537" i="2"/>
  <c r="AB537" i="2"/>
  <c r="Y537" i="2"/>
  <c r="Z537" i="2"/>
  <c r="V404" i="2"/>
  <c r="K404" i="5"/>
  <c r="W390" i="2"/>
  <c r="P388" i="5"/>
  <c r="K380" i="5"/>
  <c r="K220" i="5"/>
  <c r="K219" i="5"/>
  <c r="X178" i="2"/>
  <c r="N155" i="5"/>
  <c r="K152" i="5"/>
  <c r="O142" i="5"/>
  <c r="P132" i="5"/>
  <c r="N105" i="5"/>
  <c r="O193" i="5"/>
  <c r="P131" i="5"/>
  <c r="M128" i="5"/>
  <c r="K118" i="5"/>
  <c r="N79" i="5"/>
  <c r="V326" i="2"/>
  <c r="M214" i="5"/>
  <c r="M203" i="5"/>
  <c r="M300" i="5"/>
  <c r="AB201" i="2"/>
  <c r="Z205" i="2"/>
  <c r="N703" i="5"/>
  <c r="F51" i="18"/>
  <c r="B50" i="15"/>
  <c r="Z677" i="2"/>
  <c r="X677" i="2"/>
  <c r="AB677" i="2"/>
  <c r="W677" i="2"/>
  <c r="V677" i="2"/>
  <c r="O671" i="5"/>
  <c r="N663" i="5"/>
  <c r="N655" i="5"/>
  <c r="O647" i="5"/>
  <c r="L639" i="5"/>
  <c r="P631" i="5"/>
  <c r="O623" i="5"/>
  <c r="Z605" i="2"/>
  <c r="X605" i="2"/>
  <c r="AB605" i="2"/>
  <c r="W605" i="2"/>
  <c r="V605" i="2"/>
  <c r="P599" i="5"/>
  <c r="K591" i="5"/>
  <c r="L583" i="5"/>
  <c r="L575" i="5"/>
  <c r="K567" i="5"/>
  <c r="L559" i="5"/>
  <c r="N551" i="5"/>
  <c r="C40" i="14"/>
  <c r="F40" i="14" s="1"/>
  <c r="Z533" i="2"/>
  <c r="X533" i="2"/>
  <c r="AB533" i="2"/>
  <c r="W533" i="2"/>
  <c r="V533" i="2"/>
  <c r="Z525" i="2"/>
  <c r="Y525" i="2"/>
  <c r="W525" i="2"/>
  <c r="V525" i="2"/>
  <c r="AB525" i="2"/>
  <c r="P519" i="5"/>
  <c r="K511" i="5"/>
  <c r="P503" i="5"/>
  <c r="K495" i="5"/>
  <c r="M487" i="5"/>
  <c r="N479" i="5"/>
  <c r="K463" i="5"/>
  <c r="M455" i="5"/>
  <c r="N447" i="5"/>
  <c r="O431" i="5"/>
  <c r="K423" i="5"/>
  <c r="M415" i="5"/>
  <c r="N407" i="5"/>
  <c r="P391" i="5"/>
  <c r="W974" i="2"/>
  <c r="V944" i="2"/>
  <c r="AB944" i="2"/>
  <c r="Z944" i="2"/>
  <c r="W944" i="2"/>
  <c r="X944" i="2"/>
  <c r="O931" i="5"/>
  <c r="L907" i="5"/>
  <c r="P883" i="5"/>
  <c r="V836" i="2"/>
  <c r="O770" i="5"/>
  <c r="O762" i="5"/>
  <c r="M754" i="5"/>
  <c r="L738" i="5"/>
  <c r="N730" i="5"/>
  <c r="O722" i="5"/>
  <c r="K714" i="5"/>
  <c r="K698" i="5"/>
  <c r="M690" i="5"/>
  <c r="P682" i="5"/>
  <c r="K666" i="5"/>
  <c r="M658" i="5"/>
  <c r="P650" i="5"/>
  <c r="O634" i="5"/>
  <c r="L626" i="5"/>
  <c r="O618" i="5"/>
  <c r="L594" i="5"/>
  <c r="N586" i="5"/>
  <c r="P578" i="5"/>
  <c r="P562" i="5"/>
  <c r="M554" i="5"/>
  <c r="P546" i="5"/>
  <c r="L530" i="5"/>
  <c r="M522" i="5"/>
  <c r="O514" i="5"/>
  <c r="K498" i="5"/>
  <c r="L490" i="5"/>
  <c r="M482" i="5"/>
  <c r="P474" i="5"/>
  <c r="L458" i="5"/>
  <c r="N450" i="5"/>
  <c r="P442" i="5"/>
  <c r="L426" i="5"/>
  <c r="N418" i="5"/>
  <c r="P410" i="5"/>
  <c r="K394" i="5"/>
  <c r="M386" i="5"/>
  <c r="O378" i="5"/>
  <c r="V961" i="2"/>
  <c r="V892" i="2"/>
  <c r="Y868" i="2"/>
  <c r="O860" i="5"/>
  <c r="W803" i="2"/>
  <c r="W780" i="2"/>
  <c r="M765" i="5"/>
  <c r="L757" i="5"/>
  <c r="P749" i="5"/>
  <c r="K733" i="5"/>
  <c r="L725" i="5"/>
  <c r="M717" i="5"/>
  <c r="M701" i="5"/>
  <c r="N693" i="5"/>
  <c r="P685" i="5"/>
  <c r="K677" i="5"/>
  <c r="M661" i="5"/>
  <c r="O653" i="5"/>
  <c r="K645" i="5"/>
  <c r="L629" i="5"/>
  <c r="K621" i="5"/>
  <c r="M613" i="5"/>
  <c r="N597" i="5"/>
  <c r="P589" i="5"/>
  <c r="L581" i="5"/>
  <c r="K565" i="5"/>
  <c r="M557" i="5"/>
  <c r="O549" i="5"/>
  <c r="M541" i="5"/>
  <c r="O525" i="5"/>
  <c r="K517" i="5"/>
  <c r="M509" i="5"/>
  <c r="N493" i="5"/>
  <c r="P485" i="5"/>
  <c r="K477" i="5"/>
  <c r="N461" i="5"/>
  <c r="P453" i="5"/>
  <c r="L445" i="5"/>
  <c r="L437" i="5"/>
  <c r="N421" i="5"/>
  <c r="P413" i="5"/>
  <c r="L405" i="5"/>
  <c r="N963" i="5"/>
  <c r="V941" i="2"/>
  <c r="V934" i="2"/>
  <c r="V918" i="2"/>
  <c r="Y910" i="2"/>
  <c r="Z877" i="2"/>
  <c r="Y870" i="2"/>
  <c r="K867" i="5"/>
  <c r="V832" i="2"/>
  <c r="AB832" i="2"/>
  <c r="Z832" i="2"/>
  <c r="Y832" i="2"/>
  <c r="X832" i="2"/>
  <c r="Y814" i="2"/>
  <c r="K788" i="5"/>
  <c r="K780" i="5"/>
  <c r="P768" i="5"/>
  <c r="M760" i="5"/>
  <c r="N752" i="5"/>
  <c r="N744" i="5"/>
  <c r="O736" i="5"/>
  <c r="O728" i="5"/>
  <c r="P720" i="5"/>
  <c r="E51" i="14"/>
  <c r="H51" i="14" s="1"/>
  <c r="V702" i="2"/>
  <c r="AB702" i="2"/>
  <c r="Z702" i="2"/>
  <c r="Y702" i="2"/>
  <c r="W702" i="2"/>
  <c r="M696" i="5"/>
  <c r="M688" i="5"/>
  <c r="P680" i="5"/>
  <c r="O672" i="5"/>
  <c r="K664" i="5"/>
  <c r="L656" i="5"/>
  <c r="N648" i="5"/>
  <c r="V622" i="2"/>
  <c r="AB622" i="2"/>
  <c r="X622" i="2"/>
  <c r="Z622" i="2"/>
  <c r="Y622" i="2"/>
  <c r="K616" i="5"/>
  <c r="L608" i="5"/>
  <c r="M600" i="5"/>
  <c r="N592" i="5"/>
  <c r="O584" i="5"/>
  <c r="O576" i="5"/>
  <c r="V558" i="2"/>
  <c r="AB558" i="2"/>
  <c r="W558" i="2"/>
  <c r="Z558" i="2"/>
  <c r="Y558" i="2"/>
  <c r="V550" i="2"/>
  <c r="AB550" i="2"/>
  <c r="X550" i="2"/>
  <c r="Y550" i="2"/>
  <c r="Z550" i="2"/>
  <c r="K544" i="5"/>
  <c r="L536" i="5"/>
  <c r="M528" i="5"/>
  <c r="N520" i="5"/>
  <c r="N512" i="5"/>
  <c r="N504" i="5"/>
  <c r="P488" i="5"/>
  <c r="K480" i="5"/>
  <c r="M979" i="5"/>
  <c r="Y958" i="2"/>
  <c r="V897" i="2"/>
  <c r="W873" i="2"/>
  <c r="V854" i="2"/>
  <c r="K851" i="5"/>
  <c r="Z826" i="2"/>
  <c r="Z817" i="2"/>
  <c r="N812" i="5"/>
  <c r="K797" i="5"/>
  <c r="M787" i="5"/>
  <c r="M779" i="5"/>
  <c r="K774" i="5"/>
  <c r="N761" i="5"/>
  <c r="N753" i="5"/>
  <c r="P745" i="5"/>
  <c r="L737" i="5"/>
  <c r="L721" i="5"/>
  <c r="L713" i="5"/>
  <c r="P705" i="5"/>
  <c r="P689" i="5"/>
  <c r="L681" i="5"/>
  <c r="O673" i="5"/>
  <c r="N657" i="5"/>
  <c r="K649" i="5"/>
  <c r="L641" i="5"/>
  <c r="K625" i="5"/>
  <c r="L617" i="5"/>
  <c r="N609" i="5"/>
  <c r="P601" i="5"/>
  <c r="L585" i="5"/>
  <c r="N577" i="5"/>
  <c r="P569" i="5"/>
  <c r="K553" i="5"/>
  <c r="N545" i="5"/>
  <c r="O537" i="5"/>
  <c r="K521" i="5"/>
  <c r="M513" i="5"/>
  <c r="O505" i="5"/>
  <c r="N971" i="5"/>
  <c r="Z850" i="2"/>
  <c r="V756" i="2"/>
  <c r="N739" i="5"/>
  <c r="L726" i="5"/>
  <c r="L716" i="5"/>
  <c r="Y798" i="2"/>
  <c r="L763" i="5"/>
  <c r="K750" i="5"/>
  <c r="W743" i="2"/>
  <c r="O740" i="5"/>
  <c r="O710" i="5"/>
  <c r="P699" i="5"/>
  <c r="N676" i="5"/>
  <c r="L660" i="5"/>
  <c r="L659" i="5"/>
  <c r="O622" i="5"/>
  <c r="W615" i="2"/>
  <c r="V588" i="2"/>
  <c r="P571" i="5"/>
  <c r="O558" i="5"/>
  <c r="V840" i="2"/>
  <c r="AB840" i="2"/>
  <c r="Z840" i="2"/>
  <c r="Y840" i="2"/>
  <c r="W840" i="2"/>
  <c r="V782" i="2"/>
  <c r="W774" i="2"/>
  <c r="K776" i="5"/>
  <c r="B56" i="15"/>
  <c r="AB753" i="2"/>
  <c r="K734" i="5"/>
  <c r="L723" i="5"/>
  <c r="AB690" i="2"/>
  <c r="O684" i="5"/>
  <c r="O683" i="5"/>
  <c r="AB641" i="2"/>
  <c r="V851" i="2"/>
  <c r="L836" i="5"/>
  <c r="W792" i="2"/>
  <c r="O758" i="5"/>
  <c r="O747" i="5"/>
  <c r="N724" i="5"/>
  <c r="M708" i="5"/>
  <c r="L707" i="5"/>
  <c r="D49" i="14"/>
  <c r="G49" i="14" s="1"/>
  <c r="P619" i="5"/>
  <c r="P606" i="5"/>
  <c r="Z572" i="2"/>
  <c r="AB971" i="2"/>
  <c r="AB949" i="2"/>
  <c r="Z862" i="2"/>
  <c r="V802" i="2"/>
  <c r="Y790" i="2"/>
  <c r="M771" i="5"/>
  <c r="N748" i="5"/>
  <c r="Y738" i="2"/>
  <c r="C53" i="14"/>
  <c r="F53" i="14" s="1"/>
  <c r="AB728" i="2"/>
  <c r="Z728" i="2"/>
  <c r="V728" i="2"/>
  <c r="X728" i="2"/>
  <c r="W728" i="2"/>
  <c r="Z719" i="2"/>
  <c r="N694" i="5"/>
  <c r="Y687" i="2"/>
  <c r="Z843" i="2"/>
  <c r="O802" i="5"/>
  <c r="O786" i="5"/>
  <c r="N784" i="5"/>
  <c r="V770" i="2"/>
  <c r="W762" i="2"/>
  <c r="O756" i="5"/>
  <c r="O755" i="5"/>
  <c r="M718" i="5"/>
  <c r="AB698" i="2"/>
  <c r="L667" i="5"/>
  <c r="AB651" i="2"/>
  <c r="Z651" i="2"/>
  <c r="W651" i="2"/>
  <c r="Y651" i="2"/>
  <c r="V651" i="2"/>
  <c r="V647" i="2"/>
  <c r="O644" i="5"/>
  <c r="M614" i="5"/>
  <c r="M603" i="5"/>
  <c r="O580" i="5"/>
  <c r="Z570" i="2"/>
  <c r="K563" i="5"/>
  <c r="P526" i="5"/>
  <c r="Y519" i="2"/>
  <c r="N457" i="5"/>
  <c r="L446" i="5"/>
  <c r="N396" i="5"/>
  <c r="M367" i="5"/>
  <c r="K354" i="5"/>
  <c r="M346" i="5"/>
  <c r="O338" i="5"/>
  <c r="K322" i="5"/>
  <c r="M314" i="5"/>
  <c r="O306" i="5"/>
  <c r="K290" i="5"/>
  <c r="L282" i="5"/>
  <c r="O274" i="5"/>
  <c r="P266" i="5"/>
  <c r="P250" i="5"/>
  <c r="V902" i="2"/>
  <c r="W795" i="2"/>
  <c r="Y787" i="2"/>
  <c r="L742" i="5"/>
  <c r="Z727" i="2"/>
  <c r="P691" i="5"/>
  <c r="Z682" i="2"/>
  <c r="L678" i="5"/>
  <c r="N668" i="5"/>
  <c r="M638" i="5"/>
  <c r="M604" i="5"/>
  <c r="Y594" i="2"/>
  <c r="AB584" i="2"/>
  <c r="Z584" i="2"/>
  <c r="V584" i="2"/>
  <c r="W584" i="2"/>
  <c r="X584" i="2"/>
  <c r="L550" i="5"/>
  <c r="W543" i="2"/>
  <c r="Z490" i="2"/>
  <c r="K456" i="5"/>
  <c r="M433" i="5"/>
  <c r="K422" i="5"/>
  <c r="O393" i="5"/>
  <c r="L365" i="5"/>
  <c r="M349" i="5"/>
  <c r="O341" i="5"/>
  <c r="K333" i="5"/>
  <c r="N309" i="5"/>
  <c r="P301" i="5"/>
  <c r="L293" i="5"/>
  <c r="P277" i="5"/>
  <c r="O269" i="5"/>
  <c r="K261" i="5"/>
  <c r="L245" i="5"/>
  <c r="M237" i="5"/>
  <c r="O229" i="5"/>
  <c r="K213" i="5"/>
  <c r="M205" i="5"/>
  <c r="V940" i="2"/>
  <c r="V886" i="2"/>
  <c r="Y849" i="2"/>
  <c r="O803" i="5"/>
  <c r="AB772" i="2"/>
  <c r="P766" i="5"/>
  <c r="P715" i="5"/>
  <c r="AB699" i="2"/>
  <c r="Z699" i="2"/>
  <c r="W699" i="2"/>
  <c r="V699" i="2"/>
  <c r="Y699" i="2"/>
  <c r="V695" i="2"/>
  <c r="O692" i="5"/>
  <c r="O662" i="5"/>
  <c r="K651" i="5"/>
  <c r="K628" i="5"/>
  <c r="Y618" i="2"/>
  <c r="C45" i="14"/>
  <c r="F45" i="14" s="1"/>
  <c r="AB608" i="2"/>
  <c r="Z608" i="2"/>
  <c r="V608" i="2"/>
  <c r="X608" i="2"/>
  <c r="W608" i="2"/>
  <c r="Z554" i="2"/>
  <c r="K523" i="5"/>
  <c r="K510" i="5"/>
  <c r="C38" i="14"/>
  <c r="F38" i="14" s="1"/>
  <c r="M494" i="5"/>
  <c r="W474" i="2"/>
  <c r="O473" i="5"/>
  <c r="O472" i="5"/>
  <c r="X458" i="2"/>
  <c r="P459" i="5"/>
  <c r="P449" i="5"/>
  <c r="P432" i="5"/>
  <c r="Z769" i="2"/>
  <c r="W684" i="2"/>
  <c r="O590" i="5"/>
  <c r="O582" i="5"/>
  <c r="M572" i="5"/>
  <c r="N547" i="5"/>
  <c r="O542" i="5"/>
  <c r="O540" i="5"/>
  <c r="N507" i="5"/>
  <c r="L502" i="5"/>
  <c r="K500" i="5"/>
  <c r="O499" i="5"/>
  <c r="W465" i="2"/>
  <c r="V465" i="2"/>
  <c r="AB465" i="2"/>
  <c r="Z465" i="2"/>
  <c r="Y465" i="2"/>
  <c r="N467" i="5"/>
  <c r="N438" i="5"/>
  <c r="M430" i="5"/>
  <c r="P414" i="5"/>
  <c r="J31" i="15"/>
  <c r="O384" i="5"/>
  <c r="N366" i="5"/>
  <c r="N364" i="5"/>
  <c r="N344" i="5"/>
  <c r="O339" i="5"/>
  <c r="P324" i="5"/>
  <c r="K297" i="5"/>
  <c r="K295" i="5"/>
  <c r="V657" i="2"/>
  <c r="N636" i="5"/>
  <c r="M598" i="5"/>
  <c r="AB580" i="2"/>
  <c r="W575" i="2"/>
  <c r="L548" i="5"/>
  <c r="P508" i="5"/>
  <c r="E35" i="14"/>
  <c r="H35" i="14" s="1"/>
  <c r="V462" i="2"/>
  <c r="AB462" i="2"/>
  <c r="Z462" i="2"/>
  <c r="Y462" i="2"/>
  <c r="W462" i="2"/>
  <c r="V450" i="2"/>
  <c r="N448" i="5"/>
  <c r="AB434" i="2"/>
  <c r="C31" i="14"/>
  <c r="F31" i="14" s="1"/>
  <c r="V398" i="2"/>
  <c r="AB398" i="2"/>
  <c r="Z398" i="2"/>
  <c r="X398" i="2"/>
  <c r="W398" i="2"/>
  <c r="P400" i="5"/>
  <c r="K369" i="5"/>
  <c r="M361" i="5"/>
  <c r="N358" i="5"/>
  <c r="N356" i="5"/>
  <c r="M351" i="5"/>
  <c r="O331" i="5"/>
  <c r="Y325" i="2"/>
  <c r="M326" i="5"/>
  <c r="L287" i="5"/>
  <c r="P265" i="5"/>
  <c r="L262" i="5"/>
  <c r="F22" i="18"/>
  <c r="W737" i="2"/>
  <c r="W716" i="2"/>
  <c r="X692" i="2"/>
  <c r="V562" i="2"/>
  <c r="AB532" i="2"/>
  <c r="B40" i="15"/>
  <c r="AB515" i="2"/>
  <c r="Z515" i="2"/>
  <c r="W515" i="2"/>
  <c r="X515" i="2"/>
  <c r="V515" i="2"/>
  <c r="L515" i="5"/>
  <c r="K491" i="5"/>
  <c r="M464" i="5"/>
  <c r="Z708" i="2"/>
  <c r="N643" i="5"/>
  <c r="P630" i="5"/>
  <c r="K534" i="5"/>
  <c r="AB471" i="2"/>
  <c r="K454" i="5"/>
  <c r="N425" i="5"/>
  <c r="AB408" i="2"/>
  <c r="Z408" i="2"/>
  <c r="Y408" i="2"/>
  <c r="W408" i="2"/>
  <c r="V408" i="2"/>
  <c r="B32" i="15"/>
  <c r="AB395" i="2"/>
  <c r="Z395" i="2"/>
  <c r="X395" i="2"/>
  <c r="W395" i="2"/>
  <c r="V395" i="2"/>
  <c r="E30" i="14"/>
  <c r="H30" i="14" s="1"/>
  <c r="AB387" i="2"/>
  <c r="Z387" i="2"/>
  <c r="Y387" i="2"/>
  <c r="W387" i="2"/>
  <c r="V387" i="2"/>
  <c r="O383" i="5"/>
  <c r="K376" i="5"/>
  <c r="N372" i="5"/>
  <c r="X364" i="2"/>
  <c r="K353" i="5"/>
  <c r="O350" i="5"/>
  <c r="D27" i="14"/>
  <c r="G27" i="14" s="1"/>
  <c r="M311" i="5"/>
  <c r="O289" i="5"/>
  <c r="M286" i="5"/>
  <c r="P279" i="5"/>
  <c r="L259" i="5"/>
  <c r="L257" i="5"/>
  <c r="P254" i="5"/>
  <c r="O243" i="5"/>
  <c r="M239" i="5"/>
  <c r="N212" i="5"/>
  <c r="N210" i="5"/>
  <c r="X202" i="2"/>
  <c r="M199" i="5"/>
  <c r="O191" i="5"/>
  <c r="K183" i="5"/>
  <c r="L167" i="5"/>
  <c r="N159" i="5"/>
  <c r="P151" i="5"/>
  <c r="L135" i="5"/>
  <c r="M127" i="5"/>
  <c r="P119" i="5"/>
  <c r="O103" i="5"/>
  <c r="P95" i="5"/>
  <c r="AB748" i="2"/>
  <c r="O620" i="5"/>
  <c r="W591" i="2"/>
  <c r="D43" i="14"/>
  <c r="G43" i="14" s="1"/>
  <c r="X577" i="2"/>
  <c r="M531" i="5"/>
  <c r="N516" i="5"/>
  <c r="V508" i="2"/>
  <c r="V479" i="2"/>
  <c r="D35" i="14"/>
  <c r="G35" i="14" s="1"/>
  <c r="N452" i="5"/>
  <c r="E34" i="14"/>
  <c r="H34" i="14" s="1"/>
  <c r="X433" i="2"/>
  <c r="V415" i="2"/>
  <c r="L379" i="5"/>
  <c r="K371" i="5"/>
  <c r="L360" i="5"/>
  <c r="M347" i="5"/>
  <c r="O345" i="5"/>
  <c r="V338" i="2"/>
  <c r="L328" i="5"/>
  <c r="P318" i="5"/>
  <c r="P316" i="5"/>
  <c r="N296" i="5"/>
  <c r="P291" i="5"/>
  <c r="P276" i="5"/>
  <c r="C21" i="14"/>
  <c r="F21" i="14" s="1"/>
  <c r="Z248" i="2"/>
  <c r="AB248" i="2"/>
  <c r="X248" i="2"/>
  <c r="W248" i="2"/>
  <c r="V248" i="2"/>
  <c r="O249" i="5"/>
  <c r="O247" i="5"/>
  <c r="N235" i="5"/>
  <c r="L231" i="5"/>
  <c r="L227" i="5"/>
  <c r="L202" i="5"/>
  <c r="N194" i="5"/>
  <c r="P178" i="5"/>
  <c r="L170" i="5"/>
  <c r="M162" i="5"/>
  <c r="O146" i="5"/>
  <c r="K138" i="5"/>
  <c r="M130" i="5"/>
  <c r="N122" i="5"/>
  <c r="P106" i="5"/>
  <c r="K98" i="5"/>
  <c r="M90" i="5"/>
  <c r="L74" i="5"/>
  <c r="N66" i="5"/>
  <c r="P58" i="5"/>
  <c r="W782" i="2"/>
  <c r="V705" i="2"/>
  <c r="O675" i="5"/>
  <c r="L579" i="5"/>
  <c r="N566" i="5"/>
  <c r="X556" i="2"/>
  <c r="P555" i="5"/>
  <c r="X538" i="2"/>
  <c r="Z498" i="2"/>
  <c r="K484" i="5"/>
  <c r="Z446" i="2"/>
  <c r="O443" i="5"/>
  <c r="P417" i="5"/>
  <c r="V402" i="2"/>
  <c r="O382" i="5"/>
  <c r="O335" i="5"/>
  <c r="Z319" i="2"/>
  <c r="N310" i="5"/>
  <c r="N308" i="5"/>
  <c r="M303" i="5"/>
  <c r="N283" i="5"/>
  <c r="P281" i="5"/>
  <c r="M225" i="5"/>
  <c r="N197" i="5"/>
  <c r="P189" i="5"/>
  <c r="L173" i="5"/>
  <c r="N165" i="5"/>
  <c r="P157" i="5"/>
  <c r="L141" i="5"/>
  <c r="N133" i="5"/>
  <c r="P125" i="5"/>
  <c r="M109" i="5"/>
  <c r="L101" i="5"/>
  <c r="O93" i="5"/>
  <c r="O69" i="5"/>
  <c r="K61" i="5"/>
  <c r="V745" i="2"/>
  <c r="Z787" i="2"/>
  <c r="AB719" i="2"/>
  <c r="L686" i="5"/>
  <c r="M652" i="5"/>
  <c r="W644" i="2"/>
  <c r="V625" i="2"/>
  <c r="L595" i="5"/>
  <c r="AB559" i="2"/>
  <c r="N556" i="5"/>
  <c r="Y454" i="2"/>
  <c r="O441" i="5"/>
  <c r="O440" i="5"/>
  <c r="K387" i="5"/>
  <c r="L337" i="5"/>
  <c r="P334" i="5"/>
  <c r="P332" i="5"/>
  <c r="Z304" i="2"/>
  <c r="X304" i="2"/>
  <c r="Y304" i="2"/>
  <c r="V304" i="2"/>
  <c r="AB304" i="2"/>
  <c r="L305" i="5"/>
  <c r="O302" i="5"/>
  <c r="Z513" i="2"/>
  <c r="W404" i="2"/>
  <c r="K388" i="5"/>
  <c r="J30" i="15"/>
  <c r="L220" i="5"/>
  <c r="L219" i="5"/>
  <c r="W170" i="2"/>
  <c r="O105" i="5"/>
  <c r="M246" i="5"/>
  <c r="M223" i="5"/>
  <c r="K131" i="5"/>
  <c r="N128" i="5"/>
  <c r="N108" i="5"/>
  <c r="L52" i="5"/>
  <c r="P46" i="5"/>
  <c r="K38" i="5"/>
  <c r="L30" i="5"/>
  <c r="N71" i="5"/>
  <c r="N97" i="5"/>
  <c r="N80" i="5"/>
  <c r="N403" i="5"/>
  <c r="X326" i="2"/>
  <c r="P65" i="5"/>
  <c r="N62" i="5"/>
  <c r="V145" i="2"/>
  <c r="AB145" i="2"/>
  <c r="X145" i="2"/>
  <c r="Z145" i="2"/>
  <c r="Y145" i="2"/>
  <c r="Z80" i="2"/>
  <c r="AB80" i="2"/>
  <c r="X80" i="2"/>
  <c r="W80" i="2"/>
  <c r="V80" i="2"/>
  <c r="B10" i="15"/>
  <c r="Z305" i="2"/>
  <c r="AB95" i="2"/>
  <c r="L81" i="5"/>
  <c r="M64" i="5"/>
  <c r="L22" i="5"/>
  <c r="N14" i="5"/>
  <c r="D10" i="14"/>
  <c r="G10" i="14" s="1"/>
  <c r="AB91" i="2"/>
  <c r="Z91" i="2"/>
  <c r="X91" i="2"/>
  <c r="Y91" i="2"/>
  <c r="V91" i="2"/>
  <c r="Z76" i="2"/>
  <c r="Z511" i="2"/>
  <c r="AB601" i="2"/>
  <c r="AB162" i="2"/>
  <c r="X7" i="2"/>
  <c r="C5" i="6"/>
  <c r="V905" i="2"/>
  <c r="Y889" i="2"/>
  <c r="W857" i="2"/>
  <c r="O844" i="5"/>
  <c r="V816" i="2"/>
  <c r="AB816" i="2"/>
  <c r="Z816" i="2"/>
  <c r="Y816" i="2"/>
  <c r="W816" i="2"/>
  <c r="V972" i="2"/>
  <c r="P939" i="5"/>
  <c r="O923" i="5"/>
  <c r="M915" i="5"/>
  <c r="W899" i="2"/>
  <c r="V888" i="2"/>
  <c r="AB888" i="2"/>
  <c r="Z888" i="2"/>
  <c r="Y888" i="2"/>
  <c r="W888" i="2"/>
  <c r="O875" i="5"/>
  <c r="W834" i="2"/>
  <c r="P827" i="5"/>
  <c r="L792" i="5"/>
  <c r="Z788" i="2"/>
  <c r="W785" i="2"/>
  <c r="Z785" i="2"/>
  <c r="AB785" i="2"/>
  <c r="V785" i="2"/>
  <c r="X785" i="2"/>
  <c r="E56" i="14"/>
  <c r="H56" i="14" s="1"/>
  <c r="Y777" i="2"/>
  <c r="W777" i="2"/>
  <c r="AB777" i="2"/>
  <c r="Z777" i="2"/>
  <c r="V777" i="2"/>
  <c r="Z757" i="2"/>
  <c r="Y757" i="2"/>
  <c r="X757" i="2"/>
  <c r="AB757" i="2"/>
  <c r="V757" i="2"/>
  <c r="M751" i="5"/>
  <c r="L743" i="5"/>
  <c r="M735" i="5"/>
  <c r="N727" i="5"/>
  <c r="O719" i="5"/>
  <c r="P711" i="5"/>
  <c r="Z693" i="2"/>
  <c r="Y693" i="2"/>
  <c r="AB693" i="2"/>
  <c r="W693" i="2"/>
  <c r="V693" i="2"/>
  <c r="Z685" i="2"/>
  <c r="Y685" i="2"/>
  <c r="X685" i="2"/>
  <c r="V685" i="2"/>
  <c r="AB685" i="2"/>
  <c r="L679" i="5"/>
  <c r="L671" i="5"/>
  <c r="O663" i="5"/>
  <c r="P655" i="5"/>
  <c r="P647" i="5"/>
  <c r="P639" i="5"/>
  <c r="K631" i="5"/>
  <c r="Z613" i="2"/>
  <c r="Y613" i="2"/>
  <c r="X613" i="2"/>
  <c r="V613" i="2"/>
  <c r="AB613" i="2"/>
  <c r="P607" i="5"/>
  <c r="K599" i="5"/>
  <c r="L591" i="5"/>
  <c r="M583" i="5"/>
  <c r="M575" i="5"/>
  <c r="L567" i="5"/>
  <c r="N559" i="5"/>
  <c r="D40" i="14"/>
  <c r="G40" i="14" s="1"/>
  <c r="Z541" i="2"/>
  <c r="Y541" i="2"/>
  <c r="X541" i="2"/>
  <c r="AB541" i="2"/>
  <c r="V541" i="2"/>
  <c r="P535" i="5"/>
  <c r="P527" i="5"/>
  <c r="K519" i="5"/>
  <c r="L511" i="5"/>
  <c r="K503" i="5"/>
  <c r="M495" i="5"/>
  <c r="N487" i="5"/>
  <c r="L471" i="5"/>
  <c r="L463" i="5"/>
  <c r="N455" i="5"/>
  <c r="O447" i="5"/>
  <c r="P431" i="5"/>
  <c r="L423" i="5"/>
  <c r="N415" i="5"/>
  <c r="O399" i="5"/>
  <c r="K391" i="5"/>
  <c r="P947" i="5"/>
  <c r="Z938" i="2"/>
  <c r="V931" i="2"/>
  <c r="N931" i="5"/>
  <c r="O907" i="5"/>
  <c r="M883" i="5"/>
  <c r="D61" i="14"/>
  <c r="G61" i="14" s="1"/>
  <c r="V856" i="2"/>
  <c r="AB856" i="2"/>
  <c r="Z856" i="2"/>
  <c r="Y856" i="2"/>
  <c r="X856" i="2"/>
  <c r="Y852" i="2"/>
  <c r="W836" i="2"/>
  <c r="O828" i="5"/>
  <c r="O820" i="5"/>
  <c r="K770" i="5"/>
  <c r="K762" i="5"/>
  <c r="N754" i="5"/>
  <c r="N738" i="5"/>
  <c r="O730" i="5"/>
  <c r="P722" i="5"/>
  <c r="L706" i="5"/>
  <c r="L698" i="5"/>
  <c r="N690" i="5"/>
  <c r="O674" i="5"/>
  <c r="L666" i="5"/>
  <c r="N658" i="5"/>
  <c r="J48" i="15"/>
  <c r="P634" i="5"/>
  <c r="O626" i="5"/>
  <c r="P618" i="5"/>
  <c r="K602" i="5"/>
  <c r="M594" i="5"/>
  <c r="O586" i="5"/>
  <c r="K570" i="5"/>
  <c r="L562" i="5"/>
  <c r="N554" i="5"/>
  <c r="K538" i="5"/>
  <c r="M530" i="5"/>
  <c r="N522" i="5"/>
  <c r="P514" i="5"/>
  <c r="O498" i="5"/>
  <c r="M490" i="5"/>
  <c r="N482" i="5"/>
  <c r="K466" i="5"/>
  <c r="M458" i="5"/>
  <c r="O450" i="5"/>
  <c r="K434" i="5"/>
  <c r="M426" i="5"/>
  <c r="O418" i="5"/>
  <c r="J32" i="15"/>
  <c r="L394" i="5"/>
  <c r="N386" i="5"/>
  <c r="P378" i="5"/>
  <c r="P860" i="5"/>
  <c r="W810" i="2"/>
  <c r="M773" i="5"/>
  <c r="O765" i="5"/>
  <c r="N757" i="5"/>
  <c r="O741" i="5"/>
  <c r="L733" i="5"/>
  <c r="M725" i="5"/>
  <c r="N717" i="5"/>
  <c r="N701" i="5"/>
  <c r="O693" i="5"/>
  <c r="K685" i="5"/>
  <c r="L669" i="5"/>
  <c r="N661" i="5"/>
  <c r="P653" i="5"/>
  <c r="K637" i="5"/>
  <c r="M629" i="5"/>
  <c r="L621" i="5"/>
  <c r="N605" i="5"/>
  <c r="O597" i="5"/>
  <c r="K589" i="5"/>
  <c r="M581" i="5"/>
  <c r="M565" i="5"/>
  <c r="N557" i="5"/>
  <c r="P549" i="5"/>
  <c r="N533" i="5"/>
  <c r="P525" i="5"/>
  <c r="L517" i="5"/>
  <c r="M501" i="5"/>
  <c r="O493" i="5"/>
  <c r="K485" i="5"/>
  <c r="L477" i="5"/>
  <c r="O461" i="5"/>
  <c r="K453" i="5"/>
  <c r="M445" i="5"/>
  <c r="M429" i="5"/>
  <c r="O421" i="5"/>
  <c r="K413" i="5"/>
  <c r="W965" i="2"/>
  <c r="V952" i="2"/>
  <c r="AB952" i="2"/>
  <c r="Z952" i="2"/>
  <c r="Y952" i="2"/>
  <c r="X952" i="2"/>
  <c r="V924" i="2"/>
  <c r="W918" i="2"/>
  <c r="Z908" i="2"/>
  <c r="V884" i="2"/>
  <c r="N867" i="5"/>
  <c r="K835" i="5"/>
  <c r="M788" i="5"/>
  <c r="M780" i="5"/>
  <c r="M768" i="5"/>
  <c r="N760" i="5"/>
  <c r="O752" i="5"/>
  <c r="O744" i="5"/>
  <c r="P736" i="5"/>
  <c r="P728" i="5"/>
  <c r="V710" i="2"/>
  <c r="AB710" i="2"/>
  <c r="X710" i="2"/>
  <c r="Z710" i="2"/>
  <c r="W710" i="2"/>
  <c r="M704" i="5"/>
  <c r="O696" i="5"/>
  <c r="O688" i="5"/>
  <c r="K680" i="5"/>
  <c r="K672" i="5"/>
  <c r="L664" i="5"/>
  <c r="N656" i="5"/>
  <c r="C47" i="14"/>
  <c r="F47" i="14" s="1"/>
  <c r="V638" i="2"/>
  <c r="AB638" i="2"/>
  <c r="X638" i="2"/>
  <c r="Z638" i="2"/>
  <c r="W638" i="2"/>
  <c r="V630" i="2"/>
  <c r="AB630" i="2"/>
  <c r="Z630" i="2"/>
  <c r="W630" i="2"/>
  <c r="Y630" i="2"/>
  <c r="K624" i="5"/>
  <c r="L616" i="5"/>
  <c r="M608" i="5"/>
  <c r="N600" i="5"/>
  <c r="O592" i="5"/>
  <c r="P584" i="5"/>
  <c r="V566" i="2"/>
  <c r="AB566" i="2"/>
  <c r="X566" i="2"/>
  <c r="W566" i="2"/>
  <c r="Z566" i="2"/>
  <c r="N560" i="5"/>
  <c r="N552" i="5"/>
  <c r="L544" i="5"/>
  <c r="M536" i="5"/>
  <c r="N528" i="5"/>
  <c r="O520" i="5"/>
  <c r="O512" i="5"/>
  <c r="O504" i="5"/>
  <c r="M488" i="5"/>
  <c r="L480" i="5"/>
  <c r="K979" i="5"/>
  <c r="Z956" i="2"/>
  <c r="W897" i="2"/>
  <c r="Y873" i="2"/>
  <c r="L851" i="5"/>
  <c r="AB826" i="2"/>
  <c r="V820" i="2"/>
  <c r="AB817" i="2"/>
  <c r="M812" i="5"/>
  <c r="L797" i="5"/>
  <c r="N787" i="5"/>
  <c r="N779" i="5"/>
  <c r="L774" i="5"/>
  <c r="K761" i="5"/>
  <c r="P753" i="5"/>
  <c r="L745" i="5"/>
  <c r="K729" i="5"/>
  <c r="M721" i="5"/>
  <c r="M713" i="5"/>
  <c r="N697" i="5"/>
  <c r="K689" i="5"/>
  <c r="M681" i="5"/>
  <c r="N665" i="5"/>
  <c r="P657" i="5"/>
  <c r="L649" i="5"/>
  <c r="M641" i="5"/>
  <c r="M625" i="5"/>
  <c r="M617" i="5"/>
  <c r="O609" i="5"/>
  <c r="K593" i="5"/>
  <c r="M585" i="5"/>
  <c r="O577" i="5"/>
  <c r="O561" i="5"/>
  <c r="L553" i="5"/>
  <c r="O545" i="5"/>
  <c r="P537" i="5"/>
  <c r="L521" i="5"/>
  <c r="N513" i="5"/>
  <c r="P505" i="5"/>
  <c r="AB850" i="2"/>
  <c r="V818" i="2"/>
  <c r="Z802" i="2"/>
  <c r="W756" i="2"/>
  <c r="AB730" i="2"/>
  <c r="M726" i="5"/>
  <c r="V719" i="2"/>
  <c r="M716" i="5"/>
  <c r="Z942" i="2"/>
  <c r="Z926" i="2"/>
  <c r="Z841" i="2"/>
  <c r="N763" i="5"/>
  <c r="P750" i="5"/>
  <c r="J54" i="15"/>
  <c r="F52" i="18"/>
  <c r="L699" i="5"/>
  <c r="O676" i="5"/>
  <c r="M660" i="5"/>
  <c r="M659" i="5"/>
  <c r="P622" i="5"/>
  <c r="Y615" i="2"/>
  <c r="W588" i="2"/>
  <c r="AB562" i="2"/>
  <c r="P558" i="5"/>
  <c r="Z894" i="2"/>
  <c r="K843" i="5"/>
  <c r="V786" i="2"/>
  <c r="Z774" i="2"/>
  <c r="L776" i="5"/>
  <c r="N764" i="5"/>
  <c r="V753" i="2"/>
  <c r="P734" i="5"/>
  <c r="Y727" i="2"/>
  <c r="K700" i="5"/>
  <c r="W690" i="2"/>
  <c r="P684" i="5"/>
  <c r="AB643" i="2"/>
  <c r="Z643" i="2"/>
  <c r="Y643" i="2"/>
  <c r="X643" i="2"/>
  <c r="V643" i="2"/>
  <c r="V641" i="2"/>
  <c r="Y865" i="2"/>
  <c r="V865" i="2"/>
  <c r="AB865" i="2"/>
  <c r="Z865" i="2"/>
  <c r="X865" i="2"/>
  <c r="P836" i="5"/>
  <c r="AB792" i="2"/>
  <c r="P747" i="5"/>
  <c r="K724" i="5"/>
  <c r="N708" i="5"/>
  <c r="M707" i="5"/>
  <c r="AB667" i="2"/>
  <c r="Z667" i="2"/>
  <c r="Y667" i="2"/>
  <c r="V667" i="2"/>
  <c r="X667" i="2"/>
  <c r="V663" i="2"/>
  <c r="V636" i="2"/>
  <c r="K619" i="5"/>
  <c r="K606" i="5"/>
  <c r="M596" i="5"/>
  <c r="V572" i="2"/>
  <c r="V971" i="2"/>
  <c r="AB948" i="2"/>
  <c r="V808" i="2"/>
  <c r="AB808" i="2"/>
  <c r="Z808" i="2"/>
  <c r="Y808" i="2"/>
  <c r="X808" i="2"/>
  <c r="V800" i="2"/>
  <c r="AB800" i="2"/>
  <c r="Z800" i="2"/>
  <c r="W800" i="2"/>
  <c r="X800" i="2"/>
  <c r="V790" i="2"/>
  <c r="K771" i="5"/>
  <c r="P748" i="5"/>
  <c r="Z738" i="2"/>
  <c r="O731" i="5"/>
  <c r="V706" i="2"/>
  <c r="O694" i="5"/>
  <c r="E50" i="14"/>
  <c r="H50" i="14" s="1"/>
  <c r="AB963" i="2"/>
  <c r="P802" i="5"/>
  <c r="P786" i="5"/>
  <c r="W779" i="2"/>
  <c r="AB779" i="2"/>
  <c r="X779" i="2"/>
  <c r="V779" i="2"/>
  <c r="Z779" i="2"/>
  <c r="L772" i="5"/>
  <c r="Y762" i="2"/>
  <c r="P756" i="5"/>
  <c r="J55" i="15"/>
  <c r="N718" i="5"/>
  <c r="W698" i="2"/>
  <c r="M667" i="5"/>
  <c r="K654" i="5"/>
  <c r="W647" i="2"/>
  <c r="P644" i="5"/>
  <c r="N614" i="5"/>
  <c r="N603" i="5"/>
  <c r="P580" i="5"/>
  <c r="L564" i="5"/>
  <c r="L563" i="5"/>
  <c r="K526" i="5"/>
  <c r="AB506" i="2"/>
  <c r="O457" i="5"/>
  <c r="M446" i="5"/>
  <c r="O396" i="5"/>
  <c r="N367" i="5"/>
  <c r="L354" i="5"/>
  <c r="N346" i="5"/>
  <c r="P338" i="5"/>
  <c r="L322" i="5"/>
  <c r="N314" i="5"/>
  <c r="P306" i="5"/>
  <c r="L290" i="5"/>
  <c r="M282" i="5"/>
  <c r="L274" i="5"/>
  <c r="O258" i="5"/>
  <c r="K250" i="5"/>
  <c r="AB955" i="2"/>
  <c r="W902" i="2"/>
  <c r="AB791" i="2"/>
  <c r="Z791" i="2"/>
  <c r="W791" i="2"/>
  <c r="X791" i="2"/>
  <c r="V791" i="2"/>
  <c r="Z767" i="2"/>
  <c r="M742" i="5"/>
  <c r="L691" i="5"/>
  <c r="O668" i="5"/>
  <c r="N638" i="5"/>
  <c r="AB624" i="2"/>
  <c r="Z624" i="2"/>
  <c r="Y624" i="2"/>
  <c r="V624" i="2"/>
  <c r="W624" i="2"/>
  <c r="N604" i="5"/>
  <c r="Z594" i="2"/>
  <c r="L587" i="5"/>
  <c r="N550" i="5"/>
  <c r="M460" i="5"/>
  <c r="L456" i="5"/>
  <c r="N433" i="5"/>
  <c r="L422" i="5"/>
  <c r="P393" i="5"/>
  <c r="J29" i="15"/>
  <c r="N349" i="5"/>
  <c r="P341" i="5"/>
  <c r="L333" i="5"/>
  <c r="M317" i="5"/>
  <c r="O309" i="5"/>
  <c r="K301" i="5"/>
  <c r="M285" i="5"/>
  <c r="M277" i="5"/>
  <c r="K269" i="5"/>
  <c r="K253" i="5"/>
  <c r="M245" i="5"/>
  <c r="N237" i="5"/>
  <c r="P229" i="5"/>
  <c r="L213" i="5"/>
  <c r="N205" i="5"/>
  <c r="X940" i="2"/>
  <c r="X886" i="2"/>
  <c r="AB844" i="2"/>
  <c r="K803" i="5"/>
  <c r="X772" i="2"/>
  <c r="M766" i="5"/>
  <c r="W746" i="2"/>
  <c r="K715" i="5"/>
  <c r="K702" i="5"/>
  <c r="W695" i="2"/>
  <c r="P692" i="5"/>
  <c r="P662" i="5"/>
  <c r="P651" i="5"/>
  <c r="L628" i="5"/>
  <c r="Z618" i="2"/>
  <c r="L611" i="5"/>
  <c r="D42" i="14"/>
  <c r="G42" i="14" s="1"/>
  <c r="AB571" i="2"/>
  <c r="Z571" i="2"/>
  <c r="Y571" i="2"/>
  <c r="X571" i="2"/>
  <c r="V571" i="2"/>
  <c r="V567" i="2"/>
  <c r="AB514" i="2"/>
  <c r="L510" i="5"/>
  <c r="V486" i="2"/>
  <c r="AB486" i="2"/>
  <c r="Z486" i="2"/>
  <c r="Y486" i="2"/>
  <c r="W486" i="2"/>
  <c r="Y474" i="2"/>
  <c r="P473" i="5"/>
  <c r="AB459" i="2"/>
  <c r="Z459" i="2"/>
  <c r="Y459" i="2"/>
  <c r="W459" i="2"/>
  <c r="V459" i="2"/>
  <c r="Z458" i="2"/>
  <c r="K459" i="5"/>
  <c r="L436" i="5"/>
  <c r="K432" i="5"/>
  <c r="Z724" i="2"/>
  <c r="AB676" i="2"/>
  <c r="P590" i="5"/>
  <c r="P582" i="5"/>
  <c r="N572" i="5"/>
  <c r="O547" i="5"/>
  <c r="P542" i="5"/>
  <c r="P540" i="5"/>
  <c r="O507" i="5"/>
  <c r="M502" i="5"/>
  <c r="J38" i="15"/>
  <c r="V494" i="2"/>
  <c r="AB494" i="2"/>
  <c r="X494" i="2"/>
  <c r="W494" i="2"/>
  <c r="Z494" i="2"/>
  <c r="L468" i="5"/>
  <c r="P467" i="5"/>
  <c r="O438" i="5"/>
  <c r="V433" i="2"/>
  <c r="V423" i="2"/>
  <c r="K414" i="5"/>
  <c r="B31" i="15"/>
  <c r="AB392" i="2"/>
  <c r="Z392" i="2"/>
  <c r="X392" i="2"/>
  <c r="V392" i="2"/>
  <c r="W392" i="2"/>
  <c r="M381" i="5"/>
  <c r="O366" i="5"/>
  <c r="O364" i="5"/>
  <c r="O344" i="5"/>
  <c r="P339" i="5"/>
  <c r="K324" i="5"/>
  <c r="Z296" i="2"/>
  <c r="X296" i="2"/>
  <c r="V296" i="2"/>
  <c r="AB296" i="2"/>
  <c r="W296" i="2"/>
  <c r="L297" i="5"/>
  <c r="L295" i="5"/>
  <c r="Y729" i="2"/>
  <c r="W657" i="2"/>
  <c r="O636" i="5"/>
  <c r="N598" i="5"/>
  <c r="X575" i="2"/>
  <c r="Z516" i="2"/>
  <c r="K508" i="5"/>
  <c r="N465" i="5"/>
  <c r="W450" i="2"/>
  <c r="O448" i="5"/>
  <c r="AB416" i="2"/>
  <c r="Z416" i="2"/>
  <c r="X416" i="2"/>
  <c r="W416" i="2"/>
  <c r="V416" i="2"/>
  <c r="K401" i="5"/>
  <c r="K400" i="5"/>
  <c r="L369" i="5"/>
  <c r="N361" i="5"/>
  <c r="O358" i="5"/>
  <c r="O356" i="5"/>
  <c r="N351" i="5"/>
  <c r="P331" i="5"/>
  <c r="M287" i="5"/>
  <c r="Y261" i="2"/>
  <c r="M262" i="5"/>
  <c r="L255" i="5"/>
  <c r="Z232" i="2"/>
  <c r="B54" i="15"/>
  <c r="X716" i="2"/>
  <c r="B51" i="15"/>
  <c r="AB642" i="2"/>
  <c r="Z551" i="2"/>
  <c r="Z532" i="2"/>
  <c r="W521" i="2"/>
  <c r="V521" i="2"/>
  <c r="AB521" i="2"/>
  <c r="Z521" i="2"/>
  <c r="X521" i="2"/>
  <c r="O518" i="5"/>
  <c r="M515" i="5"/>
  <c r="L491" i="5"/>
  <c r="AB476" i="2"/>
  <c r="N464" i="5"/>
  <c r="V708" i="2"/>
  <c r="O643" i="5"/>
  <c r="X625" i="2"/>
  <c r="Y609" i="2"/>
  <c r="Y585" i="2"/>
  <c r="L534" i="5"/>
  <c r="V471" i="2"/>
  <c r="L454" i="5"/>
  <c r="O425" i="5"/>
  <c r="K411" i="5"/>
  <c r="N398" i="5"/>
  <c r="N390" i="5"/>
  <c r="P383" i="5"/>
  <c r="L376" i="5"/>
  <c r="O372" i="5"/>
  <c r="Z352" i="2"/>
  <c r="Y352" i="2"/>
  <c r="X352" i="2"/>
  <c r="AB352" i="2"/>
  <c r="V352" i="2"/>
  <c r="L353" i="5"/>
  <c r="P350" i="5"/>
  <c r="W338" i="2"/>
  <c r="N311" i="5"/>
  <c r="P289" i="5"/>
  <c r="L284" i="5"/>
  <c r="K279" i="5"/>
  <c r="M259" i="5"/>
  <c r="M257" i="5"/>
  <c r="X250" i="2"/>
  <c r="N241" i="5"/>
  <c r="N239" i="5"/>
  <c r="O212" i="5"/>
  <c r="M208" i="5"/>
  <c r="K204" i="5"/>
  <c r="N199" i="5"/>
  <c r="P191" i="5"/>
  <c r="L175" i="5"/>
  <c r="M167" i="5"/>
  <c r="O159" i="5"/>
  <c r="K151" i="5"/>
  <c r="M135" i="5"/>
  <c r="N127" i="5"/>
  <c r="K119" i="5"/>
  <c r="L103" i="5"/>
  <c r="K95" i="5"/>
  <c r="V668" i="2"/>
  <c r="P620" i="5"/>
  <c r="Y591" i="2"/>
  <c r="V578" i="2"/>
  <c r="Z577" i="2"/>
  <c r="N531" i="5"/>
  <c r="O516" i="5"/>
  <c r="X508" i="2"/>
  <c r="AB483" i="2"/>
  <c r="Z483" i="2"/>
  <c r="W483" i="2"/>
  <c r="V483" i="2"/>
  <c r="Y483" i="2"/>
  <c r="W479" i="2"/>
  <c r="X457" i="2"/>
  <c r="O452" i="5"/>
  <c r="Y436" i="2"/>
  <c r="E33" i="14"/>
  <c r="H33" i="14" s="1"/>
  <c r="AB432" i="2"/>
  <c r="Z432" i="2"/>
  <c r="Y432" i="2"/>
  <c r="V432" i="2"/>
  <c r="W432" i="2"/>
  <c r="D32" i="14"/>
  <c r="G32" i="14" s="1"/>
  <c r="Z421" i="2"/>
  <c r="Y421" i="2"/>
  <c r="AB421" i="2"/>
  <c r="X421" i="2"/>
  <c r="V421" i="2"/>
  <c r="Z399" i="2"/>
  <c r="M379" i="5"/>
  <c r="L371" i="5"/>
  <c r="M360" i="5"/>
  <c r="N347" i="5"/>
  <c r="P345" i="5"/>
  <c r="AB334" i="2"/>
  <c r="V334" i="2"/>
  <c r="Z334" i="2"/>
  <c r="X334" i="2"/>
  <c r="Y334" i="2"/>
  <c r="M328" i="5"/>
  <c r="K318" i="5"/>
  <c r="K316" i="5"/>
  <c r="O296" i="5"/>
  <c r="AB282" i="2"/>
  <c r="K276" i="5"/>
  <c r="P251" i="5"/>
  <c r="P249" i="5"/>
  <c r="P247" i="5"/>
  <c r="O235" i="5"/>
  <c r="M231" i="5"/>
  <c r="M227" i="5"/>
  <c r="M202" i="5"/>
  <c r="O186" i="5"/>
  <c r="K178" i="5"/>
  <c r="M170" i="5"/>
  <c r="N162" i="5"/>
  <c r="P146" i="5"/>
  <c r="L138" i="5"/>
  <c r="N130" i="5"/>
  <c r="O114" i="5"/>
  <c r="K106" i="5"/>
  <c r="L98" i="5"/>
  <c r="K82" i="5"/>
  <c r="M74" i="5"/>
  <c r="O66" i="5"/>
  <c r="K50" i="5"/>
  <c r="W705" i="2"/>
  <c r="AB663" i="2"/>
  <c r="X593" i="2"/>
  <c r="M579" i="5"/>
  <c r="O566" i="5"/>
  <c r="D41" i="14"/>
  <c r="G41" i="14" s="1"/>
  <c r="Y538" i="2"/>
  <c r="Z484" i="2"/>
  <c r="AB480" i="2"/>
  <c r="Z480" i="2"/>
  <c r="Y480" i="2"/>
  <c r="V480" i="2"/>
  <c r="W480" i="2"/>
  <c r="AB448" i="2"/>
  <c r="Z448" i="2"/>
  <c r="V448" i="2"/>
  <c r="Y448" i="2"/>
  <c r="X448" i="2"/>
  <c r="P443" i="5"/>
  <c r="C32" i="14"/>
  <c r="F32" i="14" s="1"/>
  <c r="Z413" i="2"/>
  <c r="X413" i="2"/>
  <c r="W413" i="2"/>
  <c r="V413" i="2"/>
  <c r="AB413" i="2"/>
  <c r="M389" i="5"/>
  <c r="P382" i="5"/>
  <c r="P335" i="5"/>
  <c r="K313" i="5"/>
  <c r="O310" i="5"/>
  <c r="O308" i="5"/>
  <c r="N303" i="5"/>
  <c r="O283" i="5"/>
  <c r="AB275" i="2"/>
  <c r="Z275" i="2"/>
  <c r="V275" i="2"/>
  <c r="X275" i="2"/>
  <c r="W275" i="2"/>
  <c r="W261" i="2"/>
  <c r="O197" i="5"/>
  <c r="K181" i="5"/>
  <c r="M173" i="5"/>
  <c r="O165" i="5"/>
  <c r="K149" i="5"/>
  <c r="M141" i="5"/>
  <c r="O133" i="5"/>
  <c r="J13" i="15"/>
  <c r="K109" i="5"/>
  <c r="N101" i="5"/>
  <c r="P93" i="5"/>
  <c r="N77" i="5"/>
  <c r="P69" i="5"/>
  <c r="L61" i="5"/>
  <c r="Y778" i="2"/>
  <c r="X673" i="2"/>
  <c r="AB639" i="2"/>
  <c r="K635" i="5"/>
  <c r="Z615" i="2"/>
  <c r="M595" i="5"/>
  <c r="O556" i="5"/>
  <c r="P475" i="5"/>
  <c r="K470" i="5"/>
  <c r="AB454" i="2"/>
  <c r="P441" i="5"/>
  <c r="J34" i="15"/>
  <c r="P392" i="5"/>
  <c r="N374" i="5"/>
  <c r="K359" i="5"/>
  <c r="M337" i="5"/>
  <c r="K334" i="5"/>
  <c r="K332" i="5"/>
  <c r="K307" i="5"/>
  <c r="M305" i="5"/>
  <c r="P302" i="5"/>
  <c r="Y601" i="2"/>
  <c r="AB513" i="2"/>
  <c r="Z390" i="2"/>
  <c r="V321" i="2"/>
  <c r="Y321" i="2"/>
  <c r="AB321" i="2"/>
  <c r="Z321" i="2"/>
  <c r="W321" i="2"/>
  <c r="AB351" i="2"/>
  <c r="P292" i="5"/>
  <c r="V169" i="2"/>
  <c r="AB169" i="2"/>
  <c r="Z169" i="2"/>
  <c r="Y169" i="2"/>
  <c r="X169" i="2"/>
  <c r="K115" i="5"/>
  <c r="P92" i="5"/>
  <c r="Z85" i="2"/>
  <c r="Y85" i="2"/>
  <c r="V85" i="2"/>
  <c r="AB85" i="2"/>
  <c r="X85" i="2"/>
  <c r="Z745" i="2"/>
  <c r="Z340" i="2"/>
  <c r="AB190" i="2"/>
  <c r="AB175" i="2"/>
  <c r="Y78" i="2"/>
  <c r="N246" i="5"/>
  <c r="N223" i="5"/>
  <c r="N207" i="5"/>
  <c r="N206" i="5"/>
  <c r="M54" i="5"/>
  <c r="K48" i="5"/>
  <c r="K46" i="5"/>
  <c r="L38" i="5"/>
  <c r="M30" i="5"/>
  <c r="O71" i="5"/>
  <c r="O97" i="5"/>
  <c r="O80" i="5"/>
  <c r="O403" i="5"/>
  <c r="W548" i="2"/>
  <c r="E10" i="14"/>
  <c r="H10" i="14" s="1"/>
  <c r="Y795" i="2"/>
  <c r="C7" i="14"/>
  <c r="F7" i="14" s="1"/>
  <c r="B27" i="15"/>
  <c r="F9" i="17"/>
  <c r="E9" i="16"/>
  <c r="M511" i="5"/>
  <c r="M503" i="5"/>
  <c r="N495" i="5"/>
  <c r="E36" i="14"/>
  <c r="H36" i="14" s="1"/>
  <c r="Z477" i="2"/>
  <c r="Y477" i="2"/>
  <c r="AB477" i="2"/>
  <c r="W477" i="2"/>
  <c r="V477" i="2"/>
  <c r="O471" i="5"/>
  <c r="M463" i="5"/>
  <c r="O455" i="5"/>
  <c r="O439" i="5"/>
  <c r="K431" i="5"/>
  <c r="M423" i="5"/>
  <c r="P399" i="5"/>
  <c r="L391" i="5"/>
  <c r="L947" i="5"/>
  <c r="Z915" i="2"/>
  <c r="K907" i="5"/>
  <c r="N883" i="5"/>
  <c r="K859" i="5"/>
  <c r="Y838" i="2"/>
  <c r="L828" i="5"/>
  <c r="L820" i="5"/>
  <c r="M770" i="5"/>
  <c r="M762" i="5"/>
  <c r="L746" i="5"/>
  <c r="O738" i="5"/>
  <c r="P730" i="5"/>
  <c r="K722" i="5"/>
  <c r="M706" i="5"/>
  <c r="M698" i="5"/>
  <c r="P690" i="5"/>
  <c r="K674" i="5"/>
  <c r="M666" i="5"/>
  <c r="P658" i="5"/>
  <c r="O642" i="5"/>
  <c r="K634" i="5"/>
  <c r="M626" i="5"/>
  <c r="K610" i="5"/>
  <c r="L602" i="5"/>
  <c r="N594" i="5"/>
  <c r="P586" i="5"/>
  <c r="P570" i="5"/>
  <c r="M562" i="5"/>
  <c r="O554" i="5"/>
  <c r="L538" i="5"/>
  <c r="N530" i="5"/>
  <c r="O522" i="5"/>
  <c r="K506" i="5"/>
  <c r="L498" i="5"/>
  <c r="N490" i="5"/>
  <c r="P482" i="5"/>
  <c r="M466" i="5"/>
  <c r="N458" i="5"/>
  <c r="P450" i="5"/>
  <c r="L434" i="5"/>
  <c r="N426" i="5"/>
  <c r="P418" i="5"/>
  <c r="K402" i="5"/>
  <c r="M394" i="5"/>
  <c r="O386" i="5"/>
  <c r="K370" i="5"/>
  <c r="Y961" i="2"/>
  <c r="V925" i="2"/>
  <c r="V900" i="2"/>
  <c r="Y892" i="2"/>
  <c r="Z867" i="2"/>
  <c r="L860" i="5"/>
  <c r="Y810" i="2"/>
  <c r="V804" i="2"/>
  <c r="K795" i="5"/>
  <c r="O773" i="5"/>
  <c r="L765" i="5"/>
  <c r="P757" i="5"/>
  <c r="K741" i="5"/>
  <c r="M733" i="5"/>
  <c r="N725" i="5"/>
  <c r="K709" i="5"/>
  <c r="O701" i="5"/>
  <c r="P693" i="5"/>
  <c r="M669" i="5"/>
  <c r="O661" i="5"/>
  <c r="K653" i="5"/>
  <c r="L637" i="5"/>
  <c r="N629" i="5"/>
  <c r="M621" i="5"/>
  <c r="O605" i="5"/>
  <c r="P597" i="5"/>
  <c r="L589" i="5"/>
  <c r="M573" i="5"/>
  <c r="N565" i="5"/>
  <c r="O557" i="5"/>
  <c r="L549" i="5"/>
  <c r="O533" i="5"/>
  <c r="K525" i="5"/>
  <c r="M517" i="5"/>
  <c r="N501" i="5"/>
  <c r="P493" i="5"/>
  <c r="L485" i="5"/>
  <c r="K469" i="5"/>
  <c r="P461" i="5"/>
  <c r="L453" i="5"/>
  <c r="N429" i="5"/>
  <c r="P421" i="5"/>
  <c r="L413" i="5"/>
  <c r="V960" i="2"/>
  <c r="AB960" i="2"/>
  <c r="Z960" i="2"/>
  <c r="Y960" i="2"/>
  <c r="W960" i="2"/>
  <c r="M955" i="5"/>
  <c r="W924" i="2"/>
  <c r="W884" i="2"/>
  <c r="AB877" i="2"/>
  <c r="AB870" i="2"/>
  <c r="O867" i="5"/>
  <c r="V846" i="2"/>
  <c r="L835" i="5"/>
  <c r="AB814" i="2"/>
  <c r="AB811" i="2"/>
  <c r="N788" i="5"/>
  <c r="N780" i="5"/>
  <c r="N768" i="5"/>
  <c r="O760" i="5"/>
  <c r="P752" i="5"/>
  <c r="P744" i="5"/>
  <c r="K736" i="5"/>
  <c r="V718" i="2"/>
  <c r="AB718" i="2"/>
  <c r="X718" i="2"/>
  <c r="Z718" i="2"/>
  <c r="Y718" i="2"/>
  <c r="K712" i="5"/>
  <c r="P704" i="5"/>
  <c r="P696" i="5"/>
  <c r="K688" i="5"/>
  <c r="L680" i="5"/>
  <c r="L672" i="5"/>
  <c r="N664" i="5"/>
  <c r="D47" i="14"/>
  <c r="G47" i="14" s="1"/>
  <c r="V646" i="2"/>
  <c r="AB646" i="2"/>
  <c r="X646" i="2"/>
  <c r="Y646" i="2"/>
  <c r="Z646" i="2"/>
  <c r="M640" i="5"/>
  <c r="M632" i="5"/>
  <c r="L624" i="5"/>
  <c r="M616" i="5"/>
  <c r="N608" i="5"/>
  <c r="O600" i="5"/>
  <c r="P592" i="5"/>
  <c r="V574" i="2"/>
  <c r="AB574" i="2"/>
  <c r="X574" i="2"/>
  <c r="Z574" i="2"/>
  <c r="Y574" i="2"/>
  <c r="N568" i="5"/>
  <c r="P560" i="5"/>
  <c r="P552" i="5"/>
  <c r="M544" i="5"/>
  <c r="N536" i="5"/>
  <c r="O528" i="5"/>
  <c r="P520" i="5"/>
  <c r="P512" i="5"/>
  <c r="M496" i="5"/>
  <c r="K488" i="5"/>
  <c r="N480" i="5"/>
  <c r="N979" i="5"/>
  <c r="V921" i="2"/>
  <c r="Y897" i="2"/>
  <c r="W858" i="2"/>
  <c r="N851" i="5"/>
  <c r="V817" i="2"/>
  <c r="K804" i="5"/>
  <c r="M797" i="5"/>
  <c r="O787" i="5"/>
  <c r="O779" i="5"/>
  <c r="N769" i="5"/>
  <c r="O761" i="5"/>
  <c r="L753" i="5"/>
  <c r="L729" i="5"/>
  <c r="N721" i="5"/>
  <c r="P713" i="5"/>
  <c r="P697" i="5"/>
  <c r="L689" i="5"/>
  <c r="O681" i="5"/>
  <c r="P665" i="5"/>
  <c r="K657" i="5"/>
  <c r="M649" i="5"/>
  <c r="N633" i="5"/>
  <c r="N625" i="5"/>
  <c r="N617" i="5"/>
  <c r="P609" i="5"/>
  <c r="L593" i="5"/>
  <c r="N585" i="5"/>
  <c r="P577" i="5"/>
  <c r="K561" i="5"/>
  <c r="M553" i="5"/>
  <c r="P545" i="5"/>
  <c r="K529" i="5"/>
  <c r="M521" i="5"/>
  <c r="O513" i="5"/>
  <c r="C69" i="14"/>
  <c r="F69" i="14" s="1"/>
  <c r="V968" i="2"/>
  <c r="AB968" i="2"/>
  <c r="Z968" i="2"/>
  <c r="W968" i="2"/>
  <c r="X968" i="2"/>
  <c r="W822" i="2"/>
  <c r="AB802" i="2"/>
  <c r="D53" i="14"/>
  <c r="G53" i="14" s="1"/>
  <c r="AB736" i="2"/>
  <c r="Z736" i="2"/>
  <c r="Y736" i="2"/>
  <c r="V736" i="2"/>
  <c r="X736" i="2"/>
  <c r="N726" i="5"/>
  <c r="W719" i="2"/>
  <c r="W957" i="2"/>
  <c r="Y942" i="2"/>
  <c r="AB841" i="2"/>
  <c r="AB798" i="2"/>
  <c r="O763" i="5"/>
  <c r="L750" i="5"/>
  <c r="B52" i="15"/>
  <c r="AB707" i="2"/>
  <c r="Z707" i="2"/>
  <c r="W707" i="2"/>
  <c r="X707" i="2"/>
  <c r="V707" i="2"/>
  <c r="M699" i="5"/>
  <c r="P676" i="5"/>
  <c r="N660" i="5"/>
  <c r="N659" i="5"/>
  <c r="K622" i="5"/>
  <c r="AB602" i="2"/>
  <c r="AB568" i="2"/>
  <c r="Z568" i="2"/>
  <c r="Y568" i="2"/>
  <c r="V568" i="2"/>
  <c r="X568" i="2"/>
  <c r="K558" i="5"/>
  <c r="Y894" i="2"/>
  <c r="L843" i="5"/>
  <c r="W786" i="2"/>
  <c r="B57" i="15"/>
  <c r="M776" i="5"/>
  <c r="L764" i="5"/>
  <c r="W753" i="2"/>
  <c r="L734" i="5"/>
  <c r="AB720" i="2"/>
  <c r="Z720" i="2"/>
  <c r="Y720" i="2"/>
  <c r="V720" i="2"/>
  <c r="W720" i="2"/>
  <c r="L700" i="5"/>
  <c r="Y690" i="2"/>
  <c r="AB680" i="2"/>
  <c r="Z680" i="2"/>
  <c r="V680" i="2"/>
  <c r="X680" i="2"/>
  <c r="W680" i="2"/>
  <c r="K646" i="5"/>
  <c r="W641" i="2"/>
  <c r="K868" i="5"/>
  <c r="Z851" i="2"/>
  <c r="K836" i="5"/>
  <c r="V792" i="2"/>
  <c r="AB755" i="2"/>
  <c r="Z755" i="2"/>
  <c r="W755" i="2"/>
  <c r="X755" i="2"/>
  <c r="V755" i="2"/>
  <c r="V751" i="2"/>
  <c r="K747" i="5"/>
  <c r="L724" i="5"/>
  <c r="O708" i="5"/>
  <c r="N707" i="5"/>
  <c r="K670" i="5"/>
  <c r="W663" i="2"/>
  <c r="W636" i="2"/>
  <c r="AB610" i="2"/>
  <c r="L606" i="5"/>
  <c r="N596" i="5"/>
  <c r="W572" i="2"/>
  <c r="W971" i="2"/>
  <c r="K811" i="5"/>
  <c r="V793" i="2"/>
  <c r="L771" i="5"/>
  <c r="K748" i="5"/>
  <c r="O732" i="5"/>
  <c r="P731" i="5"/>
  <c r="Z700" i="2"/>
  <c r="P694" i="5"/>
  <c r="AB674" i="2"/>
  <c r="V963" i="2"/>
  <c r="AB843" i="2"/>
  <c r="K802" i="5"/>
  <c r="D56" i="14"/>
  <c r="G56" i="14" s="1"/>
  <c r="V781" i="2"/>
  <c r="AB781" i="2"/>
  <c r="X781" i="2"/>
  <c r="Z781" i="2"/>
  <c r="Y781" i="2"/>
  <c r="N782" i="5"/>
  <c r="N772" i="5"/>
  <c r="Z762" i="2"/>
  <c r="B55" i="15"/>
  <c r="AB752" i="2"/>
  <c r="Z752" i="2"/>
  <c r="V752" i="2"/>
  <c r="W752" i="2"/>
  <c r="X752" i="2"/>
  <c r="Z743" i="2"/>
  <c r="O718" i="5"/>
  <c r="N667" i="5"/>
  <c r="M654" i="5"/>
  <c r="Y628" i="2"/>
  <c r="O603" i="5"/>
  <c r="K580" i="5"/>
  <c r="M564" i="5"/>
  <c r="M563" i="5"/>
  <c r="L526" i="5"/>
  <c r="W506" i="2"/>
  <c r="P457" i="5"/>
  <c r="N446" i="5"/>
  <c r="P396" i="5"/>
  <c r="K362" i="5"/>
  <c r="M354" i="5"/>
  <c r="O346" i="5"/>
  <c r="K330" i="5"/>
  <c r="M322" i="5"/>
  <c r="O314" i="5"/>
  <c r="K298" i="5"/>
  <c r="M290" i="5"/>
  <c r="N282" i="5"/>
  <c r="P274" i="5"/>
  <c r="P258" i="5"/>
  <c r="L250" i="5"/>
  <c r="V955" i="2"/>
  <c r="X902" i="2"/>
  <c r="P794" i="5"/>
  <c r="V754" i="2"/>
  <c r="N742" i="5"/>
  <c r="W722" i="2"/>
  <c r="M691" i="5"/>
  <c r="AB675" i="2"/>
  <c r="Z675" i="2"/>
  <c r="W675" i="2"/>
  <c r="V675" i="2"/>
  <c r="Y675" i="2"/>
  <c r="V671" i="2"/>
  <c r="P668" i="5"/>
  <c r="O638" i="5"/>
  <c r="K627" i="5"/>
  <c r="O604" i="5"/>
  <c r="M588" i="5"/>
  <c r="M587" i="5"/>
  <c r="O550" i="5"/>
  <c r="N460" i="5"/>
  <c r="M456" i="5"/>
  <c r="O433" i="5"/>
  <c r="M422" i="5"/>
  <c r="M357" i="5"/>
  <c r="O349" i="5"/>
  <c r="K341" i="5"/>
  <c r="M325" i="5"/>
  <c r="N317" i="5"/>
  <c r="P309" i="5"/>
  <c r="L301" i="5"/>
  <c r="N285" i="5"/>
  <c r="O277" i="5"/>
  <c r="L269" i="5"/>
  <c r="L253" i="5"/>
  <c r="N245" i="5"/>
  <c r="O237" i="5"/>
  <c r="K221" i="5"/>
  <c r="M213" i="5"/>
  <c r="O205" i="5"/>
  <c r="Y940" i="2"/>
  <c r="Y844" i="2"/>
  <c r="M803" i="5"/>
  <c r="O766" i="5"/>
  <c r="X746" i="2"/>
  <c r="L715" i="5"/>
  <c r="N702" i="5"/>
  <c r="X695" i="2"/>
  <c r="Y676" i="2"/>
  <c r="L662" i="5"/>
  <c r="L651" i="5"/>
  <c r="M628" i="5"/>
  <c r="M612" i="5"/>
  <c r="M611" i="5"/>
  <c r="O574" i="5"/>
  <c r="W567" i="2"/>
  <c r="AB520" i="2"/>
  <c r="Z520" i="2"/>
  <c r="Y520" i="2"/>
  <c r="V520" i="2"/>
  <c r="X520" i="2"/>
  <c r="X514" i="2"/>
  <c r="M510" i="5"/>
  <c r="AB491" i="2"/>
  <c r="Z491" i="2"/>
  <c r="X491" i="2"/>
  <c r="W491" i="2"/>
  <c r="V491" i="2"/>
  <c r="E37" i="14"/>
  <c r="H37" i="14" s="1"/>
  <c r="N489" i="5"/>
  <c r="Z474" i="2"/>
  <c r="Z469" i="2"/>
  <c r="Y469" i="2"/>
  <c r="X469" i="2"/>
  <c r="V469" i="2"/>
  <c r="AB469" i="2"/>
  <c r="O462" i="5"/>
  <c r="C35" i="14"/>
  <c r="F35" i="14" s="1"/>
  <c r="M436" i="5"/>
  <c r="L432" i="5"/>
  <c r="Y769" i="2"/>
  <c r="V724" i="2"/>
  <c r="Y652" i="2"/>
  <c r="K590" i="5"/>
  <c r="K582" i="5"/>
  <c r="O572" i="5"/>
  <c r="P547" i="5"/>
  <c r="K542" i="5"/>
  <c r="K540" i="5"/>
  <c r="P507" i="5"/>
  <c r="B38" i="15"/>
  <c r="W497" i="2"/>
  <c r="V497" i="2"/>
  <c r="AB497" i="2"/>
  <c r="Z497" i="2"/>
  <c r="X497" i="2"/>
  <c r="D37" i="14"/>
  <c r="G37" i="14" s="1"/>
  <c r="AB496" i="2"/>
  <c r="Z496" i="2"/>
  <c r="Y496" i="2"/>
  <c r="X496" i="2"/>
  <c r="V496" i="2"/>
  <c r="N497" i="5"/>
  <c r="M468" i="5"/>
  <c r="K467" i="5"/>
  <c r="P438" i="5"/>
  <c r="AB427" i="2"/>
  <c r="V427" i="2"/>
  <c r="Z427" i="2"/>
  <c r="Y427" i="2"/>
  <c r="X427" i="2"/>
  <c r="Z423" i="2"/>
  <c r="L414" i="5"/>
  <c r="K395" i="5"/>
  <c r="AB383" i="2"/>
  <c r="N381" i="5"/>
  <c r="P366" i="5"/>
  <c r="P364" i="5"/>
  <c r="AB330" i="2"/>
  <c r="P312" i="5"/>
  <c r="K299" i="5"/>
  <c r="M297" i="5"/>
  <c r="M295" i="5"/>
  <c r="AB729" i="2"/>
  <c r="V665" i="2"/>
  <c r="E48" i="14"/>
  <c r="H48" i="14" s="1"/>
  <c r="P636" i="5"/>
  <c r="V580" i="2"/>
  <c r="W545" i="2"/>
  <c r="V545" i="2"/>
  <c r="AB545" i="2"/>
  <c r="Z545" i="2"/>
  <c r="X545" i="2"/>
  <c r="V516" i="2"/>
  <c r="L508" i="5"/>
  <c r="L476" i="5"/>
  <c r="O465" i="5"/>
  <c r="Y450" i="2"/>
  <c r="P448" i="5"/>
  <c r="K419" i="5"/>
  <c r="L401" i="5"/>
  <c r="L400" i="5"/>
  <c r="M369" i="5"/>
  <c r="O361" i="5"/>
  <c r="P358" i="5"/>
  <c r="P356" i="5"/>
  <c r="Z338" i="2"/>
  <c r="K329" i="5"/>
  <c r="C26" i="14"/>
  <c r="F26" i="14" s="1"/>
  <c r="AB323" i="2"/>
  <c r="Z323" i="2"/>
  <c r="W323" i="2"/>
  <c r="V323" i="2"/>
  <c r="X323" i="2"/>
  <c r="AB293" i="2"/>
  <c r="N287" i="5"/>
  <c r="Z261" i="2"/>
  <c r="K260" i="5"/>
  <c r="M255" i="5"/>
  <c r="AB743" i="2"/>
  <c r="W642" i="2"/>
  <c r="Z535" i="2"/>
  <c r="V532" i="2"/>
  <c r="M524" i="5"/>
  <c r="P518" i="5"/>
  <c r="N515" i="5"/>
  <c r="P491" i="5"/>
  <c r="V476" i="2"/>
  <c r="P464" i="5"/>
  <c r="W708" i="2"/>
  <c r="E46" i="14"/>
  <c r="H46" i="14" s="1"/>
  <c r="AB627" i="2"/>
  <c r="Z627" i="2"/>
  <c r="W627" i="2"/>
  <c r="Y627" i="2"/>
  <c r="V627" i="2"/>
  <c r="AB609" i="2"/>
  <c r="AB585" i="2"/>
  <c r="M534" i="5"/>
  <c r="W471" i="2"/>
  <c r="M454" i="5"/>
  <c r="P425" i="5"/>
  <c r="L411" i="5"/>
  <c r="O398" i="5"/>
  <c r="O390" i="5"/>
  <c r="K383" i="5"/>
  <c r="M376" i="5"/>
  <c r="P372" i="5"/>
  <c r="K355" i="5"/>
  <c r="M353" i="5"/>
  <c r="K350" i="5"/>
  <c r="AB290" i="2"/>
  <c r="AB283" i="2"/>
  <c r="Y283" i="2"/>
  <c r="X283" i="2"/>
  <c r="Z283" i="2"/>
  <c r="V283" i="2"/>
  <c r="M284" i="5"/>
  <c r="L279" i="5"/>
  <c r="N259" i="5"/>
  <c r="AB251" i="2"/>
  <c r="X251" i="2"/>
  <c r="W251" i="2"/>
  <c r="Z251" i="2"/>
  <c r="V251" i="2"/>
  <c r="E21" i="14"/>
  <c r="H21" i="14" s="1"/>
  <c r="Y250" i="2"/>
  <c r="O241" i="5"/>
  <c r="O239" i="5"/>
  <c r="P212" i="5"/>
  <c r="N208" i="5"/>
  <c r="L204" i="5"/>
  <c r="O199" i="5"/>
  <c r="K191" i="5"/>
  <c r="M175" i="5"/>
  <c r="N167" i="5"/>
  <c r="P159" i="5"/>
  <c r="L143" i="5"/>
  <c r="N135" i="5"/>
  <c r="P127" i="5"/>
  <c r="O111" i="5"/>
  <c r="M103" i="5"/>
  <c r="L95" i="5"/>
  <c r="AB761" i="2"/>
  <c r="V748" i="2"/>
  <c r="W668" i="2"/>
  <c r="K620" i="5"/>
  <c r="V586" i="2"/>
  <c r="Y577" i="2"/>
  <c r="O531" i="5"/>
  <c r="P516" i="5"/>
  <c r="L492" i="5"/>
  <c r="K486" i="5"/>
  <c r="X479" i="2"/>
  <c r="Y457" i="2"/>
  <c r="P452" i="5"/>
  <c r="Z436" i="2"/>
  <c r="K435" i="5"/>
  <c r="P424" i="5"/>
  <c r="N379" i="5"/>
  <c r="M371" i="5"/>
  <c r="N360" i="5"/>
  <c r="O347" i="5"/>
  <c r="O343" i="5"/>
  <c r="N328" i="5"/>
  <c r="L318" i="5"/>
  <c r="B25" i="15"/>
  <c r="AB302" i="2"/>
  <c r="W302" i="2"/>
  <c r="V302" i="2"/>
  <c r="Z302" i="2"/>
  <c r="X302" i="2"/>
  <c r="C25" i="14"/>
  <c r="F25" i="14" s="1"/>
  <c r="Z288" i="2"/>
  <c r="AB288" i="2"/>
  <c r="Y288" i="2"/>
  <c r="W288" i="2"/>
  <c r="V288" i="2"/>
  <c r="Y282" i="2"/>
  <c r="K264" i="5"/>
  <c r="K251" i="5"/>
  <c r="K249" i="5"/>
  <c r="K247" i="5"/>
  <c r="N233" i="5"/>
  <c r="N231" i="5"/>
  <c r="N227" i="5"/>
  <c r="N202" i="5"/>
  <c r="P186" i="5"/>
  <c r="L178" i="5"/>
  <c r="N170" i="5"/>
  <c r="O154" i="5"/>
  <c r="K146" i="5"/>
  <c r="M138" i="5"/>
  <c r="P114" i="5"/>
  <c r="L106" i="5"/>
  <c r="M98" i="5"/>
  <c r="L82" i="5"/>
  <c r="N74" i="5"/>
  <c r="P66" i="5"/>
  <c r="L50" i="5"/>
  <c r="AB727" i="2"/>
  <c r="E49" i="14"/>
  <c r="H49" i="14" s="1"/>
  <c r="AB672" i="2"/>
  <c r="Z672" i="2"/>
  <c r="Y672" i="2"/>
  <c r="V672" i="2"/>
  <c r="W672" i="2"/>
  <c r="Z593" i="2"/>
  <c r="N579" i="5"/>
  <c r="P566" i="5"/>
  <c r="E41" i="14"/>
  <c r="H41" i="14" s="1"/>
  <c r="AB552" i="2"/>
  <c r="Z552" i="2"/>
  <c r="Y552" i="2"/>
  <c r="V552" i="2"/>
  <c r="W552" i="2"/>
  <c r="Z538" i="2"/>
  <c r="D36" i="14"/>
  <c r="G36" i="14" s="1"/>
  <c r="V481" i="2"/>
  <c r="AB481" i="2"/>
  <c r="Z481" i="2"/>
  <c r="X481" i="2"/>
  <c r="Y481" i="2"/>
  <c r="K483" i="5"/>
  <c r="L451" i="5"/>
  <c r="AB446" i="2"/>
  <c r="K443" i="5"/>
  <c r="P416" i="5"/>
  <c r="N389" i="5"/>
  <c r="K382" i="5"/>
  <c r="K335" i="5"/>
  <c r="L313" i="5"/>
  <c r="P310" i="5"/>
  <c r="P308" i="5"/>
  <c r="W293" i="2"/>
  <c r="P283" i="5"/>
  <c r="O278" i="5"/>
  <c r="Y210" i="2"/>
  <c r="P197" i="5"/>
  <c r="L181" i="5"/>
  <c r="N173" i="5"/>
  <c r="P165" i="5"/>
  <c r="L149" i="5"/>
  <c r="N141" i="5"/>
  <c r="P133" i="5"/>
  <c r="M117" i="5"/>
  <c r="L109" i="5"/>
  <c r="O101" i="5"/>
  <c r="N85" i="5"/>
  <c r="O77" i="5"/>
  <c r="K69" i="5"/>
  <c r="M61" i="5"/>
  <c r="X713" i="2"/>
  <c r="Y732" i="2"/>
  <c r="Y673" i="2"/>
  <c r="O652" i="5"/>
  <c r="P635" i="5"/>
  <c r="W626" i="2"/>
  <c r="V602" i="2"/>
  <c r="N595" i="5"/>
  <c r="V559" i="2"/>
  <c r="P556" i="5"/>
  <c r="V511" i="2"/>
  <c r="M475" i="5"/>
  <c r="L470" i="5"/>
  <c r="V454" i="2"/>
  <c r="B34" i="15"/>
  <c r="Z437" i="2"/>
  <c r="W437" i="2"/>
  <c r="V437" i="2"/>
  <c r="AB437" i="2"/>
  <c r="X437" i="2"/>
  <c r="V434" i="2"/>
  <c r="M408" i="5"/>
  <c r="K392" i="5"/>
  <c r="M387" i="5"/>
  <c r="O374" i="5"/>
  <c r="L359" i="5"/>
  <c r="N337" i="5"/>
  <c r="L334" i="5"/>
  <c r="O327" i="5"/>
  <c r="L307" i="5"/>
  <c r="N305" i="5"/>
  <c r="K302" i="5"/>
  <c r="D44" i="14"/>
  <c r="G44" i="14" s="1"/>
  <c r="V513" i="2"/>
  <c r="L404" i="5"/>
  <c r="N397" i="5"/>
  <c r="V337" i="2"/>
  <c r="AB337" i="2"/>
  <c r="Z337" i="2"/>
  <c r="X337" i="2"/>
  <c r="Y337" i="2"/>
  <c r="X305" i="2"/>
  <c r="K292" i="5"/>
  <c r="M236" i="5"/>
  <c r="B15" i="15"/>
  <c r="AB152" i="2"/>
  <c r="Z152" i="2"/>
  <c r="X152" i="2"/>
  <c r="W152" i="2"/>
  <c r="V152" i="2"/>
  <c r="AB527" i="2"/>
  <c r="Z149" i="2"/>
  <c r="V149" i="2"/>
  <c r="X149" i="2"/>
  <c r="W149" i="2"/>
  <c r="AB149" i="2"/>
  <c r="D14" i="14"/>
  <c r="G14" i="14" s="1"/>
  <c r="AB139" i="2"/>
  <c r="Y139" i="2"/>
  <c r="X139" i="2"/>
  <c r="Z139" i="2"/>
  <c r="V139" i="2"/>
  <c r="Z49" i="2"/>
  <c r="AB49" i="2"/>
  <c r="Z199" i="2"/>
  <c r="P115" i="5"/>
  <c r="AB473" i="2"/>
  <c r="O43" i="5"/>
  <c r="P35" i="5"/>
  <c r="P27" i="5"/>
  <c r="K19" i="5"/>
  <c r="O118" i="5"/>
  <c r="X61" i="2"/>
  <c r="N54" i="5"/>
  <c r="Y309" i="2"/>
  <c r="D8" i="14"/>
  <c r="G8" i="14" s="1"/>
  <c r="N224" i="5"/>
  <c r="L182" i="5"/>
  <c r="P661" i="5"/>
  <c r="L645" i="5"/>
  <c r="M637" i="5"/>
  <c r="O629" i="5"/>
  <c r="N613" i="5"/>
  <c r="P605" i="5"/>
  <c r="K597" i="5"/>
  <c r="M589" i="5"/>
  <c r="N573" i="5"/>
  <c r="O565" i="5"/>
  <c r="P557" i="5"/>
  <c r="N541" i="5"/>
  <c r="P533" i="5"/>
  <c r="L525" i="5"/>
  <c r="N509" i="5"/>
  <c r="O501" i="5"/>
  <c r="K493" i="5"/>
  <c r="J37" i="15"/>
  <c r="M469" i="5"/>
  <c r="K461" i="5"/>
  <c r="M453" i="5"/>
  <c r="M437" i="5"/>
  <c r="O429" i="5"/>
  <c r="K421" i="5"/>
  <c r="M405" i="5"/>
  <c r="P963" i="5"/>
  <c r="L955" i="5"/>
  <c r="V932" i="2"/>
  <c r="Y924" i="2"/>
  <c r="V916" i="2"/>
  <c r="V910" i="2"/>
  <c r="V885" i="2"/>
  <c r="V870" i="2"/>
  <c r="M867" i="5"/>
  <c r="W842" i="2"/>
  <c r="N835" i="5"/>
  <c r="V814" i="2"/>
  <c r="O788" i="5"/>
  <c r="O780" i="5"/>
  <c r="O768" i="5"/>
  <c r="K760" i="5"/>
  <c r="K752" i="5"/>
  <c r="K744" i="5"/>
  <c r="V726" i="2"/>
  <c r="AB726" i="2"/>
  <c r="W726" i="2"/>
  <c r="Z726" i="2"/>
  <c r="Y726" i="2"/>
  <c r="L720" i="5"/>
  <c r="L712" i="5"/>
  <c r="K704" i="5"/>
  <c r="K696" i="5"/>
  <c r="L688" i="5"/>
  <c r="N680" i="5"/>
  <c r="N672" i="5"/>
  <c r="V654" i="2"/>
  <c r="AB654" i="2"/>
  <c r="Z654" i="2"/>
  <c r="Y654" i="2"/>
  <c r="W654" i="2"/>
  <c r="M648" i="5"/>
  <c r="N640" i="5"/>
  <c r="N632" i="5"/>
  <c r="M624" i="5"/>
  <c r="N616" i="5"/>
  <c r="O608" i="5"/>
  <c r="P600" i="5"/>
  <c r="E43" i="14"/>
  <c r="H43" i="14" s="1"/>
  <c r="V582" i="2"/>
  <c r="AB582" i="2"/>
  <c r="Z582" i="2"/>
  <c r="Y582" i="2"/>
  <c r="W582" i="2"/>
  <c r="P576" i="5"/>
  <c r="P568" i="5"/>
  <c r="K560" i="5"/>
  <c r="K552" i="5"/>
  <c r="N544" i="5"/>
  <c r="O536" i="5"/>
  <c r="P528" i="5"/>
  <c r="V502" i="2"/>
  <c r="AB502" i="2"/>
  <c r="X502" i="2"/>
  <c r="Z502" i="2"/>
  <c r="Y502" i="2"/>
  <c r="P496" i="5"/>
  <c r="L488" i="5"/>
  <c r="O480" i="5"/>
  <c r="V965" i="2"/>
  <c r="V958" i="2"/>
  <c r="W921" i="2"/>
  <c r="Y858" i="2"/>
  <c r="V852" i="2"/>
  <c r="P851" i="5"/>
  <c r="Z825" i="2"/>
  <c r="Y817" i="2"/>
  <c r="L804" i="5"/>
  <c r="O797" i="5"/>
  <c r="P787" i="5"/>
  <c r="P779" i="5"/>
  <c r="K769" i="5"/>
  <c r="P761" i="5"/>
  <c r="M753" i="5"/>
  <c r="K737" i="5"/>
  <c r="M729" i="5"/>
  <c r="O721" i="5"/>
  <c r="N705" i="5"/>
  <c r="K697" i="5"/>
  <c r="M689" i="5"/>
  <c r="N673" i="5"/>
  <c r="K665" i="5"/>
  <c r="L657" i="5"/>
  <c r="O649" i="5"/>
  <c r="O633" i="5"/>
  <c r="O625" i="5"/>
  <c r="O617" i="5"/>
  <c r="K601" i="5"/>
  <c r="M593" i="5"/>
  <c r="O585" i="5"/>
  <c r="O569" i="5"/>
  <c r="L561" i="5"/>
  <c r="N553" i="5"/>
  <c r="F41" i="18"/>
  <c r="L529" i="5"/>
  <c r="N521" i="5"/>
  <c r="P513" i="5"/>
  <c r="M971" i="5"/>
  <c r="Y859" i="2"/>
  <c r="Z822" i="2"/>
  <c r="W818" i="2"/>
  <c r="W770" i="2"/>
  <c r="M739" i="5"/>
  <c r="Y730" i="2"/>
  <c r="O726" i="5"/>
  <c r="V957" i="2"/>
  <c r="AB926" i="2"/>
  <c r="V841" i="2"/>
  <c r="V798" i="2"/>
  <c r="AB754" i="2"/>
  <c r="M750" i="5"/>
  <c r="N740" i="5"/>
  <c r="K710" i="5"/>
  <c r="V703" i="2"/>
  <c r="N699" i="5"/>
  <c r="O660" i="5"/>
  <c r="O659" i="5"/>
  <c r="L622" i="5"/>
  <c r="W602" i="2"/>
  <c r="K571" i="5"/>
  <c r="Y562" i="2"/>
  <c r="M558" i="5"/>
  <c r="N843" i="5"/>
  <c r="AB774" i="2"/>
  <c r="N776" i="5"/>
  <c r="K764" i="5"/>
  <c r="M734" i="5"/>
  <c r="O723" i="5"/>
  <c r="M700" i="5"/>
  <c r="K683" i="5"/>
  <c r="M646" i="5"/>
  <c r="L868" i="5"/>
  <c r="M836" i="5"/>
  <c r="K758" i="5"/>
  <c r="L747" i="5"/>
  <c r="M724" i="5"/>
  <c r="P708" i="5"/>
  <c r="O707" i="5"/>
  <c r="M670" i="5"/>
  <c r="Y663" i="2"/>
  <c r="D45" i="14"/>
  <c r="G45" i="14" s="1"/>
  <c r="AB616" i="2"/>
  <c r="Z616" i="2"/>
  <c r="Y616" i="2"/>
  <c r="V616" i="2"/>
  <c r="X616" i="2"/>
  <c r="M606" i="5"/>
  <c r="O596" i="5"/>
  <c r="V949" i="2"/>
  <c r="V948" i="2"/>
  <c r="M811" i="5"/>
  <c r="N771" i="5"/>
  <c r="L748" i="5"/>
  <c r="P732" i="5"/>
  <c r="M731" i="5"/>
  <c r="V700" i="2"/>
  <c r="L694" i="5"/>
  <c r="W674" i="2"/>
  <c r="W963" i="2"/>
  <c r="W843" i="2"/>
  <c r="Y783" i="2"/>
  <c r="AB783" i="2"/>
  <c r="W783" i="2"/>
  <c r="V783" i="2"/>
  <c r="Z783" i="2"/>
  <c r="P784" i="5"/>
  <c r="M782" i="5"/>
  <c r="K772" i="5"/>
  <c r="K755" i="5"/>
  <c r="V730" i="2"/>
  <c r="O667" i="5"/>
  <c r="N654" i="5"/>
  <c r="B48" i="15"/>
  <c r="AB611" i="2"/>
  <c r="Z611" i="2"/>
  <c r="W611" i="2"/>
  <c r="X611" i="2"/>
  <c r="V611" i="2"/>
  <c r="E45" i="14"/>
  <c r="H45" i="14" s="1"/>
  <c r="V607" i="2"/>
  <c r="P603" i="5"/>
  <c r="L580" i="5"/>
  <c r="N564" i="5"/>
  <c r="N563" i="5"/>
  <c r="M526" i="5"/>
  <c r="X506" i="2"/>
  <c r="B35" i="15"/>
  <c r="X452" i="2"/>
  <c r="W452" i="2"/>
  <c r="V452" i="2"/>
  <c r="AB452" i="2"/>
  <c r="Z452" i="2"/>
  <c r="X418" i="2"/>
  <c r="K396" i="5"/>
  <c r="L362" i="5"/>
  <c r="N354" i="5"/>
  <c r="P346" i="5"/>
  <c r="L330" i="5"/>
  <c r="N322" i="5"/>
  <c r="P314" i="5"/>
  <c r="L298" i="5"/>
  <c r="N290" i="5"/>
  <c r="O282" i="5"/>
  <c r="N266" i="5"/>
  <c r="K258" i="5"/>
  <c r="M250" i="5"/>
  <c r="L794" i="5"/>
  <c r="Z753" i="2"/>
  <c r="O742" i="5"/>
  <c r="X722" i="2"/>
  <c r="N691" i="5"/>
  <c r="K678" i="5"/>
  <c r="Z639" i="2"/>
  <c r="P638" i="5"/>
  <c r="L627" i="5"/>
  <c r="P604" i="5"/>
  <c r="N588" i="5"/>
  <c r="N587" i="5"/>
  <c r="P550" i="5"/>
  <c r="W530" i="2"/>
  <c r="O460" i="5"/>
  <c r="N456" i="5"/>
  <c r="P433" i="5"/>
  <c r="M365" i="5"/>
  <c r="N357" i="5"/>
  <c r="P349" i="5"/>
  <c r="L341" i="5"/>
  <c r="N325" i="5"/>
  <c r="O317" i="5"/>
  <c r="K309" i="5"/>
  <c r="M293" i="5"/>
  <c r="O285" i="5"/>
  <c r="K277" i="5"/>
  <c r="L261" i="5"/>
  <c r="M253" i="5"/>
  <c r="O245" i="5"/>
  <c r="P237" i="5"/>
  <c r="L221" i="5"/>
  <c r="N213" i="5"/>
  <c r="P205" i="5"/>
  <c r="Z940" i="2"/>
  <c r="N803" i="5"/>
  <c r="Z746" i="2"/>
  <c r="AB706" i="2"/>
  <c r="O702" i="5"/>
  <c r="V690" i="2"/>
  <c r="Z663" i="2"/>
  <c r="M651" i="5"/>
  <c r="N628" i="5"/>
  <c r="N612" i="5"/>
  <c r="N611" i="5"/>
  <c r="N574" i="5"/>
  <c r="Y567" i="2"/>
  <c r="L523" i="5"/>
  <c r="Y514" i="2"/>
  <c r="N510" i="5"/>
  <c r="K494" i="5"/>
  <c r="K489" i="5"/>
  <c r="V470" i="2"/>
  <c r="AB470" i="2"/>
  <c r="Z470" i="2"/>
  <c r="X470" i="2"/>
  <c r="W470" i="2"/>
  <c r="P472" i="5"/>
  <c r="P462" i="5"/>
  <c r="AB456" i="2"/>
  <c r="Z456" i="2"/>
  <c r="Y456" i="2"/>
  <c r="W456" i="2"/>
  <c r="V456" i="2"/>
  <c r="K449" i="5"/>
  <c r="N436" i="5"/>
  <c r="M432" i="5"/>
  <c r="AB769" i="2"/>
  <c r="L590" i="5"/>
  <c r="L582" i="5"/>
  <c r="P572" i="5"/>
  <c r="K547" i="5"/>
  <c r="L542" i="5"/>
  <c r="L540" i="5"/>
  <c r="AB499" i="2"/>
  <c r="Z499" i="2"/>
  <c r="X499" i="2"/>
  <c r="V499" i="2"/>
  <c r="Y499" i="2"/>
  <c r="L500" i="5"/>
  <c r="K499" i="5"/>
  <c r="K497" i="5"/>
  <c r="O468" i="5"/>
  <c r="L467" i="5"/>
  <c r="K438" i="5"/>
  <c r="N430" i="5"/>
  <c r="W423" i="2"/>
  <c r="M414" i="5"/>
  <c r="L395" i="5"/>
  <c r="P384" i="5"/>
  <c r="O381" i="5"/>
  <c r="K366" i="5"/>
  <c r="K364" i="5"/>
  <c r="Z336" i="2"/>
  <c r="Y336" i="2"/>
  <c r="V336" i="2"/>
  <c r="AB336" i="2"/>
  <c r="W336" i="2"/>
  <c r="Y330" i="2"/>
  <c r="K312" i="5"/>
  <c r="L299" i="5"/>
  <c r="N297" i="5"/>
  <c r="N295" i="5"/>
  <c r="V729" i="2"/>
  <c r="W665" i="2"/>
  <c r="AB636" i="2"/>
  <c r="AB595" i="2"/>
  <c r="Z595" i="2"/>
  <c r="X595" i="2"/>
  <c r="V595" i="2"/>
  <c r="Y595" i="2"/>
  <c r="X580" i="2"/>
  <c r="M548" i="5"/>
  <c r="W516" i="2"/>
  <c r="AB495" i="2"/>
  <c r="M476" i="5"/>
  <c r="L465" i="5"/>
  <c r="Z450" i="2"/>
  <c r="L419" i="5"/>
  <c r="M401" i="5"/>
  <c r="M400" i="5"/>
  <c r="N369" i="5"/>
  <c r="P361" i="5"/>
  <c r="K358" i="5"/>
  <c r="K356" i="5"/>
  <c r="Z328" i="2"/>
  <c r="AB328" i="2"/>
  <c r="Y328" i="2"/>
  <c r="V328" i="2"/>
  <c r="X328" i="2"/>
  <c r="E26" i="14"/>
  <c r="H26" i="14" s="1"/>
  <c r="L329" i="5"/>
  <c r="N326" i="5"/>
  <c r="Z293" i="2"/>
  <c r="L265" i="5"/>
  <c r="AB259" i="2"/>
  <c r="Y259" i="2"/>
  <c r="V259" i="2"/>
  <c r="X259" i="2"/>
  <c r="Z259" i="2"/>
  <c r="B22" i="15"/>
  <c r="L260" i="5"/>
  <c r="N255" i="5"/>
  <c r="X737" i="2"/>
  <c r="AB660" i="2"/>
  <c r="Y642" i="2"/>
  <c r="AB535" i="2"/>
  <c r="X532" i="2"/>
  <c r="N524" i="5"/>
  <c r="K518" i="5"/>
  <c r="O515" i="5"/>
  <c r="M491" i="5"/>
  <c r="W476" i="2"/>
  <c r="O464" i="5"/>
  <c r="AB640" i="2"/>
  <c r="Z640" i="2"/>
  <c r="Y640" i="2"/>
  <c r="V640" i="2"/>
  <c r="X640" i="2"/>
  <c r="K630" i="5"/>
  <c r="Z620" i="2"/>
  <c r="V609" i="2"/>
  <c r="V585" i="2"/>
  <c r="N534" i="5"/>
  <c r="Y471" i="2"/>
  <c r="N454" i="5"/>
  <c r="J33" i="15"/>
  <c r="M411" i="5"/>
  <c r="P398" i="5"/>
  <c r="P390" i="5"/>
  <c r="L383" i="5"/>
  <c r="N376" i="5"/>
  <c r="K372" i="5"/>
  <c r="L355" i="5"/>
  <c r="N353" i="5"/>
  <c r="L350" i="5"/>
  <c r="X319" i="2"/>
  <c r="X290" i="2"/>
  <c r="N286" i="5"/>
  <c r="N284" i="5"/>
  <c r="M279" i="5"/>
  <c r="O259" i="5"/>
  <c r="K254" i="5"/>
  <c r="P243" i="5"/>
  <c r="P241" i="5"/>
  <c r="P239" i="5"/>
  <c r="O210" i="5"/>
  <c r="O208" i="5"/>
  <c r="M204" i="5"/>
  <c r="P199" i="5"/>
  <c r="L183" i="5"/>
  <c r="N175" i="5"/>
  <c r="O167" i="5"/>
  <c r="K159" i="5"/>
  <c r="M143" i="5"/>
  <c r="O135" i="5"/>
  <c r="K127" i="5"/>
  <c r="L111" i="5"/>
  <c r="N103" i="5"/>
  <c r="M95" i="5"/>
  <c r="V761" i="2"/>
  <c r="X748" i="2"/>
  <c r="X668" i="2"/>
  <c r="L620" i="5"/>
  <c r="AB578" i="2"/>
  <c r="AB577" i="2"/>
  <c r="P531" i="5"/>
  <c r="K516" i="5"/>
  <c r="M492" i="5"/>
  <c r="N486" i="5"/>
  <c r="Z457" i="2"/>
  <c r="K452" i="5"/>
  <c r="L435" i="5"/>
  <c r="K424" i="5"/>
  <c r="W399" i="2"/>
  <c r="O379" i="5"/>
  <c r="N371" i="5"/>
  <c r="O360" i="5"/>
  <c r="P347" i="5"/>
  <c r="P343" i="5"/>
  <c r="W330" i="2"/>
  <c r="O328" i="5"/>
  <c r="M318" i="5"/>
  <c r="V298" i="2"/>
  <c r="K291" i="5"/>
  <c r="E23" i="14"/>
  <c r="H23" i="14" s="1"/>
  <c r="L264" i="5"/>
  <c r="L251" i="5"/>
  <c r="L249" i="5"/>
  <c r="X232" i="2"/>
  <c r="O233" i="5"/>
  <c r="O231" i="5"/>
  <c r="O227" i="5"/>
  <c r="O194" i="5"/>
  <c r="K186" i="5"/>
  <c r="M178" i="5"/>
  <c r="J16" i="15"/>
  <c r="P154" i="5"/>
  <c r="L146" i="5"/>
  <c r="N138" i="5"/>
  <c r="O122" i="5"/>
  <c r="K114" i="5"/>
  <c r="M106" i="5"/>
  <c r="K90" i="5"/>
  <c r="M82" i="5"/>
  <c r="O74" i="5"/>
  <c r="K58" i="5"/>
  <c r="M50" i="5"/>
  <c r="K675" i="5"/>
  <c r="AB623" i="2"/>
  <c r="AB593" i="2"/>
  <c r="O579" i="5"/>
  <c r="K566" i="5"/>
  <c r="K555" i="5"/>
  <c r="W546" i="2"/>
  <c r="Y532" i="2"/>
  <c r="L484" i="5"/>
  <c r="L483" i="5"/>
  <c r="M451" i="5"/>
  <c r="V446" i="2"/>
  <c r="K417" i="5"/>
  <c r="K416" i="5"/>
  <c r="O389" i="5"/>
  <c r="L382" i="5"/>
  <c r="L335" i="5"/>
  <c r="M313" i="5"/>
  <c r="K310" i="5"/>
  <c r="K308" i="5"/>
  <c r="Z290" i="2"/>
  <c r="K281" i="5"/>
  <c r="N278" i="5"/>
  <c r="N225" i="5"/>
  <c r="Z202" i="2"/>
  <c r="K189" i="5"/>
  <c r="M181" i="5"/>
  <c r="O173" i="5"/>
  <c r="K157" i="5"/>
  <c r="M149" i="5"/>
  <c r="O141" i="5"/>
  <c r="M125" i="5"/>
  <c r="K117" i="5"/>
  <c r="N109" i="5"/>
  <c r="P101" i="5"/>
  <c r="O85" i="5"/>
  <c r="P77" i="5"/>
  <c r="L69" i="5"/>
  <c r="Z713" i="2"/>
  <c r="AB732" i="2"/>
  <c r="K686" i="5"/>
  <c r="AB673" i="2"/>
  <c r="P652" i="5"/>
  <c r="V634" i="2"/>
  <c r="L635" i="5"/>
  <c r="X626" i="2"/>
  <c r="AB596" i="2"/>
  <c r="O595" i="5"/>
  <c r="X559" i="2"/>
  <c r="K556" i="5"/>
  <c r="Y511" i="2"/>
  <c r="N475" i="5"/>
  <c r="P470" i="5"/>
  <c r="N408" i="5"/>
  <c r="N387" i="5"/>
  <c r="P374" i="5"/>
  <c r="M359" i="5"/>
  <c r="AB500" i="2"/>
  <c r="M404" i="5"/>
  <c r="O397" i="5"/>
  <c r="L388" i="5"/>
  <c r="M380" i="5"/>
  <c r="L340" i="5"/>
  <c r="W273" i="2"/>
  <c r="N236" i="5"/>
  <c r="O220" i="5"/>
  <c r="O219" i="5"/>
  <c r="L132" i="5"/>
  <c r="L105" i="5"/>
  <c r="P43" i="5"/>
  <c r="K35" i="5"/>
  <c r="K27" i="5"/>
  <c r="D12" i="8"/>
  <c r="O12" i="12"/>
  <c r="C7" i="6"/>
  <c r="AB924" i="2"/>
  <c r="AB804" i="2"/>
  <c r="AB759" i="2"/>
  <c r="Z759" i="2"/>
  <c r="AB519" i="2"/>
  <c r="Z519" i="2"/>
  <c r="Z609" i="2"/>
  <c r="AB474" i="2"/>
  <c r="AB399" i="2"/>
  <c r="AB69" i="2"/>
  <c r="Z9" i="2"/>
  <c r="AB114" i="2"/>
  <c r="W9" i="2"/>
  <c r="V9" i="2"/>
  <c r="AB9" i="2"/>
  <c r="Y9" i="2"/>
  <c r="AB279" i="2"/>
  <c r="E7" i="6"/>
  <c r="C7" i="10" s="1"/>
  <c r="E16" i="20" s="1"/>
  <c r="F16" i="20" s="1"/>
  <c r="G16" i="20" s="1"/>
  <c r="W348" i="2"/>
  <c r="W473" i="2"/>
  <c r="W224" i="2"/>
  <c r="Y322" i="2"/>
  <c r="V69" i="2"/>
  <c r="Y114" i="2"/>
  <c r="V106" i="2"/>
  <c r="V222" i="2"/>
  <c r="V351" i="2"/>
  <c r="V500" i="2"/>
  <c r="W596" i="2"/>
  <c r="Y625" i="2"/>
  <c r="V626" i="2"/>
  <c r="AB54" i="2"/>
  <c r="AB444" i="2"/>
  <c r="W228" i="2"/>
  <c r="Z444" i="2"/>
  <c r="Z354" i="2"/>
  <c r="V473" i="2"/>
  <c r="W119" i="2"/>
  <c r="V258" i="2"/>
  <c r="W428" i="2"/>
  <c r="V463" i="2"/>
  <c r="V228" i="2"/>
  <c r="W146" i="2"/>
  <c r="Y178" i="2"/>
  <c r="Y271" i="2"/>
  <c r="Z234" i="2"/>
  <c r="Z69" i="2"/>
  <c r="W410" i="2"/>
  <c r="Y444" i="2"/>
  <c r="Y58" i="2"/>
  <c r="V354" i="2"/>
  <c r="Y132" i="2"/>
  <c r="W407" i="2"/>
  <c r="Y492" i="2"/>
  <c r="Y358" i="2"/>
  <c r="V428" i="2"/>
  <c r="Z129" i="2"/>
  <c r="AB249" i="2"/>
  <c r="Z24" i="2"/>
  <c r="AB489" i="2"/>
  <c r="Y340" i="2"/>
  <c r="Y228" i="2"/>
  <c r="V359" i="2"/>
  <c r="Y154" i="2"/>
  <c r="V255" i="2"/>
  <c r="Y138" i="2"/>
  <c r="W258" i="2"/>
  <c r="V274" i="2"/>
  <c r="Y351" i="2"/>
  <c r="W561" i="2"/>
  <c r="V601" i="2"/>
  <c r="Y495" i="2"/>
  <c r="C5" i="14"/>
  <c r="AB159" i="2"/>
  <c r="AB414" i="2"/>
  <c r="W269" i="2"/>
  <c r="W612" i="2"/>
  <c r="W362" i="2"/>
  <c r="W78" i="2"/>
  <c r="Y487" i="2"/>
  <c r="Z309" i="2"/>
  <c r="W350" i="2"/>
  <c r="Y49" i="2"/>
  <c r="Y190" i="2"/>
  <c r="Y366" i="2"/>
  <c r="V390" i="2"/>
  <c r="W513" i="2"/>
  <c r="V561" i="2"/>
  <c r="V388" i="2"/>
  <c r="W396" i="2"/>
  <c r="W495" i="2"/>
  <c r="Z54" i="2"/>
  <c r="W135" i="2"/>
  <c r="AB309" i="2"/>
  <c r="Z489" i="2"/>
  <c r="W564" i="2"/>
  <c r="V269" i="2"/>
  <c r="W191" i="2"/>
  <c r="W311" i="2"/>
  <c r="V612" i="2"/>
  <c r="Y105" i="2"/>
  <c r="V278" i="2"/>
  <c r="V697" i="2"/>
  <c r="AB129" i="2"/>
  <c r="Z279" i="2"/>
  <c r="Z414" i="2"/>
  <c r="W279" i="2"/>
  <c r="W305" i="2"/>
  <c r="W444" i="2"/>
  <c r="W380" i="2"/>
  <c r="W492" i="2"/>
  <c r="W221" i="2"/>
  <c r="Y463" i="2"/>
  <c r="V487" i="2"/>
  <c r="V548" i="2"/>
  <c r="Y199" i="2"/>
  <c r="W309" i="2"/>
  <c r="AB24" i="2"/>
  <c r="AB234" i="2"/>
  <c r="Z249" i="2"/>
  <c r="Z564" i="2"/>
  <c r="W381" i="2"/>
  <c r="W342" i="2"/>
  <c r="V492" i="2"/>
  <c r="Y697" i="2"/>
  <c r="V221" i="2"/>
  <c r="Z159" i="2"/>
  <c r="W359" i="2"/>
  <c r="Y76" i="2"/>
  <c r="Z114" i="2"/>
  <c r="W69" i="2"/>
  <c r="V194" i="2"/>
  <c r="W266" i="2"/>
  <c r="W351" i="2"/>
  <c r="W500" i="2"/>
  <c r="Y513" i="2"/>
  <c r="M193" i="5"/>
  <c r="N131" i="5"/>
  <c r="L128" i="5"/>
  <c r="P79" i="5"/>
  <c r="W60" i="2"/>
  <c r="V60" i="2"/>
  <c r="AB60" i="2"/>
  <c r="Z60" i="2"/>
  <c r="Y60" i="2"/>
  <c r="AB135" i="2"/>
  <c r="AB255" i="2"/>
  <c r="AB390" i="2"/>
  <c r="AB102" i="2"/>
  <c r="K65" i="5"/>
  <c r="O62" i="5"/>
  <c r="AB428" i="2"/>
  <c r="D10" i="8"/>
  <c r="N602" i="5"/>
  <c r="P594" i="5"/>
  <c r="L578" i="5"/>
  <c r="M570" i="5"/>
  <c r="O562" i="5"/>
  <c r="L546" i="5"/>
  <c r="N538" i="5"/>
  <c r="P530" i="5"/>
  <c r="K514" i="5"/>
  <c r="L506" i="5"/>
  <c r="N498" i="5"/>
  <c r="O474" i="5"/>
  <c r="O466" i="5"/>
  <c r="P458" i="5"/>
  <c r="L442" i="5"/>
  <c r="N434" i="5"/>
  <c r="P426" i="5"/>
  <c r="L410" i="5"/>
  <c r="M402" i="5"/>
  <c r="O394" i="5"/>
  <c r="K378" i="5"/>
  <c r="M370" i="5"/>
  <c r="W969" i="2"/>
  <c r="W939" i="2"/>
  <c r="Y925" i="2"/>
  <c r="Y900" i="2"/>
  <c r="AB867" i="2"/>
  <c r="N860" i="5"/>
  <c r="AB810" i="2"/>
  <c r="N795" i="5"/>
  <c r="N773" i="5"/>
  <c r="P765" i="5"/>
  <c r="K749" i="5"/>
  <c r="M741" i="5"/>
  <c r="P733" i="5"/>
  <c r="P717" i="5"/>
  <c r="P709" i="5"/>
  <c r="K701" i="5"/>
  <c r="L685" i="5"/>
  <c r="M677" i="5"/>
  <c r="O669" i="5"/>
  <c r="K661" i="5"/>
  <c r="M645" i="5"/>
  <c r="N637" i="5"/>
  <c r="P629" i="5"/>
  <c r="O613" i="5"/>
  <c r="K605" i="5"/>
  <c r="L597" i="5"/>
  <c r="N581" i="5"/>
  <c r="O573" i="5"/>
  <c r="P565" i="5"/>
  <c r="L557" i="5"/>
  <c r="O541" i="5"/>
  <c r="K533" i="5"/>
  <c r="M525" i="5"/>
  <c r="O509" i="5"/>
  <c r="P501" i="5"/>
  <c r="L493" i="5"/>
  <c r="M477" i="5"/>
  <c r="N469" i="5"/>
  <c r="L461" i="5"/>
  <c r="N445" i="5"/>
  <c r="N437" i="5"/>
  <c r="P429" i="5"/>
  <c r="L421" i="5"/>
  <c r="N405" i="5"/>
  <c r="L963" i="5"/>
  <c r="O955" i="5"/>
  <c r="W932" i="2"/>
  <c r="Y885" i="2"/>
  <c r="Z884" i="2"/>
  <c r="V876" i="2"/>
  <c r="W870" i="2"/>
  <c r="V859" i="2"/>
  <c r="P835" i="5"/>
  <c r="W809" i="2"/>
  <c r="V809" i="2"/>
  <c r="AB809" i="2"/>
  <c r="Z809" i="2"/>
  <c r="X809" i="2"/>
  <c r="P788" i="5"/>
  <c r="P780" i="5"/>
  <c r="K768" i="5"/>
  <c r="L760" i="5"/>
  <c r="L752" i="5"/>
  <c r="V734" i="2"/>
  <c r="AB734" i="2"/>
  <c r="X734" i="2"/>
  <c r="Z734" i="2"/>
  <c r="W734" i="2"/>
  <c r="L728" i="5"/>
  <c r="M720" i="5"/>
  <c r="M712" i="5"/>
  <c r="L704" i="5"/>
  <c r="L696" i="5"/>
  <c r="N688" i="5"/>
  <c r="F50" i="18"/>
  <c r="B49" i="15"/>
  <c r="V662" i="2"/>
  <c r="AB662" i="2"/>
  <c r="X662" i="2"/>
  <c r="Z662" i="2"/>
  <c r="W662" i="2"/>
  <c r="P656" i="5"/>
  <c r="O648" i="5"/>
  <c r="O640" i="5"/>
  <c r="O632" i="5"/>
  <c r="N624" i="5"/>
  <c r="O616" i="5"/>
  <c r="P608" i="5"/>
  <c r="V590" i="2"/>
  <c r="AB590" i="2"/>
  <c r="X590" i="2"/>
  <c r="Z590" i="2"/>
  <c r="W590" i="2"/>
  <c r="K584" i="5"/>
  <c r="K576" i="5"/>
  <c r="K568" i="5"/>
  <c r="L560" i="5"/>
  <c r="L552" i="5"/>
  <c r="O544" i="5"/>
  <c r="P536" i="5"/>
  <c r="C39" i="14"/>
  <c r="F39" i="14" s="1"/>
  <c r="V518" i="2"/>
  <c r="AB518" i="2"/>
  <c r="X518" i="2"/>
  <c r="Z518" i="2"/>
  <c r="W518" i="2"/>
  <c r="V510" i="2"/>
  <c r="AB510" i="2"/>
  <c r="Y510" i="2"/>
  <c r="W510" i="2"/>
  <c r="Z510" i="2"/>
  <c r="P504" i="5"/>
  <c r="K496" i="5"/>
  <c r="N488" i="5"/>
  <c r="D69" i="14"/>
  <c r="G69" i="14" s="1"/>
  <c r="V976" i="2"/>
  <c r="AB976" i="2"/>
  <c r="Z976" i="2"/>
  <c r="Y976" i="2"/>
  <c r="X976" i="2"/>
  <c r="V950" i="2"/>
  <c r="Y921" i="2"/>
  <c r="AB874" i="2"/>
  <c r="W852" i="2"/>
  <c r="O851" i="5"/>
  <c r="AB825" i="2"/>
  <c r="P812" i="5"/>
  <c r="N804" i="5"/>
  <c r="P797" i="5"/>
  <c r="AB780" i="2"/>
  <c r="N774" i="5"/>
  <c r="O769" i="5"/>
  <c r="L761" i="5"/>
  <c r="K745" i="5"/>
  <c r="M737" i="5"/>
  <c r="N729" i="5"/>
  <c r="P721" i="5"/>
  <c r="K705" i="5"/>
  <c r="L697" i="5"/>
  <c r="O689" i="5"/>
  <c r="P673" i="5"/>
  <c r="L665" i="5"/>
  <c r="M657" i="5"/>
  <c r="N641" i="5"/>
  <c r="P633" i="5"/>
  <c r="P625" i="5"/>
  <c r="P617" i="5"/>
  <c r="L601" i="5"/>
  <c r="N593" i="5"/>
  <c r="P585" i="5"/>
  <c r="K569" i="5"/>
  <c r="M561" i="5"/>
  <c r="P553" i="5"/>
  <c r="K537" i="5"/>
  <c r="M529" i="5"/>
  <c r="O521" i="5"/>
  <c r="N505" i="5"/>
  <c r="O971" i="5"/>
  <c r="V850" i="2"/>
  <c r="Y822" i="2"/>
  <c r="O739" i="5"/>
  <c r="Z730" i="2"/>
  <c r="Y721" i="2"/>
  <c r="P716" i="5"/>
  <c r="Y957" i="2"/>
  <c r="AB942" i="2"/>
  <c r="V926" i="2"/>
  <c r="Y841" i="2"/>
  <c r="AB760" i="2"/>
  <c r="Z760" i="2"/>
  <c r="Y760" i="2"/>
  <c r="V760" i="2"/>
  <c r="X760" i="2"/>
  <c r="N750" i="5"/>
  <c r="P740" i="5"/>
  <c r="L710" i="5"/>
  <c r="O699" i="5"/>
  <c r="W666" i="2"/>
  <c r="P660" i="5"/>
  <c r="M622" i="5"/>
  <c r="L571" i="5"/>
  <c r="Z562" i="2"/>
  <c r="AB894" i="2"/>
  <c r="P843" i="5"/>
  <c r="V778" i="2"/>
  <c r="V774" i="2"/>
  <c r="M764" i="5"/>
  <c r="V740" i="2"/>
  <c r="N734" i="5"/>
  <c r="P723" i="5"/>
  <c r="N700" i="5"/>
  <c r="K684" i="5"/>
  <c r="P683" i="5"/>
  <c r="N646" i="5"/>
  <c r="V639" i="2"/>
  <c r="O868" i="5"/>
  <c r="AB851" i="2"/>
  <c r="N836" i="5"/>
  <c r="AB788" i="2"/>
  <c r="L758" i="5"/>
  <c r="Y751" i="2"/>
  <c r="N747" i="5"/>
  <c r="AB714" i="2"/>
  <c r="K708" i="5"/>
  <c r="K707" i="5"/>
  <c r="N670" i="5"/>
  <c r="L619" i="5"/>
  <c r="Y610" i="2"/>
  <c r="N606" i="5"/>
  <c r="P596" i="5"/>
  <c r="W948" i="2"/>
  <c r="N811" i="5"/>
  <c r="AB787" i="2"/>
  <c r="O771" i="5"/>
  <c r="M748" i="5"/>
  <c r="N732" i="5"/>
  <c r="N731" i="5"/>
  <c r="W689" i="2"/>
  <c r="V689" i="2"/>
  <c r="AB689" i="2"/>
  <c r="X689" i="2"/>
  <c r="Z689" i="2"/>
  <c r="Y799" i="2"/>
  <c r="V799" i="2"/>
  <c r="AB799" i="2"/>
  <c r="Z799" i="2"/>
  <c r="X799" i="2"/>
  <c r="K786" i="5"/>
  <c r="O784" i="5"/>
  <c r="O782" i="5"/>
  <c r="M772" i="5"/>
  <c r="N756" i="5"/>
  <c r="P755" i="5"/>
  <c r="AB715" i="2"/>
  <c r="Z715" i="2"/>
  <c r="V715" i="2"/>
  <c r="Y715" i="2"/>
  <c r="X715" i="2"/>
  <c r="V711" i="2"/>
  <c r="O654" i="5"/>
  <c r="K644" i="5"/>
  <c r="O614" i="5"/>
  <c r="K603" i="5"/>
  <c r="O564" i="5"/>
  <c r="O563" i="5"/>
  <c r="N526" i="5"/>
  <c r="Z506" i="2"/>
  <c r="C34" i="14"/>
  <c r="F34" i="14" s="1"/>
  <c r="AB443" i="2"/>
  <c r="X443" i="2"/>
  <c r="W443" i="2"/>
  <c r="Z443" i="2"/>
  <c r="V443" i="2"/>
  <c r="Y418" i="2"/>
  <c r="O367" i="5"/>
  <c r="M362" i="5"/>
  <c r="O354" i="5"/>
  <c r="K338" i="5"/>
  <c r="M330" i="5"/>
  <c r="O322" i="5"/>
  <c r="K306" i="5"/>
  <c r="M298" i="5"/>
  <c r="O290" i="5"/>
  <c r="P282" i="5"/>
  <c r="O266" i="5"/>
  <c r="L258" i="5"/>
  <c r="N250" i="5"/>
  <c r="V795" i="2"/>
  <c r="M794" i="5"/>
  <c r="Z722" i="2"/>
  <c r="O691" i="5"/>
  <c r="M678" i="5"/>
  <c r="X671" i="2"/>
  <c r="P627" i="5"/>
  <c r="K604" i="5"/>
  <c r="O588" i="5"/>
  <c r="O587" i="5"/>
  <c r="K550" i="5"/>
  <c r="X530" i="2"/>
  <c r="P460" i="5"/>
  <c r="O456" i="5"/>
  <c r="AB419" i="2"/>
  <c r="Z419" i="2"/>
  <c r="X419" i="2"/>
  <c r="W419" i="2"/>
  <c r="V419" i="2"/>
  <c r="K393" i="5"/>
  <c r="N365" i="5"/>
  <c r="O357" i="5"/>
  <c r="K349" i="5"/>
  <c r="M333" i="5"/>
  <c r="O325" i="5"/>
  <c r="P317" i="5"/>
  <c r="L309" i="5"/>
  <c r="N293" i="5"/>
  <c r="P285" i="5"/>
  <c r="L277" i="5"/>
  <c r="M261" i="5"/>
  <c r="N253" i="5"/>
  <c r="P245" i="5"/>
  <c r="K229" i="5"/>
  <c r="M221" i="5"/>
  <c r="O213" i="5"/>
  <c r="AB972" i="2"/>
  <c r="Z886" i="2"/>
  <c r="Z849" i="2"/>
  <c r="V844" i="2"/>
  <c r="L803" i="5"/>
  <c r="AB763" i="2"/>
  <c r="Z763" i="2"/>
  <c r="X763" i="2"/>
  <c r="V763" i="2"/>
  <c r="Y763" i="2"/>
  <c r="V759" i="2"/>
  <c r="AB712" i="2"/>
  <c r="Z712" i="2"/>
  <c r="Y712" i="2"/>
  <c r="V712" i="2"/>
  <c r="X712" i="2"/>
  <c r="X706" i="2"/>
  <c r="P702" i="5"/>
  <c r="K692" i="5"/>
  <c r="AB659" i="2"/>
  <c r="Z659" i="2"/>
  <c r="W659" i="2"/>
  <c r="X659" i="2"/>
  <c r="V659" i="2"/>
  <c r="V655" i="2"/>
  <c r="N651" i="5"/>
  <c r="O628" i="5"/>
  <c r="O612" i="5"/>
  <c r="O611" i="5"/>
  <c r="P574" i="5"/>
  <c r="E42" i="14"/>
  <c r="H42" i="14" s="1"/>
  <c r="M523" i="5"/>
  <c r="Z514" i="2"/>
  <c r="N494" i="5"/>
  <c r="L489" i="5"/>
  <c r="N473" i="5"/>
  <c r="M472" i="5"/>
  <c r="K462" i="5"/>
  <c r="L459" i="5"/>
  <c r="L449" i="5"/>
  <c r="O436" i="5"/>
  <c r="N432" i="5"/>
  <c r="V769" i="2"/>
  <c r="AB684" i="2"/>
  <c r="Z652" i="2"/>
  <c r="M590" i="5"/>
  <c r="M582" i="5"/>
  <c r="K572" i="5"/>
  <c r="Z540" i="2"/>
  <c r="M542" i="5"/>
  <c r="AB504" i="2"/>
  <c r="Z504" i="2"/>
  <c r="Y504" i="2"/>
  <c r="V504" i="2"/>
  <c r="W504" i="2"/>
  <c r="K502" i="5"/>
  <c r="M500" i="5"/>
  <c r="L499" i="5"/>
  <c r="L497" i="5"/>
  <c r="N468" i="5"/>
  <c r="M467" i="5"/>
  <c r="L438" i="5"/>
  <c r="O430" i="5"/>
  <c r="Y423" i="2"/>
  <c r="M395" i="5"/>
  <c r="K384" i="5"/>
  <c r="P381" i="5"/>
  <c r="L366" i="5"/>
  <c r="P344" i="5"/>
  <c r="K339" i="5"/>
  <c r="L324" i="5"/>
  <c r="L312" i="5"/>
  <c r="M299" i="5"/>
  <c r="O297" i="5"/>
  <c r="Y774" i="2"/>
  <c r="W729" i="2"/>
  <c r="Z657" i="2"/>
  <c r="W633" i="2"/>
  <c r="V633" i="2"/>
  <c r="AB633" i="2"/>
  <c r="Y633" i="2"/>
  <c r="Z633" i="2"/>
  <c r="O598" i="5"/>
  <c r="V583" i="2"/>
  <c r="Z575" i="2"/>
  <c r="N548" i="5"/>
  <c r="V505" i="2"/>
  <c r="AB505" i="2"/>
  <c r="Y505" i="2"/>
  <c r="Z505" i="2"/>
  <c r="X505" i="2"/>
  <c r="N476" i="5"/>
  <c r="M465" i="5"/>
  <c r="Z445" i="2"/>
  <c r="Y445" i="2"/>
  <c r="AB445" i="2"/>
  <c r="V445" i="2"/>
  <c r="X445" i="2"/>
  <c r="AB442" i="2"/>
  <c r="M419" i="5"/>
  <c r="N401" i="5"/>
  <c r="N400" i="5"/>
  <c r="O369" i="5"/>
  <c r="Y357" i="2"/>
  <c r="L358" i="5"/>
  <c r="O351" i="5"/>
  <c r="K331" i="5"/>
  <c r="M329" i="5"/>
  <c r="O326" i="5"/>
  <c r="C24" i="14"/>
  <c r="F24" i="14" s="1"/>
  <c r="M265" i="5"/>
  <c r="K262" i="5"/>
  <c r="M260" i="5"/>
  <c r="O255" i="5"/>
  <c r="Z737" i="2"/>
  <c r="AB692" i="2"/>
  <c r="Z660" i="2"/>
  <c r="Z642" i="2"/>
  <c r="O524" i="5"/>
  <c r="L518" i="5"/>
  <c r="P515" i="5"/>
  <c r="N491" i="5"/>
  <c r="X476" i="2"/>
  <c r="K643" i="5"/>
  <c r="L630" i="5"/>
  <c r="V620" i="2"/>
  <c r="W609" i="2"/>
  <c r="W585" i="2"/>
  <c r="AB511" i="2"/>
  <c r="Z454" i="2"/>
  <c r="B33" i="15"/>
  <c r="V422" i="2"/>
  <c r="AB422" i="2"/>
  <c r="Z422" i="2"/>
  <c r="X422" i="2"/>
  <c r="W422" i="2"/>
  <c r="N411" i="5"/>
  <c r="K398" i="5"/>
  <c r="K390" i="5"/>
  <c r="M383" i="5"/>
  <c r="O376" i="5"/>
  <c r="Z367" i="2"/>
  <c r="M355" i="5"/>
  <c r="O353" i="5"/>
  <c r="M350" i="5"/>
  <c r="O311" i="5"/>
  <c r="K289" i="5"/>
  <c r="O286" i="5"/>
  <c r="O284" i="5"/>
  <c r="N279" i="5"/>
  <c r="N257" i="5"/>
  <c r="L254" i="5"/>
  <c r="K243" i="5"/>
  <c r="K241" i="5"/>
  <c r="K239" i="5"/>
  <c r="P210" i="5"/>
  <c r="P208" i="5"/>
  <c r="N204" i="5"/>
  <c r="K199" i="5"/>
  <c r="M183" i="5"/>
  <c r="O175" i="5"/>
  <c r="P167" i="5"/>
  <c r="L151" i="5"/>
  <c r="N143" i="5"/>
  <c r="P135" i="5"/>
  <c r="O119" i="5"/>
  <c r="M111" i="5"/>
  <c r="P103" i="5"/>
  <c r="F11" i="18"/>
  <c r="W761" i="2"/>
  <c r="AB740" i="2"/>
  <c r="C49" i="14"/>
  <c r="F49" i="14" s="1"/>
  <c r="J46" i="15"/>
  <c r="AB586" i="2"/>
  <c r="W578" i="2"/>
  <c r="V577" i="2"/>
  <c r="K531" i="5"/>
  <c r="L516" i="5"/>
  <c r="N492" i="5"/>
  <c r="O486" i="5"/>
  <c r="AB466" i="2"/>
  <c r="V457" i="2"/>
  <c r="L452" i="5"/>
  <c r="V436" i="2"/>
  <c r="M435" i="5"/>
  <c r="L424" i="5"/>
  <c r="Y399" i="2"/>
  <c r="P379" i="5"/>
  <c r="O371" i="5"/>
  <c r="W356" i="2"/>
  <c r="V356" i="2"/>
  <c r="X356" i="2"/>
  <c r="AB356" i="2"/>
  <c r="Z356" i="2"/>
  <c r="K345" i="5"/>
  <c r="K343" i="5"/>
  <c r="V329" i="2"/>
  <c r="X329" i="2"/>
  <c r="W329" i="2"/>
  <c r="AB329" i="2"/>
  <c r="Z329" i="2"/>
  <c r="W324" i="2"/>
  <c r="V324" i="2"/>
  <c r="Y324" i="2"/>
  <c r="AB324" i="2"/>
  <c r="Z324" i="2"/>
  <c r="L316" i="5"/>
  <c r="P296" i="5"/>
  <c r="L291" i="5"/>
  <c r="M276" i="5"/>
  <c r="M264" i="5"/>
  <c r="M251" i="5"/>
  <c r="M249" i="5"/>
  <c r="P235" i="5"/>
  <c r="P233" i="5"/>
  <c r="P231" i="5"/>
  <c r="Z210" i="2"/>
  <c r="P194" i="5"/>
  <c r="L186" i="5"/>
  <c r="N178" i="5"/>
  <c r="O162" i="5"/>
  <c r="K154" i="5"/>
  <c r="M146" i="5"/>
  <c r="O130" i="5"/>
  <c r="P122" i="5"/>
  <c r="L114" i="5"/>
  <c r="N106" i="5"/>
  <c r="L90" i="5"/>
  <c r="N82" i="5"/>
  <c r="P74" i="5"/>
  <c r="L58" i="5"/>
  <c r="N50" i="5"/>
  <c r="Z705" i="2"/>
  <c r="P675" i="5"/>
  <c r="V593" i="2"/>
  <c r="P579" i="5"/>
  <c r="M566" i="5"/>
  <c r="L555" i="5"/>
  <c r="Y546" i="2"/>
  <c r="M484" i="5"/>
  <c r="P483" i="5"/>
  <c r="N451" i="5"/>
  <c r="AB440" i="2"/>
  <c r="Z440" i="2"/>
  <c r="W440" i="2"/>
  <c r="V440" i="2"/>
  <c r="X440" i="2"/>
  <c r="L417" i="5"/>
  <c r="L416" i="5"/>
  <c r="P389" i="5"/>
  <c r="M382" i="5"/>
  <c r="M335" i="5"/>
  <c r="N313" i="5"/>
  <c r="L310" i="5"/>
  <c r="O303" i="5"/>
  <c r="Z280" i="2"/>
  <c r="AB280" i="2"/>
  <c r="Y280" i="2"/>
  <c r="X280" i="2"/>
  <c r="V280" i="2"/>
  <c r="C23" i="14"/>
  <c r="F23" i="14" s="1"/>
  <c r="L281" i="5"/>
  <c r="P278" i="5"/>
  <c r="O225" i="5"/>
  <c r="L189" i="5"/>
  <c r="N181" i="5"/>
  <c r="P173" i="5"/>
  <c r="L157" i="5"/>
  <c r="N149" i="5"/>
  <c r="P141" i="5"/>
  <c r="K125" i="5"/>
  <c r="L117" i="5"/>
  <c r="O109" i="5"/>
  <c r="K93" i="5"/>
  <c r="K85" i="5"/>
  <c r="K77" i="5"/>
  <c r="M69" i="5"/>
  <c r="X745" i="2"/>
  <c r="V713" i="2"/>
  <c r="Z732" i="2"/>
  <c r="M686" i="5"/>
  <c r="V673" i="2"/>
  <c r="AB634" i="2"/>
  <c r="M635" i="5"/>
  <c r="Z626" i="2"/>
  <c r="Z596" i="2"/>
  <c r="P595" i="5"/>
  <c r="Y559" i="2"/>
  <c r="D38" i="14"/>
  <c r="G38" i="14" s="1"/>
  <c r="AB415" i="2"/>
  <c r="M392" i="5"/>
  <c r="O387" i="5"/>
  <c r="Z500" i="2"/>
  <c r="M388" i="5"/>
  <c r="Z266" i="2"/>
  <c r="V191" i="2"/>
  <c r="M132" i="5"/>
  <c r="X271" i="2"/>
  <c r="W255" i="2"/>
  <c r="K223" i="5"/>
  <c r="V198" i="2"/>
  <c r="AB198" i="2"/>
  <c r="W198" i="2"/>
  <c r="Z198" i="2"/>
  <c r="Y198" i="2"/>
  <c r="W185" i="2"/>
  <c r="V185" i="2"/>
  <c r="AB185" i="2"/>
  <c r="Z185" i="2"/>
  <c r="X185" i="2"/>
  <c r="Z105" i="2"/>
  <c r="K79" i="5"/>
  <c r="N52" i="5"/>
  <c r="N48" i="5"/>
  <c r="N46" i="5"/>
  <c r="AB28" i="2"/>
  <c r="Z28" i="2"/>
  <c r="X28" i="2"/>
  <c r="Y28" i="2"/>
  <c r="V28" i="2"/>
  <c r="AB238" i="2"/>
  <c r="Z43" i="2"/>
  <c r="O16" i="12"/>
  <c r="AB13" i="2"/>
  <c r="AB103" i="2"/>
  <c r="Z463" i="2"/>
  <c r="Z178" i="2"/>
  <c r="X601" i="2"/>
  <c r="X415" i="2"/>
  <c r="X454" i="2"/>
  <c r="X511" i="2"/>
  <c r="X644" i="2"/>
  <c r="Z673" i="2"/>
  <c r="Z238" i="2"/>
  <c r="D16" i="8"/>
  <c r="Z298" i="2"/>
  <c r="AB358" i="2"/>
  <c r="AB148" i="2"/>
  <c r="D8" i="6"/>
  <c r="Z388" i="2"/>
  <c r="AB193" i="2"/>
  <c r="X380" i="2"/>
  <c r="X697" i="2"/>
  <c r="AB463" i="2"/>
  <c r="Z583" i="2"/>
  <c r="Z838" i="2"/>
  <c r="AB58" i="2"/>
  <c r="X388" i="2"/>
  <c r="AB43" i="2"/>
  <c r="AB868" i="2"/>
  <c r="Z13" i="2"/>
  <c r="Z58" i="2"/>
  <c r="X266" i="2"/>
  <c r="X434" i="2"/>
  <c r="Z148" i="2"/>
  <c r="AB418" i="2"/>
  <c r="E6" i="14"/>
  <c r="H6" i="14" s="1"/>
  <c r="Z103" i="2"/>
  <c r="X274" i="2"/>
  <c r="AB343" i="2"/>
  <c r="AB313" i="2"/>
  <c r="X391" i="2"/>
  <c r="Z358" i="2"/>
  <c r="Z343" i="2"/>
  <c r="Z313" i="2"/>
  <c r="AB178" i="2"/>
  <c r="Z193" i="2"/>
  <c r="AB433" i="2"/>
  <c r="X218" i="2"/>
  <c r="P71" i="5"/>
  <c r="W44" i="2"/>
  <c r="AB44" i="2"/>
  <c r="Z44" i="2"/>
  <c r="V44" i="2"/>
  <c r="X44" i="2"/>
  <c r="Z29" i="2"/>
  <c r="B9" i="6"/>
  <c r="Z404" i="2"/>
  <c r="Z314" i="2"/>
  <c r="AB359" i="2"/>
  <c r="AB269" i="2"/>
  <c r="AB254" i="2"/>
  <c r="D17" i="8"/>
  <c r="Z119" i="2"/>
  <c r="AB224" i="2"/>
  <c r="AB89" i="2"/>
  <c r="Z254" i="2"/>
  <c r="AB479" i="2"/>
  <c r="Z524" i="2"/>
  <c r="AB209" i="2"/>
  <c r="Z974" i="2"/>
  <c r="AB194" i="2"/>
  <c r="AB119" i="2"/>
  <c r="Z269" i="2"/>
  <c r="AB404" i="2"/>
  <c r="Z434" i="2"/>
  <c r="AB884" i="2"/>
  <c r="AB524" i="2"/>
  <c r="Z164" i="2"/>
  <c r="Z209" i="2"/>
  <c r="AB74" i="2"/>
  <c r="Z284" i="2"/>
  <c r="Z479" i="2"/>
  <c r="Z194" i="2"/>
  <c r="AB164" i="2"/>
  <c r="AB29" i="2"/>
  <c r="Z74" i="2"/>
  <c r="Z14" i="2"/>
  <c r="AB14" i="2"/>
  <c r="Z224" i="2"/>
  <c r="Z89" i="2"/>
  <c r="AB284" i="2"/>
  <c r="O17" i="12"/>
  <c r="AB314" i="2"/>
  <c r="L97" i="5"/>
  <c r="AB400" i="2"/>
  <c r="Z400" i="2"/>
  <c r="V400" i="2"/>
  <c r="X400" i="2"/>
  <c r="Y400" i="2"/>
  <c r="X359" i="2"/>
  <c r="D18" i="14"/>
  <c r="G18" i="14" s="1"/>
  <c r="V211" i="2"/>
  <c r="X211" i="2"/>
  <c r="Z211" i="2"/>
  <c r="AB211" i="2"/>
  <c r="Y211" i="2"/>
  <c r="P203" i="5"/>
  <c r="AB354" i="2"/>
  <c r="L272" i="5"/>
  <c r="O271" i="5"/>
  <c r="Z695" i="2"/>
  <c r="M41" i="5"/>
  <c r="O33" i="5"/>
  <c r="P25" i="5"/>
  <c r="V159" i="2"/>
  <c r="L56" i="5"/>
  <c r="P28" i="5"/>
  <c r="L12" i="5"/>
  <c r="W401" i="2"/>
  <c r="V401" i="2"/>
  <c r="X401" i="2"/>
  <c r="AB401" i="2"/>
  <c r="Z401" i="2"/>
  <c r="M397" i="5"/>
  <c r="O388" i="5"/>
  <c r="P380" i="5"/>
  <c r="O292" i="5"/>
  <c r="L236" i="5"/>
  <c r="P219" i="5"/>
  <c r="L155" i="5"/>
  <c r="O152" i="5"/>
  <c r="M142" i="5"/>
  <c r="K132" i="5"/>
  <c r="AB112" i="2"/>
  <c r="Z112" i="2"/>
  <c r="Y112" i="2"/>
  <c r="X112" i="2"/>
  <c r="V112" i="2"/>
  <c r="K89" i="5"/>
  <c r="K86" i="5"/>
  <c r="N43" i="5"/>
  <c r="O35" i="5"/>
  <c r="O27" i="5"/>
  <c r="P19" i="5"/>
  <c r="K11" i="5"/>
  <c r="L246" i="5"/>
  <c r="L223" i="5"/>
  <c r="K207" i="5"/>
  <c r="L193" i="5"/>
  <c r="C13" i="14"/>
  <c r="F13" i="14" s="1"/>
  <c r="AB128" i="2"/>
  <c r="Z128" i="2"/>
  <c r="X128" i="2"/>
  <c r="W128" i="2"/>
  <c r="V128" i="2"/>
  <c r="P128" i="5"/>
  <c r="AB115" i="2"/>
  <c r="Z115" i="2"/>
  <c r="Y115" i="2"/>
  <c r="X115" i="2"/>
  <c r="V115" i="2"/>
  <c r="V65" i="2"/>
  <c r="AB65" i="2"/>
  <c r="X65" i="2"/>
  <c r="W65" i="2"/>
  <c r="Z65" i="2"/>
  <c r="L54" i="5"/>
  <c r="K52" i="5"/>
  <c r="O46" i="5"/>
  <c r="P38" i="5"/>
  <c r="K30" i="5"/>
  <c r="M71" i="5"/>
  <c r="M97" i="5"/>
  <c r="M80" i="5"/>
  <c r="M403" i="5"/>
  <c r="X224" i="2"/>
  <c r="P214" i="5"/>
  <c r="X199" i="2"/>
  <c r="N65" i="5"/>
  <c r="L62" i="5"/>
  <c r="AB487" i="2"/>
  <c r="X463" i="2"/>
  <c r="E24" i="14"/>
  <c r="H24" i="14" s="1"/>
  <c r="V297" i="2"/>
  <c r="W297" i="2"/>
  <c r="AB297" i="2"/>
  <c r="Z297" i="2"/>
  <c r="Y297" i="2"/>
  <c r="K271" i="5"/>
  <c r="AB179" i="2"/>
  <c r="Z179" i="2"/>
  <c r="X179" i="2"/>
  <c r="W179" i="2"/>
  <c r="V179" i="2"/>
  <c r="L91" i="5"/>
  <c r="K83" i="5"/>
  <c r="K64" i="5"/>
  <c r="P22" i="5"/>
  <c r="L14" i="5"/>
  <c r="F7" i="4"/>
  <c r="M6" i="5"/>
  <c r="P94" i="5"/>
  <c r="K41" i="5"/>
  <c r="M33" i="5"/>
  <c r="N25" i="5"/>
  <c r="O17" i="5"/>
  <c r="L76" i="5"/>
  <c r="N28" i="5"/>
  <c r="P12" i="5"/>
  <c r="K120" i="5"/>
  <c r="N190" i="5"/>
  <c r="N180" i="5"/>
  <c r="L100" i="5"/>
  <c r="O96" i="5"/>
  <c r="O481" i="5"/>
  <c r="AB403" i="2"/>
  <c r="X403" i="2"/>
  <c r="Y403" i="2"/>
  <c r="V403" i="2"/>
  <c r="Z403" i="2"/>
  <c r="Z391" i="2"/>
  <c r="V380" i="2"/>
  <c r="K373" i="5"/>
  <c r="Z360" i="2"/>
  <c r="AB360" i="2"/>
  <c r="W360" i="2"/>
  <c r="V360" i="2"/>
  <c r="Y360" i="2"/>
  <c r="P342" i="5"/>
  <c r="L319" i="5"/>
  <c r="Y306" i="2"/>
  <c r="O304" i="5"/>
  <c r="N280" i="5"/>
  <c r="M270" i="5"/>
  <c r="AB250" i="2"/>
  <c r="L248" i="5"/>
  <c r="P244" i="5"/>
  <c r="P222" i="5"/>
  <c r="N217" i="5"/>
  <c r="M196" i="5"/>
  <c r="P192" i="5"/>
  <c r="K169" i="5"/>
  <c r="N158" i="5"/>
  <c r="Z130" i="2"/>
  <c r="N107" i="5"/>
  <c r="L104" i="5"/>
  <c r="N88" i="5"/>
  <c r="O78" i="5"/>
  <c r="M36" i="5"/>
  <c r="L7" i="5"/>
  <c r="G6" i="4"/>
  <c r="L137" i="5"/>
  <c r="K75" i="5"/>
  <c r="L34" i="5"/>
  <c r="Y354" i="2"/>
  <c r="Z320" i="2"/>
  <c r="AB320" i="2"/>
  <c r="X320" i="2"/>
  <c r="W320" i="2"/>
  <c r="V320" i="2"/>
  <c r="Y313" i="2"/>
  <c r="L153" i="5"/>
  <c r="F14" i="18"/>
  <c r="N113" i="5"/>
  <c r="M87" i="5"/>
  <c r="V444" i="2"/>
  <c r="AB346" i="2"/>
  <c r="L336" i="5"/>
  <c r="K320" i="5"/>
  <c r="AB310" i="2"/>
  <c r="Y279" i="2"/>
  <c r="X269" i="2"/>
  <c r="W239" i="2"/>
  <c r="V239" i="2"/>
  <c r="AB239" i="2"/>
  <c r="X239" i="2"/>
  <c r="Z239" i="2"/>
  <c r="O234" i="5"/>
  <c r="K230" i="5"/>
  <c r="Z222" i="2"/>
  <c r="N211" i="5"/>
  <c r="P198" i="5"/>
  <c r="N195" i="5"/>
  <c r="K185" i="5"/>
  <c r="O172" i="5"/>
  <c r="P134" i="5"/>
  <c r="L44" i="5"/>
  <c r="P18" i="5"/>
  <c r="Y430" i="2"/>
  <c r="O420" i="5"/>
  <c r="D31" i="14"/>
  <c r="G31" i="14" s="1"/>
  <c r="V406" i="2"/>
  <c r="AB406" i="2"/>
  <c r="Z406" i="2"/>
  <c r="X406" i="2"/>
  <c r="Y406" i="2"/>
  <c r="K375" i="5"/>
  <c r="V366" i="2"/>
  <c r="L321" i="5"/>
  <c r="V308" i="2"/>
  <c r="V271" i="2"/>
  <c r="M240" i="5"/>
  <c r="K226" i="5"/>
  <c r="K216" i="5"/>
  <c r="K215" i="5"/>
  <c r="K188" i="5"/>
  <c r="N184" i="5"/>
  <c r="M174" i="5"/>
  <c r="K171" i="5"/>
  <c r="K161" i="5"/>
  <c r="P148" i="5"/>
  <c r="N121" i="5"/>
  <c r="K110" i="5"/>
  <c r="M73" i="5"/>
  <c r="P70" i="5"/>
  <c r="P68" i="5"/>
  <c r="O63" i="5"/>
  <c r="P39" i="5"/>
  <c r="L31" i="5"/>
  <c r="N23" i="5"/>
  <c r="AB144" i="2"/>
  <c r="Z144" i="2"/>
  <c r="V144" i="2"/>
  <c r="Y144" i="2"/>
  <c r="W144" i="2"/>
  <c r="O53" i="5"/>
  <c r="N49" i="5"/>
  <c r="O47" i="5"/>
  <c r="L10" i="5"/>
  <c r="X524" i="2"/>
  <c r="Z426" i="2"/>
  <c r="AB393" i="2"/>
  <c r="L385" i="5"/>
  <c r="L368" i="5"/>
  <c r="N348" i="5"/>
  <c r="X335" i="2"/>
  <c r="Z278" i="2"/>
  <c r="N275" i="5"/>
  <c r="L263" i="5"/>
  <c r="O238" i="5"/>
  <c r="L187" i="5"/>
  <c r="L177" i="5"/>
  <c r="Z157" i="2"/>
  <c r="Y157" i="2"/>
  <c r="V157" i="2"/>
  <c r="X157" i="2"/>
  <c r="AB157" i="2"/>
  <c r="AB604" i="2"/>
  <c r="M539" i="5"/>
  <c r="O532" i="5"/>
  <c r="W431" i="2"/>
  <c r="Y414" i="2"/>
  <c r="N412" i="5"/>
  <c r="X295" i="2"/>
  <c r="O209" i="5"/>
  <c r="O200" i="5"/>
  <c r="L163" i="5"/>
  <c r="M123" i="5"/>
  <c r="L67" i="5"/>
  <c r="AB475" i="2"/>
  <c r="Z475" i="2"/>
  <c r="V475" i="2"/>
  <c r="X475" i="2"/>
  <c r="Y475" i="2"/>
  <c r="V379" i="2"/>
  <c r="W353" i="2"/>
  <c r="O315" i="5"/>
  <c r="AB291" i="2"/>
  <c r="Z291" i="2"/>
  <c r="W291" i="2"/>
  <c r="V291" i="2"/>
  <c r="Y291" i="2"/>
  <c r="P273" i="5"/>
  <c r="L252" i="5"/>
  <c r="AB246" i="2"/>
  <c r="Z242" i="2"/>
  <c r="K232" i="5"/>
  <c r="P228" i="5"/>
  <c r="AB186" i="2"/>
  <c r="X175" i="2"/>
  <c r="L176" i="5"/>
  <c r="Y162" i="2"/>
  <c r="O156" i="5"/>
  <c r="N139" i="5"/>
  <c r="K129" i="5"/>
  <c r="N116" i="5"/>
  <c r="K112" i="5"/>
  <c r="O102" i="5"/>
  <c r="P99" i="5"/>
  <c r="N84" i="5"/>
  <c r="M72" i="5"/>
  <c r="O59" i="5"/>
  <c r="P57" i="5"/>
  <c r="K32" i="5"/>
  <c r="M24" i="5"/>
  <c r="O16" i="5"/>
  <c r="P8" i="5"/>
  <c r="C22" i="13"/>
  <c r="L168" i="5"/>
  <c r="N20" i="5"/>
  <c r="L150" i="5"/>
  <c r="N124" i="5"/>
  <c r="P26" i="5"/>
  <c r="K377" i="5"/>
  <c r="Y159" i="2"/>
  <c r="V132" i="2"/>
  <c r="W354" i="2"/>
  <c r="Y207" i="2"/>
  <c r="X188" i="2"/>
  <c r="Y94" i="2"/>
  <c r="AB77" i="2"/>
  <c r="W68" i="2"/>
  <c r="Y21" i="2"/>
  <c r="V103" i="2"/>
  <c r="P45" i="5"/>
  <c r="K37" i="5"/>
  <c r="W14" i="2"/>
  <c r="AB252" i="2"/>
  <c r="V226" i="2"/>
  <c r="Y180" i="2"/>
  <c r="X167" i="2"/>
  <c r="X113" i="2"/>
  <c r="V100" i="2"/>
  <c r="Z52" i="2"/>
  <c r="V47" i="2"/>
  <c r="X40" i="2"/>
  <c r="N5" i="5"/>
  <c r="E8" i="4"/>
  <c r="V119" i="2"/>
  <c r="B6" i="6"/>
  <c r="P21" i="5"/>
  <c r="Z303" i="2"/>
  <c r="AB92" i="2"/>
  <c r="Z79" i="2"/>
  <c r="V66" i="2"/>
  <c r="W27" i="2"/>
  <c r="Z16" i="2"/>
  <c r="M13" i="5"/>
  <c r="Z262" i="2"/>
  <c r="AB257" i="2"/>
  <c r="Y172" i="2"/>
  <c r="V71" i="2"/>
  <c r="W116" i="2"/>
  <c r="X281" i="2"/>
  <c r="W276" i="2"/>
  <c r="W150" i="2"/>
  <c r="X124" i="2"/>
  <c r="X62" i="2"/>
  <c r="V35" i="2"/>
  <c r="L29" i="5"/>
  <c r="V309" i="2"/>
  <c r="AB177" i="2"/>
  <c r="V156" i="2"/>
  <c r="C14" i="14"/>
  <c r="F14" i="14" s="1"/>
  <c r="X97" i="2"/>
  <c r="W63" i="2"/>
  <c r="V43" i="2"/>
  <c r="W81" i="2"/>
  <c r="AB458" i="2"/>
  <c r="D11" i="8"/>
  <c r="Z183" i="2"/>
  <c r="AB631" i="2"/>
  <c r="AB274" i="2"/>
  <c r="X215" i="2"/>
  <c r="W122" i="2"/>
  <c r="V86" i="2"/>
  <c r="AB82" i="2"/>
  <c r="X55" i="2"/>
  <c r="Y13" i="2"/>
  <c r="Y202" i="2"/>
  <c r="Z543" i="2"/>
  <c r="Y931" i="2"/>
  <c r="Y835" i="2"/>
  <c r="O6" i="12"/>
  <c r="Z412" i="2"/>
  <c r="Z200" i="2"/>
  <c r="AB200" i="2"/>
  <c r="W200" i="2"/>
  <c r="V200" i="2"/>
  <c r="X200" i="2"/>
  <c r="O65" i="5"/>
  <c r="M62" i="5"/>
  <c r="AB423" i="2"/>
  <c r="L300" i="5"/>
  <c r="Z285" i="2"/>
  <c r="Y285" i="2"/>
  <c r="AB285" i="2"/>
  <c r="W285" i="2"/>
  <c r="V285" i="2"/>
  <c r="K272" i="5"/>
  <c r="L271" i="5"/>
  <c r="M224" i="5"/>
  <c r="K182" i="5"/>
  <c r="C15" i="14"/>
  <c r="F15" i="14" s="1"/>
  <c r="V158" i="2"/>
  <c r="AB158" i="2"/>
  <c r="Z158" i="2"/>
  <c r="X158" i="2"/>
  <c r="W158" i="2"/>
  <c r="N91" i="5"/>
  <c r="K81" i="5"/>
  <c r="L64" i="5"/>
  <c r="K22" i="5"/>
  <c r="M14" i="5"/>
  <c r="N6" i="5"/>
  <c r="F8" i="4"/>
  <c r="Y90" i="2"/>
  <c r="L41" i="5"/>
  <c r="N33" i="5"/>
  <c r="O25" i="5"/>
  <c r="P17" i="5"/>
  <c r="K56" i="5"/>
  <c r="O28" i="5"/>
  <c r="K12" i="5"/>
  <c r="L120" i="5"/>
  <c r="O190" i="5"/>
  <c r="O180" i="5"/>
  <c r="K100" i="5"/>
  <c r="P96" i="5"/>
  <c r="AB697" i="2"/>
  <c r="P481" i="5"/>
  <c r="W441" i="2"/>
  <c r="V441" i="2"/>
  <c r="Y441" i="2"/>
  <c r="AB441" i="2"/>
  <c r="Z441" i="2"/>
  <c r="N406" i="5"/>
  <c r="AB391" i="2"/>
  <c r="L373" i="5"/>
  <c r="K363" i="5"/>
  <c r="Y342" i="2"/>
  <c r="K342" i="5"/>
  <c r="M319" i="5"/>
  <c r="Y286" i="2"/>
  <c r="O280" i="5"/>
  <c r="Z264" i="2"/>
  <c r="AB264" i="2"/>
  <c r="W264" i="2"/>
  <c r="V264" i="2"/>
  <c r="Y264" i="2"/>
  <c r="Z253" i="2"/>
  <c r="Y253" i="2"/>
  <c r="AB253" i="2"/>
  <c r="X253" i="2"/>
  <c r="V253" i="2"/>
  <c r="Z246" i="2"/>
  <c r="AB242" i="2"/>
  <c r="O218" i="5"/>
  <c r="O217" i="5"/>
  <c r="N196" i="5"/>
  <c r="K192" i="5"/>
  <c r="L169" i="5"/>
  <c r="O158" i="5"/>
  <c r="D12" i="14"/>
  <c r="G12" i="14" s="1"/>
  <c r="V121" i="2"/>
  <c r="Y121" i="2"/>
  <c r="AB121" i="2"/>
  <c r="Z121" i="2"/>
  <c r="X121" i="2"/>
  <c r="O107" i="5"/>
  <c r="B14" i="15"/>
  <c r="W137" i="2"/>
  <c r="V137" i="2"/>
  <c r="X137" i="2"/>
  <c r="AB137" i="2"/>
  <c r="Z137" i="2"/>
  <c r="O88" i="5"/>
  <c r="P78" i="5"/>
  <c r="N36" i="5"/>
  <c r="G7" i="4"/>
  <c r="M7" i="5"/>
  <c r="M137" i="5"/>
  <c r="M60" i="5"/>
  <c r="M34" i="5"/>
  <c r="Z349" i="2"/>
  <c r="Y349" i="2"/>
  <c r="V349" i="2"/>
  <c r="AB349" i="2"/>
  <c r="X349" i="2"/>
  <c r="K323" i="5"/>
  <c r="M153" i="5"/>
  <c r="AB123" i="2"/>
  <c r="W123" i="2"/>
  <c r="V123" i="2"/>
  <c r="Z123" i="2"/>
  <c r="Y123" i="2"/>
  <c r="O113" i="5"/>
  <c r="N87" i="5"/>
  <c r="Z612" i="2"/>
  <c r="M336" i="5"/>
  <c r="L320" i="5"/>
  <c r="V265" i="2"/>
  <c r="X265" i="2"/>
  <c r="AB265" i="2"/>
  <c r="Z265" i="2"/>
  <c r="Y265" i="2"/>
  <c r="O242" i="5"/>
  <c r="P234" i="5"/>
  <c r="L230" i="5"/>
  <c r="AB222" i="2"/>
  <c r="O211" i="5"/>
  <c r="X194" i="2"/>
  <c r="O195" i="5"/>
  <c r="L185" i="5"/>
  <c r="P172" i="5"/>
  <c r="V122" i="2"/>
  <c r="X146" i="2"/>
  <c r="Z430" i="2"/>
  <c r="P420" i="5"/>
  <c r="K409" i="5"/>
  <c r="Y381" i="2"/>
  <c r="L375" i="5"/>
  <c r="W366" i="2"/>
  <c r="M321" i="5"/>
  <c r="W308" i="2"/>
  <c r="Z271" i="2"/>
  <c r="N240" i="5"/>
  <c r="L226" i="5"/>
  <c r="L216" i="5"/>
  <c r="J19" i="15"/>
  <c r="L188" i="5"/>
  <c r="O184" i="5"/>
  <c r="N174" i="5"/>
  <c r="L171" i="5"/>
  <c r="L161" i="5"/>
  <c r="Z141" i="2"/>
  <c r="Y141" i="2"/>
  <c r="W141" i="2"/>
  <c r="AB141" i="2"/>
  <c r="V141" i="2"/>
  <c r="O121" i="5"/>
  <c r="L110" i="5"/>
  <c r="N73" i="5"/>
  <c r="K70" i="5"/>
  <c r="K68" i="5"/>
  <c r="AB48" i="2"/>
  <c r="Z48" i="2"/>
  <c r="Y48" i="2"/>
  <c r="V48" i="2"/>
  <c r="W48" i="2"/>
  <c r="K39" i="5"/>
  <c r="M31" i="5"/>
  <c r="O23" i="5"/>
  <c r="P147" i="5"/>
  <c r="P53" i="5"/>
  <c r="O49" i="5"/>
  <c r="K42" i="5"/>
  <c r="M10" i="5"/>
  <c r="V564" i="2"/>
  <c r="Y489" i="2"/>
  <c r="AB460" i="2"/>
  <c r="X439" i="2"/>
  <c r="AB424" i="2"/>
  <c r="Z424" i="2"/>
  <c r="V424" i="2"/>
  <c r="Y424" i="2"/>
  <c r="X424" i="2"/>
  <c r="M385" i="5"/>
  <c r="M368" i="5"/>
  <c r="O348" i="5"/>
  <c r="V327" i="2"/>
  <c r="AB278" i="2"/>
  <c r="M275" i="5"/>
  <c r="M263" i="5"/>
  <c r="P238" i="5"/>
  <c r="M187" i="5"/>
  <c r="M177" i="5"/>
  <c r="M160" i="5"/>
  <c r="N539" i="5"/>
  <c r="P532" i="5"/>
  <c r="X431" i="2"/>
  <c r="O412" i="5"/>
  <c r="V286" i="2"/>
  <c r="P209" i="5"/>
  <c r="P200" i="5"/>
  <c r="M163" i="5"/>
  <c r="N123" i="5"/>
  <c r="M67" i="5"/>
  <c r="Z679" i="2"/>
  <c r="K478" i="5"/>
  <c r="W425" i="2"/>
  <c r="V425" i="2"/>
  <c r="AB425" i="2"/>
  <c r="Z425" i="2"/>
  <c r="X425" i="2"/>
  <c r="X379" i="2"/>
  <c r="Z353" i="2"/>
  <c r="AB332" i="2"/>
  <c r="W314" i="2"/>
  <c r="P315" i="5"/>
  <c r="N294" i="5"/>
  <c r="Z263" i="2"/>
  <c r="M252" i="5"/>
  <c r="X244" i="2"/>
  <c r="X242" i="2"/>
  <c r="L232" i="5"/>
  <c r="W222" i="2"/>
  <c r="AB176" i="2"/>
  <c r="Z176" i="2"/>
  <c r="X176" i="2"/>
  <c r="W176" i="2"/>
  <c r="V176" i="2"/>
  <c r="Y175" i="2"/>
  <c r="AB163" i="2"/>
  <c r="X163" i="2"/>
  <c r="V163" i="2"/>
  <c r="Y163" i="2"/>
  <c r="Z163" i="2"/>
  <c r="Z162" i="2"/>
  <c r="P156" i="5"/>
  <c r="O139" i="5"/>
  <c r="L129" i="5"/>
  <c r="O116" i="5"/>
  <c r="L112" i="5"/>
  <c r="P102" i="5"/>
  <c r="L99" i="5"/>
  <c r="O84" i="5"/>
  <c r="N72" i="5"/>
  <c r="P59" i="5"/>
  <c r="P55" i="5"/>
  <c r="K40" i="5"/>
  <c r="L32" i="5"/>
  <c r="N24" i="5"/>
  <c r="P16" i="5"/>
  <c r="K9" i="5"/>
  <c r="B23" i="13"/>
  <c r="N145" i="5"/>
  <c r="O20" i="5"/>
  <c r="M150" i="5"/>
  <c r="O124" i="5"/>
  <c r="X386" i="2"/>
  <c r="L377" i="5"/>
  <c r="Z133" i="2"/>
  <c r="Y133" i="2"/>
  <c r="V133" i="2"/>
  <c r="X133" i="2"/>
  <c r="AB133" i="2"/>
  <c r="W132" i="2"/>
  <c r="W207" i="2"/>
  <c r="Y126" i="2"/>
  <c r="Z77" i="2"/>
  <c r="K45" i="5"/>
  <c r="L37" i="5"/>
  <c r="AB289" i="2"/>
  <c r="X284" i="2"/>
  <c r="Z252" i="2"/>
  <c r="Y226" i="2"/>
  <c r="V180" i="2"/>
  <c r="Z153" i="2"/>
  <c r="Z127" i="2"/>
  <c r="V113" i="2"/>
  <c r="X100" i="2"/>
  <c r="AB52" i="2"/>
  <c r="X47" i="2"/>
  <c r="V32" i="2"/>
  <c r="V11" i="2"/>
  <c r="O5" i="5"/>
  <c r="E9" i="4"/>
  <c r="V49" i="2"/>
  <c r="AB5" i="2"/>
  <c r="D8" i="8"/>
  <c r="K21" i="5"/>
  <c r="Z217" i="2"/>
  <c r="Z92" i="2"/>
  <c r="W66" i="2"/>
  <c r="Y27" i="2"/>
  <c r="Z8" i="2"/>
  <c r="W257" i="2"/>
  <c r="V249" i="2"/>
  <c r="Z172" i="2"/>
  <c r="X116" i="2"/>
  <c r="V224" i="2"/>
  <c r="AB151" i="2"/>
  <c r="AB150" i="2"/>
  <c r="V111" i="2"/>
  <c r="W102" i="2"/>
  <c r="Z62" i="2"/>
  <c r="W35" i="2"/>
  <c r="M29" i="5"/>
  <c r="V13" i="2"/>
  <c r="V177" i="2"/>
  <c r="W156" i="2"/>
  <c r="V89" i="2"/>
  <c r="Y54" i="2"/>
  <c r="X43" i="2"/>
  <c r="V81" i="2"/>
  <c r="Z503" i="2"/>
  <c r="O11" i="12"/>
  <c r="W183" i="2"/>
  <c r="AB16" i="2"/>
  <c r="D9" i="6"/>
  <c r="Y255" i="2"/>
  <c r="W230" i="2"/>
  <c r="W215" i="2"/>
  <c r="Y108" i="2"/>
  <c r="X82" i="2"/>
  <c r="X37" i="2"/>
  <c r="W24" i="2"/>
  <c r="Y364" i="2"/>
  <c r="AB3" i="2"/>
  <c r="Y700" i="2"/>
  <c r="Y804" i="2"/>
  <c r="Y796" i="2"/>
  <c r="Y7" i="2"/>
  <c r="AB457" i="2"/>
  <c r="P190" i="5"/>
  <c r="P180" i="5"/>
  <c r="M100" i="5"/>
  <c r="M96" i="5"/>
  <c r="M444" i="5"/>
  <c r="O406" i="5"/>
  <c r="Y378" i="2"/>
  <c r="V378" i="2"/>
  <c r="Z378" i="2"/>
  <c r="AB378" i="2"/>
  <c r="W378" i="2"/>
  <c r="L363" i="5"/>
  <c r="L342" i="5"/>
  <c r="N319" i="5"/>
  <c r="D24" i="14"/>
  <c r="G24" i="14" s="1"/>
  <c r="Z301" i="2"/>
  <c r="Y301" i="2"/>
  <c r="AB301" i="2"/>
  <c r="V301" i="2"/>
  <c r="X301" i="2"/>
  <c r="E22" i="14"/>
  <c r="H22" i="14" s="1"/>
  <c r="AB267" i="2"/>
  <c r="V267" i="2"/>
  <c r="Z267" i="2"/>
  <c r="Y267" i="2"/>
  <c r="W267" i="2"/>
  <c r="K267" i="5"/>
  <c r="M256" i="5"/>
  <c r="Z245" i="2"/>
  <c r="W245" i="2"/>
  <c r="AB245" i="2"/>
  <c r="X245" i="2"/>
  <c r="V245" i="2"/>
  <c r="D20" i="14"/>
  <c r="G20" i="14" s="1"/>
  <c r="V241" i="2"/>
  <c r="AB241" i="2"/>
  <c r="Z241" i="2"/>
  <c r="Y241" i="2"/>
  <c r="X241" i="2"/>
  <c r="W219" i="2"/>
  <c r="V219" i="2"/>
  <c r="AB219" i="2"/>
  <c r="Z219" i="2"/>
  <c r="Y219" i="2"/>
  <c r="P218" i="5"/>
  <c r="P217" i="5"/>
  <c r="O196" i="5"/>
  <c r="L192" i="5"/>
  <c r="M169" i="5"/>
  <c r="P158" i="5"/>
  <c r="Z101" i="2"/>
  <c r="AB101" i="2"/>
  <c r="X101" i="2"/>
  <c r="V101" i="2"/>
  <c r="W101" i="2"/>
  <c r="V110" i="2"/>
  <c r="AB110" i="2"/>
  <c r="W110" i="2"/>
  <c r="Z110" i="2"/>
  <c r="X110" i="2"/>
  <c r="P88" i="5"/>
  <c r="K78" i="5"/>
  <c r="O36" i="5"/>
  <c r="G8" i="4"/>
  <c r="N7" i="5"/>
  <c r="E9" i="14"/>
  <c r="H9" i="14" s="1"/>
  <c r="Z72" i="2"/>
  <c r="V72" i="2"/>
  <c r="Y72" i="2"/>
  <c r="AB72" i="2"/>
  <c r="W72" i="2"/>
  <c r="N60" i="5"/>
  <c r="N34" i="5"/>
  <c r="P352" i="5"/>
  <c r="L323" i="5"/>
  <c r="K140" i="5"/>
  <c r="N126" i="5"/>
  <c r="P113" i="5"/>
  <c r="O87" i="5"/>
  <c r="D28" i="14"/>
  <c r="G28" i="14" s="1"/>
  <c r="V361" i="2"/>
  <c r="Y361" i="2"/>
  <c r="X361" i="2"/>
  <c r="AB361" i="2"/>
  <c r="Z361" i="2"/>
  <c r="N336" i="5"/>
  <c r="M320" i="5"/>
  <c r="L268" i="5"/>
  <c r="P242" i="5"/>
  <c r="K234" i="5"/>
  <c r="M230" i="5"/>
  <c r="AB195" i="2"/>
  <c r="Z195" i="2"/>
  <c r="Y195" i="2"/>
  <c r="W195" i="2"/>
  <c r="V195" i="2"/>
  <c r="M185" i="5"/>
  <c r="AB131" i="2"/>
  <c r="Z131" i="2"/>
  <c r="X131" i="2"/>
  <c r="V131" i="2"/>
  <c r="W131" i="2"/>
  <c r="AB430" i="2"/>
  <c r="K420" i="5"/>
  <c r="L409" i="5"/>
  <c r="M375" i="5"/>
  <c r="N321" i="5"/>
  <c r="O240" i="5"/>
  <c r="M226" i="5"/>
  <c r="B19" i="15"/>
  <c r="V212" i="2"/>
  <c r="AB212" i="2"/>
  <c r="Z212" i="2"/>
  <c r="X212" i="2"/>
  <c r="W212" i="2"/>
  <c r="N201" i="5"/>
  <c r="M188" i="5"/>
  <c r="P184" i="5"/>
  <c r="O174" i="5"/>
  <c r="M171" i="5"/>
  <c r="M161" i="5"/>
  <c r="M144" i="5"/>
  <c r="P121" i="5"/>
  <c r="M110" i="5"/>
  <c r="O73" i="5"/>
  <c r="L70" i="5"/>
  <c r="L68" i="5"/>
  <c r="L51" i="5"/>
  <c r="L39" i="5"/>
  <c r="N31" i="5"/>
  <c r="P15" i="5"/>
  <c r="K147" i="5"/>
  <c r="K53" i="5"/>
  <c r="P49" i="5"/>
  <c r="L42" i="5"/>
  <c r="N10" i="5"/>
  <c r="Y460" i="2"/>
  <c r="Y439" i="2"/>
  <c r="K427" i="5"/>
  <c r="Y393" i="2"/>
  <c r="N385" i="5"/>
  <c r="N368" i="5"/>
  <c r="P348" i="5"/>
  <c r="Y327" i="2"/>
  <c r="P275" i="5"/>
  <c r="N263" i="5"/>
  <c r="N187" i="5"/>
  <c r="K164" i="5"/>
  <c r="N160" i="5"/>
  <c r="Z604" i="2"/>
  <c r="O539" i="5"/>
  <c r="K532" i="5"/>
  <c r="Z420" i="2"/>
  <c r="P412" i="5"/>
  <c r="X286" i="2"/>
  <c r="K209" i="5"/>
  <c r="K200" i="5"/>
  <c r="N163" i="5"/>
  <c r="O123" i="5"/>
  <c r="N67" i="5"/>
  <c r="AB679" i="2"/>
  <c r="N478" i="5"/>
  <c r="L428" i="5"/>
  <c r="V353" i="2"/>
  <c r="V332" i="2"/>
  <c r="X314" i="2"/>
  <c r="O294" i="5"/>
  <c r="AB270" i="2"/>
  <c r="Z270" i="2"/>
  <c r="Y270" i="2"/>
  <c r="W270" i="2"/>
  <c r="V270" i="2"/>
  <c r="N252" i="5"/>
  <c r="Y244" i="2"/>
  <c r="AB225" i="2"/>
  <c r="W225" i="2"/>
  <c r="Z225" i="2"/>
  <c r="V225" i="2"/>
  <c r="Y225" i="2"/>
  <c r="P179" i="5"/>
  <c r="C16" i="14"/>
  <c r="F16" i="14" s="1"/>
  <c r="Z173" i="2"/>
  <c r="X173" i="2"/>
  <c r="W173" i="2"/>
  <c r="V173" i="2"/>
  <c r="AB173" i="2"/>
  <c r="K166" i="5"/>
  <c r="M129" i="5"/>
  <c r="P116" i="5"/>
  <c r="X98" i="2"/>
  <c r="M99" i="5"/>
  <c r="P84" i="5"/>
  <c r="O72" i="5"/>
  <c r="K59" i="5"/>
  <c r="K55" i="5"/>
  <c r="L40" i="5"/>
  <c r="M32" i="5"/>
  <c r="O24" i="5"/>
  <c r="O9" i="12"/>
  <c r="C6" i="6"/>
  <c r="D9" i="8"/>
  <c r="Z846" i="2"/>
  <c r="AB711" i="2"/>
  <c r="Z711" i="2"/>
  <c r="AB876" i="2"/>
  <c r="Z591" i="2"/>
  <c r="AB516" i="2"/>
  <c r="Z6" i="2"/>
  <c r="Y6" i="2"/>
  <c r="V6" i="2"/>
  <c r="AB396" i="2"/>
  <c r="Z351" i="2"/>
  <c r="W6" i="2"/>
  <c r="AB306" i="2"/>
  <c r="AB261" i="2"/>
  <c r="AB6" i="2"/>
  <c r="L9" i="5"/>
  <c r="Z165" i="2"/>
  <c r="Y165" i="2"/>
  <c r="AB165" i="2"/>
  <c r="W165" i="2"/>
  <c r="V165" i="2"/>
  <c r="O145" i="5"/>
  <c r="P20" i="5"/>
  <c r="N150" i="5"/>
  <c r="P124" i="5"/>
  <c r="M377" i="5"/>
  <c r="M136" i="5"/>
  <c r="E13" i="14"/>
  <c r="H13" i="14" s="1"/>
  <c r="W326" i="2"/>
  <c r="V193" i="2"/>
  <c r="Z140" i="2"/>
  <c r="Z126" i="2"/>
  <c r="AB94" i="2"/>
  <c r="AB61" i="2"/>
  <c r="Z21" i="2"/>
  <c r="L45" i="5"/>
  <c r="M37" i="5"/>
  <c r="Y289" i="2"/>
  <c r="V252" i="2"/>
  <c r="X226" i="2"/>
  <c r="W180" i="2"/>
  <c r="Y166" i="2"/>
  <c r="AB127" i="2"/>
  <c r="W113" i="2"/>
  <c r="V87" i="2"/>
  <c r="B8" i="15"/>
  <c r="V38" i="2"/>
  <c r="W32" i="2"/>
  <c r="E10" i="4"/>
  <c r="P5" i="5"/>
  <c r="X5" i="2"/>
  <c r="V5" i="2"/>
  <c r="O8" i="12"/>
  <c r="L21" i="5"/>
  <c r="AB217" i="2"/>
  <c r="AB79" i="2"/>
  <c r="Y66" i="2"/>
  <c r="O13" i="12"/>
  <c r="D7" i="6"/>
  <c r="D13" i="8"/>
  <c r="Z910" i="2"/>
  <c r="Z790" i="2"/>
  <c r="AB655" i="2"/>
  <c r="Z655" i="2"/>
  <c r="AB790" i="2"/>
  <c r="AB490" i="2"/>
  <c r="V10" i="2"/>
  <c r="AB325" i="2"/>
  <c r="Z175" i="2"/>
  <c r="Y10" i="2"/>
  <c r="Z415" i="2"/>
  <c r="Z10" i="2"/>
  <c r="AB130" i="2"/>
  <c r="Z250" i="2"/>
  <c r="AB10" i="2"/>
  <c r="X10" i="2"/>
  <c r="Z40" i="2"/>
  <c r="V262" i="2"/>
  <c r="V257" i="2"/>
  <c r="Y240" i="2"/>
  <c r="W236" i="2"/>
  <c r="V205" i="2"/>
  <c r="W71" i="2"/>
  <c r="V29" i="2"/>
  <c r="V90" i="2"/>
  <c r="V281" i="2"/>
  <c r="X151" i="2"/>
  <c r="V150" i="2"/>
  <c r="Z111" i="2"/>
  <c r="Y102" i="2"/>
  <c r="X35" i="2"/>
  <c r="X13" i="2"/>
  <c r="V254" i="2"/>
  <c r="Y201" i="2"/>
  <c r="W177" i="2"/>
  <c r="Z97" i="2"/>
  <c r="W89" i="2"/>
  <c r="Y43" i="2"/>
  <c r="V8" i="2"/>
  <c r="AB503" i="2"/>
  <c r="D8" i="13"/>
  <c r="Y183" i="2"/>
  <c r="V16" i="2"/>
  <c r="D19" i="8"/>
  <c r="Y238" i="2"/>
  <c r="Y234" i="2"/>
  <c r="X230" i="2"/>
  <c r="Z108" i="2"/>
  <c r="W86" i="2"/>
  <c r="Y82" i="2"/>
  <c r="V24" i="2"/>
  <c r="Z3" i="2"/>
  <c r="W3" i="2"/>
  <c r="AB543" i="2"/>
  <c r="AB828" i="2"/>
  <c r="AB892" i="2"/>
  <c r="O475" i="5"/>
  <c r="M470" i="5"/>
  <c r="V438" i="2"/>
  <c r="AB438" i="2"/>
  <c r="Y438" i="2"/>
  <c r="Z438" i="2"/>
  <c r="W438" i="2"/>
  <c r="P440" i="5"/>
  <c r="K408" i="5"/>
  <c r="P387" i="5"/>
  <c r="K374" i="5"/>
  <c r="N359" i="5"/>
  <c r="O337" i="5"/>
  <c r="M334" i="5"/>
  <c r="P327" i="5"/>
  <c r="M307" i="5"/>
  <c r="O305" i="5"/>
  <c r="L302" i="5"/>
  <c r="N404" i="5"/>
  <c r="P397" i="5"/>
  <c r="B30" i="15"/>
  <c r="V377" i="2"/>
  <c r="Z377" i="2"/>
  <c r="AB377" i="2"/>
  <c r="X377" i="2"/>
  <c r="W377" i="2"/>
  <c r="M340" i="5"/>
  <c r="AB294" i="2"/>
  <c r="W294" i="2"/>
  <c r="Y294" i="2"/>
  <c r="Z294" i="2"/>
  <c r="V294" i="2"/>
  <c r="O236" i="5"/>
  <c r="M220" i="5"/>
  <c r="M219" i="5"/>
  <c r="O155" i="5"/>
  <c r="L152" i="5"/>
  <c r="P142" i="5"/>
  <c r="N132" i="5"/>
  <c r="L115" i="5"/>
  <c r="P105" i="5"/>
  <c r="M92" i="5"/>
  <c r="O89" i="5"/>
  <c r="N86" i="5"/>
  <c r="C8" i="14"/>
  <c r="F8" i="14" s="1"/>
  <c r="Z53" i="2"/>
  <c r="AB53" i="2"/>
  <c r="X53" i="2"/>
  <c r="W53" i="2"/>
  <c r="V53" i="2"/>
  <c r="K43" i="5"/>
  <c r="F7" i="18"/>
  <c r="B6" i="15"/>
  <c r="Z17" i="2"/>
  <c r="X17" i="2"/>
  <c r="V17" i="2"/>
  <c r="W17" i="2"/>
  <c r="AB17" i="2"/>
  <c r="L11" i="5"/>
  <c r="O246" i="5"/>
  <c r="O223" i="5"/>
  <c r="L207" i="5"/>
  <c r="L206" i="5"/>
  <c r="X154" i="2"/>
  <c r="L131" i="5"/>
  <c r="O128" i="5"/>
  <c r="L118" i="5"/>
  <c r="K108" i="5"/>
  <c r="L79" i="5"/>
  <c r="L48" i="5"/>
  <c r="L46" i="5"/>
  <c r="M38" i="5"/>
  <c r="N30" i="5"/>
  <c r="X50" i="2"/>
  <c r="AB50" i="2"/>
  <c r="Z50" i="2"/>
  <c r="W50" i="2"/>
  <c r="V50" i="2"/>
  <c r="P97" i="5"/>
  <c r="P80" i="5"/>
  <c r="P403" i="5"/>
  <c r="K214" i="5"/>
  <c r="K203" i="5"/>
  <c r="X196" i="2"/>
  <c r="F9" i="18"/>
  <c r="X548" i="2"/>
  <c r="Z428" i="2"/>
  <c r="X340" i="2"/>
  <c r="N300" i="5"/>
  <c r="K288" i="5"/>
  <c r="M272" i="5"/>
  <c r="P271" i="5"/>
  <c r="O224" i="5"/>
  <c r="M182" i="5"/>
  <c r="AB88" i="2"/>
  <c r="Z88" i="2"/>
  <c r="Y88" i="2"/>
  <c r="X88" i="2"/>
  <c r="V88" i="2"/>
  <c r="L83" i="5"/>
  <c r="M81" i="5"/>
  <c r="N64" i="5"/>
  <c r="M22" i="5"/>
  <c r="O7" i="12"/>
  <c r="E9" i="13"/>
  <c r="D7" i="8"/>
  <c r="D5" i="6"/>
  <c r="D10" i="6"/>
  <c r="E28" i="20" s="1"/>
  <c r="F28" i="20" s="1"/>
  <c r="G28" i="20" s="1"/>
  <c r="Z934" i="2"/>
  <c r="Z814" i="2"/>
  <c r="AB4" i="2"/>
  <c r="AB439" i="2"/>
  <c r="Z4" i="2"/>
  <c r="AB154" i="2"/>
  <c r="Z274" i="2"/>
  <c r="Y4" i="2"/>
  <c r="X4" i="2"/>
  <c r="V4" i="2"/>
  <c r="O94" i="5"/>
  <c r="N41" i="5"/>
  <c r="P33" i="5"/>
  <c r="O18" i="12"/>
  <c r="D18" i="8"/>
  <c r="C9" i="6"/>
  <c r="Z870" i="2"/>
  <c r="AB735" i="2"/>
  <c r="Z735" i="2"/>
  <c r="AB900" i="2"/>
  <c r="AB540" i="2"/>
  <c r="AB615" i="2"/>
  <c r="AB15" i="2"/>
  <c r="AB90" i="2"/>
  <c r="Z135" i="2"/>
  <c r="Z15" i="2"/>
  <c r="Z330" i="2"/>
  <c r="Z255" i="2"/>
  <c r="Y15" i="2"/>
  <c r="AB210" i="2"/>
  <c r="V15" i="2"/>
  <c r="W15" i="2"/>
  <c r="M76" i="5"/>
  <c r="M56" i="5"/>
  <c r="K28" i="5"/>
  <c r="E12" i="14"/>
  <c r="H12" i="14" s="1"/>
  <c r="Z117" i="2"/>
  <c r="Y117" i="2"/>
  <c r="V117" i="2"/>
  <c r="AB117" i="2"/>
  <c r="W117" i="2"/>
  <c r="V358" i="2"/>
  <c r="V190" i="2"/>
  <c r="Y186" i="2"/>
  <c r="X122" i="2"/>
  <c r="N100" i="5"/>
  <c r="N96" i="5"/>
  <c r="AB652" i="2"/>
  <c r="V478" i="2"/>
  <c r="AB478" i="2"/>
  <c r="Y478" i="2"/>
  <c r="X478" i="2"/>
  <c r="Z478" i="2"/>
  <c r="N444" i="5"/>
  <c r="AB407" i="2"/>
  <c r="P406" i="5"/>
  <c r="Y391" i="2"/>
  <c r="Y370" i="2"/>
  <c r="V370" i="2"/>
  <c r="AB370" i="2"/>
  <c r="X370" i="2"/>
  <c r="Z370" i="2"/>
  <c r="M363" i="5"/>
  <c r="AB342" i="2"/>
  <c r="M342" i="5"/>
  <c r="P304" i="5"/>
  <c r="Z277" i="2"/>
  <c r="Y277" i="2"/>
  <c r="AB277" i="2"/>
  <c r="X277" i="2"/>
  <c r="V277" i="2"/>
  <c r="K270" i="5"/>
  <c r="L267" i="5"/>
  <c r="N256" i="5"/>
  <c r="M248" i="5"/>
  <c r="K244" i="5"/>
  <c r="K222" i="5"/>
  <c r="K218" i="5"/>
  <c r="K217" i="5"/>
  <c r="P196" i="5"/>
  <c r="W161" i="2"/>
  <c r="V161" i="2"/>
  <c r="AB161" i="2"/>
  <c r="Z161" i="2"/>
  <c r="X161" i="2"/>
  <c r="V146" i="2"/>
  <c r="AB104" i="2"/>
  <c r="Z104" i="2"/>
  <c r="X104" i="2"/>
  <c r="V104" i="2"/>
  <c r="W104" i="2"/>
  <c r="P104" i="5"/>
  <c r="X106" i="2"/>
  <c r="L88" i="5"/>
  <c r="L78" i="5"/>
  <c r="P36" i="5"/>
  <c r="O7" i="5"/>
  <c r="G9" i="4"/>
  <c r="L75" i="5"/>
  <c r="O60" i="5"/>
  <c r="O34" i="5"/>
  <c r="K352" i="5"/>
  <c r="M323" i="5"/>
  <c r="V313" i="2"/>
  <c r="L140" i="5"/>
  <c r="K126" i="5"/>
  <c r="K113" i="5"/>
  <c r="P87" i="5"/>
  <c r="AB348" i="2"/>
  <c r="Y343" i="2"/>
  <c r="O336" i="5"/>
  <c r="N320" i="5"/>
  <c r="X311" i="2"/>
  <c r="Y274" i="2"/>
  <c r="M268" i="5"/>
  <c r="K242" i="5"/>
  <c r="L234" i="5"/>
  <c r="N230" i="5"/>
  <c r="Z208" i="2"/>
  <c r="AB208" i="2"/>
  <c r="V208" i="2"/>
  <c r="Y208" i="2"/>
  <c r="X208" i="2"/>
  <c r="K198" i="5"/>
  <c r="E17" i="14"/>
  <c r="H17" i="14" s="1"/>
  <c r="AB192" i="2"/>
  <c r="Z192" i="2"/>
  <c r="V192" i="2"/>
  <c r="Y192" i="2"/>
  <c r="W192" i="2"/>
  <c r="X191" i="2"/>
  <c r="J17" i="15"/>
  <c r="K134" i="5"/>
  <c r="M44" i="5"/>
  <c r="K18" i="5"/>
  <c r="V430" i="2"/>
  <c r="AB410" i="2"/>
  <c r="M409" i="5"/>
  <c r="Z381" i="2"/>
  <c r="N375" i="5"/>
  <c r="W341" i="2"/>
  <c r="O321" i="5"/>
  <c r="V303" i="2"/>
  <c r="D22" i="14"/>
  <c r="G22" i="14" s="1"/>
  <c r="P240" i="5"/>
  <c r="N226" i="5"/>
  <c r="L215" i="5"/>
  <c r="O201" i="5"/>
  <c r="N188" i="5"/>
  <c r="K184" i="5"/>
  <c r="P174" i="5"/>
  <c r="N171" i="5"/>
  <c r="K148" i="5"/>
  <c r="N144" i="5"/>
  <c r="K121" i="5"/>
  <c r="O110" i="5"/>
  <c r="P73" i="5"/>
  <c r="M70" i="5"/>
  <c r="P63" i="5"/>
  <c r="M51" i="5"/>
  <c r="M39" i="5"/>
  <c r="O31" i="5"/>
  <c r="K15" i="5"/>
  <c r="L147" i="5"/>
  <c r="L53" i="5"/>
  <c r="P47" i="5"/>
  <c r="M42" i="5"/>
  <c r="O10" i="5"/>
  <c r="V426" i="2"/>
  <c r="L427" i="5"/>
  <c r="Z393" i="2"/>
  <c r="O385" i="5"/>
  <c r="O368" i="5"/>
  <c r="K348" i="5"/>
  <c r="Z327" i="2"/>
  <c r="J23" i="15"/>
  <c r="V235" i="2"/>
  <c r="AB235" i="2"/>
  <c r="Z235" i="2"/>
  <c r="X235" i="2"/>
  <c r="Y235" i="2"/>
  <c r="O187" i="5"/>
  <c r="L164" i="5"/>
  <c r="O160" i="5"/>
  <c r="V604" i="2"/>
  <c r="P539" i="5"/>
  <c r="L532" i="5"/>
  <c r="AB420" i="2"/>
  <c r="K412" i="5"/>
  <c r="Z286" i="2"/>
  <c r="L209" i="5"/>
  <c r="L200" i="5"/>
  <c r="O163" i="5"/>
  <c r="O67" i="5"/>
  <c r="O478" i="5"/>
  <c r="M428" i="5"/>
  <c r="Y379" i="2"/>
  <c r="W332" i="2"/>
  <c r="E25" i="14"/>
  <c r="H25" i="14" s="1"/>
  <c r="Z312" i="2"/>
  <c r="W312" i="2"/>
  <c r="V312" i="2"/>
  <c r="AB312" i="2"/>
  <c r="Y312" i="2"/>
  <c r="Z300" i="2"/>
  <c r="P294" i="5"/>
  <c r="M273" i="5"/>
  <c r="AB263" i="2"/>
  <c r="O252" i="5"/>
  <c r="Z244" i="2"/>
  <c r="Y229" i="2"/>
  <c r="AB229" i="2"/>
  <c r="X229" i="2"/>
  <c r="V229" i="2"/>
  <c r="Z229" i="2"/>
  <c r="K228" i="5"/>
  <c r="K179" i="5"/>
  <c r="M176" i="5"/>
  <c r="L166" i="5"/>
  <c r="D13" i="14"/>
  <c r="G13" i="14" s="1"/>
  <c r="AB136" i="2"/>
  <c r="Z136" i="2"/>
  <c r="X136" i="2"/>
  <c r="V136" i="2"/>
  <c r="Y136" i="2"/>
  <c r="Y135" i="2"/>
  <c r="AB122" i="2"/>
  <c r="Z109" i="2"/>
  <c r="Y109" i="2"/>
  <c r="X109" i="2"/>
  <c r="V109" i="2"/>
  <c r="AB109" i="2"/>
  <c r="AB99" i="2"/>
  <c r="W99" i="2"/>
  <c r="V99" i="2"/>
  <c r="Z99" i="2"/>
  <c r="Y99" i="2"/>
  <c r="Z98" i="2"/>
  <c r="N99" i="5"/>
  <c r="K84" i="5"/>
  <c r="P72" i="5"/>
  <c r="K57" i="5"/>
  <c r="L55" i="5"/>
  <c r="M40" i="5"/>
  <c r="N32" i="5"/>
  <c r="P24" i="5"/>
  <c r="K8" i="5"/>
  <c r="M9" i="5"/>
  <c r="M168" i="5"/>
  <c r="P145" i="5"/>
  <c r="K20" i="5"/>
  <c r="O150" i="5"/>
  <c r="K26" i="5"/>
  <c r="N377" i="5"/>
  <c r="N136" i="5"/>
  <c r="V105" i="2"/>
  <c r="X221" i="2"/>
  <c r="V199" i="2"/>
  <c r="Z188" i="2"/>
  <c r="W126" i="2"/>
  <c r="V94" i="2"/>
  <c r="X68" i="2"/>
  <c r="W30" i="2"/>
  <c r="X103" i="2"/>
  <c r="M45" i="5"/>
  <c r="X14" i="2"/>
  <c r="V284" i="2"/>
  <c r="W252" i="2"/>
  <c r="D19" i="14"/>
  <c r="G19" i="14" s="1"/>
  <c r="Z167" i="2"/>
  <c r="X166" i="2"/>
  <c r="X127" i="2"/>
  <c r="C12" i="14"/>
  <c r="F12" i="14" s="1"/>
  <c r="Z87" i="2"/>
  <c r="X52" i="2"/>
  <c r="W38" i="2"/>
  <c r="X32" i="2"/>
  <c r="W11" i="2"/>
  <c r="E5" i="4"/>
  <c r="K5" i="5"/>
  <c r="AB170" i="2"/>
  <c r="AB305" i="2"/>
  <c r="E6" i="6"/>
  <c r="C6" i="10" s="1"/>
  <c r="E14" i="20" s="1"/>
  <c r="F14" i="20" s="1"/>
  <c r="G14" i="20" s="1"/>
  <c r="M21" i="5"/>
  <c r="X217" i="2"/>
  <c r="V92" i="2"/>
  <c r="Y79" i="2"/>
  <c r="AB45" i="2"/>
  <c r="AB19" i="2"/>
  <c r="N13" i="5"/>
  <c r="V45" i="2"/>
  <c r="X262" i="2"/>
  <c r="AB240" i="2"/>
  <c r="X236" i="2"/>
  <c r="X205" i="2"/>
  <c r="AB172" i="2"/>
  <c r="X71" i="2"/>
  <c r="W29" i="2"/>
  <c r="V164" i="2"/>
  <c r="Y151" i="2"/>
  <c r="Z124" i="2"/>
  <c r="V62" i="2"/>
  <c r="V26" i="2"/>
  <c r="AB26" i="2"/>
  <c r="Z26" i="2"/>
  <c r="W26" i="2"/>
  <c r="X26" i="2"/>
  <c r="W254" i="2"/>
  <c r="V201" i="2"/>
  <c r="E16" i="14"/>
  <c r="H16" i="14" s="1"/>
  <c r="AB143" i="2"/>
  <c r="Y129" i="2"/>
  <c r="AB97" i="2"/>
  <c r="AB63" i="2"/>
  <c r="V130" i="2"/>
  <c r="X16" i="2"/>
  <c r="D9" i="13"/>
  <c r="F9" i="13" s="1"/>
  <c r="V234" i="2"/>
  <c r="AB230" i="2"/>
  <c r="Y148" i="2"/>
  <c r="X86" i="2"/>
  <c r="Y55" i="2"/>
  <c r="Z37" i="2"/>
  <c r="Y319" i="2"/>
  <c r="AB138" i="2"/>
  <c r="Y508" i="2"/>
  <c r="Y811" i="2"/>
  <c r="Z918" i="2"/>
  <c r="V7" i="2"/>
  <c r="Z607" i="2"/>
  <c r="W468" i="2"/>
  <c r="V468" i="2"/>
  <c r="Z468" i="2"/>
  <c r="Y468" i="2"/>
  <c r="AB468" i="2"/>
  <c r="F36" i="18"/>
  <c r="K441" i="5"/>
  <c r="K440" i="5"/>
  <c r="L408" i="5"/>
  <c r="Z389" i="2"/>
  <c r="X389" i="2"/>
  <c r="W389" i="2"/>
  <c r="AB389" i="2"/>
  <c r="V389" i="2"/>
  <c r="L374" i="5"/>
  <c r="P337" i="5"/>
  <c r="L332" i="5"/>
  <c r="K327" i="5"/>
  <c r="N307" i="5"/>
  <c r="P305" i="5"/>
  <c r="M302" i="5"/>
  <c r="O404" i="5"/>
  <c r="K397" i="5"/>
  <c r="V385" i="2"/>
  <c r="AB385" i="2"/>
  <c r="X385" i="2"/>
  <c r="Y385" i="2"/>
  <c r="Z385" i="2"/>
  <c r="L380" i="5"/>
  <c r="N340" i="5"/>
  <c r="V292" i="2"/>
  <c r="Y292" i="2"/>
  <c r="X292" i="2"/>
  <c r="AB292" i="2"/>
  <c r="Z292" i="2"/>
  <c r="P236" i="5"/>
  <c r="N220" i="5"/>
  <c r="N219" i="5"/>
  <c r="B17" i="15"/>
  <c r="V182" i="2"/>
  <c r="AB182" i="2"/>
  <c r="Z182" i="2"/>
  <c r="X182" i="2"/>
  <c r="W182" i="2"/>
  <c r="F15" i="18"/>
  <c r="V142" i="2"/>
  <c r="AB142" i="2"/>
  <c r="Z142" i="2"/>
  <c r="Y142" i="2"/>
  <c r="X142" i="2"/>
  <c r="O132" i="5"/>
  <c r="M115" i="5"/>
  <c r="K105" i="5"/>
  <c r="N92" i="5"/>
  <c r="L89" i="5"/>
  <c r="O86" i="5"/>
  <c r="Z33" i="2"/>
  <c r="Y33" i="2"/>
  <c r="V33" i="2"/>
  <c r="W33" i="2"/>
  <c r="AB33" i="2"/>
  <c r="Y25" i="2"/>
  <c r="Z25" i="2"/>
  <c r="X25" i="2"/>
  <c r="V25" i="2"/>
  <c r="AB25" i="2"/>
  <c r="L19" i="5"/>
  <c r="M11" i="5"/>
  <c r="P246" i="5"/>
  <c r="P223" i="5"/>
  <c r="M207" i="5"/>
  <c r="M206" i="5"/>
  <c r="N193" i="5"/>
  <c r="M131" i="5"/>
  <c r="K128" i="5"/>
  <c r="M118" i="5"/>
  <c r="M108" i="5"/>
  <c r="M79" i="5"/>
  <c r="AB51" i="2"/>
  <c r="Z51" i="2"/>
  <c r="Y51" i="2"/>
  <c r="W51" i="2"/>
  <c r="V51" i="2"/>
  <c r="M52" i="5"/>
  <c r="M48" i="5"/>
  <c r="M46" i="5"/>
  <c r="N38" i="5"/>
  <c r="D10" i="13"/>
  <c r="O15" i="12"/>
  <c r="E5" i="14"/>
  <c r="D15" i="8"/>
  <c r="C8" i="6"/>
  <c r="Z567" i="2"/>
  <c r="AB687" i="2"/>
  <c r="Z687" i="2"/>
  <c r="Z447" i="2"/>
  <c r="AB567" i="2"/>
  <c r="AB447" i="2"/>
  <c r="AB12" i="2"/>
  <c r="AB327" i="2"/>
  <c r="Z12" i="2"/>
  <c r="AB357" i="2"/>
  <c r="Y12" i="2"/>
  <c r="Z282" i="2"/>
  <c r="W12" i="2"/>
  <c r="Z342" i="2"/>
  <c r="V12" i="2"/>
  <c r="D7" i="14"/>
  <c r="G7" i="14" s="1"/>
  <c r="AB46" i="2"/>
  <c r="Z46" i="2"/>
  <c r="X46" i="2"/>
  <c r="Y46" i="2"/>
  <c r="V46" i="2"/>
  <c r="K97" i="5"/>
  <c r="J10" i="15"/>
  <c r="X350" i="2"/>
  <c r="Z322" i="2"/>
  <c r="L214" i="5"/>
  <c r="L203" i="5"/>
  <c r="D17" i="14"/>
  <c r="G17" i="14" s="1"/>
  <c r="AB59" i="2"/>
  <c r="W59" i="2"/>
  <c r="V59" i="2"/>
  <c r="Z59" i="2"/>
  <c r="X59" i="2"/>
  <c r="O300" i="5"/>
  <c r="L288" i="5"/>
  <c r="P272" i="5"/>
  <c r="M271" i="5"/>
  <c r="P224" i="5"/>
  <c r="N182" i="5"/>
  <c r="M91" i="5"/>
  <c r="M83" i="5"/>
  <c r="N81" i="5"/>
  <c r="O64" i="5"/>
  <c r="N22" i="5"/>
  <c r="O6" i="5"/>
  <c r="F9" i="4"/>
  <c r="M94" i="5"/>
  <c r="X76" i="2"/>
  <c r="O41" i="5"/>
  <c r="C6" i="14"/>
  <c r="F6" i="14" s="1"/>
  <c r="AB23" i="2"/>
  <c r="Z23" i="2"/>
  <c r="X23" i="2"/>
  <c r="V23" i="2"/>
  <c r="W23" i="2"/>
  <c r="K17" i="5"/>
  <c r="N76" i="5"/>
  <c r="N56" i="5"/>
  <c r="L28" i="5"/>
  <c r="P120" i="5"/>
  <c r="X358" i="2"/>
  <c r="AB187" i="2"/>
  <c r="V187" i="2"/>
  <c r="Z187" i="2"/>
  <c r="X187" i="2"/>
  <c r="Y187" i="2"/>
  <c r="Z186" i="2"/>
  <c r="Z122" i="2"/>
  <c r="O100" i="5"/>
  <c r="K96" i="5"/>
  <c r="AB492" i="2"/>
  <c r="N481" i="5"/>
  <c r="X473" i="2"/>
  <c r="O444" i="5"/>
  <c r="V407" i="2"/>
  <c r="K406" i="5"/>
  <c r="D30" i="14"/>
  <c r="G30" i="14" s="1"/>
  <c r="M373" i="5"/>
  <c r="Z362" i="2"/>
  <c r="N363" i="5"/>
  <c r="E27" i="14"/>
  <c r="H27" i="14" s="1"/>
  <c r="D25" i="14"/>
  <c r="G25" i="14" s="1"/>
  <c r="V316" i="2"/>
  <c r="Z316" i="2"/>
  <c r="X316" i="2"/>
  <c r="AB316" i="2"/>
  <c r="Y316" i="2"/>
  <c r="K304" i="5"/>
  <c r="P280" i="5"/>
  <c r="N270" i="5"/>
  <c r="N267" i="5"/>
  <c r="O256" i="5"/>
  <c r="N248" i="5"/>
  <c r="L244" i="5"/>
  <c r="L222" i="5"/>
  <c r="L218" i="5"/>
  <c r="L217" i="5"/>
  <c r="Z189" i="2"/>
  <c r="Y189" i="2"/>
  <c r="AB189" i="2"/>
  <c r="W189" i="2"/>
  <c r="V189" i="2"/>
  <c r="V174" i="2"/>
  <c r="AB174" i="2"/>
  <c r="Z174" i="2"/>
  <c r="Y174" i="2"/>
  <c r="W174" i="2"/>
  <c r="AB155" i="2"/>
  <c r="Z155" i="2"/>
  <c r="X155" i="2"/>
  <c r="W155" i="2"/>
  <c r="V155" i="2"/>
  <c r="V134" i="2"/>
  <c r="AB134" i="2"/>
  <c r="Z134" i="2"/>
  <c r="X134" i="2"/>
  <c r="W134" i="2"/>
  <c r="K107" i="5"/>
  <c r="M104" i="5"/>
  <c r="Y106" i="2"/>
  <c r="K88" i="5"/>
  <c r="M78" i="5"/>
  <c r="K36" i="5"/>
  <c r="N137" i="5"/>
  <c r="M75" i="5"/>
  <c r="P60" i="5"/>
  <c r="P34" i="5"/>
  <c r="L352" i="5"/>
  <c r="N323" i="5"/>
  <c r="N153" i="5"/>
  <c r="M140" i="5"/>
  <c r="L126" i="5"/>
  <c r="L113" i="5"/>
  <c r="X58" i="2"/>
  <c r="Z348" i="2"/>
  <c r="X343" i="2"/>
  <c r="V322" i="2"/>
  <c r="O320" i="5"/>
  <c r="V310" i="2"/>
  <c r="V305" i="2"/>
  <c r="Y273" i="2"/>
  <c r="O268" i="5"/>
  <c r="L242" i="5"/>
  <c r="M234" i="5"/>
  <c r="O230" i="5"/>
  <c r="P211" i="5"/>
  <c r="L198" i="5"/>
  <c r="P195" i="5"/>
  <c r="V186" i="2"/>
  <c r="K172" i="5"/>
  <c r="L134" i="5"/>
  <c r="N44" i="5"/>
  <c r="L18" i="5"/>
  <c r="E32" i="14"/>
  <c r="H32" i="14" s="1"/>
  <c r="W417" i="2"/>
  <c r="V417" i="2"/>
  <c r="AB417" i="2"/>
  <c r="Y417" i="2"/>
  <c r="Z417" i="2"/>
  <c r="V410" i="2"/>
  <c r="N409" i="5"/>
  <c r="AB375" i="2"/>
  <c r="AB367" i="2"/>
  <c r="X341" i="2"/>
  <c r="P321" i="5"/>
  <c r="Y303" i="2"/>
  <c r="Z258" i="2"/>
  <c r="K240" i="5"/>
  <c r="M216" i="5"/>
  <c r="M215" i="5"/>
  <c r="P201" i="5"/>
  <c r="O188" i="5"/>
  <c r="L184" i="5"/>
  <c r="X170" i="2"/>
  <c r="O171" i="5"/>
  <c r="L148" i="5"/>
  <c r="O144" i="5"/>
  <c r="L121" i="5"/>
  <c r="P110" i="5"/>
  <c r="Y69" i="2"/>
  <c r="N70" i="5"/>
  <c r="K63" i="5"/>
  <c r="N51" i="5"/>
  <c r="N39" i="5"/>
  <c r="P23" i="5"/>
  <c r="L15" i="5"/>
  <c r="M147" i="5"/>
  <c r="M53" i="5"/>
  <c r="K47" i="5"/>
  <c r="N42" i="5"/>
  <c r="P10" i="5"/>
  <c r="V460" i="2"/>
  <c r="AB426" i="2"/>
  <c r="M427" i="5"/>
  <c r="V393" i="2"/>
  <c r="P385" i="5"/>
  <c r="V335" i="2"/>
  <c r="B23" i="15"/>
  <c r="Z272" i="2"/>
  <c r="V272" i="2"/>
  <c r="AB272" i="2"/>
  <c r="W272" i="2"/>
  <c r="X272" i="2"/>
  <c r="W260" i="2"/>
  <c r="V260" i="2"/>
  <c r="X260" i="2"/>
  <c r="AB260" i="2"/>
  <c r="Z260" i="2"/>
  <c r="K238" i="5"/>
  <c r="N177" i="5"/>
  <c r="M164" i="5"/>
  <c r="P160" i="5"/>
  <c r="X604" i="2"/>
  <c r="K539" i="5"/>
  <c r="Y420" i="2"/>
  <c r="V414" i="2"/>
  <c r="W402" i="2"/>
  <c r="AB286" i="2"/>
  <c r="M209" i="5"/>
  <c r="J18" i="15"/>
  <c r="AB120" i="2"/>
  <c r="Z120" i="2"/>
  <c r="W120" i="2"/>
  <c r="V120" i="2"/>
  <c r="Y120" i="2"/>
  <c r="AB76" i="2"/>
  <c r="P67" i="5"/>
  <c r="V679" i="2"/>
  <c r="P478" i="5"/>
  <c r="N428" i="5"/>
  <c r="Z379" i="2"/>
  <c r="V343" i="2"/>
  <c r="K315" i="5"/>
  <c r="K294" i="5"/>
  <c r="N273" i="5"/>
  <c r="W263" i="2"/>
  <c r="P252" i="5"/>
  <c r="AB244" i="2"/>
  <c r="M232" i="5"/>
  <c r="L228" i="5"/>
  <c r="AB199" i="2"/>
  <c r="L179" i="5"/>
  <c r="N176" i="5"/>
  <c r="M166" i="5"/>
  <c r="K156" i="5"/>
  <c r="P139" i="5"/>
  <c r="AB132" i="2"/>
  <c r="P112" i="5"/>
  <c r="N102" i="5"/>
  <c r="C11" i="14"/>
  <c r="F11" i="14" s="1"/>
  <c r="W95" i="2"/>
  <c r="L84" i="5"/>
  <c r="Z56" i="2"/>
  <c r="X56" i="2"/>
  <c r="V56" i="2"/>
  <c r="AB56" i="2"/>
  <c r="W56" i="2"/>
  <c r="L57" i="5"/>
  <c r="M55" i="5"/>
  <c r="N40" i="5"/>
  <c r="O32" i="5"/>
  <c r="K16" i="5"/>
  <c r="L8" i="5"/>
  <c r="N9" i="5"/>
  <c r="N168" i="5"/>
  <c r="K145" i="5"/>
  <c r="L20" i="5"/>
  <c r="P150" i="5"/>
  <c r="L26" i="5"/>
  <c r="V386" i="2"/>
  <c r="O377" i="5"/>
  <c r="O136" i="5"/>
  <c r="W105" i="2"/>
  <c r="AB140" i="2"/>
  <c r="AB126" i="2"/>
  <c r="V77" i="2"/>
  <c r="Z68" i="2"/>
  <c r="AB21" i="2"/>
  <c r="Y103" i="2"/>
  <c r="V34" i="2"/>
  <c r="AB34" i="2"/>
  <c r="Y34" i="2"/>
  <c r="Z34" i="2"/>
  <c r="X34" i="2"/>
  <c r="X289" i="2"/>
  <c r="W284" i="2"/>
  <c r="Z166" i="2"/>
  <c r="Y153" i="2"/>
  <c r="Y127" i="2"/>
  <c r="Y100" i="2"/>
  <c r="V74" i="2"/>
  <c r="V52" i="2"/>
  <c r="Y40" i="2"/>
  <c r="X38" i="2"/>
  <c r="B7" i="15"/>
  <c r="E6" i="4"/>
  <c r="L5" i="5"/>
  <c r="Z5" i="2"/>
  <c r="W5" i="2"/>
  <c r="W92" i="2"/>
  <c r="X79" i="2"/>
  <c r="Y37" i="2"/>
  <c r="Z19" i="2"/>
  <c r="O13" i="5"/>
  <c r="W45" i="2"/>
  <c r="AB262" i="2"/>
  <c r="V240" i="2"/>
  <c r="Y205" i="2"/>
  <c r="V172" i="2"/>
  <c r="Y276" i="2"/>
  <c r="W164" i="2"/>
  <c r="AB111" i="2"/>
  <c r="V102" i="2"/>
  <c r="AB62" i="2"/>
  <c r="N29" i="5"/>
  <c r="X254" i="2"/>
  <c r="W201" i="2"/>
  <c r="V143" i="2"/>
  <c r="V97" i="2"/>
  <c r="V63" i="2"/>
  <c r="V54" i="2"/>
  <c r="Y81" i="2"/>
  <c r="AB8" i="2"/>
  <c r="AB803" i="2"/>
  <c r="AB106" i="2"/>
  <c r="AB556" i="2"/>
  <c r="O19" i="12"/>
  <c r="V238" i="2"/>
  <c r="W234" i="2"/>
  <c r="Z215" i="2"/>
  <c r="AB108" i="2"/>
  <c r="AB86" i="2"/>
  <c r="V55" i="2"/>
  <c r="AB37" i="2"/>
  <c r="V22" i="2"/>
  <c r="AB258" i="2"/>
  <c r="Y484" i="2"/>
  <c r="Y556" i="2"/>
  <c r="Y891" i="2"/>
  <c r="AB607" i="2"/>
  <c r="D6" i="6"/>
  <c r="P300" i="5"/>
  <c r="M288" i="5"/>
  <c r="N272" i="5"/>
  <c r="N271" i="5"/>
  <c r="K224" i="5"/>
  <c r="O182" i="5"/>
  <c r="O91" i="5"/>
  <c r="N83" i="5"/>
  <c r="O81" i="5"/>
  <c r="P64" i="5"/>
  <c r="O14" i="5"/>
  <c r="P6" i="5"/>
  <c r="F10" i="4"/>
  <c r="N94" i="5"/>
  <c r="E8" i="14"/>
  <c r="H8" i="14" s="1"/>
  <c r="V57" i="2"/>
  <c r="AB57" i="2"/>
  <c r="Y57" i="2"/>
  <c r="Z57" i="2"/>
  <c r="W57" i="2"/>
  <c r="P41" i="5"/>
  <c r="K25" i="5"/>
  <c r="L17" i="5"/>
  <c r="O76" i="5"/>
  <c r="O56" i="5"/>
  <c r="M12" i="5"/>
  <c r="M120" i="5"/>
  <c r="K190" i="5"/>
  <c r="K180" i="5"/>
  <c r="F13" i="17"/>
  <c r="E13" i="16"/>
  <c r="P100" i="5"/>
  <c r="K481" i="5"/>
  <c r="P444" i="5"/>
  <c r="L406" i="5"/>
  <c r="N373" i="5"/>
  <c r="AB362" i="2"/>
  <c r="O363" i="5"/>
  <c r="AB339" i="2"/>
  <c r="W339" i="2"/>
  <c r="V339" i="2"/>
  <c r="Z339" i="2"/>
  <c r="Y339" i="2"/>
  <c r="O319" i="5"/>
  <c r="L304" i="5"/>
  <c r="K280" i="5"/>
  <c r="O270" i="5"/>
  <c r="O267" i="5"/>
  <c r="P256" i="5"/>
  <c r="O248" i="5"/>
  <c r="M244" i="5"/>
  <c r="M222" i="5"/>
  <c r="M218" i="5"/>
  <c r="M217" i="5"/>
  <c r="M192" i="5"/>
  <c r="N169" i="5"/>
  <c r="K158" i="5"/>
  <c r="P107" i="5"/>
  <c r="N104" i="5"/>
  <c r="Z106" i="2"/>
  <c r="W84" i="2"/>
  <c r="V84" i="2"/>
  <c r="AB84" i="2"/>
  <c r="Z84" i="2"/>
  <c r="Y84" i="2"/>
  <c r="N78" i="5"/>
  <c r="L36" i="5"/>
  <c r="O137" i="5"/>
  <c r="N75" i="5"/>
  <c r="K60" i="5"/>
  <c r="M352" i="5"/>
  <c r="O323" i="5"/>
  <c r="O153" i="5"/>
  <c r="N140" i="5"/>
  <c r="M126" i="5"/>
  <c r="M113" i="5"/>
  <c r="Z333" i="2"/>
  <c r="Y333" i="2"/>
  <c r="AB333" i="2"/>
  <c r="W333" i="2"/>
  <c r="V333" i="2"/>
  <c r="J26" i="15"/>
  <c r="X310" i="2"/>
  <c r="V295" i="2"/>
  <c r="Z273" i="2"/>
  <c r="P268" i="5"/>
  <c r="M242" i="5"/>
  <c r="N234" i="5"/>
  <c r="P230" i="5"/>
  <c r="K211" i="5"/>
  <c r="M198" i="5"/>
  <c r="K195" i="5"/>
  <c r="N185" i="5"/>
  <c r="L172" i="5"/>
  <c r="M134" i="5"/>
  <c r="O44" i="5"/>
  <c r="M18" i="5"/>
  <c r="Y540" i="2"/>
  <c r="L420" i="5"/>
  <c r="O409" i="5"/>
  <c r="E29" i="14"/>
  <c r="H29" i="14" s="1"/>
  <c r="W372" i="2"/>
  <c r="V372" i="2"/>
  <c r="AB372" i="2"/>
  <c r="Y372" i="2"/>
  <c r="Z372" i="2"/>
  <c r="X308" i="2"/>
  <c r="L240" i="5"/>
  <c r="N216" i="5"/>
  <c r="N215" i="5"/>
  <c r="K201" i="5"/>
  <c r="P188" i="5"/>
  <c r="AB171" i="2"/>
  <c r="Z171" i="2"/>
  <c r="Y171" i="2"/>
  <c r="W171" i="2"/>
  <c r="V171" i="2"/>
  <c r="Z170" i="2"/>
  <c r="N161" i="5"/>
  <c r="M148" i="5"/>
  <c r="P144" i="5"/>
  <c r="M121" i="5"/>
  <c r="J12" i="15"/>
  <c r="M68" i="5"/>
  <c r="L63" i="5"/>
  <c r="O51" i="5"/>
  <c r="O39" i="5"/>
  <c r="K23" i="5"/>
  <c r="M15" i="5"/>
  <c r="N147" i="5"/>
  <c r="K49" i="5"/>
  <c r="L47" i="5"/>
  <c r="O42" i="5"/>
  <c r="V489" i="2"/>
  <c r="X460" i="2"/>
  <c r="W426" i="2"/>
  <c r="N427" i="5"/>
  <c r="W393" i="2"/>
  <c r="Z365" i="2"/>
  <c r="AB365" i="2"/>
  <c r="X365" i="2"/>
  <c r="W365" i="2"/>
  <c r="V365" i="2"/>
  <c r="V345" i="2"/>
  <c r="Z345" i="2"/>
  <c r="W345" i="2"/>
  <c r="AB345" i="2"/>
  <c r="Y345" i="2"/>
  <c r="Z335" i="2"/>
  <c r="W327" i="2"/>
  <c r="O275" i="5"/>
  <c r="O263" i="5"/>
  <c r="L238" i="5"/>
  <c r="AB184" i="2"/>
  <c r="Z184" i="2"/>
  <c r="V184" i="2"/>
  <c r="Y184" i="2"/>
  <c r="X184" i="2"/>
  <c r="O177" i="5"/>
  <c r="N164" i="5"/>
  <c r="K160" i="5"/>
  <c r="V529" i="2"/>
  <c r="AB529" i="2"/>
  <c r="Y529" i="2"/>
  <c r="X529" i="2"/>
  <c r="Z529" i="2"/>
  <c r="V420" i="2"/>
  <c r="V409" i="2"/>
  <c r="AB409" i="2"/>
  <c r="Y409" i="2"/>
  <c r="X409" i="2"/>
  <c r="Z409" i="2"/>
  <c r="Y295" i="2"/>
  <c r="D23" i="14"/>
  <c r="G23" i="14" s="1"/>
  <c r="B18" i="15"/>
  <c r="Z197" i="2"/>
  <c r="W197" i="2"/>
  <c r="V197" i="2"/>
  <c r="AB197" i="2"/>
  <c r="X197" i="2"/>
  <c r="AB160" i="2"/>
  <c r="Z160" i="2"/>
  <c r="V160" i="2"/>
  <c r="Y160" i="2"/>
  <c r="X160" i="2"/>
  <c r="K123" i="5"/>
  <c r="V76" i="2"/>
  <c r="K67" i="5"/>
  <c r="X679" i="2"/>
  <c r="L478" i="5"/>
  <c r="O428" i="5"/>
  <c r="AB379" i="2"/>
  <c r="V341" i="2"/>
  <c r="L315" i="5"/>
  <c r="AB300" i="2"/>
  <c r="L294" i="5"/>
  <c r="L273" i="5"/>
  <c r="X263" i="2"/>
  <c r="W246" i="2"/>
  <c r="V244" i="2"/>
  <c r="N232" i="5"/>
  <c r="M228" i="5"/>
  <c r="AB196" i="2"/>
  <c r="M179" i="5"/>
  <c r="O176" i="5"/>
  <c r="N166" i="5"/>
  <c r="L156" i="5"/>
  <c r="K139" i="5"/>
  <c r="N129" i="5"/>
  <c r="L116" i="5"/>
  <c r="M112" i="5"/>
  <c r="K102" i="5"/>
  <c r="AB96" i="2"/>
  <c r="Z96" i="2"/>
  <c r="W96" i="2"/>
  <c r="V96" i="2"/>
  <c r="Y96" i="2"/>
  <c r="X95" i="2"/>
  <c r="Z78" i="2"/>
  <c r="L59" i="5"/>
  <c r="M57" i="5"/>
  <c r="N55" i="5"/>
  <c r="O40" i="5"/>
  <c r="P32" i="5"/>
  <c r="L16" i="5"/>
  <c r="M8" i="5"/>
  <c r="O9" i="5"/>
  <c r="O168" i="5"/>
  <c r="L145" i="5"/>
  <c r="J6" i="15"/>
  <c r="L124" i="5"/>
  <c r="M26" i="5"/>
  <c r="W386" i="2"/>
  <c r="P377" i="5"/>
  <c r="P136" i="5"/>
  <c r="AB78" i="2"/>
  <c r="AB207" i="2"/>
  <c r="AB188" i="2"/>
  <c r="V140" i="2"/>
  <c r="V126" i="2"/>
  <c r="W77" i="2"/>
  <c r="V30" i="2"/>
  <c r="V21" i="2"/>
  <c r="E7" i="14"/>
  <c r="H7" i="14" s="1"/>
  <c r="V42" i="2"/>
  <c r="AB42" i="2"/>
  <c r="Z42" i="2"/>
  <c r="Y42" i="2"/>
  <c r="W42" i="2"/>
  <c r="N37" i="5"/>
  <c r="E9" i="6"/>
  <c r="C9" i="10" s="1"/>
  <c r="E15" i="20" s="1"/>
  <c r="F15" i="20" s="1"/>
  <c r="G15" i="20" s="1"/>
  <c r="Z289" i="2"/>
  <c r="Z180" i="2"/>
  <c r="AB167" i="2"/>
  <c r="V153" i="2"/>
  <c r="Z113" i="2"/>
  <c r="AB87" i="2"/>
  <c r="W74" i="2"/>
  <c r="Z47" i="2"/>
  <c r="Z38" i="2"/>
  <c r="AB22" i="2"/>
  <c r="E8" i="6"/>
  <c r="C8" i="10" s="1"/>
  <c r="E13" i="20" s="1"/>
  <c r="F13" i="20" s="1"/>
  <c r="G13" i="20" s="1"/>
  <c r="M5" i="5"/>
  <c r="E7" i="4"/>
  <c r="AB620" i="2"/>
  <c r="V18" i="2"/>
  <c r="AB18" i="2"/>
  <c r="Z18" i="2"/>
  <c r="Y18" i="2"/>
  <c r="W18" i="2"/>
  <c r="Y348" i="2"/>
  <c r="Y217" i="2"/>
  <c r="X92" i="2"/>
  <c r="Z66" i="2"/>
  <c r="Z27" i="2"/>
  <c r="V19" i="2"/>
  <c r="P13" i="5"/>
  <c r="Y45" i="2"/>
  <c r="X257" i="2"/>
  <c r="W240" i="2"/>
  <c r="V236" i="2"/>
  <c r="Y196" i="2"/>
  <c r="X172" i="2"/>
  <c r="AB38" i="2"/>
  <c r="Z276" i="2"/>
  <c r="V209" i="2"/>
  <c r="X164" i="2"/>
  <c r="Z150" i="2"/>
  <c r="Y124" i="2"/>
  <c r="W111" i="2"/>
  <c r="E11" i="14"/>
  <c r="H11" i="14" s="1"/>
  <c r="O29" i="5"/>
  <c r="Z177" i="2"/>
  <c r="AB156" i="2"/>
  <c r="Z143" i="2"/>
  <c r="V129" i="2"/>
  <c r="Y63" i="2"/>
  <c r="W54" i="2"/>
  <c r="AB81" i="2"/>
  <c r="AB218" i="2"/>
  <c r="AB908" i="2"/>
  <c r="Y16" i="2"/>
  <c r="D5" i="14"/>
  <c r="X238" i="2"/>
  <c r="V108" i="2"/>
  <c r="Z82" i="2"/>
  <c r="Z55" i="2"/>
  <c r="V37" i="2"/>
  <c r="X22" i="2"/>
  <c r="V3" i="2"/>
  <c r="Y3" i="2"/>
  <c r="Y867" i="2"/>
  <c r="Y907" i="2"/>
  <c r="C10" i="6"/>
  <c r="E27" i="20" s="1"/>
  <c r="F27" i="20" s="1"/>
  <c r="G27" i="20" s="1"/>
  <c r="Z7" i="2"/>
  <c r="N380" i="5"/>
  <c r="P340" i="5"/>
  <c r="M292" i="5"/>
  <c r="C20" i="14"/>
  <c r="F20" i="14" s="1"/>
  <c r="W233" i="2"/>
  <c r="AB233" i="2"/>
  <c r="Z233" i="2"/>
  <c r="X233" i="2"/>
  <c r="V233" i="2"/>
  <c r="P220" i="5"/>
  <c r="P155" i="5"/>
  <c r="M152" i="5"/>
  <c r="K142" i="5"/>
  <c r="O115" i="5"/>
  <c r="M105" i="5"/>
  <c r="O92" i="5"/>
  <c r="C10" i="14"/>
  <c r="F10" i="14" s="1"/>
  <c r="AB83" i="2"/>
  <c r="X83" i="2"/>
  <c r="W83" i="2"/>
  <c r="V83" i="2"/>
  <c r="Z83" i="2"/>
  <c r="L43" i="5"/>
  <c r="M35" i="5"/>
  <c r="M27" i="5"/>
  <c r="N19" i="5"/>
  <c r="O11" i="5"/>
  <c r="AB243" i="2"/>
  <c r="V243" i="2"/>
  <c r="Z243" i="2"/>
  <c r="Y243" i="2"/>
  <c r="W243" i="2"/>
  <c r="V223" i="2"/>
  <c r="AB223" i="2"/>
  <c r="Z223" i="2"/>
  <c r="Y223" i="2"/>
  <c r="X223" i="2"/>
  <c r="Z218" i="2"/>
  <c r="O207" i="5"/>
  <c r="O206" i="5"/>
  <c r="P193" i="5"/>
  <c r="O131" i="5"/>
  <c r="P118" i="5"/>
  <c r="O108" i="5"/>
  <c r="O79" i="5"/>
  <c r="P54" i="5"/>
  <c r="O52" i="5"/>
  <c r="O48" i="5"/>
  <c r="AB36" i="2"/>
  <c r="Z36" i="2"/>
  <c r="Y36" i="2"/>
  <c r="W36" i="2"/>
  <c r="V36" i="2"/>
  <c r="O30" i="5"/>
  <c r="K71" i="5"/>
  <c r="D6" i="14"/>
  <c r="G6" i="14" s="1"/>
  <c r="AB31" i="2"/>
  <c r="X31" i="2"/>
  <c r="Y31" i="2"/>
  <c r="V31" i="2"/>
  <c r="Z31" i="2"/>
  <c r="K80" i="5"/>
  <c r="K403" i="5"/>
  <c r="X322" i="2"/>
  <c r="N214" i="5"/>
  <c r="N203" i="5"/>
  <c r="L65" i="5"/>
  <c r="P62" i="5"/>
  <c r="Z487" i="2"/>
  <c r="AB340" i="2"/>
  <c r="K300" i="5"/>
  <c r="N288" i="5"/>
  <c r="O272" i="5"/>
  <c r="L224" i="5"/>
  <c r="P182" i="5"/>
  <c r="P91" i="5"/>
  <c r="O83" i="5"/>
  <c r="P81" i="5"/>
  <c r="AB20" i="2"/>
  <c r="Z20" i="2"/>
  <c r="W20" i="2"/>
  <c r="X20" i="2"/>
  <c r="V20" i="2"/>
  <c r="P14" i="5"/>
  <c r="K6" i="5"/>
  <c r="F5" i="4"/>
  <c r="K94" i="5"/>
  <c r="X49" i="2"/>
  <c r="K33" i="5"/>
  <c r="L25" i="5"/>
  <c r="M17" i="5"/>
  <c r="P76" i="5"/>
  <c r="P56" i="5"/>
  <c r="N12" i="5"/>
  <c r="N120" i="5"/>
  <c r="L190" i="5"/>
  <c r="L180" i="5"/>
  <c r="Z93" i="2"/>
  <c r="Y93" i="2"/>
  <c r="W93" i="2"/>
  <c r="V93" i="2"/>
  <c r="AB93" i="2"/>
  <c r="Z697" i="2"/>
  <c r="Z492" i="2"/>
  <c r="L481" i="5"/>
  <c r="K444" i="5"/>
  <c r="X407" i="2"/>
  <c r="M406" i="5"/>
  <c r="Z380" i="2"/>
  <c r="O373" i="5"/>
  <c r="X362" i="2"/>
  <c r="P363" i="5"/>
  <c r="N342" i="5"/>
  <c r="P319" i="5"/>
  <c r="V306" i="2"/>
  <c r="M304" i="5"/>
  <c r="L280" i="5"/>
  <c r="P270" i="5"/>
  <c r="P267" i="5"/>
  <c r="K256" i="5"/>
  <c r="P248" i="5"/>
  <c r="N244" i="5"/>
  <c r="N222" i="5"/>
  <c r="N218" i="5"/>
  <c r="K196" i="5"/>
  <c r="N192" i="5"/>
  <c r="O169" i="5"/>
  <c r="L158" i="5"/>
  <c r="X130" i="2"/>
  <c r="L107" i="5"/>
  <c r="O104" i="5"/>
  <c r="D11" i="14"/>
  <c r="G11" i="14" s="1"/>
  <c r="V78" i="2"/>
  <c r="V61" i="2"/>
  <c r="P7" i="5"/>
  <c r="G10" i="4"/>
  <c r="P137" i="5"/>
  <c r="O75" i="5"/>
  <c r="L60" i="5"/>
  <c r="N352" i="5"/>
  <c r="P323" i="5"/>
  <c r="P153" i="5"/>
  <c r="O140" i="5"/>
  <c r="O126" i="5"/>
  <c r="K87" i="5"/>
  <c r="AB612" i="2"/>
  <c r="V348" i="2"/>
  <c r="P336" i="5"/>
  <c r="B26" i="15"/>
  <c r="Z317" i="2"/>
  <c r="V317" i="2"/>
  <c r="AB317" i="2"/>
  <c r="W317" i="2"/>
  <c r="X317" i="2"/>
  <c r="Y310" i="2"/>
  <c r="AB273" i="2"/>
  <c r="N268" i="5"/>
  <c r="N242" i="5"/>
  <c r="J20" i="15"/>
  <c r="L211" i="5"/>
  <c r="N198" i="5"/>
  <c r="L195" i="5"/>
  <c r="O185" i="5"/>
  <c r="M172" i="5"/>
  <c r="N134" i="5"/>
  <c r="P44" i="5"/>
  <c r="N18" i="5"/>
  <c r="M420" i="5"/>
  <c r="X410" i="2"/>
  <c r="P409" i="5"/>
  <c r="O375" i="5"/>
  <c r="Z366" i="2"/>
  <c r="AB318" i="2"/>
  <c r="Z318" i="2"/>
  <c r="Y318" i="2"/>
  <c r="W318" i="2"/>
  <c r="V318" i="2"/>
  <c r="Z308" i="2"/>
  <c r="AB303" i="2"/>
  <c r="Y258" i="2"/>
  <c r="O226" i="5"/>
  <c r="O216" i="5"/>
  <c r="O215" i="5"/>
  <c r="L201" i="5"/>
  <c r="D16" i="14"/>
  <c r="G16" i="14" s="1"/>
  <c r="Z181" i="2"/>
  <c r="Y181" i="2"/>
  <c r="AB181" i="2"/>
  <c r="X181" i="2"/>
  <c r="V181" i="2"/>
  <c r="K174" i="5"/>
  <c r="AB168" i="2"/>
  <c r="Z168" i="2"/>
  <c r="W168" i="2"/>
  <c r="Y168" i="2"/>
  <c r="V168" i="2"/>
  <c r="O161" i="5"/>
  <c r="N148" i="5"/>
  <c r="K144" i="5"/>
  <c r="B12" i="15"/>
  <c r="AB107" i="2"/>
  <c r="Z107" i="2"/>
  <c r="X107" i="2"/>
  <c r="V107" i="2"/>
  <c r="W107" i="2"/>
  <c r="K73" i="5"/>
  <c r="AB67" i="2"/>
  <c r="Z67" i="2"/>
  <c r="X67" i="2"/>
  <c r="Y67" i="2"/>
  <c r="V67" i="2"/>
  <c r="N68" i="5"/>
  <c r="M63" i="5"/>
  <c r="P51" i="5"/>
  <c r="P31" i="5"/>
  <c r="L23" i="5"/>
  <c r="N15" i="5"/>
  <c r="O147" i="5"/>
  <c r="L49" i="5"/>
  <c r="M47" i="5"/>
  <c r="P42" i="5"/>
  <c r="V524" i="2"/>
  <c r="W489" i="2"/>
  <c r="V439" i="2"/>
  <c r="O427" i="5"/>
  <c r="V382" i="2"/>
  <c r="AB382" i="2"/>
  <c r="Z382" i="2"/>
  <c r="X382" i="2"/>
  <c r="Y382" i="2"/>
  <c r="P368" i="5"/>
  <c r="L348" i="5"/>
  <c r="AB335" i="2"/>
  <c r="K275" i="5"/>
  <c r="P263" i="5"/>
  <c r="M238" i="5"/>
  <c r="P187" i="5"/>
  <c r="P177" i="5"/>
  <c r="O164" i="5"/>
  <c r="L160" i="5"/>
  <c r="AB536" i="2"/>
  <c r="Z536" i="2"/>
  <c r="V536" i="2"/>
  <c r="X536" i="2"/>
  <c r="W536" i="2"/>
  <c r="M532" i="5"/>
  <c r="W420" i="2"/>
  <c r="L412" i="5"/>
  <c r="Z295" i="2"/>
  <c r="AB206" i="2"/>
  <c r="Z206" i="2"/>
  <c r="W206" i="2"/>
  <c r="V206" i="2"/>
  <c r="X206" i="2"/>
  <c r="M200" i="5"/>
  <c r="P163" i="5"/>
  <c r="P123" i="5"/>
  <c r="Y61" i="2"/>
  <c r="Y679" i="2"/>
  <c r="M478" i="5"/>
  <c r="P428" i="5"/>
  <c r="X332" i="2"/>
  <c r="M315" i="5"/>
  <c r="V300" i="2"/>
  <c r="M294" i="5"/>
  <c r="K273" i="5"/>
  <c r="C22" i="14"/>
  <c r="F22" i="14" s="1"/>
  <c r="Y246" i="2"/>
  <c r="V242" i="2"/>
  <c r="O232" i="5"/>
  <c r="N228" i="5"/>
  <c r="W194" i="2"/>
  <c r="N179" i="5"/>
  <c r="P176" i="5"/>
  <c r="O166" i="5"/>
  <c r="M156" i="5"/>
  <c r="L139" i="5"/>
  <c r="O129" i="5"/>
  <c r="K116" i="5"/>
  <c r="N112" i="5"/>
  <c r="L102" i="5"/>
  <c r="K99" i="5"/>
  <c r="K72" i="5"/>
  <c r="M59" i="5"/>
  <c r="N57" i="5"/>
  <c r="O55" i="5"/>
  <c r="P40" i="5"/>
  <c r="K24" i="5"/>
  <c r="M16" i="5"/>
  <c r="N8" i="5"/>
  <c r="P9" i="5"/>
  <c r="P168" i="5"/>
  <c r="M145" i="5"/>
  <c r="E14" i="14"/>
  <c r="H14" i="14" s="1"/>
  <c r="AB147" i="2"/>
  <c r="V147" i="2"/>
  <c r="Y147" i="2"/>
  <c r="Z147" i="2"/>
  <c r="W147" i="2"/>
  <c r="K124" i="5"/>
  <c r="N26" i="5"/>
  <c r="Y232" i="2"/>
  <c r="K136" i="5"/>
  <c r="Z207" i="2"/>
  <c r="X193" i="2"/>
  <c r="V188" i="2"/>
  <c r="W140" i="2"/>
  <c r="X94" i="2"/>
  <c r="X77" i="2"/>
  <c r="AB68" i="2"/>
  <c r="Y30" i="2"/>
  <c r="W21" i="2"/>
  <c r="N45" i="5"/>
  <c r="O37" i="5"/>
  <c r="V14" i="2"/>
  <c r="V289" i="2"/>
  <c r="Y252" i="2"/>
  <c r="AB226" i="2"/>
  <c r="V167" i="2"/>
  <c r="AB166" i="2"/>
  <c r="W153" i="2"/>
  <c r="Z100" i="2"/>
  <c r="W87" i="2"/>
  <c r="X74" i="2"/>
  <c r="AB47" i="2"/>
  <c r="AB40" i="2"/>
  <c r="X11" i="2"/>
  <c r="J5" i="15"/>
  <c r="Z455" i="2"/>
  <c r="AB695" i="2"/>
  <c r="N21" i="5"/>
  <c r="AB322" i="2"/>
  <c r="V217" i="2"/>
  <c r="B11" i="15"/>
  <c r="AB27" i="2"/>
  <c r="X19" i="2"/>
  <c r="K13" i="5"/>
  <c r="Z45" i="2"/>
  <c r="Z257" i="2"/>
  <c r="Y249" i="2"/>
  <c r="X29" i="2"/>
  <c r="Z116" i="2"/>
  <c r="AB281" i="2"/>
  <c r="AB276" i="2"/>
  <c r="W209" i="2"/>
  <c r="Z151" i="2"/>
  <c r="AB124" i="2"/>
  <c r="Y111" i="2"/>
  <c r="Z35" i="2"/>
  <c r="P29" i="5"/>
  <c r="Y177" i="2"/>
  <c r="Y156" i="2"/>
  <c r="W143" i="2"/>
  <c r="W129" i="2"/>
  <c r="Z63" i="2"/>
  <c r="Z81" i="2"/>
  <c r="W8" i="2"/>
  <c r="B7" i="6"/>
  <c r="V183" i="2"/>
  <c r="Z346" i="2"/>
  <c r="AB916" i="2"/>
  <c r="V230" i="2"/>
  <c r="AB215" i="2"/>
  <c r="V148" i="2"/>
  <c r="W108" i="2"/>
  <c r="Y22" i="2"/>
  <c r="Y300" i="2"/>
  <c r="Y367" i="2"/>
  <c r="Y883" i="2"/>
  <c r="Y939" i="2"/>
  <c r="D6" i="8"/>
  <c r="O10" i="12"/>
  <c r="L93" i="5"/>
  <c r="L85" i="5"/>
  <c r="L77" i="5"/>
  <c r="N61" i="5"/>
  <c r="C50" i="14"/>
  <c r="F50" i="14" s="1"/>
  <c r="AB683" i="2"/>
  <c r="Z683" i="2"/>
  <c r="W683" i="2"/>
  <c r="X683" i="2"/>
  <c r="V683" i="2"/>
  <c r="N652" i="5"/>
  <c r="B47" i="15"/>
  <c r="AB632" i="2"/>
  <c r="Z632" i="2"/>
  <c r="V632" i="2"/>
  <c r="X632" i="2"/>
  <c r="W632" i="2"/>
  <c r="K595" i="5"/>
  <c r="V553" i="2"/>
  <c r="AB553" i="2"/>
  <c r="Y553" i="2"/>
  <c r="X553" i="2"/>
  <c r="Z553" i="2"/>
  <c r="AB522" i="2"/>
  <c r="L475" i="5"/>
  <c r="O470" i="5"/>
  <c r="N441" i="5"/>
  <c r="N440" i="5"/>
  <c r="O408" i="5"/>
  <c r="L392" i="5"/>
  <c r="L387" i="5"/>
  <c r="AB371" i="2"/>
  <c r="Z371" i="2"/>
  <c r="X371" i="2"/>
  <c r="W371" i="2"/>
  <c r="V371" i="2"/>
  <c r="P359" i="5"/>
  <c r="K337" i="5"/>
  <c r="O334" i="5"/>
  <c r="O332" i="5"/>
  <c r="N327" i="5"/>
  <c r="K305" i="5"/>
  <c r="N302" i="5"/>
  <c r="Z561" i="2"/>
  <c r="X404" i="2"/>
  <c r="Z394" i="2"/>
  <c r="Y394" i="2"/>
  <c r="V394" i="2"/>
  <c r="AB394" i="2"/>
  <c r="X394" i="2"/>
  <c r="N388" i="5"/>
  <c r="O380" i="5"/>
  <c r="K340" i="5"/>
  <c r="N292" i="5"/>
  <c r="K236" i="5"/>
  <c r="Z216" i="2"/>
  <c r="AB216" i="2"/>
  <c r="Y216" i="2"/>
  <c r="W216" i="2"/>
  <c r="V216" i="2"/>
  <c r="K155" i="5"/>
  <c r="N152" i="5"/>
  <c r="L142" i="5"/>
  <c r="AB98" i="2"/>
  <c r="P89" i="5"/>
  <c r="P86" i="5"/>
  <c r="V73" i="2"/>
  <c r="AB73" i="2"/>
  <c r="Z73" i="2"/>
  <c r="Y73" i="2"/>
  <c r="X73" i="2"/>
  <c r="M43" i="5"/>
  <c r="N35" i="5"/>
  <c r="N27" i="5"/>
  <c r="O19" i="5"/>
  <c r="P11" i="5"/>
  <c r="K246" i="5"/>
  <c r="V220" i="2"/>
  <c r="AB220" i="2"/>
  <c r="Z220" i="2"/>
  <c r="Y220" i="2"/>
  <c r="X220" i="2"/>
  <c r="P207" i="5"/>
  <c r="P206" i="5"/>
  <c r="K193" i="5"/>
  <c r="Z132" i="2"/>
  <c r="Z125" i="2"/>
  <c r="AB125" i="2"/>
  <c r="X125" i="2"/>
  <c r="V125" i="2"/>
  <c r="W125" i="2"/>
  <c r="V118" i="2"/>
  <c r="AB118" i="2"/>
  <c r="Y118" i="2"/>
  <c r="Z118" i="2"/>
  <c r="X118" i="2"/>
  <c r="P108" i="5"/>
  <c r="K54" i="5"/>
  <c r="P52" i="5"/>
  <c r="P48" i="5"/>
  <c r="O38" i="5"/>
  <c r="P30" i="5"/>
  <c r="L71" i="5"/>
  <c r="L80" i="5"/>
  <c r="L403" i="5"/>
  <c r="AB350" i="2"/>
  <c r="O214" i="5"/>
  <c r="O203" i="5"/>
  <c r="M65" i="5"/>
  <c r="K62" i="5"/>
  <c r="AB548" i="2"/>
  <c r="X428" i="2"/>
  <c r="V340" i="2"/>
  <c r="O288" i="5"/>
  <c r="V268" i="2"/>
  <c r="AB268" i="2"/>
  <c r="Z268" i="2"/>
  <c r="Y268" i="2"/>
  <c r="X268" i="2"/>
  <c r="Y213" i="2"/>
  <c r="W213" i="2"/>
  <c r="V213" i="2"/>
  <c r="AB213" i="2"/>
  <c r="Z213" i="2"/>
  <c r="V170" i="2"/>
  <c r="K91" i="5"/>
  <c r="P83" i="5"/>
  <c r="AB70" i="2"/>
  <c r="Z70" i="2"/>
  <c r="Y70" i="2"/>
  <c r="V70" i="2"/>
  <c r="X70" i="2"/>
  <c r="O22" i="5"/>
  <c r="K14" i="5"/>
  <c r="F6" i="4"/>
  <c r="L6" i="5"/>
  <c r="L94" i="5"/>
  <c r="AB39" i="2"/>
  <c r="Z39" i="2"/>
  <c r="Y39" i="2"/>
  <c r="V39" i="2"/>
  <c r="W39" i="2"/>
  <c r="L33" i="5"/>
  <c r="M25" i="5"/>
  <c r="N17" i="5"/>
  <c r="K76" i="5"/>
  <c r="M28" i="5"/>
  <c r="O12" i="5"/>
  <c r="O120" i="5"/>
  <c r="X293" i="2"/>
  <c r="M190" i="5"/>
  <c r="M180" i="5"/>
  <c r="X119" i="2"/>
  <c r="L96" i="5"/>
  <c r="M481" i="5"/>
  <c r="L444" i="5"/>
  <c r="V391" i="2"/>
  <c r="AB380" i="2"/>
  <c r="P373" i="5"/>
  <c r="AB353" i="2"/>
  <c r="O342" i="5"/>
  <c r="K319" i="5"/>
  <c r="Z306" i="2"/>
  <c r="N304" i="5"/>
  <c r="M280" i="5"/>
  <c r="L270" i="5"/>
  <c r="M267" i="5"/>
  <c r="L256" i="5"/>
  <c r="K248" i="5"/>
  <c r="O244" i="5"/>
  <c r="O222" i="5"/>
  <c r="AB214" i="2"/>
  <c r="Z214" i="2"/>
  <c r="Y214" i="2"/>
  <c r="X214" i="2"/>
  <c r="V214" i="2"/>
  <c r="L196" i="5"/>
  <c r="O192" i="5"/>
  <c r="P169" i="5"/>
  <c r="M158" i="5"/>
  <c r="Y130" i="2"/>
  <c r="M107" i="5"/>
  <c r="K104" i="5"/>
  <c r="M88" i="5"/>
  <c r="AB75" i="2"/>
  <c r="Z75" i="2"/>
  <c r="Y75" i="2"/>
  <c r="W75" i="2"/>
  <c r="V75" i="2"/>
  <c r="V58" i="2"/>
  <c r="K7" i="5"/>
  <c r="G5" i="4"/>
  <c r="K137" i="5"/>
  <c r="P75" i="5"/>
  <c r="K34" i="5"/>
  <c r="O352" i="5"/>
  <c r="X313" i="2"/>
  <c r="K153" i="5"/>
  <c r="P140" i="5"/>
  <c r="P126" i="5"/>
  <c r="L87" i="5"/>
  <c r="Y612" i="2"/>
  <c r="K336" i="5"/>
  <c r="P320" i="5"/>
  <c r="V311" i="2"/>
  <c r="Z310" i="2"/>
  <c r="V279" i="2"/>
  <c r="V273" i="2"/>
  <c r="K268" i="5"/>
  <c r="W231" i="2"/>
  <c r="AB231" i="2"/>
  <c r="V231" i="2"/>
  <c r="Z231" i="2"/>
  <c r="Y231" i="2"/>
  <c r="B20" i="15"/>
  <c r="AB227" i="2"/>
  <c r="V227" i="2"/>
  <c r="Z227" i="2"/>
  <c r="X227" i="2"/>
  <c r="W227" i="2"/>
  <c r="Y222" i="2"/>
  <c r="M211" i="5"/>
  <c r="O198" i="5"/>
  <c r="M195" i="5"/>
  <c r="P185" i="5"/>
  <c r="N172" i="5"/>
  <c r="O134" i="5"/>
  <c r="K44" i="5"/>
  <c r="O18" i="5"/>
  <c r="X430" i="2"/>
  <c r="N420" i="5"/>
  <c r="Z410" i="2"/>
  <c r="AB381" i="2"/>
  <c r="P375" i="5"/>
  <c r="K321" i="5"/>
  <c r="AB308" i="2"/>
  <c r="W303" i="2"/>
  <c r="E20" i="14"/>
  <c r="H20" i="14" s="1"/>
  <c r="Y237" i="2"/>
  <c r="V237" i="2"/>
  <c r="AB237" i="2"/>
  <c r="Z237" i="2"/>
  <c r="W237" i="2"/>
  <c r="P226" i="5"/>
  <c r="P216" i="5"/>
  <c r="P215" i="5"/>
  <c r="M201" i="5"/>
  <c r="M184" i="5"/>
  <c r="L174" i="5"/>
  <c r="P171" i="5"/>
  <c r="P161" i="5"/>
  <c r="O148" i="5"/>
  <c r="L144" i="5"/>
  <c r="N110" i="5"/>
  <c r="L73" i="5"/>
  <c r="O70" i="5"/>
  <c r="O68" i="5"/>
  <c r="N63" i="5"/>
  <c r="K51" i="5"/>
  <c r="K31" i="5"/>
  <c r="M23" i="5"/>
  <c r="O15" i="5"/>
  <c r="N53" i="5"/>
  <c r="M49" i="5"/>
  <c r="N47" i="5"/>
  <c r="K10" i="5"/>
  <c r="Y564" i="2"/>
  <c r="W524" i="2"/>
  <c r="AB484" i="2"/>
  <c r="Z439" i="2"/>
  <c r="Y426" i="2"/>
  <c r="P427" i="5"/>
  <c r="K385" i="5"/>
  <c r="K368" i="5"/>
  <c r="M348" i="5"/>
  <c r="W335" i="2"/>
  <c r="X278" i="2"/>
  <c r="L275" i="5"/>
  <c r="K263" i="5"/>
  <c r="N238" i="5"/>
  <c r="K187" i="5"/>
  <c r="K177" i="5"/>
  <c r="P164" i="5"/>
  <c r="Y604" i="2"/>
  <c r="L539" i="5"/>
  <c r="N532" i="5"/>
  <c r="V431" i="2"/>
  <c r="W414" i="2"/>
  <c r="M412" i="5"/>
  <c r="AB295" i="2"/>
  <c r="N209" i="5"/>
  <c r="N200" i="5"/>
  <c r="K163" i="5"/>
  <c r="L123" i="5"/>
  <c r="Z64" i="2"/>
  <c r="V64" i="2"/>
  <c r="Y64" i="2"/>
  <c r="AB64" i="2"/>
  <c r="X64" i="2"/>
  <c r="Z61" i="2"/>
  <c r="AB450" i="2"/>
  <c r="K428" i="5"/>
  <c r="Z332" i="2"/>
  <c r="N315" i="5"/>
  <c r="W300" i="2"/>
  <c r="B24" i="15"/>
  <c r="X287" i="2"/>
  <c r="W287" i="2"/>
  <c r="V287" i="2"/>
  <c r="AB287" i="2"/>
  <c r="Z287" i="2"/>
  <c r="O273" i="5"/>
  <c r="K252" i="5"/>
  <c r="W242" i="2"/>
  <c r="P232" i="5"/>
  <c r="O228" i="5"/>
  <c r="O179" i="5"/>
  <c r="K176" i="5"/>
  <c r="P166" i="5"/>
  <c r="N156" i="5"/>
  <c r="M139" i="5"/>
  <c r="P129" i="5"/>
  <c r="M116" i="5"/>
  <c r="O112" i="5"/>
  <c r="M102" i="5"/>
  <c r="O99" i="5"/>
  <c r="M84" i="5"/>
  <c r="L72" i="5"/>
  <c r="N59" i="5"/>
  <c r="O57" i="5"/>
  <c r="L24" i="5"/>
  <c r="N16" i="5"/>
  <c r="O8" i="5"/>
  <c r="K168" i="5"/>
  <c r="M20" i="5"/>
  <c r="K150" i="5"/>
  <c r="M124" i="5"/>
  <c r="O26" i="5"/>
  <c r="W374" i="2"/>
  <c r="V374" i="2"/>
  <c r="AB374" i="2"/>
  <c r="X374" i="2"/>
  <c r="Z374" i="2"/>
  <c r="W159" i="2"/>
  <c r="L136" i="5"/>
  <c r="V381" i="2"/>
  <c r="V207" i="2"/>
  <c r="Y193" i="2"/>
  <c r="W188" i="2"/>
  <c r="X140" i="2"/>
  <c r="Z94" i="2"/>
  <c r="V68" i="2"/>
  <c r="Z30" i="2"/>
  <c r="O45" i="5"/>
  <c r="P37" i="5"/>
  <c r="Z226" i="2"/>
  <c r="AB180" i="2"/>
  <c r="W167" i="2"/>
  <c r="V166" i="2"/>
  <c r="V127" i="2"/>
  <c r="AB113" i="2"/>
  <c r="AB100" i="2"/>
  <c r="Y87" i="2"/>
  <c r="Y52" i="2"/>
  <c r="W47" i="2"/>
  <c r="V40" i="2"/>
  <c r="AB32" i="2"/>
  <c r="E85" i="20"/>
  <c r="F85" i="20" s="1"/>
  <c r="G85" i="20" s="1"/>
  <c r="B5" i="15"/>
  <c r="L9" i="15" s="1"/>
  <c r="C23" i="13"/>
  <c r="E44" i="20" s="1"/>
  <c r="F44" i="20" s="1"/>
  <c r="G44" i="20" s="1"/>
  <c r="E8" i="13"/>
  <c r="D6" i="10"/>
  <c r="E6" i="10" s="1"/>
  <c r="O20" i="12"/>
  <c r="D7" i="10"/>
  <c r="E7" i="10" s="1"/>
  <c r="B17" i="7"/>
  <c r="E10" i="6"/>
  <c r="B10" i="7" s="1"/>
  <c r="H19" i="8"/>
  <c r="F12" i="8"/>
  <c r="H12" i="8" s="1"/>
  <c r="D8" i="10"/>
  <c r="E8" i="10" s="1"/>
  <c r="F17" i="8"/>
  <c r="H17" i="8" s="1"/>
  <c r="F9" i="8"/>
  <c r="G8" i="8"/>
  <c r="O5" i="12"/>
  <c r="F16" i="8"/>
  <c r="G16" i="8" s="1"/>
  <c r="F8" i="8"/>
  <c r="F13" i="8"/>
  <c r="G13" i="8" s="1"/>
  <c r="I13" i="8" s="1"/>
  <c r="J13" i="8" s="1"/>
  <c r="K13" i="8" s="1"/>
  <c r="D5" i="8"/>
  <c r="D9" i="10"/>
  <c r="E9" i="10" s="1"/>
  <c r="B10" i="6"/>
  <c r="B5" i="6"/>
  <c r="F18" i="8"/>
  <c r="H18" i="8" s="1"/>
  <c r="H10" i="8"/>
  <c r="F10" i="8"/>
  <c r="G11" i="8"/>
  <c r="B6" i="7"/>
  <c r="F19" i="8"/>
  <c r="G17" i="8"/>
  <c r="F14" i="8"/>
  <c r="G19" i="8"/>
  <c r="I19" i="8" s="1"/>
  <c r="J19" i="8" s="1"/>
  <c r="K19" i="8" s="1"/>
  <c r="H14" i="8"/>
  <c r="H13" i="8"/>
  <c r="F7" i="8"/>
  <c r="G7" i="8" s="1"/>
  <c r="F15" i="8"/>
  <c r="G15" i="8" s="1"/>
  <c r="F11" i="8"/>
  <c r="H11" i="8" s="1"/>
  <c r="F5" i="8"/>
  <c r="H8" i="8"/>
  <c r="E5" i="6"/>
  <c r="B13" i="7" s="1"/>
  <c r="F6" i="8"/>
  <c r="W933" i="2"/>
  <c r="W885" i="2"/>
  <c r="V811" i="2"/>
  <c r="V810" i="2"/>
  <c r="V922" i="2"/>
  <c r="V898" i="2"/>
  <c r="V874" i="2"/>
  <c r="W788" i="2"/>
  <c r="V867" i="2"/>
  <c r="V866" i="2"/>
  <c r="V803" i="2"/>
  <c r="V938" i="2"/>
  <c r="V787" i="2"/>
  <c r="V714" i="2"/>
  <c r="V906" i="2"/>
  <c r="V890" i="2"/>
  <c r="V738" i="2"/>
  <c r="V674" i="2"/>
  <c r="Z647" i="2"/>
  <c r="X857" i="2"/>
  <c r="V762" i="2"/>
  <c r="V698" i="2"/>
  <c r="V658" i="2"/>
  <c r="W830" i="2"/>
  <c r="V796" i="2"/>
  <c r="V722" i="2"/>
  <c r="V682" i="2"/>
  <c r="V594" i="2"/>
  <c r="V930" i="2"/>
  <c r="V914" i="2"/>
  <c r="AB932" i="2"/>
  <c r="W806" i="2"/>
  <c r="V882" i="2"/>
  <c r="V834" i="2"/>
  <c r="V835" i="2"/>
  <c r="V788" i="2"/>
  <c r="V610" i="2"/>
  <c r="V458" i="2"/>
  <c r="W375" i="2"/>
  <c r="V367" i="2"/>
  <c r="V364" i="2"/>
  <c r="V346" i="2"/>
  <c r="V319" i="2"/>
  <c r="V290" i="2"/>
  <c r="V554" i="2"/>
  <c r="V466" i="2"/>
  <c r="X446" i="2"/>
  <c r="V418" i="2"/>
  <c r="V399" i="2"/>
  <c r="V375" i="2"/>
  <c r="V282" i="2"/>
  <c r="V650" i="2"/>
  <c r="V570" i="2"/>
  <c r="V546" i="2"/>
  <c r="V506" i="2"/>
  <c r="V498" i="2"/>
  <c r="V474" i="2"/>
  <c r="V490" i="2"/>
  <c r="V514" i="2"/>
  <c r="V618" i="2"/>
  <c r="W458" i="2"/>
  <c r="W290" i="2"/>
  <c r="V2" i="2"/>
  <c r="W278" i="2"/>
  <c r="Z2" i="2"/>
  <c r="V138" i="2"/>
  <c r="V530" i="2"/>
  <c r="V482" i="2"/>
  <c r="W446" i="2"/>
  <c r="W210" i="2"/>
  <c r="W114" i="2"/>
  <c r="V218" i="2"/>
  <c r="V154" i="2"/>
  <c r="V114" i="2"/>
  <c r="W90" i="2"/>
  <c r="V210" i="2"/>
  <c r="V293" i="2"/>
  <c r="V232" i="2"/>
  <c r="W162" i="2"/>
  <c r="V357" i="2"/>
  <c r="X353" i="2"/>
  <c r="V325" i="2"/>
  <c r="V314" i="2"/>
  <c r="V263" i="2"/>
  <c r="V246" i="2"/>
  <c r="V202" i="2"/>
  <c r="V175" i="2"/>
  <c r="V162" i="2"/>
  <c r="W138" i="2"/>
  <c r="V135" i="2"/>
  <c r="V98" i="2"/>
  <c r="V95" i="2"/>
  <c r="X665" i="2"/>
  <c r="AB647" i="2"/>
  <c r="Z527" i="2"/>
  <c r="V442" i="2"/>
  <c r="W282" i="2"/>
  <c r="V266" i="2"/>
  <c r="W218" i="2"/>
  <c r="V178" i="2"/>
  <c r="Z407" i="2"/>
  <c r="V362" i="2"/>
  <c r="V342" i="2"/>
  <c r="W306" i="2"/>
  <c r="V261" i="2"/>
  <c r="V250" i="2"/>
  <c r="W2" i="2"/>
  <c r="AB2" i="2"/>
  <c r="W98" i="2"/>
  <c r="X2" i="2"/>
  <c r="G25" i="11" s="1"/>
  <c r="H25" i="11" s="1"/>
  <c r="Z32" i="2"/>
  <c r="Z95" i="2"/>
  <c r="Z830" i="2"/>
  <c r="O21" i="5"/>
  <c r="X190" i="2"/>
  <c r="V79" i="2"/>
  <c r="AB66" i="2"/>
  <c r="V27" i="2"/>
  <c r="Y19" i="2"/>
  <c r="L13" i="5"/>
  <c r="Y262" i="2"/>
  <c r="W249" i="2"/>
  <c r="Z240" i="2"/>
  <c r="AB205" i="2"/>
  <c r="W186" i="2"/>
  <c r="V116" i="2"/>
  <c r="W281" i="2"/>
  <c r="V276" i="2"/>
  <c r="X209" i="2"/>
  <c r="V151" i="2"/>
  <c r="Y150" i="2"/>
  <c r="V124" i="2"/>
  <c r="Z102" i="2"/>
  <c r="W62" i="2"/>
  <c r="AB35" i="2"/>
  <c r="K29" i="5"/>
  <c r="Z201" i="2"/>
  <c r="Z156" i="2"/>
  <c r="X143" i="2"/>
  <c r="Y97" i="2"/>
  <c r="X89" i="2"/>
  <c r="X8" i="2"/>
  <c r="AB183" i="2"/>
  <c r="AB271" i="2"/>
  <c r="Z631" i="2"/>
  <c r="Z230" i="2"/>
  <c r="V215" i="2"/>
  <c r="X148" i="2"/>
  <c r="Z86" i="2"/>
  <c r="V82" i="2"/>
  <c r="AB55" i="2"/>
  <c r="Y24" i="2"/>
  <c r="Z22" i="2"/>
  <c r="Y660" i="2"/>
  <c r="Y412" i="2"/>
  <c r="Y915" i="2"/>
  <c r="Y828" i="2"/>
  <c r="E10" i="13"/>
  <c r="AB7" i="2"/>
  <c r="AB30" i="2"/>
  <c r="H13" i="7" l="1"/>
  <c r="E13" i="7"/>
  <c r="H16" i="8"/>
  <c r="I16" i="8" s="1"/>
  <c r="J16" i="8" s="1"/>
  <c r="K16" i="8" s="1"/>
  <c r="G12" i="8"/>
  <c r="I12" i="8" s="1"/>
  <c r="J12" i="8" s="1"/>
  <c r="K12" i="8" s="1"/>
  <c r="F11" i="19"/>
  <c r="E11" i="19" s="1"/>
  <c r="D10" i="19"/>
  <c r="G10" i="19"/>
  <c r="E10" i="19" s="1"/>
  <c r="F10" i="19"/>
  <c r="G11" i="19"/>
  <c r="D11" i="19"/>
  <c r="F5" i="18"/>
  <c r="P5" i="15"/>
  <c r="F6" i="17"/>
  <c r="E6" i="16"/>
  <c r="L6" i="15"/>
  <c r="F19" i="17"/>
  <c r="L19" i="15"/>
  <c r="E19" i="16"/>
  <c r="D20" i="6"/>
  <c r="C17" i="13" s="1"/>
  <c r="P14" i="15"/>
  <c r="F15" i="17"/>
  <c r="E15" i="16"/>
  <c r="L15" i="15"/>
  <c r="F34" i="17"/>
  <c r="E34" i="16"/>
  <c r="L34" i="15"/>
  <c r="F48" i="18"/>
  <c r="P48" i="15"/>
  <c r="C16" i="6"/>
  <c r="F31" i="18"/>
  <c r="P31" i="15"/>
  <c r="P51" i="15"/>
  <c r="F29" i="17"/>
  <c r="E29" i="16"/>
  <c r="L29" i="15"/>
  <c r="P49" i="15"/>
  <c r="F28" i="17"/>
  <c r="E28" i="16"/>
  <c r="L28" i="15"/>
  <c r="F44" i="18"/>
  <c r="P44" i="15"/>
  <c r="F63" i="17"/>
  <c r="L63" i="15"/>
  <c r="E63" i="16"/>
  <c r="F21" i="17"/>
  <c r="E21" i="16"/>
  <c r="L21" i="15"/>
  <c r="P68" i="15"/>
  <c r="P59" i="15"/>
  <c r="C8" i="11"/>
  <c r="C9" i="11"/>
  <c r="C7" i="11"/>
  <c r="D22" i="13"/>
  <c r="E22" i="13" s="1"/>
  <c r="I17" i="8"/>
  <c r="J17" i="8" s="1"/>
  <c r="K17" i="8" s="1"/>
  <c r="P7" i="15"/>
  <c r="F8" i="13"/>
  <c r="E8" i="16"/>
  <c r="F8" i="17"/>
  <c r="L8" i="15"/>
  <c r="G9" i="8"/>
  <c r="I9" i="8" s="1"/>
  <c r="J9" i="8" s="1"/>
  <c r="K9" i="8" s="1"/>
  <c r="H9" i="8"/>
  <c r="I9" i="4"/>
  <c r="H9" i="4"/>
  <c r="J9" i="4"/>
  <c r="F14" i="17"/>
  <c r="E14" i="16"/>
  <c r="L14" i="15"/>
  <c r="F46" i="18"/>
  <c r="P46" i="15"/>
  <c r="F33" i="18"/>
  <c r="P33" i="15"/>
  <c r="F25" i="17"/>
  <c r="E25" i="16"/>
  <c r="L25" i="15"/>
  <c r="F31" i="17"/>
  <c r="E31" i="16"/>
  <c r="L31" i="15"/>
  <c r="F32" i="18"/>
  <c r="P32" i="15"/>
  <c r="P24" i="15"/>
  <c r="F68" i="17"/>
  <c r="E68" i="16"/>
  <c r="L68" i="15"/>
  <c r="F67" i="17"/>
  <c r="L67" i="15"/>
  <c r="E67" i="16"/>
  <c r="F61" i="17"/>
  <c r="E61" i="16"/>
  <c r="L61" i="15"/>
  <c r="E33" i="20"/>
  <c r="F33" i="20" s="1"/>
  <c r="G33" i="20" s="1"/>
  <c r="N25" i="11"/>
  <c r="E34" i="20" s="1"/>
  <c r="F34" i="20" s="1"/>
  <c r="G34" i="20" s="1"/>
  <c r="I25" i="11"/>
  <c r="J25" i="11" s="1"/>
  <c r="F6" i="18"/>
  <c r="P6" i="15"/>
  <c r="E19" i="8"/>
  <c r="E15" i="8"/>
  <c r="E11" i="8"/>
  <c r="E7" i="8"/>
  <c r="E13" i="8"/>
  <c r="E18" i="8"/>
  <c r="E10" i="8"/>
  <c r="E17" i="8"/>
  <c r="E9" i="8"/>
  <c r="E14" i="8"/>
  <c r="E12" i="8"/>
  <c r="E16" i="8"/>
  <c r="E8" i="8"/>
  <c r="E6" i="8"/>
  <c r="E5" i="8"/>
  <c r="F7" i="10"/>
  <c r="I7" i="10"/>
  <c r="E25" i="20" s="1"/>
  <c r="F25" i="20" s="1"/>
  <c r="G25" i="20" s="1"/>
  <c r="G7" i="10"/>
  <c r="H7" i="10"/>
  <c r="E20" i="20" s="1"/>
  <c r="F20" i="20" s="1"/>
  <c r="G20" i="20" s="1"/>
  <c r="B18" i="6"/>
  <c r="C16" i="13" s="1"/>
  <c r="E11" i="16"/>
  <c r="L11" i="15"/>
  <c r="F11" i="17"/>
  <c r="F20" i="18"/>
  <c r="P20" i="15"/>
  <c r="F18" i="18"/>
  <c r="P18" i="15"/>
  <c r="F23" i="17"/>
  <c r="E23" i="16"/>
  <c r="L23" i="15"/>
  <c r="P10" i="15"/>
  <c r="F10" i="18"/>
  <c r="P36" i="15"/>
  <c r="C17" i="6"/>
  <c r="F19" i="18"/>
  <c r="P19" i="15"/>
  <c r="G10" i="8"/>
  <c r="I10" i="8" s="1"/>
  <c r="J10" i="8" s="1"/>
  <c r="K10" i="8" s="1"/>
  <c r="F37" i="18"/>
  <c r="P37" i="15"/>
  <c r="P22" i="15"/>
  <c r="E44" i="16"/>
  <c r="F44" i="17"/>
  <c r="L44" i="15"/>
  <c r="F27" i="18"/>
  <c r="P27" i="15"/>
  <c r="F16" i="17"/>
  <c r="E16" i="16"/>
  <c r="L16" i="15"/>
  <c r="P28" i="15"/>
  <c r="F69" i="17"/>
  <c r="E69" i="16"/>
  <c r="L69" i="15"/>
  <c r="P66" i="15"/>
  <c r="F66" i="18"/>
  <c r="F43" i="17"/>
  <c r="E43" i="16"/>
  <c r="L43" i="15"/>
  <c r="P69" i="15"/>
  <c r="F66" i="17"/>
  <c r="E66" i="16"/>
  <c r="L66" i="15"/>
  <c r="P57" i="15"/>
  <c r="F64" i="17"/>
  <c r="L64" i="15"/>
  <c r="E64" i="16"/>
  <c r="P35" i="15"/>
  <c r="D16" i="7"/>
  <c r="D17" i="7"/>
  <c r="I5" i="10"/>
  <c r="E22" i="20" s="1"/>
  <c r="F22" i="20" s="1"/>
  <c r="G22" i="20" s="1"/>
  <c r="H5" i="10"/>
  <c r="E17" i="20" s="1"/>
  <c r="F17" i="20" s="1"/>
  <c r="G17" i="20" s="1"/>
  <c r="G5" i="10"/>
  <c r="F5" i="10"/>
  <c r="B16" i="6"/>
  <c r="F18" i="17"/>
  <c r="E18" i="16"/>
  <c r="L18" i="15"/>
  <c r="J6" i="4"/>
  <c r="I6" i="4"/>
  <c r="H6" i="4"/>
  <c r="C19" i="6"/>
  <c r="C18" i="13" s="1"/>
  <c r="F23" i="18"/>
  <c r="P23" i="15"/>
  <c r="H6" i="10"/>
  <c r="E19" i="20" s="1"/>
  <c r="F19" i="20" s="1"/>
  <c r="G19" i="20" s="1"/>
  <c r="G6" i="10"/>
  <c r="F6" i="10"/>
  <c r="B17" i="6"/>
  <c r="I6" i="10"/>
  <c r="E24" i="20" s="1"/>
  <c r="F24" i="20" s="1"/>
  <c r="G24" i="20" s="1"/>
  <c r="E43" i="20"/>
  <c r="F43" i="20" s="1"/>
  <c r="G43" i="20" s="1"/>
  <c r="C24" i="13"/>
  <c r="E45" i="20" s="1"/>
  <c r="F45" i="20" s="1"/>
  <c r="G45" i="20" s="1"/>
  <c r="D19" i="6"/>
  <c r="B74" i="14"/>
  <c r="F5" i="14"/>
  <c r="F16" i="18"/>
  <c r="P16" i="15"/>
  <c r="E48" i="16"/>
  <c r="F48" i="17"/>
  <c r="L48" i="15"/>
  <c r="F27" i="17"/>
  <c r="E27" i="16"/>
  <c r="L27" i="15"/>
  <c r="F10" i="17"/>
  <c r="E10" i="16"/>
  <c r="L10" i="15"/>
  <c r="F56" i="17"/>
  <c r="E56" i="16"/>
  <c r="L56" i="15"/>
  <c r="F8" i="10"/>
  <c r="G8" i="10"/>
  <c r="I8" i="10"/>
  <c r="E23" i="20" s="1"/>
  <c r="F23" i="20" s="1"/>
  <c r="G23" i="20" s="1"/>
  <c r="H8" i="10"/>
  <c r="E18" i="20" s="1"/>
  <c r="F18" i="20" s="1"/>
  <c r="G18" i="20" s="1"/>
  <c r="B19" i="6"/>
  <c r="F36" i="17"/>
  <c r="E36" i="16"/>
  <c r="L36" i="15"/>
  <c r="C81" i="15"/>
  <c r="F59" i="17"/>
  <c r="L59" i="15"/>
  <c r="E59" i="16"/>
  <c r="F60" i="17"/>
  <c r="E60" i="16"/>
  <c r="L60" i="15"/>
  <c r="F65" i="17"/>
  <c r="E65" i="16"/>
  <c r="L65" i="15"/>
  <c r="P65" i="15"/>
  <c r="F37" i="17"/>
  <c r="E37" i="16"/>
  <c r="L37" i="15"/>
  <c r="F42" i="17"/>
  <c r="E42" i="16"/>
  <c r="L42" i="15"/>
  <c r="F20" i="17"/>
  <c r="E20" i="16"/>
  <c r="L20" i="15"/>
  <c r="F12" i="18"/>
  <c r="P12" i="15"/>
  <c r="F7" i="17"/>
  <c r="E7" i="16"/>
  <c r="L7" i="15"/>
  <c r="H15" i="8"/>
  <c r="I15" i="8" s="1"/>
  <c r="J15" i="8" s="1"/>
  <c r="K15" i="8" s="1"/>
  <c r="C20" i="6"/>
  <c r="F30" i="17"/>
  <c r="E30" i="16"/>
  <c r="L30" i="15"/>
  <c r="D18" i="6"/>
  <c r="G9" i="10"/>
  <c r="I9" i="10"/>
  <c r="E26" i="20" s="1"/>
  <c r="F26" i="20" s="1"/>
  <c r="G26" i="20" s="1"/>
  <c r="B20" i="6"/>
  <c r="H9" i="10"/>
  <c r="E21" i="20" s="1"/>
  <c r="F21" i="20" s="1"/>
  <c r="G21" i="20" s="1"/>
  <c r="F9" i="10"/>
  <c r="F22" i="17"/>
  <c r="E22" i="16"/>
  <c r="L22" i="15"/>
  <c r="F35" i="17"/>
  <c r="L35" i="15"/>
  <c r="E35" i="16"/>
  <c r="P41" i="15"/>
  <c r="F55" i="17"/>
  <c r="L55" i="15"/>
  <c r="E55" i="16"/>
  <c r="F34" i="18"/>
  <c r="P34" i="15"/>
  <c r="F29" i="18"/>
  <c r="P29" i="15"/>
  <c r="P52" i="15"/>
  <c r="F30" i="18"/>
  <c r="P30" i="15"/>
  <c r="F40" i="17"/>
  <c r="E40" i="16"/>
  <c r="L40" i="15"/>
  <c r="F39" i="17"/>
  <c r="E39" i="16"/>
  <c r="L39" i="15"/>
  <c r="F64" i="18"/>
  <c r="P64" i="15"/>
  <c r="I67" i="18"/>
  <c r="I59" i="18"/>
  <c r="I51" i="18"/>
  <c r="I43" i="18"/>
  <c r="I35" i="18"/>
  <c r="I27" i="18"/>
  <c r="I19" i="18"/>
  <c r="I11" i="18"/>
  <c r="I62" i="18"/>
  <c r="I54" i="18"/>
  <c r="I46" i="18"/>
  <c r="I38" i="18"/>
  <c r="I30" i="18"/>
  <c r="I22" i="18"/>
  <c r="I14" i="18"/>
  <c r="I6" i="18"/>
  <c r="I69" i="18"/>
  <c r="I61" i="18"/>
  <c r="I53" i="18"/>
  <c r="I45" i="18"/>
  <c r="I37" i="18"/>
  <c r="I29" i="18"/>
  <c r="I21" i="18"/>
  <c r="I13" i="18"/>
  <c r="I5" i="18"/>
  <c r="I68" i="18"/>
  <c r="I60" i="18"/>
  <c r="I52" i="18"/>
  <c r="I44" i="18"/>
  <c r="I36" i="18"/>
  <c r="I28" i="18"/>
  <c r="I20" i="18"/>
  <c r="I12" i="18"/>
  <c r="I65" i="18"/>
  <c r="I64" i="18"/>
  <c r="I49" i="18"/>
  <c r="I48" i="18"/>
  <c r="I33" i="18"/>
  <c r="I32" i="18"/>
  <c r="I17" i="18"/>
  <c r="I16" i="18"/>
  <c r="I58" i="18"/>
  <c r="I55" i="18"/>
  <c r="I57" i="18"/>
  <c r="I56" i="18"/>
  <c r="I50" i="18"/>
  <c r="I31" i="18"/>
  <c r="I10" i="18"/>
  <c r="I7" i="18"/>
  <c r="I66" i="18"/>
  <c r="I47" i="18"/>
  <c r="I9" i="18"/>
  <c r="I8" i="18"/>
  <c r="I41" i="18"/>
  <c r="I42" i="18"/>
  <c r="I18" i="18"/>
  <c r="I15" i="18"/>
  <c r="I34" i="18"/>
  <c r="I23" i="18"/>
  <c r="I63" i="18"/>
  <c r="I39" i="18"/>
  <c r="I24" i="18"/>
  <c r="I40" i="18"/>
  <c r="I26" i="18"/>
  <c r="I25" i="18"/>
  <c r="P67" i="15"/>
  <c r="P43" i="15"/>
  <c r="P60" i="15"/>
  <c r="I11" i="8"/>
  <c r="J11" i="8" s="1"/>
  <c r="K11" i="8" s="1"/>
  <c r="E29" i="20"/>
  <c r="F29" i="20" s="1"/>
  <c r="G29" i="20" s="1"/>
  <c r="B26" i="7"/>
  <c r="B14" i="7"/>
  <c r="F7" i="19"/>
  <c r="D9" i="19"/>
  <c r="G7" i="19"/>
  <c r="D8" i="19"/>
  <c r="E7" i="19"/>
  <c r="E59" i="20" s="1"/>
  <c r="F59" i="20" s="1"/>
  <c r="G59" i="20" s="1"/>
  <c r="F8" i="19"/>
  <c r="G9" i="19"/>
  <c r="E9" i="19" s="1"/>
  <c r="E70" i="20" s="1"/>
  <c r="F70" i="20" s="1"/>
  <c r="G70" i="20" s="1"/>
  <c r="F9" i="19"/>
  <c r="E5" i="16"/>
  <c r="G8" i="19"/>
  <c r="F5" i="17"/>
  <c r="D7" i="19"/>
  <c r="L5" i="15"/>
  <c r="E8" i="19"/>
  <c r="B8" i="9"/>
  <c r="B12" i="9" s="1"/>
  <c r="D80" i="15"/>
  <c r="E80" i="15" s="1"/>
  <c r="F80" i="15" s="1"/>
  <c r="G80" i="15" s="1"/>
  <c r="E48" i="20" s="1"/>
  <c r="F48" i="20" s="1"/>
  <c r="G48" i="20" s="1"/>
  <c r="C80" i="15"/>
  <c r="H6" i="8"/>
  <c r="G6" i="8"/>
  <c r="F26" i="17"/>
  <c r="E26" i="16"/>
  <c r="L26" i="15"/>
  <c r="L13" i="15"/>
  <c r="H5" i="14"/>
  <c r="B76" i="14"/>
  <c r="K5" i="4"/>
  <c r="K6" i="4"/>
  <c r="E77" i="20" s="1"/>
  <c r="F77" i="20" s="1"/>
  <c r="G77" i="20" s="1"/>
  <c r="K7" i="4"/>
  <c r="E78" i="20" s="1"/>
  <c r="F78" i="20" s="1"/>
  <c r="G78" i="20" s="1"/>
  <c r="K8" i="4"/>
  <c r="E79" i="20" s="1"/>
  <c r="F79" i="20" s="1"/>
  <c r="G79" i="20" s="1"/>
  <c r="K9" i="4"/>
  <c r="E80" i="20" s="1"/>
  <c r="F80" i="20" s="1"/>
  <c r="G80" i="20" s="1"/>
  <c r="K10" i="4"/>
  <c r="E81" i="20" s="1"/>
  <c r="F81" i="20" s="1"/>
  <c r="G81" i="20" s="1"/>
  <c r="G18" i="8"/>
  <c r="I18" i="8" s="1"/>
  <c r="J18" i="8" s="1"/>
  <c r="K18" i="8" s="1"/>
  <c r="P9" i="15"/>
  <c r="E82" i="20"/>
  <c r="F82" i="20" s="1"/>
  <c r="G82" i="20" s="1"/>
  <c r="H8" i="4"/>
  <c r="J8" i="4"/>
  <c r="I8" i="4"/>
  <c r="P11" i="15"/>
  <c r="F33" i="17"/>
  <c r="L33" i="15"/>
  <c r="E33" i="16"/>
  <c r="E49" i="16"/>
  <c r="L49" i="15"/>
  <c r="F49" i="17"/>
  <c r="C18" i="6"/>
  <c r="F38" i="17"/>
  <c r="E38" i="16"/>
  <c r="L38" i="15"/>
  <c r="F52" i="17"/>
  <c r="E52" i="16"/>
  <c r="L52" i="15"/>
  <c r="L51" i="15"/>
  <c r="E51" i="16"/>
  <c r="F51" i="17"/>
  <c r="F55" i="18"/>
  <c r="P55" i="15"/>
  <c r="F32" i="17"/>
  <c r="E32" i="16"/>
  <c r="L32" i="15"/>
  <c r="G14" i="8"/>
  <c r="I14" i="8" s="1"/>
  <c r="J14" i="8" s="1"/>
  <c r="K14" i="8" s="1"/>
  <c r="P25" i="15"/>
  <c r="F46" i="17"/>
  <c r="E46" i="16"/>
  <c r="L46" i="15"/>
  <c r="P63" i="15"/>
  <c r="C80" i="16"/>
  <c r="D81" i="16"/>
  <c r="D80" i="16"/>
  <c r="C79" i="16"/>
  <c r="B79" i="16"/>
  <c r="B80" i="16"/>
  <c r="D79" i="16"/>
  <c r="C81" i="16"/>
  <c r="B81" i="16"/>
  <c r="I67" i="17"/>
  <c r="I59" i="17"/>
  <c r="I51" i="17"/>
  <c r="I43" i="17"/>
  <c r="I35" i="17"/>
  <c r="I27" i="17"/>
  <c r="I66" i="17"/>
  <c r="I58" i="17"/>
  <c r="I50" i="17"/>
  <c r="I42" i="17"/>
  <c r="I34" i="17"/>
  <c r="I26" i="17"/>
  <c r="I18" i="17"/>
  <c r="I10" i="17"/>
  <c r="I62" i="17"/>
  <c r="I61" i="17"/>
  <c r="I40" i="17"/>
  <c r="I30" i="17"/>
  <c r="I29" i="17"/>
  <c r="I21" i="17"/>
  <c r="I20" i="17"/>
  <c r="I19" i="17"/>
  <c r="I16" i="17"/>
  <c r="I68" i="17"/>
  <c r="I49" i="17"/>
  <c r="I39" i="17"/>
  <c r="I36" i="17"/>
  <c r="I15" i="17"/>
  <c r="I69" i="17"/>
  <c r="I48" i="17"/>
  <c r="I57" i="17"/>
  <c r="I47" i="17"/>
  <c r="I44" i="17"/>
  <c r="I13" i="17"/>
  <c r="I12" i="17"/>
  <c r="I11" i="17"/>
  <c r="I9" i="17"/>
  <c r="I46" i="17"/>
  <c r="I24" i="17"/>
  <c r="I23" i="17"/>
  <c r="I31" i="17"/>
  <c r="I33" i="17"/>
  <c r="I32" i="17"/>
  <c r="I8" i="17"/>
  <c r="I5" i="17"/>
  <c r="I28" i="17"/>
  <c r="I7" i="17"/>
  <c r="I6" i="17"/>
  <c r="I65" i="17"/>
  <c r="I64" i="17"/>
  <c r="I52" i="17"/>
  <c r="I37" i="17"/>
  <c r="I25" i="17"/>
  <c r="I22" i="17"/>
  <c r="I14" i="17"/>
  <c r="I53" i="17"/>
  <c r="I45" i="17"/>
  <c r="I17" i="17"/>
  <c r="I54" i="17"/>
  <c r="I38" i="17"/>
  <c r="I60" i="17"/>
  <c r="I41" i="17"/>
  <c r="I55" i="17"/>
  <c r="I63" i="17"/>
  <c r="I56" i="17"/>
  <c r="L62" i="15"/>
  <c r="B25" i="7"/>
  <c r="B27" i="7" s="1"/>
  <c r="E9" i="20" s="1"/>
  <c r="F9" i="20" s="1"/>
  <c r="G9" i="20" s="1"/>
  <c r="C5" i="10"/>
  <c r="B43" i="8"/>
  <c r="E52" i="20" s="1"/>
  <c r="F52" i="20" s="1"/>
  <c r="G52" i="20" s="1"/>
  <c r="B44" i="8"/>
  <c r="E53" i="20" s="1"/>
  <c r="F53" i="20" s="1"/>
  <c r="G53" i="20" s="1"/>
  <c r="B42" i="8"/>
  <c r="I8" i="8"/>
  <c r="J8" i="8" s="1"/>
  <c r="K8" i="8" s="1"/>
  <c r="F24" i="17"/>
  <c r="E24" i="16"/>
  <c r="L24" i="15"/>
  <c r="E12" i="16"/>
  <c r="F12" i="17"/>
  <c r="L12" i="15"/>
  <c r="G26" i="11"/>
  <c r="H26" i="11" s="1"/>
  <c r="B75" i="14"/>
  <c r="G5" i="14"/>
  <c r="J7" i="4"/>
  <c r="I7" i="4"/>
  <c r="H7" i="4"/>
  <c r="D17" i="6"/>
  <c r="P15" i="15"/>
  <c r="F17" i="17"/>
  <c r="L17" i="15"/>
  <c r="E17" i="16"/>
  <c r="J5" i="4"/>
  <c r="I5" i="4"/>
  <c r="H5" i="4"/>
  <c r="D16" i="6"/>
  <c r="D21" i="6" s="1"/>
  <c r="E83" i="20"/>
  <c r="F83" i="20" s="1"/>
  <c r="G83" i="20" s="1"/>
  <c r="J10" i="4"/>
  <c r="I10" i="4"/>
  <c r="H10" i="4"/>
  <c r="P50" i="15"/>
  <c r="E57" i="16"/>
  <c r="F57" i="17"/>
  <c r="L57" i="15"/>
  <c r="F13" i="18"/>
  <c r="P13" i="15"/>
  <c r="F38" i="18"/>
  <c r="P38" i="15"/>
  <c r="F54" i="18"/>
  <c r="P54" i="15"/>
  <c r="P8" i="15"/>
  <c r="E41" i="16"/>
  <c r="L41" i="15"/>
  <c r="F41" i="17"/>
  <c r="F45" i="18"/>
  <c r="P45" i="15"/>
  <c r="P21" i="15"/>
  <c r="F58" i="18"/>
  <c r="P58" i="15"/>
  <c r="P61" i="15"/>
  <c r="P40" i="15"/>
  <c r="P56" i="15"/>
  <c r="G24" i="11"/>
  <c r="H24" i="11" s="1"/>
  <c r="H5" i="8"/>
  <c r="G5" i="8"/>
  <c r="F47" i="17"/>
  <c r="L47" i="15"/>
  <c r="E47" i="16"/>
  <c r="F26" i="18"/>
  <c r="P26" i="15"/>
  <c r="F10" i="13"/>
  <c r="E38" i="20"/>
  <c r="F38" i="20" s="1"/>
  <c r="G38" i="20" s="1"/>
  <c r="B17" i="13"/>
  <c r="D17" i="13" s="1"/>
  <c r="F17" i="18"/>
  <c r="P17" i="15"/>
  <c r="H7" i="8"/>
  <c r="I7" i="8" s="1"/>
  <c r="J7" i="8" s="1"/>
  <c r="K7" i="8" s="1"/>
  <c r="F54" i="17"/>
  <c r="E54" i="16"/>
  <c r="L54" i="15"/>
  <c r="F50" i="17"/>
  <c r="E50" i="16"/>
  <c r="L50" i="15"/>
  <c r="F47" i="18"/>
  <c r="P47" i="15"/>
  <c r="F42" i="18"/>
  <c r="P42" i="15"/>
  <c r="F39" i="18"/>
  <c r="P39" i="15"/>
  <c r="F53" i="17"/>
  <c r="E53" i="16"/>
  <c r="L53" i="15"/>
  <c r="F53" i="18"/>
  <c r="P53" i="15"/>
  <c r="L45" i="15"/>
  <c r="F62" i="18"/>
  <c r="P62" i="15"/>
  <c r="F58" i="17"/>
  <c r="E58" i="16"/>
  <c r="L58" i="15"/>
  <c r="E12" i="20" l="1"/>
  <c r="F12" i="20" s="1"/>
  <c r="G12" i="20" s="1"/>
  <c r="D5" i="10"/>
  <c r="E5" i="10" s="1"/>
  <c r="B97" i="18"/>
  <c r="B89" i="18"/>
  <c r="B99" i="18"/>
  <c r="B88" i="18"/>
  <c r="B87" i="18"/>
  <c r="B86" i="18"/>
  <c r="E41" i="20"/>
  <c r="F41" i="20" s="1"/>
  <c r="G41" i="20" s="1"/>
  <c r="C75" i="14"/>
  <c r="E42" i="20"/>
  <c r="F42" i="20" s="1"/>
  <c r="G42" i="20" s="1"/>
  <c r="C76" i="14"/>
  <c r="D16" i="19"/>
  <c r="E61" i="20" s="1"/>
  <c r="F61" i="20" s="1"/>
  <c r="G61" i="20" s="1"/>
  <c r="E37" i="20"/>
  <c r="F37" i="20" s="1"/>
  <c r="G37" i="20" s="1"/>
  <c r="B16" i="13"/>
  <c r="D16" i="13" s="1"/>
  <c r="H11" i="19"/>
  <c r="I11" i="19" s="1"/>
  <c r="E68" i="20"/>
  <c r="F68" i="20" s="1"/>
  <c r="G68" i="20" s="1"/>
  <c r="E39" i="20"/>
  <c r="F39" i="20" s="1"/>
  <c r="G39" i="20" s="1"/>
  <c r="B18" i="13"/>
  <c r="D18" i="13" s="1"/>
  <c r="H7" i="19"/>
  <c r="I7" i="19" s="1"/>
  <c r="E58" i="20"/>
  <c r="F58" i="20" s="1"/>
  <c r="G58" i="20" s="1"/>
  <c r="H8" i="19"/>
  <c r="I8" i="19" s="1"/>
  <c r="E60" i="20"/>
  <c r="F60" i="20" s="1"/>
  <c r="G60" i="20" s="1"/>
  <c r="B21" i="6"/>
  <c r="B15" i="7"/>
  <c r="E40" i="20"/>
  <c r="F40" i="20" s="1"/>
  <c r="G40" i="20" s="1"/>
  <c r="C74" i="14"/>
  <c r="E8" i="11"/>
  <c r="D8" i="11"/>
  <c r="I5" i="8"/>
  <c r="J5" i="8" s="1"/>
  <c r="K5" i="8" s="1"/>
  <c r="C22" i="8" s="1"/>
  <c r="D75" i="14"/>
  <c r="I6" i="8"/>
  <c r="J6" i="8" s="1"/>
  <c r="K6" i="8" s="1"/>
  <c r="B99" i="17"/>
  <c r="B86" i="17"/>
  <c r="B97" i="17"/>
  <c r="B89" i="17"/>
  <c r="B88" i="17"/>
  <c r="B87" i="17"/>
  <c r="C84" i="14"/>
  <c r="C83" i="14"/>
  <c r="B20" i="7"/>
  <c r="E35" i="20"/>
  <c r="F35" i="20" s="1"/>
  <c r="G35" i="20" s="1"/>
  <c r="I26" i="11"/>
  <c r="J26" i="11" s="1"/>
  <c r="N26" i="11"/>
  <c r="E36" i="20" s="1"/>
  <c r="F36" i="20" s="1"/>
  <c r="G36" i="20" s="1"/>
  <c r="B45" i="8"/>
  <c r="B46" i="8" s="1"/>
  <c r="K12" i="4"/>
  <c r="E69" i="20"/>
  <c r="F69" i="20" s="1"/>
  <c r="G69" i="20" s="1"/>
  <c r="H9" i="19"/>
  <c r="I9" i="19" s="1"/>
  <c r="D74" i="14"/>
  <c r="AA834" i="2"/>
  <c r="AA961" i="2"/>
  <c r="AA842" i="2"/>
  <c r="AA810" i="2"/>
  <c r="AA793" i="2"/>
  <c r="AA762" i="2"/>
  <c r="AA722" i="2"/>
  <c r="AA682" i="2"/>
  <c r="AA594" i="2"/>
  <c r="AA746" i="2"/>
  <c r="AA706" i="2"/>
  <c r="AA866" i="2"/>
  <c r="AA953" i="2"/>
  <c r="AA780" i="2"/>
  <c r="AA738" i="2"/>
  <c r="AA700" i="2"/>
  <c r="AA674" i="2"/>
  <c r="AA577" i="2"/>
  <c r="AA570" i="2"/>
  <c r="AA506" i="2"/>
  <c r="AA474" i="2"/>
  <c r="AA457" i="2"/>
  <c r="AA698" i="2"/>
  <c r="AA593" i="2"/>
  <c r="AA538" i="2"/>
  <c r="AA540" i="2"/>
  <c r="AA495" i="2"/>
  <c r="AA490" i="2"/>
  <c r="AA602" i="2"/>
  <c r="AA588" i="2"/>
  <c r="AA514" i="2"/>
  <c r="AA658" i="2"/>
  <c r="AA530" i="2"/>
  <c r="AA666" i="2"/>
  <c r="AA618" i="2"/>
  <c r="AA458" i="2"/>
  <c r="AA554" i="2"/>
  <c r="AA479" i="2"/>
  <c r="AA447" i="2"/>
  <c r="AA418" i="2"/>
  <c r="AA628" i="2"/>
  <c r="AA375" i="2"/>
  <c r="AA232" i="2"/>
  <c r="AA175" i="2"/>
  <c r="AA135" i="2"/>
  <c r="AA98" i="2"/>
  <c r="AA114" i="2"/>
  <c r="AA293" i="2"/>
  <c r="AA162" i="2"/>
  <c r="AA95" i="2"/>
  <c r="AA454" i="2"/>
  <c r="AA138" i="2"/>
  <c r="AA170" i="2"/>
  <c r="AA641" i="2"/>
  <c r="AA266" i="2"/>
  <c r="AA244" i="2"/>
  <c r="AA242" i="2"/>
  <c r="AA178" i="2"/>
  <c r="AA130" i="2"/>
  <c r="AA279" i="2"/>
  <c r="AA434" i="2"/>
  <c r="AA154" i="2"/>
  <c r="AA90" i="2"/>
  <c r="AA562" i="2"/>
  <c r="AA380" i="2"/>
  <c r="AA362" i="2"/>
  <c r="AA106" i="2"/>
  <c r="AA69" i="2"/>
  <c r="AA391" i="2"/>
  <c r="AA273" i="2"/>
  <c r="AA35" i="2"/>
  <c r="AA11" i="2"/>
  <c r="AA27" i="2"/>
  <c r="AA19" i="2"/>
  <c r="AA47" i="2"/>
  <c r="AA81" i="2"/>
  <c r="AA63" i="2"/>
  <c r="AA177" i="2"/>
  <c r="AA257" i="2"/>
  <c r="AA308" i="2"/>
  <c r="AA146" i="2"/>
  <c r="AA252" i="2"/>
  <c r="AA284" i="2"/>
  <c r="AA77" i="2"/>
  <c r="AA49" i="2"/>
  <c r="AA190" i="2"/>
  <c r="AA246" i="2"/>
  <c r="AA353" i="2"/>
  <c r="AA532" i="2"/>
  <c r="AA366" i="2"/>
  <c r="AA444" i="2"/>
  <c r="AA354" i="2"/>
  <c r="AA492" i="2"/>
  <c r="AA697" i="2"/>
  <c r="AA295" i="2"/>
  <c r="AA487" i="2"/>
  <c r="AA218" i="2"/>
  <c r="AA119" i="2"/>
  <c r="AA132" i="2"/>
  <c r="AA196" i="2"/>
  <c r="AA390" i="2"/>
  <c r="AA513" i="2"/>
  <c r="AA732" i="2"/>
  <c r="AA24" i="2"/>
  <c r="AA55" i="2"/>
  <c r="AA82" i="2"/>
  <c r="AA343" i="2"/>
  <c r="AA89" i="2"/>
  <c r="AA76" i="2"/>
  <c r="AA150" i="2"/>
  <c r="AA71" i="2"/>
  <c r="AA228" i="2"/>
  <c r="AA240" i="2"/>
  <c r="AA66" i="2"/>
  <c r="AA113" i="2"/>
  <c r="AA180" i="2"/>
  <c r="AA325" i="2"/>
  <c r="AA357" i="2"/>
  <c r="AA426" i="2"/>
  <c r="AA564" i="2"/>
  <c r="AA430" i="2"/>
  <c r="AA290" i="2"/>
  <c r="AA548" i="2"/>
  <c r="AA350" i="2"/>
  <c r="AA359" i="2"/>
  <c r="AA122" i="2"/>
  <c r="AA199" i="2"/>
  <c r="AA215" i="2"/>
  <c r="AA183" i="2"/>
  <c r="AA249" i="2"/>
  <c r="AA40" i="2"/>
  <c r="AA100" i="2"/>
  <c r="AA166" i="2"/>
  <c r="AA226" i="2"/>
  <c r="AA271" i="2"/>
  <c r="AA68" i="2"/>
  <c r="AA330" i="2"/>
  <c r="AA580" i="2"/>
  <c r="AA258" i="2"/>
  <c r="AA303" i="2"/>
  <c r="AA319" i="2"/>
  <c r="AA348" i="2"/>
  <c r="AA306" i="2"/>
  <c r="AA148" i="2"/>
  <c r="AA278" i="2"/>
  <c r="AA156" i="2"/>
  <c r="AA13" i="2"/>
  <c r="AA124" i="2"/>
  <c r="AA310" i="2"/>
  <c r="AA116" i="2"/>
  <c r="AA236" i="2"/>
  <c r="AA217" i="2"/>
  <c r="AA358" i="2"/>
  <c r="AA87" i="2"/>
  <c r="AA167" i="2"/>
  <c r="AA222" i="2"/>
  <c r="AA14" i="2"/>
  <c r="AA30" i="2"/>
  <c r="AA188" i="2"/>
  <c r="AA207" i="2"/>
  <c r="AA300" i="2"/>
  <c r="AA516" i="2"/>
  <c r="AA191" i="2"/>
  <c r="AA327" i="2"/>
  <c r="AA524" i="2"/>
  <c r="AA313" i="2"/>
  <c r="AA428" i="2"/>
  <c r="AA463" i="2"/>
  <c r="AA684" i="2"/>
  <c r="AA159" i="2"/>
  <c r="AA500" i="2"/>
  <c r="AA22" i="2"/>
  <c r="AA108" i="2"/>
  <c r="AA238" i="2"/>
  <c r="AA8" i="2"/>
  <c r="AA54" i="2"/>
  <c r="AA111" i="2"/>
  <c r="AA209" i="2"/>
  <c r="AA276" i="2"/>
  <c r="AA341" i="2"/>
  <c r="AA43" i="2"/>
  <c r="AA74" i="2"/>
  <c r="AA289" i="2"/>
  <c r="AA21" i="2"/>
  <c r="AA140" i="2"/>
  <c r="AA202" i="2"/>
  <c r="AA679" i="2"/>
  <c r="AA78" i="2"/>
  <c r="AA194" i="2"/>
  <c r="AA274" i="2"/>
  <c r="AA489" i="2"/>
  <c r="AA305" i="2"/>
  <c r="AA314" i="2"/>
  <c r="AA473" i="2"/>
  <c r="AA186" i="2"/>
  <c r="AA282" i="2"/>
  <c r="AA404" i="2"/>
  <c r="AA7" i="2"/>
  <c r="AA37" i="2"/>
  <c r="AA129" i="2"/>
  <c r="AA143" i="2"/>
  <c r="AA62" i="2"/>
  <c r="AA172" i="2"/>
  <c r="AA45" i="2"/>
  <c r="AA92" i="2"/>
  <c r="AA52" i="2"/>
  <c r="AA153" i="2"/>
  <c r="AA386" i="2"/>
  <c r="AA263" i="2"/>
  <c r="AA379" i="2"/>
  <c r="AA414" i="2"/>
  <c r="AA210" i="2"/>
  <c r="AA381" i="2"/>
  <c r="AA342" i="2"/>
  <c r="AA364" i="2"/>
  <c r="AA407" i="2"/>
  <c r="AA86" i="2"/>
  <c r="AA234" i="2"/>
  <c r="AA97" i="2"/>
  <c r="AA254" i="2"/>
  <c r="AA281" i="2"/>
  <c r="AA205" i="2"/>
  <c r="AA262" i="2"/>
  <c r="AA3" i="2"/>
  <c r="AA79" i="2"/>
  <c r="AA38" i="2"/>
  <c r="AA103" i="2"/>
  <c r="AA94" i="2"/>
  <c r="AA193" i="2"/>
  <c r="AA340" i="2"/>
  <c r="AA604" i="2"/>
  <c r="AA393" i="2"/>
  <c r="AA311" i="2"/>
  <c r="AA420" i="2"/>
  <c r="AA230" i="2"/>
  <c r="AA16" i="2"/>
  <c r="AA201" i="2"/>
  <c r="AA102" i="2"/>
  <c r="AA151" i="2"/>
  <c r="AA164" i="2"/>
  <c r="AA29" i="2"/>
  <c r="AA5" i="2"/>
  <c r="AA32" i="2"/>
  <c r="AA127" i="2"/>
  <c r="AA126" i="2"/>
  <c r="AA332" i="2"/>
  <c r="AA439" i="2"/>
  <c r="AA460" i="2"/>
  <c r="AA612" i="2"/>
  <c r="AA261" i="2"/>
  <c r="AA431" i="2"/>
  <c r="AA269" i="2"/>
  <c r="AA286" i="2"/>
  <c r="AA309" i="2"/>
  <c r="AA105" i="2"/>
  <c r="AA221" i="2"/>
  <c r="AA335" i="2"/>
  <c r="AA224" i="2"/>
  <c r="AA58" i="2"/>
  <c r="AA561" i="2"/>
  <c r="AA522" i="2"/>
  <c r="AA644" i="2"/>
  <c r="AA498" i="2"/>
  <c r="AA623" i="2"/>
  <c r="AA412" i="2"/>
  <c r="AA802" i="2"/>
  <c r="AA527" i="2"/>
  <c r="AA535" i="2"/>
  <c r="AA716" i="2"/>
  <c r="AA482" i="2"/>
  <c r="AA402" i="2"/>
  <c r="AA503" i="2"/>
  <c r="AA631" i="2"/>
  <c r="AA636" i="2"/>
  <c r="AA735" i="2"/>
  <c r="AA740" i="2"/>
  <c r="AA913" i="2"/>
  <c r="AA945" i="2"/>
  <c r="AA767" i="2"/>
  <c r="AA551" i="2"/>
  <c r="AA873" i="2"/>
  <c r="AA255" i="2"/>
  <c r="AA61" i="2"/>
  <c r="AA415" i="2"/>
  <c r="AA714" i="2"/>
  <c r="AA436" i="2"/>
  <c r="AA466" i="2"/>
  <c r="AA586" i="2"/>
  <c r="AA692" i="2"/>
  <c r="AA721" i="2"/>
  <c r="AA442" i="2"/>
  <c r="AA583" i="2"/>
  <c r="AA652" i="2"/>
  <c r="AA655" i="2"/>
  <c r="AA759" i="2"/>
  <c r="AA764" i="2"/>
  <c r="AA844" i="2"/>
  <c r="AA849" i="2"/>
  <c r="AA929" i="2"/>
  <c r="AA711" i="2"/>
  <c r="AA787" i="2"/>
  <c r="AA851" i="2"/>
  <c r="AA639" i="2"/>
  <c r="AA778" i="2"/>
  <c r="AA894" i="2"/>
  <c r="AA942" i="2"/>
  <c r="AA876" i="2"/>
  <c r="AA941" i="2"/>
  <c r="AA326" i="2"/>
  <c r="AA634" i="2"/>
  <c r="AA250" i="2"/>
  <c r="AA650" i="2"/>
  <c r="AA399" i="2"/>
  <c r="AA578" i="2"/>
  <c r="AA620" i="2"/>
  <c r="AA660" i="2"/>
  <c r="AA730" i="2"/>
  <c r="AA338" i="2"/>
  <c r="AA607" i="2"/>
  <c r="AA948" i="2"/>
  <c r="AA774" i="2"/>
  <c r="AA703" i="2"/>
  <c r="AA926" i="2"/>
  <c r="AA818" i="2"/>
  <c r="AA881" i="2"/>
  <c r="AA852" i="2"/>
  <c r="AA950" i="2"/>
  <c r="AA916" i="2"/>
  <c r="AA932" i="2"/>
  <c r="AA883" i="2"/>
  <c r="AA938" i="2"/>
  <c r="AA322" i="2"/>
  <c r="AA351" i="2"/>
  <c r="AA511" i="2"/>
  <c r="AA559" i="2"/>
  <c r="AA690" i="2"/>
  <c r="AA713" i="2"/>
  <c r="AA446" i="2"/>
  <c r="AA546" i="2"/>
  <c r="AA754" i="2"/>
  <c r="AA761" i="2"/>
  <c r="AA298" i="2"/>
  <c r="AA769" i="2"/>
  <c r="AA671" i="2"/>
  <c r="AA676" i="2"/>
  <c r="AA843" i="2"/>
  <c r="AA751" i="2"/>
  <c r="AA756" i="2"/>
  <c r="AA798" i="2"/>
  <c r="AA958" i="2"/>
  <c r="AA811" i="2"/>
  <c r="AA814" i="2"/>
  <c r="AA870" i="2"/>
  <c r="AA877" i="2"/>
  <c r="AA910" i="2"/>
  <c r="AA804" i="2"/>
  <c r="AA900" i="2"/>
  <c r="AA939" i="2"/>
  <c r="AA907" i="2"/>
  <c r="AA828" i="2"/>
  <c r="AA923" i="2"/>
  <c r="AA862" i="2"/>
  <c r="AA601" i="2"/>
  <c r="AA626" i="2"/>
  <c r="AA450" i="2"/>
  <c r="AA423" i="2"/>
  <c r="AA484" i="2"/>
  <c r="AA585" i="2"/>
  <c r="AA609" i="2"/>
  <c r="AA476" i="2"/>
  <c r="AA642" i="2"/>
  <c r="AA665" i="2"/>
  <c r="AA729" i="2"/>
  <c r="AA433" i="2"/>
  <c r="AA724" i="2"/>
  <c r="AA567" i="2"/>
  <c r="AA572" i="2"/>
  <c r="AA955" i="2"/>
  <c r="AA963" i="2"/>
  <c r="AA663" i="2"/>
  <c r="AA889" i="2"/>
  <c r="AA786" i="2"/>
  <c r="AA841" i="2"/>
  <c r="AA937" i="2"/>
  <c r="AA719" i="2"/>
  <c r="AA820" i="2"/>
  <c r="AA846" i="2"/>
  <c r="AA884" i="2"/>
  <c r="AA924" i="2"/>
  <c r="AA921" i="2"/>
  <c r="AA933" i="2"/>
  <c r="AA817" i="2"/>
  <c r="AA826" i="2"/>
  <c r="AA858" i="2"/>
  <c r="AA346" i="2"/>
  <c r="AA748" i="2"/>
  <c r="AA396" i="2"/>
  <c r="AA471" i="2"/>
  <c r="AA610" i="2"/>
  <c r="AA383" i="2"/>
  <c r="AA455" i="2"/>
  <c r="AA695" i="2"/>
  <c r="AA772" i="2"/>
  <c r="AA940" i="2"/>
  <c r="AA647" i="2"/>
  <c r="AA790" i="2"/>
  <c r="AA949" i="2"/>
  <c r="AA971" i="2"/>
  <c r="AA792" i="2"/>
  <c r="AA905" i="2"/>
  <c r="AA803" i="2"/>
  <c r="AA892" i="2"/>
  <c r="AA836" i="2"/>
  <c r="AA931" i="2"/>
  <c r="AA788" i="2"/>
  <c r="AA410" i="2"/>
  <c r="AA625" i="2"/>
  <c r="AA591" i="2"/>
  <c r="AA668" i="2"/>
  <c r="AA596" i="2"/>
  <c r="AA708" i="2"/>
  <c r="AA388" i="2"/>
  <c r="AA575" i="2"/>
  <c r="AA886" i="2"/>
  <c r="AA543" i="2"/>
  <c r="AA902" i="2"/>
  <c r="AA727" i="2"/>
  <c r="AA782" i="2"/>
  <c r="AA615" i="2"/>
  <c r="AA743" i="2"/>
  <c r="AA957" i="2"/>
  <c r="AA854" i="2"/>
  <c r="AA965" i="2"/>
  <c r="AA885" i="2"/>
  <c r="AA918" i="2"/>
  <c r="AA934" i="2"/>
  <c r="AA825" i="2"/>
  <c r="AA897" i="2"/>
  <c r="AA925" i="2"/>
  <c r="AA835" i="2"/>
  <c r="AA796" i="2"/>
  <c r="AA899" i="2"/>
  <c r="AA745" i="2"/>
  <c r="AA556" i="2"/>
  <c r="AA705" i="2"/>
  <c r="AA508" i="2"/>
  <c r="AA753" i="2"/>
  <c r="AA367" i="2"/>
  <c r="AA737" i="2"/>
  <c r="AA657" i="2"/>
  <c r="AA673" i="2"/>
  <c r="AA770" i="2"/>
  <c r="AA969" i="2"/>
  <c r="AA795" i="2"/>
  <c r="AA519" i="2"/>
  <c r="AA857" i="2"/>
  <c r="AA687" i="2"/>
  <c r="AA599" i="2"/>
  <c r="AA822" i="2"/>
  <c r="AA850" i="2"/>
  <c r="AA819" i="2"/>
  <c r="AA956" i="2"/>
  <c r="AA908" i="2"/>
  <c r="AA966" i="2"/>
  <c r="AA890" i="2"/>
  <c r="AA859" i="2"/>
  <c r="AA874" i="2"/>
  <c r="AA882" i="2"/>
  <c r="AA973" i="2"/>
  <c r="AA806" i="2"/>
  <c r="AA891" i="2"/>
  <c r="AA930" i="2"/>
  <c r="AA898" i="2"/>
  <c r="AA974" i="2"/>
  <c r="AA830" i="2"/>
  <c r="AA875" i="2"/>
  <c r="AA964" i="2"/>
  <c r="AA922" i="2"/>
  <c r="AA906" i="2"/>
  <c r="AA867" i="2"/>
  <c r="AA914" i="2"/>
  <c r="AA868" i="2"/>
  <c r="AA860" i="2"/>
  <c r="AA838" i="2"/>
  <c r="AA915" i="2"/>
  <c r="AA972" i="2"/>
  <c r="AA871" i="2"/>
  <c r="AA912" i="2"/>
  <c r="AA637" i="2"/>
  <c r="AA845" i="2"/>
  <c r="AA970" i="2"/>
  <c r="AA951" i="2"/>
  <c r="AA935" i="2"/>
  <c r="AA801" i="2"/>
  <c r="AA742" i="2"/>
  <c r="AA681" i="2"/>
  <c r="AA344" i="2"/>
  <c r="AA649" i="2"/>
  <c r="AA920" i="2"/>
  <c r="AA733" i="2"/>
  <c r="AA794" i="2"/>
  <c r="AA373" i="2"/>
  <c r="AA376" i="2"/>
  <c r="AA694" i="2"/>
  <c r="AA848" i="2"/>
  <c r="AA619" i="2"/>
  <c r="AA307" i="2"/>
  <c r="AA584" i="2"/>
  <c r="AA608" i="2"/>
  <c r="AA465" i="2"/>
  <c r="AA304" i="2"/>
  <c r="AA392" i="2"/>
  <c r="AA352" i="2"/>
  <c r="AA334" i="2"/>
  <c r="AA480" i="2"/>
  <c r="AA574" i="2"/>
  <c r="AA568" i="2"/>
  <c r="AA251" i="2"/>
  <c r="AA481" i="2"/>
  <c r="AA437" i="2"/>
  <c r="AA337" i="2"/>
  <c r="AA452" i="2"/>
  <c r="AA336" i="2"/>
  <c r="AA518" i="2"/>
  <c r="AA976" i="2"/>
  <c r="AA440" i="2"/>
  <c r="AA401" i="2"/>
  <c r="AA441" i="2"/>
  <c r="AA121" i="2"/>
  <c r="AA176" i="2"/>
  <c r="AA245" i="2"/>
  <c r="AA110" i="2"/>
  <c r="AA72" i="2"/>
  <c r="AA165" i="2"/>
  <c r="AA10" i="2"/>
  <c r="AA53" i="2"/>
  <c r="AA17" i="2"/>
  <c r="AA478" i="2"/>
  <c r="AA468" i="2"/>
  <c r="AA134" i="2"/>
  <c r="AA260" i="2"/>
  <c r="AA529" i="2"/>
  <c r="AA318" i="2"/>
  <c r="AA206" i="2"/>
  <c r="AA70" i="2"/>
  <c r="AA231" i="2"/>
  <c r="AA797" i="2"/>
  <c r="AA880" i="2"/>
  <c r="AA807" i="2"/>
  <c r="AA725" i="2"/>
  <c r="AA839" i="2"/>
  <c r="AA936" i="2"/>
  <c r="AA749" i="2"/>
  <c r="AA855" i="2"/>
  <c r="AA812" i="2"/>
  <c r="AA656" i="2"/>
  <c r="AA531" i="2"/>
  <c r="AA451" i="2"/>
  <c r="AA331" i="2"/>
  <c r="AA203" i="2"/>
  <c r="AA509" i="2"/>
  <c r="AA534" i="2"/>
  <c r="AA833" i="2"/>
  <c r="AA347" i="2"/>
  <c r="AA449" i="2"/>
  <c r="AA741" i="2"/>
  <c r="AA517" i="2"/>
  <c r="AA878" i="2"/>
  <c r="AA464" i="2"/>
  <c r="AA677" i="2"/>
  <c r="AA944" i="2"/>
  <c r="AA622" i="2"/>
  <c r="AA248" i="2"/>
  <c r="AA888" i="2"/>
  <c r="AA685" i="2"/>
  <c r="AA791" i="2"/>
  <c r="AA521" i="2"/>
  <c r="AA483" i="2"/>
  <c r="AA627" i="2"/>
  <c r="AA152" i="2"/>
  <c r="AA726" i="2"/>
  <c r="AA502" i="2"/>
  <c r="AA715" i="2"/>
  <c r="AA443" i="2"/>
  <c r="AA349" i="2"/>
  <c r="AA424" i="2"/>
  <c r="AA301" i="2"/>
  <c r="AA117" i="2"/>
  <c r="AA104" i="2"/>
  <c r="AA389" i="2"/>
  <c r="AA155" i="2"/>
  <c r="AA171" i="2"/>
  <c r="AA83" i="2"/>
  <c r="AA181" i="2"/>
  <c r="AA168" i="2"/>
  <c r="AA394" i="2"/>
  <c r="AA765" i="2"/>
  <c r="AA967" i="2"/>
  <c r="AA927" i="2"/>
  <c r="AA853" i="2"/>
  <c r="AA847" i="2"/>
  <c r="AA954" i="2"/>
  <c r="AA670" i="2"/>
  <c r="AA739" i="2"/>
  <c r="AA315" i="2"/>
  <c r="AA872" i="2"/>
  <c r="AA947" i="2"/>
  <c r="AA750" i="2"/>
  <c r="AA204" i="2"/>
  <c r="AA363" i="2"/>
  <c r="AA592" i="2"/>
  <c r="AA525" i="2"/>
  <c r="AA728" i="2"/>
  <c r="AA462" i="2"/>
  <c r="AA643" i="2"/>
  <c r="AA421" i="2"/>
  <c r="AA169" i="2"/>
  <c r="AA781" i="2"/>
  <c r="AA323" i="2"/>
  <c r="AA302" i="2"/>
  <c r="AA328" i="2"/>
  <c r="AA640" i="2"/>
  <c r="AA590" i="2"/>
  <c r="AA689" i="2"/>
  <c r="AA324" i="2"/>
  <c r="AA211" i="2"/>
  <c r="AA179" i="2"/>
  <c r="AA157" i="2"/>
  <c r="AA158" i="2"/>
  <c r="AA264" i="2"/>
  <c r="AA425" i="2"/>
  <c r="AA219" i="2"/>
  <c r="AA212" i="2"/>
  <c r="AA173" i="2"/>
  <c r="AA438" i="2"/>
  <c r="AA192" i="2"/>
  <c r="AA385" i="2"/>
  <c r="AA23" i="2"/>
  <c r="AA345" i="2"/>
  <c r="AA42" i="2"/>
  <c r="AA67" i="2"/>
  <c r="AA683" i="2"/>
  <c r="AA632" i="2"/>
  <c r="AA216" i="2"/>
  <c r="AA220" i="2"/>
  <c r="AA125" i="2"/>
  <c r="AA118" i="2"/>
  <c r="AA268" i="2"/>
  <c r="AA213" i="2"/>
  <c r="AA869" i="2"/>
  <c r="AA789" i="2"/>
  <c r="AA549" i="2"/>
  <c r="AA709" i="2"/>
  <c r="AA629" i="2"/>
  <c r="AA815" i="2"/>
  <c r="AA717" i="2"/>
  <c r="AA581" i="2"/>
  <c r="AA805" i="2"/>
  <c r="AA943" i="2"/>
  <c r="AA863" i="2"/>
  <c r="AA776" i="2"/>
  <c r="AA555" i="2"/>
  <c r="AA544" i="2"/>
  <c r="AA256" i="2"/>
  <c r="AA589" i="2"/>
  <c r="AA600" i="2"/>
  <c r="AA569" i="2"/>
  <c r="AA247" i="2"/>
  <c r="AA766" i="2"/>
  <c r="AA747" i="2"/>
  <c r="AA453" i="2"/>
  <c r="AA429" i="2"/>
  <c r="AA368" i="2"/>
  <c r="AA832" i="2"/>
  <c r="AA550" i="2"/>
  <c r="AA699" i="2"/>
  <c r="AA387" i="2"/>
  <c r="AA145" i="2"/>
  <c r="AA693" i="2"/>
  <c r="AA856" i="2"/>
  <c r="AA952" i="2"/>
  <c r="AA630" i="2"/>
  <c r="AA779" i="2"/>
  <c r="AA296" i="2"/>
  <c r="AA646" i="2"/>
  <c r="AA755" i="2"/>
  <c r="AA496" i="2"/>
  <c r="AA60" i="2"/>
  <c r="AA419" i="2"/>
  <c r="AA329" i="2"/>
  <c r="AA400" i="2"/>
  <c r="AA253" i="2"/>
  <c r="AA137" i="2"/>
  <c r="AA265" i="2"/>
  <c r="AA141" i="2"/>
  <c r="AA131" i="2"/>
  <c r="AA270" i="2"/>
  <c r="AA225" i="2"/>
  <c r="AA370" i="2"/>
  <c r="AA208" i="2"/>
  <c r="AA99" i="2"/>
  <c r="AA26" i="2"/>
  <c r="AA339" i="2"/>
  <c r="AA84" i="2"/>
  <c r="AA223" i="2"/>
  <c r="AA36" i="2"/>
  <c r="AA31" i="2"/>
  <c r="AA20" i="2"/>
  <c r="AA107" i="2"/>
  <c r="AA39" i="2"/>
  <c r="AA775" i="2"/>
  <c r="AA879" i="2"/>
  <c r="AA893" i="2"/>
  <c r="AA565" i="2"/>
  <c r="AA831" i="2"/>
  <c r="AA975" i="2"/>
  <c r="AA861" i="2"/>
  <c r="AA678" i="2"/>
  <c r="AA691" i="2"/>
  <c r="AA664" i="2"/>
  <c r="AA411" i="2"/>
  <c r="AA758" i="2"/>
  <c r="AA606" i="2"/>
  <c r="AA523" i="2"/>
  <c r="AA528" i="2"/>
  <c r="AA563" i="2"/>
  <c r="AA597" i="2"/>
  <c r="AA542" i="2"/>
  <c r="AA547" i="2"/>
  <c r="AA397" i="2"/>
  <c r="AA355" i="2"/>
  <c r="AA488" i="2"/>
  <c r="AA537" i="2"/>
  <c r="AA533" i="2"/>
  <c r="AA702" i="2"/>
  <c r="AA398" i="2"/>
  <c r="AA395" i="2"/>
  <c r="AA777" i="2"/>
  <c r="AA541" i="2"/>
  <c r="AA808" i="2"/>
  <c r="AA494" i="2"/>
  <c r="AA432" i="2"/>
  <c r="AA275" i="2"/>
  <c r="AA321" i="2"/>
  <c r="AA85" i="2"/>
  <c r="AA477" i="2"/>
  <c r="AA707" i="2"/>
  <c r="AA675" i="2"/>
  <c r="AA582" i="2"/>
  <c r="AA616" i="2"/>
  <c r="AA9" i="2"/>
  <c r="AA799" i="2"/>
  <c r="AA445" i="2"/>
  <c r="AA356" i="2"/>
  <c r="AA185" i="2"/>
  <c r="AA239" i="2"/>
  <c r="AA144" i="2"/>
  <c r="AA200" i="2"/>
  <c r="AA133" i="2"/>
  <c r="AA361" i="2"/>
  <c r="AA195" i="2"/>
  <c r="AA15" i="2"/>
  <c r="AA161" i="2"/>
  <c r="AA229" i="2"/>
  <c r="AA109" i="2"/>
  <c r="AA182" i="2"/>
  <c r="AA142" i="2"/>
  <c r="AA25" i="2"/>
  <c r="AA12" i="2"/>
  <c r="AA59" i="2"/>
  <c r="AA189" i="2"/>
  <c r="AA174" i="2"/>
  <c r="AA417" i="2"/>
  <c r="AA160" i="2"/>
  <c r="AA233" i="2"/>
  <c r="AA243" i="2"/>
  <c r="AA553" i="2"/>
  <c r="AA75" i="2"/>
  <c r="AA227" i="2"/>
  <c r="AA2" i="2"/>
  <c r="AA824" i="2"/>
  <c r="AA557" i="2"/>
  <c r="AA895" i="2"/>
  <c r="AA909" i="2"/>
  <c r="AA901" i="2"/>
  <c r="AA493" i="2"/>
  <c r="AA829" i="2"/>
  <c r="AA813" i="2"/>
  <c r="AA784" i="2"/>
  <c r="AA526" i="2"/>
  <c r="AA773" i="2"/>
  <c r="AA635" i="2"/>
  <c r="AA461" i="2"/>
  <c r="AA696" i="2"/>
  <c r="AA768" i="2"/>
  <c r="AA579" i="2"/>
  <c r="AA539" i="2"/>
  <c r="AA512" i="2"/>
  <c r="AA558" i="2"/>
  <c r="AA840" i="2"/>
  <c r="AA515" i="2"/>
  <c r="AA408" i="2"/>
  <c r="AA91" i="2"/>
  <c r="AA785" i="2"/>
  <c r="AA638" i="2"/>
  <c r="AA865" i="2"/>
  <c r="AA667" i="2"/>
  <c r="AA800" i="2"/>
  <c r="AA624" i="2"/>
  <c r="AA571" i="2"/>
  <c r="AA413" i="2"/>
  <c r="AA718" i="2"/>
  <c r="AA968" i="2"/>
  <c r="AA736" i="2"/>
  <c r="AA752" i="2"/>
  <c r="AA427" i="2"/>
  <c r="AA672" i="2"/>
  <c r="AA456" i="2"/>
  <c r="AA499" i="2"/>
  <c r="AA662" i="2"/>
  <c r="AA760" i="2"/>
  <c r="AA422" i="2"/>
  <c r="AA280" i="2"/>
  <c r="AA28" i="2"/>
  <c r="AA112" i="2"/>
  <c r="AA65" i="2"/>
  <c r="AA297" i="2"/>
  <c r="AA403" i="2"/>
  <c r="AA360" i="2"/>
  <c r="AA475" i="2"/>
  <c r="AA6" i="2"/>
  <c r="AA377" i="2"/>
  <c r="AA294" i="2"/>
  <c r="AA88" i="2"/>
  <c r="AA277" i="2"/>
  <c r="AA235" i="2"/>
  <c r="AA312" i="2"/>
  <c r="AA136" i="2"/>
  <c r="AA292" i="2"/>
  <c r="AA316" i="2"/>
  <c r="AA34" i="2"/>
  <c r="AA333" i="2"/>
  <c r="AA365" i="2"/>
  <c r="AA184" i="2"/>
  <c r="AA197" i="2"/>
  <c r="AA96" i="2"/>
  <c r="AA18" i="2"/>
  <c r="AA64" i="2"/>
  <c r="AA93" i="2"/>
  <c r="AA317" i="2"/>
  <c r="AA147" i="2"/>
  <c r="AA214" i="2"/>
  <c r="AA374" i="2"/>
  <c r="AA621" i="2"/>
  <c r="AA485" i="2"/>
  <c r="AA928" i="2"/>
  <c r="AA887" i="2"/>
  <c r="AA903" i="2"/>
  <c r="AA645" i="2"/>
  <c r="AA896" i="2"/>
  <c r="AA904" i="2"/>
  <c r="AA919" i="2"/>
  <c r="AA823" i="2"/>
  <c r="AA864" i="2"/>
  <c r="AA723" i="2"/>
  <c r="AA369" i="2"/>
  <c r="AA617" i="2"/>
  <c r="AA661" i="2"/>
  <c r="AA686" i="2"/>
  <c r="AA744" i="2"/>
  <c r="AA704" i="2"/>
  <c r="AA467" i="2"/>
  <c r="AA41" i="2"/>
  <c r="AA669" i="2"/>
  <c r="AA614" i="2"/>
  <c r="AA731" i="2"/>
  <c r="AA648" i="2"/>
  <c r="AA576" i="2"/>
  <c r="AA384" i="2"/>
  <c r="AA605" i="2"/>
  <c r="AA651" i="2"/>
  <c r="AA80" i="2"/>
  <c r="AA816" i="2"/>
  <c r="AA613" i="2"/>
  <c r="AA459" i="2"/>
  <c r="AA416" i="2"/>
  <c r="AA448" i="2"/>
  <c r="AA960" i="2"/>
  <c r="AA520" i="2"/>
  <c r="AA491" i="2"/>
  <c r="AA469" i="2"/>
  <c r="AA497" i="2"/>
  <c r="AA545" i="2"/>
  <c r="AA288" i="2"/>
  <c r="AA654" i="2"/>
  <c r="AA611" i="2"/>
  <c r="AA470" i="2"/>
  <c r="AA259" i="2"/>
  <c r="AA809" i="2"/>
  <c r="AA734" i="2"/>
  <c r="AA510" i="2"/>
  <c r="AA712" i="2"/>
  <c r="AA198" i="2"/>
  <c r="AA44" i="2"/>
  <c r="AA115" i="2"/>
  <c r="AA320" i="2"/>
  <c r="AA291" i="2"/>
  <c r="AA123" i="2"/>
  <c r="AA48" i="2"/>
  <c r="AA267" i="2"/>
  <c r="AA241" i="2"/>
  <c r="AA101" i="2"/>
  <c r="AA33" i="2"/>
  <c r="AA272" i="2"/>
  <c r="AA57" i="2"/>
  <c r="AA409" i="2"/>
  <c r="AA536" i="2"/>
  <c r="AA73" i="2"/>
  <c r="AA287" i="2"/>
  <c r="AA701" i="2"/>
  <c r="AA917" i="2"/>
  <c r="AA821" i="2"/>
  <c r="AA573" i="2"/>
  <c r="AA653" i="2"/>
  <c r="AA501" i="2"/>
  <c r="AA911" i="2"/>
  <c r="AA837" i="2"/>
  <c r="AA959" i="2"/>
  <c r="AA962" i="2"/>
  <c r="AA946" i="2"/>
  <c r="AA827" i="2"/>
  <c r="AA598" i="2"/>
  <c r="AA507" i="2"/>
  <c r="AA771" i="2"/>
  <c r="AA603" i="2"/>
  <c r="AA688" i="2"/>
  <c r="AA472" i="2"/>
  <c r="AA405" i="2"/>
  <c r="AA299" i="2"/>
  <c r="AA560" i="2"/>
  <c r="AA587" i="2"/>
  <c r="AA435" i="2"/>
  <c r="AA757" i="2"/>
  <c r="AA710" i="2"/>
  <c r="AA566" i="2"/>
  <c r="AA486" i="2"/>
  <c r="AA720" i="2"/>
  <c r="AA680" i="2"/>
  <c r="AA283" i="2"/>
  <c r="AA552" i="2"/>
  <c r="AA149" i="2"/>
  <c r="AA139" i="2"/>
  <c r="AA783" i="2"/>
  <c r="AA595" i="2"/>
  <c r="AA763" i="2"/>
  <c r="AA659" i="2"/>
  <c r="AA504" i="2"/>
  <c r="AA633" i="2"/>
  <c r="AA505" i="2"/>
  <c r="AA128" i="2"/>
  <c r="AA406" i="2"/>
  <c r="AA285" i="2"/>
  <c r="AA163" i="2"/>
  <c r="AA378" i="2"/>
  <c r="AA50" i="2"/>
  <c r="AA4" i="2"/>
  <c r="AA51" i="2"/>
  <c r="AA46" i="2"/>
  <c r="AA187" i="2"/>
  <c r="AA120" i="2"/>
  <c r="AA56" i="2"/>
  <c r="AA372" i="2"/>
  <c r="AA382" i="2"/>
  <c r="AA371" i="2"/>
  <c r="AA237" i="2"/>
  <c r="E46" i="20"/>
  <c r="F46" i="20" s="1"/>
  <c r="G46" i="20" s="1"/>
  <c r="F22" i="13"/>
  <c r="G22" i="13" s="1"/>
  <c r="H22" i="13"/>
  <c r="E47" i="20" s="1"/>
  <c r="F47" i="20" s="1"/>
  <c r="G47" i="20" s="1"/>
  <c r="D7" i="11"/>
  <c r="E7" i="11"/>
  <c r="C21" i="6"/>
  <c r="H14" i="7"/>
  <c r="B21" i="7" s="1"/>
  <c r="E6" i="20" s="1"/>
  <c r="F6" i="20" s="1"/>
  <c r="G6" i="20" s="1"/>
  <c r="E14" i="7"/>
  <c r="E31" i="20"/>
  <c r="F31" i="20" s="1"/>
  <c r="G31" i="20" s="1"/>
  <c r="N24" i="11"/>
  <c r="E32" i="20" s="1"/>
  <c r="F32" i="20" s="1"/>
  <c r="G32" i="20" s="1"/>
  <c r="I24" i="11"/>
  <c r="J24" i="11" s="1"/>
  <c r="D76" i="14"/>
  <c r="B93" i="16"/>
  <c r="B84" i="16"/>
  <c r="B91" i="16" s="1"/>
  <c r="B95" i="16"/>
  <c r="B86" i="16"/>
  <c r="B85" i="16"/>
  <c r="H66" i="16"/>
  <c r="H62" i="16"/>
  <c r="H58" i="16"/>
  <c r="H54" i="16"/>
  <c r="H50" i="16"/>
  <c r="H46" i="16"/>
  <c r="H40" i="16"/>
  <c r="H32" i="16"/>
  <c r="H24" i="16"/>
  <c r="H16" i="16"/>
  <c r="H8" i="16"/>
  <c r="H41" i="16"/>
  <c r="H33" i="16"/>
  <c r="H25" i="16"/>
  <c r="H17" i="16"/>
  <c r="H9" i="16"/>
  <c r="H67" i="16"/>
  <c r="H63" i="16"/>
  <c r="H59" i="16"/>
  <c r="H55" i="16"/>
  <c r="H51" i="16"/>
  <c r="H47" i="16"/>
  <c r="H42" i="16"/>
  <c r="H34" i="16"/>
  <c r="H26" i="16"/>
  <c r="H18" i="16"/>
  <c r="H10" i="16"/>
  <c r="H43" i="16"/>
  <c r="H35" i="16"/>
  <c r="H27" i="16"/>
  <c r="H19" i="16"/>
  <c r="H11" i="16"/>
  <c r="H68" i="16"/>
  <c r="H64" i="16"/>
  <c r="H60" i="16"/>
  <c r="H56" i="16"/>
  <c r="H52" i="16"/>
  <c r="H48" i="16"/>
  <c r="H44" i="16"/>
  <c r="H28" i="16"/>
  <c r="H12" i="16"/>
  <c r="H38" i="16"/>
  <c r="H31" i="16"/>
  <c r="H29" i="16"/>
  <c r="H22" i="16"/>
  <c r="H15" i="16"/>
  <c r="H13" i="16"/>
  <c r="H6" i="16"/>
  <c r="H69" i="16"/>
  <c r="H65" i="16"/>
  <c r="H61" i="16"/>
  <c r="H57" i="16"/>
  <c r="H53" i="16"/>
  <c r="H49" i="16"/>
  <c r="H45" i="16"/>
  <c r="H36" i="16"/>
  <c r="H20" i="16"/>
  <c r="H39" i="16"/>
  <c r="H37" i="16"/>
  <c r="H30" i="16"/>
  <c r="H23" i="16"/>
  <c r="H21" i="16"/>
  <c r="H14" i="16"/>
  <c r="H7" i="16"/>
  <c r="H5" i="16"/>
  <c r="E9" i="11"/>
  <c r="D9" i="11"/>
  <c r="E67" i="20"/>
  <c r="F67" i="20" s="1"/>
  <c r="G67" i="20" s="1"/>
  <c r="H10" i="19"/>
  <c r="I10" i="19" s="1"/>
  <c r="E5" i="20" l="1"/>
  <c r="F5" i="20" s="1"/>
  <c r="G5" i="20" s="1"/>
  <c r="B24" i="7"/>
  <c r="E10" i="20" s="1"/>
  <c r="F10" i="20" s="1"/>
  <c r="G10" i="20" s="1"/>
  <c r="B84" i="14"/>
  <c r="D84" i="14" s="1"/>
  <c r="E84" i="14" s="1"/>
  <c r="E57" i="20" s="1"/>
  <c r="F57" i="20" s="1"/>
  <c r="G57" i="20" s="1"/>
  <c r="B33" i="8"/>
  <c r="B31" i="8"/>
  <c r="B30" i="8"/>
  <c r="B36" i="8" s="1"/>
  <c r="E51" i="20" s="1"/>
  <c r="F51" i="20" s="1"/>
  <c r="G51" i="20" s="1"/>
  <c r="L5" i="8"/>
  <c r="L19" i="8"/>
  <c r="B94" i="17"/>
  <c r="B95" i="17"/>
  <c r="B93" i="17"/>
  <c r="B92" i="17"/>
  <c r="B93" i="18"/>
  <c r="B92" i="18"/>
  <c r="B95" i="18"/>
  <c r="B94" i="18"/>
  <c r="L17" i="8"/>
  <c r="L16" i="8"/>
  <c r="H15" i="7"/>
  <c r="E15" i="7"/>
  <c r="F15" i="7" s="1"/>
  <c r="G15" i="7" s="1"/>
  <c r="B16" i="7"/>
  <c r="E16" i="7" s="1"/>
  <c r="F13" i="7" s="1"/>
  <c r="G13" i="7" s="1"/>
  <c r="L18" i="8"/>
  <c r="L8" i="8"/>
  <c r="K24" i="11"/>
  <c r="L24" i="11" s="1"/>
  <c r="M24" i="11" s="1"/>
  <c r="O24" i="11" s="1"/>
  <c r="D10" i="11"/>
  <c r="B13" i="11" s="1"/>
  <c r="L15" i="8"/>
  <c r="F14" i="7"/>
  <c r="G14" i="7" s="1"/>
  <c r="B90" i="16"/>
  <c r="K25" i="11"/>
  <c r="L25" i="11" s="1"/>
  <c r="M25" i="11" s="1"/>
  <c r="O25" i="11" s="1"/>
  <c r="L6" i="8"/>
  <c r="L14" i="8"/>
  <c r="K26" i="11"/>
  <c r="L26" i="11" s="1"/>
  <c r="M26" i="11" s="1"/>
  <c r="O26" i="11" s="1"/>
  <c r="B89" i="16"/>
  <c r="L9" i="8"/>
  <c r="L12" i="8"/>
  <c r="L13" i="8"/>
  <c r="L11" i="8"/>
  <c r="L7" i="8"/>
  <c r="L10" i="8"/>
  <c r="C85" i="14"/>
  <c r="B83" i="14"/>
  <c r="B9" i="9"/>
  <c r="B13" i="9" s="1"/>
  <c r="B32" i="8" l="1"/>
  <c r="B34" i="8" s="1"/>
  <c r="B15" i="9"/>
  <c r="B14" i="9"/>
  <c r="B16" i="9" s="1"/>
  <c r="E11" i="20" s="1"/>
  <c r="F11" i="20" s="1"/>
  <c r="G11" i="20" s="1"/>
  <c r="G69" i="17"/>
  <c r="H69" i="17" s="1"/>
  <c r="J69" i="17" s="1"/>
  <c r="G61" i="17"/>
  <c r="H61" i="17" s="1"/>
  <c r="J61" i="17" s="1"/>
  <c r="G53" i="17"/>
  <c r="H53" i="17" s="1"/>
  <c r="J53" i="17" s="1"/>
  <c r="G45" i="17"/>
  <c r="H45" i="17" s="1"/>
  <c r="J45" i="17" s="1"/>
  <c r="G37" i="17"/>
  <c r="H37" i="17" s="1"/>
  <c r="J37" i="17" s="1"/>
  <c r="G29" i="17"/>
  <c r="H29" i="17" s="1"/>
  <c r="J29" i="17" s="1"/>
  <c r="G68" i="17"/>
  <c r="H68" i="17" s="1"/>
  <c r="J68" i="17" s="1"/>
  <c r="G60" i="17"/>
  <c r="H60" i="17" s="1"/>
  <c r="J60" i="17" s="1"/>
  <c r="G52" i="17"/>
  <c r="H52" i="17" s="1"/>
  <c r="J52" i="17" s="1"/>
  <c r="G44" i="17"/>
  <c r="H44" i="17" s="1"/>
  <c r="J44" i="17" s="1"/>
  <c r="G36" i="17"/>
  <c r="H36" i="17" s="1"/>
  <c r="J36" i="17" s="1"/>
  <c r="G28" i="17"/>
  <c r="H28" i="17" s="1"/>
  <c r="J28" i="17" s="1"/>
  <c r="G20" i="17"/>
  <c r="H20" i="17" s="1"/>
  <c r="J20" i="17" s="1"/>
  <c r="G12" i="17"/>
  <c r="H12" i="17" s="1"/>
  <c r="J12" i="17" s="1"/>
  <c r="G67" i="17"/>
  <c r="H67" i="17" s="1"/>
  <c r="J67" i="17" s="1"/>
  <c r="G64" i="17"/>
  <c r="H64" i="17" s="1"/>
  <c r="J64" i="17" s="1"/>
  <c r="G54" i="17"/>
  <c r="H54" i="17" s="1"/>
  <c r="J54" i="17" s="1"/>
  <c r="G35" i="17"/>
  <c r="H35" i="17" s="1"/>
  <c r="J35" i="17" s="1"/>
  <c r="G32" i="17"/>
  <c r="H32" i="17" s="1"/>
  <c r="J32" i="17" s="1"/>
  <c r="G23" i="17"/>
  <c r="H23" i="17" s="1"/>
  <c r="J23" i="17" s="1"/>
  <c r="G6" i="17"/>
  <c r="H6" i="17" s="1"/>
  <c r="J6" i="17" s="1"/>
  <c r="G63" i="17"/>
  <c r="H63" i="17" s="1"/>
  <c r="J63" i="17" s="1"/>
  <c r="G42" i="17"/>
  <c r="H42" i="17" s="1"/>
  <c r="J42" i="17" s="1"/>
  <c r="G41" i="17"/>
  <c r="H41" i="17" s="1"/>
  <c r="J41" i="17" s="1"/>
  <c r="G31" i="17"/>
  <c r="H31" i="17" s="1"/>
  <c r="J31" i="17" s="1"/>
  <c r="G22" i="17"/>
  <c r="H22" i="17" s="1"/>
  <c r="J22" i="17" s="1"/>
  <c r="G19" i="17"/>
  <c r="H19" i="17" s="1"/>
  <c r="J19" i="17" s="1"/>
  <c r="G18" i="17"/>
  <c r="H18" i="17" s="1"/>
  <c r="J18" i="17" s="1"/>
  <c r="G17" i="17"/>
  <c r="H17" i="17" s="1"/>
  <c r="J17" i="17" s="1"/>
  <c r="G5" i="17"/>
  <c r="H5" i="17" s="1"/>
  <c r="G62" i="17"/>
  <c r="H62" i="17" s="1"/>
  <c r="J62" i="17" s="1"/>
  <c r="G50" i="17"/>
  <c r="H50" i="17" s="1"/>
  <c r="J50" i="17" s="1"/>
  <c r="G49" i="17"/>
  <c r="H49" i="17" s="1"/>
  <c r="J49" i="17" s="1"/>
  <c r="G39" i="17"/>
  <c r="H39" i="17" s="1"/>
  <c r="J39" i="17" s="1"/>
  <c r="G15" i="17"/>
  <c r="H15" i="17" s="1"/>
  <c r="J15" i="17" s="1"/>
  <c r="G66" i="17"/>
  <c r="H66" i="17" s="1"/>
  <c r="J66" i="17" s="1"/>
  <c r="G57" i="17"/>
  <c r="H57" i="17" s="1"/>
  <c r="J57" i="17" s="1"/>
  <c r="G56" i="17"/>
  <c r="H56" i="17" s="1"/>
  <c r="J56" i="17" s="1"/>
  <c r="G38" i="17"/>
  <c r="H38" i="17" s="1"/>
  <c r="J38" i="17" s="1"/>
  <c r="G30" i="17"/>
  <c r="H30" i="17" s="1"/>
  <c r="J30" i="17" s="1"/>
  <c r="G14" i="17"/>
  <c r="H14" i="17" s="1"/>
  <c r="J14" i="17" s="1"/>
  <c r="G13" i="17"/>
  <c r="H13" i="17" s="1"/>
  <c r="J13" i="17" s="1"/>
  <c r="G58" i="17"/>
  <c r="H58" i="17" s="1"/>
  <c r="J58" i="17" s="1"/>
  <c r="G55" i="17"/>
  <c r="H55" i="17" s="1"/>
  <c r="J55" i="17" s="1"/>
  <c r="G27" i="17"/>
  <c r="H27" i="17" s="1"/>
  <c r="J27" i="17" s="1"/>
  <c r="G26" i="17"/>
  <c r="H26" i="17" s="1"/>
  <c r="J26" i="17" s="1"/>
  <c r="G25" i="17"/>
  <c r="H25" i="17" s="1"/>
  <c r="J25" i="17" s="1"/>
  <c r="G59" i="17"/>
  <c r="H59" i="17" s="1"/>
  <c r="J59" i="17" s="1"/>
  <c r="G47" i="17"/>
  <c r="H47" i="17" s="1"/>
  <c r="J47" i="17" s="1"/>
  <c r="G46" i="17"/>
  <c r="H46" i="17" s="1"/>
  <c r="J46" i="17" s="1"/>
  <c r="G24" i="17"/>
  <c r="H24" i="17" s="1"/>
  <c r="J24" i="17" s="1"/>
  <c r="G51" i="17"/>
  <c r="H51" i="17" s="1"/>
  <c r="J51" i="17" s="1"/>
  <c r="G48" i="17"/>
  <c r="H48" i="17" s="1"/>
  <c r="J48" i="17" s="1"/>
  <c r="G43" i="17"/>
  <c r="H43" i="17" s="1"/>
  <c r="J43" i="17" s="1"/>
  <c r="G10" i="17"/>
  <c r="H10" i="17" s="1"/>
  <c r="J10" i="17" s="1"/>
  <c r="G65" i="17"/>
  <c r="H65" i="17" s="1"/>
  <c r="J65" i="17" s="1"/>
  <c r="G40" i="17"/>
  <c r="H40" i="17" s="1"/>
  <c r="J40" i="17" s="1"/>
  <c r="G11" i="17"/>
  <c r="H11" i="17" s="1"/>
  <c r="J11" i="17" s="1"/>
  <c r="G33" i="17"/>
  <c r="H33" i="17" s="1"/>
  <c r="J33" i="17" s="1"/>
  <c r="G7" i="17"/>
  <c r="H7" i="17" s="1"/>
  <c r="J7" i="17" s="1"/>
  <c r="G8" i="17"/>
  <c r="H8" i="17" s="1"/>
  <c r="J8" i="17" s="1"/>
  <c r="G21" i="17"/>
  <c r="H21" i="17" s="1"/>
  <c r="J21" i="17" s="1"/>
  <c r="G34" i="17"/>
  <c r="H34" i="17" s="1"/>
  <c r="J34" i="17" s="1"/>
  <c r="G16" i="17"/>
  <c r="H16" i="17" s="1"/>
  <c r="J16" i="17" s="1"/>
  <c r="G9" i="17"/>
  <c r="H9" i="17" s="1"/>
  <c r="J9" i="17" s="1"/>
  <c r="F38" i="16"/>
  <c r="G38" i="16" s="1"/>
  <c r="I38" i="16" s="1"/>
  <c r="F30" i="16"/>
  <c r="G30" i="16" s="1"/>
  <c r="I30" i="16" s="1"/>
  <c r="F22" i="16"/>
  <c r="G22" i="16" s="1"/>
  <c r="I22" i="16" s="1"/>
  <c r="F14" i="16"/>
  <c r="G14" i="16" s="1"/>
  <c r="I14" i="16" s="1"/>
  <c r="F6" i="16"/>
  <c r="G6" i="16" s="1"/>
  <c r="I6" i="16" s="1"/>
  <c r="F66" i="16"/>
  <c r="G66" i="16" s="1"/>
  <c r="I66" i="16" s="1"/>
  <c r="F62" i="16"/>
  <c r="G62" i="16" s="1"/>
  <c r="I62" i="16" s="1"/>
  <c r="F58" i="16"/>
  <c r="G58" i="16" s="1"/>
  <c r="I58" i="16" s="1"/>
  <c r="F54" i="16"/>
  <c r="G54" i="16" s="1"/>
  <c r="I54" i="16" s="1"/>
  <c r="F50" i="16"/>
  <c r="G50" i="16" s="1"/>
  <c r="I50" i="16" s="1"/>
  <c r="F46" i="16"/>
  <c r="G46" i="16" s="1"/>
  <c r="I46" i="16" s="1"/>
  <c r="F39" i="16"/>
  <c r="G39" i="16" s="1"/>
  <c r="I39" i="16" s="1"/>
  <c r="F31" i="16"/>
  <c r="G31" i="16" s="1"/>
  <c r="I31" i="16" s="1"/>
  <c r="F23" i="16"/>
  <c r="G23" i="16" s="1"/>
  <c r="I23" i="16" s="1"/>
  <c r="F15" i="16"/>
  <c r="G15" i="16" s="1"/>
  <c r="I15" i="16" s="1"/>
  <c r="F7" i="16"/>
  <c r="G7" i="16" s="1"/>
  <c r="I7" i="16" s="1"/>
  <c r="F40" i="16"/>
  <c r="G40" i="16" s="1"/>
  <c r="I40" i="16" s="1"/>
  <c r="F32" i="16"/>
  <c r="G32" i="16" s="1"/>
  <c r="I32" i="16" s="1"/>
  <c r="F24" i="16"/>
  <c r="G24" i="16" s="1"/>
  <c r="I24" i="16" s="1"/>
  <c r="F16" i="16"/>
  <c r="G16" i="16" s="1"/>
  <c r="I16" i="16" s="1"/>
  <c r="F8" i="16"/>
  <c r="G8" i="16" s="1"/>
  <c r="I8" i="16" s="1"/>
  <c r="F67" i="16"/>
  <c r="G67" i="16" s="1"/>
  <c r="I67" i="16" s="1"/>
  <c r="F63" i="16"/>
  <c r="G63" i="16" s="1"/>
  <c r="I63" i="16" s="1"/>
  <c r="F59" i="16"/>
  <c r="G59" i="16" s="1"/>
  <c r="I59" i="16" s="1"/>
  <c r="F55" i="16"/>
  <c r="G55" i="16" s="1"/>
  <c r="I55" i="16" s="1"/>
  <c r="F51" i="16"/>
  <c r="G51" i="16" s="1"/>
  <c r="I51" i="16" s="1"/>
  <c r="F47" i="16"/>
  <c r="G47" i="16" s="1"/>
  <c r="I47" i="16" s="1"/>
  <c r="F41" i="16"/>
  <c r="G41" i="16" s="1"/>
  <c r="I41" i="16" s="1"/>
  <c r="F33" i="16"/>
  <c r="G33" i="16" s="1"/>
  <c r="I33" i="16" s="1"/>
  <c r="F25" i="16"/>
  <c r="G25" i="16" s="1"/>
  <c r="I25" i="16" s="1"/>
  <c r="F17" i="16"/>
  <c r="G17" i="16" s="1"/>
  <c r="I17" i="16" s="1"/>
  <c r="F9" i="16"/>
  <c r="G9" i="16" s="1"/>
  <c r="I9" i="16" s="1"/>
  <c r="F68" i="16"/>
  <c r="G68" i="16" s="1"/>
  <c r="I68" i="16" s="1"/>
  <c r="F64" i="16"/>
  <c r="G64" i="16" s="1"/>
  <c r="I64" i="16" s="1"/>
  <c r="F60" i="16"/>
  <c r="G60" i="16" s="1"/>
  <c r="I60" i="16" s="1"/>
  <c r="F56" i="16"/>
  <c r="G56" i="16" s="1"/>
  <c r="I56" i="16" s="1"/>
  <c r="F52" i="16"/>
  <c r="G52" i="16" s="1"/>
  <c r="I52" i="16" s="1"/>
  <c r="F48" i="16"/>
  <c r="G48" i="16" s="1"/>
  <c r="I48" i="16" s="1"/>
  <c r="F37" i="16"/>
  <c r="G37" i="16" s="1"/>
  <c r="I37" i="16" s="1"/>
  <c r="F21" i="16"/>
  <c r="G21" i="16" s="1"/>
  <c r="I21" i="16" s="1"/>
  <c r="F5" i="16"/>
  <c r="G5" i="16" s="1"/>
  <c r="F44" i="16"/>
  <c r="G44" i="16" s="1"/>
  <c r="I44" i="16" s="1"/>
  <c r="F28" i="16"/>
  <c r="G28" i="16" s="1"/>
  <c r="I28" i="16" s="1"/>
  <c r="F12" i="16"/>
  <c r="G12" i="16" s="1"/>
  <c r="I12" i="16" s="1"/>
  <c r="F42" i="16"/>
  <c r="G42" i="16" s="1"/>
  <c r="I42" i="16" s="1"/>
  <c r="F35" i="16"/>
  <c r="G35" i="16" s="1"/>
  <c r="I35" i="16" s="1"/>
  <c r="F26" i="16"/>
  <c r="G26" i="16" s="1"/>
  <c r="I26" i="16" s="1"/>
  <c r="F19" i="16"/>
  <c r="G19" i="16" s="1"/>
  <c r="I19" i="16" s="1"/>
  <c r="F10" i="16"/>
  <c r="G10" i="16" s="1"/>
  <c r="I10" i="16" s="1"/>
  <c r="F69" i="16"/>
  <c r="G69" i="16" s="1"/>
  <c r="I69" i="16" s="1"/>
  <c r="F65" i="16"/>
  <c r="G65" i="16" s="1"/>
  <c r="I65" i="16" s="1"/>
  <c r="F61" i="16"/>
  <c r="G61" i="16" s="1"/>
  <c r="I61" i="16" s="1"/>
  <c r="F57" i="16"/>
  <c r="G57" i="16" s="1"/>
  <c r="I57" i="16" s="1"/>
  <c r="F53" i="16"/>
  <c r="G53" i="16" s="1"/>
  <c r="I53" i="16" s="1"/>
  <c r="F49" i="16"/>
  <c r="G49" i="16" s="1"/>
  <c r="I49" i="16" s="1"/>
  <c r="F45" i="16"/>
  <c r="G45" i="16" s="1"/>
  <c r="I45" i="16" s="1"/>
  <c r="F29" i="16"/>
  <c r="G29" i="16" s="1"/>
  <c r="I29" i="16" s="1"/>
  <c r="F13" i="16"/>
  <c r="G13" i="16" s="1"/>
  <c r="I13" i="16" s="1"/>
  <c r="F36" i="16"/>
  <c r="G36" i="16" s="1"/>
  <c r="I36" i="16" s="1"/>
  <c r="F20" i="16"/>
  <c r="G20" i="16" s="1"/>
  <c r="I20" i="16" s="1"/>
  <c r="F43" i="16"/>
  <c r="G43" i="16" s="1"/>
  <c r="I43" i="16" s="1"/>
  <c r="F34" i="16"/>
  <c r="G34" i="16" s="1"/>
  <c r="I34" i="16" s="1"/>
  <c r="F27" i="16"/>
  <c r="G27" i="16" s="1"/>
  <c r="I27" i="16" s="1"/>
  <c r="F18" i="16"/>
  <c r="G18" i="16" s="1"/>
  <c r="I18" i="16" s="1"/>
  <c r="F11" i="16"/>
  <c r="G11" i="16" s="1"/>
  <c r="I11" i="16" s="1"/>
  <c r="B22" i="7"/>
  <c r="E7" i="20" s="1"/>
  <c r="F7" i="20" s="1"/>
  <c r="G7" i="20" s="1"/>
  <c r="B23" i="7"/>
  <c r="E8" i="20" s="1"/>
  <c r="F8" i="20" s="1"/>
  <c r="G8" i="20" s="1"/>
  <c r="D83" i="14"/>
  <c r="B85" i="14"/>
  <c r="E30" i="20"/>
  <c r="F30" i="20" s="1"/>
  <c r="G30" i="20" s="1"/>
  <c r="B15" i="11"/>
  <c r="B16" i="11"/>
  <c r="G69" i="18"/>
  <c r="H69" i="18" s="1"/>
  <c r="J69" i="18" s="1"/>
  <c r="G61" i="18"/>
  <c r="H61" i="18" s="1"/>
  <c r="J61" i="18" s="1"/>
  <c r="G53" i="18"/>
  <c r="H53" i="18" s="1"/>
  <c r="J53" i="18" s="1"/>
  <c r="G45" i="18"/>
  <c r="H45" i="18" s="1"/>
  <c r="J45" i="18" s="1"/>
  <c r="G37" i="18"/>
  <c r="H37" i="18" s="1"/>
  <c r="J37" i="18" s="1"/>
  <c r="G29" i="18"/>
  <c r="H29" i="18" s="1"/>
  <c r="J29" i="18" s="1"/>
  <c r="G21" i="18"/>
  <c r="H21" i="18" s="1"/>
  <c r="J21" i="18" s="1"/>
  <c r="G13" i="18"/>
  <c r="H13" i="18" s="1"/>
  <c r="J13" i="18" s="1"/>
  <c r="G5" i="18"/>
  <c r="H5" i="18" s="1"/>
  <c r="G64" i="18"/>
  <c r="H64" i="18" s="1"/>
  <c r="J64" i="18" s="1"/>
  <c r="G56" i="18"/>
  <c r="H56" i="18" s="1"/>
  <c r="J56" i="18" s="1"/>
  <c r="G48" i="18"/>
  <c r="H48" i="18" s="1"/>
  <c r="J48" i="18" s="1"/>
  <c r="G40" i="18"/>
  <c r="H40" i="18" s="1"/>
  <c r="J40" i="18" s="1"/>
  <c r="G32" i="18"/>
  <c r="H32" i="18" s="1"/>
  <c r="J32" i="18" s="1"/>
  <c r="G24" i="18"/>
  <c r="H24" i="18" s="1"/>
  <c r="J24" i="18" s="1"/>
  <c r="G16" i="18"/>
  <c r="H16" i="18" s="1"/>
  <c r="J16" i="18" s="1"/>
  <c r="G8" i="18"/>
  <c r="H8" i="18" s="1"/>
  <c r="J8" i="18" s="1"/>
  <c r="G63" i="18"/>
  <c r="H63" i="18" s="1"/>
  <c r="J63" i="18" s="1"/>
  <c r="G55" i="18"/>
  <c r="H55" i="18" s="1"/>
  <c r="J55" i="18" s="1"/>
  <c r="G47" i="18"/>
  <c r="H47" i="18" s="1"/>
  <c r="J47" i="18" s="1"/>
  <c r="G39" i="18"/>
  <c r="H39" i="18" s="1"/>
  <c r="J39" i="18" s="1"/>
  <c r="G31" i="18"/>
  <c r="H31" i="18" s="1"/>
  <c r="J31" i="18" s="1"/>
  <c r="G23" i="18"/>
  <c r="H23" i="18" s="1"/>
  <c r="J23" i="18" s="1"/>
  <c r="G15" i="18"/>
  <c r="H15" i="18" s="1"/>
  <c r="J15" i="18" s="1"/>
  <c r="G7" i="18"/>
  <c r="H7" i="18" s="1"/>
  <c r="J7" i="18" s="1"/>
  <c r="G62" i="18"/>
  <c r="H62" i="18" s="1"/>
  <c r="J62" i="18" s="1"/>
  <c r="G54" i="18"/>
  <c r="H54" i="18" s="1"/>
  <c r="J54" i="18" s="1"/>
  <c r="G46" i="18"/>
  <c r="H46" i="18" s="1"/>
  <c r="J46" i="18" s="1"/>
  <c r="G38" i="18"/>
  <c r="H38" i="18" s="1"/>
  <c r="J38" i="18" s="1"/>
  <c r="G30" i="18"/>
  <c r="H30" i="18" s="1"/>
  <c r="J30" i="18" s="1"/>
  <c r="G22" i="18"/>
  <c r="H22" i="18" s="1"/>
  <c r="J22" i="18" s="1"/>
  <c r="G14" i="18"/>
  <c r="H14" i="18" s="1"/>
  <c r="J14" i="18" s="1"/>
  <c r="G6" i="18"/>
  <c r="H6" i="18" s="1"/>
  <c r="J6" i="18" s="1"/>
  <c r="G67" i="18"/>
  <c r="H67" i="18" s="1"/>
  <c r="J67" i="18" s="1"/>
  <c r="G66" i="18"/>
  <c r="H66" i="18" s="1"/>
  <c r="J66" i="18" s="1"/>
  <c r="G51" i="18"/>
  <c r="H51" i="18" s="1"/>
  <c r="J51" i="18" s="1"/>
  <c r="G50" i="18"/>
  <c r="H50" i="18" s="1"/>
  <c r="J50" i="18" s="1"/>
  <c r="G35" i="18"/>
  <c r="H35" i="18" s="1"/>
  <c r="J35" i="18" s="1"/>
  <c r="G34" i="18"/>
  <c r="H34" i="18" s="1"/>
  <c r="J34" i="18" s="1"/>
  <c r="G19" i="18"/>
  <c r="H19" i="18" s="1"/>
  <c r="J19" i="18" s="1"/>
  <c r="G18" i="18"/>
  <c r="H18" i="18" s="1"/>
  <c r="J18" i="18" s="1"/>
  <c r="G68" i="18"/>
  <c r="H68" i="18" s="1"/>
  <c r="J68" i="18" s="1"/>
  <c r="G49" i="18"/>
  <c r="H49" i="18" s="1"/>
  <c r="J49" i="18" s="1"/>
  <c r="G43" i="18"/>
  <c r="H43" i="18" s="1"/>
  <c r="J43" i="18" s="1"/>
  <c r="G42" i="18"/>
  <c r="H42" i="18" s="1"/>
  <c r="J42" i="18" s="1"/>
  <c r="G44" i="18"/>
  <c r="H44" i="18" s="1"/>
  <c r="J44" i="18" s="1"/>
  <c r="G41" i="18"/>
  <c r="H41" i="18" s="1"/>
  <c r="J41" i="18" s="1"/>
  <c r="G65" i="18"/>
  <c r="H65" i="18" s="1"/>
  <c r="J65" i="18" s="1"/>
  <c r="G59" i="18"/>
  <c r="H59" i="18" s="1"/>
  <c r="J59" i="18" s="1"/>
  <c r="G58" i="18"/>
  <c r="H58" i="18" s="1"/>
  <c r="J58" i="18" s="1"/>
  <c r="G20" i="18"/>
  <c r="H20" i="18" s="1"/>
  <c r="J20" i="18" s="1"/>
  <c r="G60" i="18"/>
  <c r="H60" i="18" s="1"/>
  <c r="J60" i="18" s="1"/>
  <c r="G57" i="18"/>
  <c r="H57" i="18" s="1"/>
  <c r="J57" i="18" s="1"/>
  <c r="G25" i="18"/>
  <c r="H25" i="18" s="1"/>
  <c r="J25" i="18" s="1"/>
  <c r="G17" i="18"/>
  <c r="H17" i="18" s="1"/>
  <c r="J17" i="18" s="1"/>
  <c r="G12" i="18"/>
  <c r="H12" i="18" s="1"/>
  <c r="J12" i="18" s="1"/>
  <c r="G28" i="18"/>
  <c r="H28" i="18" s="1"/>
  <c r="J28" i="18" s="1"/>
  <c r="G36" i="18"/>
  <c r="H36" i="18" s="1"/>
  <c r="J36" i="18" s="1"/>
  <c r="G33" i="18"/>
  <c r="H33" i="18" s="1"/>
  <c r="J33" i="18" s="1"/>
  <c r="G9" i="18"/>
  <c r="H9" i="18" s="1"/>
  <c r="J9" i="18" s="1"/>
  <c r="G27" i="18"/>
  <c r="H27" i="18" s="1"/>
  <c r="J27" i="18" s="1"/>
  <c r="G52" i="18"/>
  <c r="H52" i="18" s="1"/>
  <c r="J52" i="18" s="1"/>
  <c r="G10" i="18"/>
  <c r="H10" i="18" s="1"/>
  <c r="J10" i="18" s="1"/>
  <c r="G11" i="18"/>
  <c r="H11" i="18" s="1"/>
  <c r="J11" i="18" s="1"/>
  <c r="G26" i="18"/>
  <c r="H26" i="18" s="1"/>
  <c r="J26" i="18" s="1"/>
  <c r="I5" i="16" l="1"/>
  <c r="B101" i="16" s="1"/>
  <c r="B102" i="16" s="1"/>
  <c r="E66" i="20" s="1"/>
  <c r="F66" i="20" s="1"/>
  <c r="G66" i="20" s="1"/>
  <c r="B96" i="16"/>
  <c r="B97" i="16" s="1"/>
  <c r="B100" i="17"/>
  <c r="B101" i="17" s="1"/>
  <c r="J5" i="17"/>
  <c r="B105" i="17" s="1"/>
  <c r="B106" i="17" s="1"/>
  <c r="E74" i="20" s="1"/>
  <c r="F74" i="20" s="1"/>
  <c r="G74" i="20" s="1"/>
  <c r="J5" i="18"/>
  <c r="B105" i="18" s="1"/>
  <c r="B106" i="18" s="1"/>
  <c r="E76" i="20" s="1"/>
  <c r="F76" i="20" s="1"/>
  <c r="G76" i="20" s="1"/>
  <c r="B100" i="18"/>
  <c r="B101" i="18" s="1"/>
  <c r="D85" i="14"/>
  <c r="E83" i="14"/>
  <c r="E56" i="20" s="1"/>
  <c r="F56" i="20" s="1"/>
  <c r="G56" i="20" s="1"/>
  <c r="B37" i="8"/>
  <c r="E72" i="20" l="1"/>
  <c r="F72" i="20" s="1"/>
  <c r="G72" i="20" s="1"/>
  <c r="B103" i="17"/>
  <c r="B104" i="17" s="1"/>
  <c r="B102" i="17"/>
  <c r="E73" i="20" s="1"/>
  <c r="F73" i="20" s="1"/>
  <c r="G73" i="20" s="1"/>
  <c r="B98" i="16"/>
  <c r="E64" i="20" s="1"/>
  <c r="F64" i="20" s="1"/>
  <c r="G64" i="20" s="1"/>
  <c r="B99" i="16"/>
  <c r="E63" i="20"/>
  <c r="F63" i="20" s="1"/>
  <c r="G63" i="20" s="1"/>
  <c r="E49" i="20"/>
  <c r="F49" i="20" s="1"/>
  <c r="G49" i="20" s="1"/>
  <c r="B38" i="8"/>
  <c r="B39" i="8" s="1"/>
  <c r="C90" i="14"/>
  <c r="B90" i="14"/>
  <c r="B89" i="14"/>
  <c r="C89" i="14"/>
  <c r="B103" i="18"/>
  <c r="B104" i="18" s="1"/>
  <c r="E75" i="20"/>
  <c r="F75" i="20" s="1"/>
  <c r="G75" i="20" s="1"/>
  <c r="B102" i="18"/>
  <c r="E65" i="20" l="1"/>
  <c r="F65" i="20" s="1"/>
  <c r="G65" i="20" s="1"/>
  <c r="B100" i="16"/>
  <c r="B92" i="14"/>
  <c r="E54" i="20" l="1"/>
  <c r="F54" i="20" s="1"/>
  <c r="G54" i="20" s="1"/>
  <c r="B94" i="14"/>
  <c r="E55" i="20" s="1"/>
  <c r="F55" i="20" s="1"/>
  <c r="G55" i="20" s="1"/>
  <c r="B90" i="20" l="1"/>
  <c r="B89" i="20"/>
  <c r="B91" i="20"/>
  <c r="B37" i="1" s="1"/>
  <c r="B92" i="20" l="1"/>
  <c r="B36" i="1" s="1"/>
</calcChain>
</file>

<file path=xl/sharedStrings.xml><?xml version="1.0" encoding="utf-8"?>
<sst xmlns="http://schemas.openxmlformats.org/spreadsheetml/2006/main" count="4168" uniqueCount="745">
  <si>
    <r>
      <rPr>
        <b/>
        <sz val="14"/>
        <rFont val="Arial"/>
        <family val="2"/>
      </rPr>
      <t xml:space="preserve">KIIT </t>
    </r>
    <r>
      <rPr>
        <b/>
        <sz val="14"/>
        <rFont val="Noto Sans CJK SC"/>
        <family val="2"/>
      </rPr>
      <t>논문 통계 재현 워크북</t>
    </r>
  </si>
  <si>
    <r>
      <rPr>
        <i/>
        <sz val="9"/>
        <color rgb="FF555555"/>
        <rFont val="Noto Sans CJK SC"/>
        <family val="2"/>
      </rPr>
      <t xml:space="preserve">논문에 보고된 모든 통계량을 원자료 </t>
    </r>
    <r>
      <rPr>
        <i/>
        <sz val="9"/>
        <color rgb="FF555555"/>
        <rFont val="Arial"/>
        <family val="2"/>
      </rPr>
      <t>975</t>
    </r>
    <r>
      <rPr>
        <i/>
        <sz val="9"/>
        <color rgb="FF555555"/>
        <rFont val="Noto Sans CJK SC"/>
        <family val="2"/>
      </rPr>
      <t>개 평가쌍에서 엑셀 수식으로 재계산한다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모든 결과 셀은 하드코딩이 아니라 수식이며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입력값을 바꾸면 전체가 다시 계산된다</t>
    </r>
    <r>
      <rPr>
        <i/>
        <sz val="9"/>
        <color rgb="FF555555"/>
        <rFont val="Arial"/>
        <family val="2"/>
      </rPr>
      <t>.</t>
    </r>
  </si>
  <si>
    <t>데이터 규모</t>
  </si>
  <si>
    <t>평가쌍</t>
  </si>
  <si>
    <r>
      <rPr>
        <sz val="10"/>
        <rFont val="Arial"/>
        <family val="2"/>
      </rPr>
      <t xml:space="preserve">975 = </t>
    </r>
    <r>
      <rPr>
        <sz val="10"/>
        <rFont val="Noto Sans CJK SC"/>
        <family val="2"/>
      </rPr>
      <t xml:space="preserve">레퍼런스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 xml:space="preserve">로컬 모델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 xml:space="preserve">문서 </t>
    </r>
    <r>
      <rPr>
        <sz val="10"/>
        <rFont val="Arial"/>
        <family val="2"/>
      </rPr>
      <t>65</t>
    </r>
    <r>
      <rPr>
        <sz val="10"/>
        <rFont val="Noto Sans CJK SC"/>
        <family val="2"/>
      </rPr>
      <t>건</t>
    </r>
  </si>
  <si>
    <r>
      <rPr>
        <b/>
        <sz val="10"/>
        <rFont val="Arial"/>
        <family val="2"/>
      </rPr>
      <t xml:space="preserve">ADR </t>
    </r>
    <r>
      <rPr>
        <b/>
        <sz val="10"/>
        <rFont val="Noto Sans CJK SC"/>
        <family val="2"/>
      </rPr>
      <t>원문</t>
    </r>
  </si>
  <si>
    <r>
      <rPr>
        <sz val="10"/>
        <rFont val="Arial"/>
        <family val="2"/>
      </rPr>
      <t>520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>= 8</t>
    </r>
    <r>
      <rPr>
        <sz val="10"/>
        <rFont val="Noto Sans CJK SC"/>
        <family val="2"/>
      </rPr>
      <t xml:space="preserve">개 모델 </t>
    </r>
    <r>
      <rPr>
        <sz val="10"/>
        <rFont val="Arial"/>
        <family val="2"/>
      </rPr>
      <t>x 65</t>
    </r>
    <r>
      <rPr>
        <sz val="10"/>
        <rFont val="Noto Sans CJK SC"/>
        <family val="2"/>
      </rPr>
      <t>건</t>
    </r>
  </si>
  <si>
    <t>지표</t>
  </si>
  <si>
    <r>
      <rPr>
        <sz val="10"/>
        <rFont val="Arial"/>
        <family val="2"/>
      </rPr>
      <t>12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어휘 </t>
    </r>
    <r>
      <rPr>
        <sz val="10"/>
        <rFont val="Arial"/>
        <family val="2"/>
      </rPr>
      <t xml:space="preserve">6 + </t>
    </r>
    <r>
      <rPr>
        <sz val="10"/>
        <rFont val="Noto Sans CJK SC"/>
        <family val="2"/>
      </rPr>
      <t xml:space="preserve">의미 </t>
    </r>
    <r>
      <rPr>
        <sz val="10"/>
        <rFont val="Arial"/>
        <family val="2"/>
      </rPr>
      <t xml:space="preserve">3 + </t>
    </r>
    <r>
      <rPr>
        <sz val="10"/>
        <rFont val="Noto Sans CJK SC"/>
        <family val="2"/>
      </rPr>
      <t xml:space="preserve">구조 </t>
    </r>
    <r>
      <rPr>
        <sz val="10"/>
        <rFont val="Arial"/>
        <family val="2"/>
      </rPr>
      <t>3)</t>
    </r>
  </si>
  <si>
    <t>설계</t>
  </si>
  <si>
    <r>
      <rPr>
        <sz val="10"/>
        <rFont val="Noto Sans CJK SC"/>
        <family val="2"/>
      </rPr>
      <t>완전 균형 요인설계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결측 없음</t>
    </r>
  </si>
  <si>
    <t>색상 규약</t>
  </si>
  <si>
    <t>파란 글씨</t>
  </si>
  <si>
    <r>
      <rPr>
        <sz val="10"/>
        <rFont val="Noto Sans CJK SC"/>
        <family val="2"/>
      </rPr>
      <t>입력값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원자료 또는 논문에서 가져온 상수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여기만 수정한다</t>
    </r>
    <r>
      <rPr>
        <sz val="10"/>
        <rFont val="Arial"/>
        <family val="2"/>
      </rPr>
      <t>.</t>
    </r>
  </si>
  <si>
    <t>검정 글씨</t>
  </si>
  <si>
    <r>
      <rPr>
        <sz val="10"/>
        <rFont val="Noto Sans CJK SC"/>
        <family val="2"/>
      </rPr>
      <t>수식으로 계산된 값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직접 수정하지 않는다</t>
    </r>
    <r>
      <rPr>
        <sz val="10"/>
        <rFont val="Arial"/>
        <family val="2"/>
      </rPr>
      <t>.</t>
    </r>
  </si>
  <si>
    <t>노란 배경</t>
  </si>
  <si>
    <t>논문에 인쇄된 핵심 수치에 해당하는 셀</t>
  </si>
  <si>
    <t>시트 구성</t>
  </si>
  <si>
    <t>시트</t>
  </si>
  <si>
    <t>내용</t>
  </si>
  <si>
    <t>논문 대응</t>
  </si>
  <si>
    <r>
      <rPr>
        <b/>
        <sz val="10"/>
        <rFont val="Arial"/>
        <family val="2"/>
      </rPr>
      <t>01_</t>
    </r>
    <r>
      <rPr>
        <b/>
        <sz val="10"/>
        <rFont val="Noto Sans CJK SC"/>
        <family val="2"/>
      </rPr>
      <t>원자료</t>
    </r>
  </si>
  <si>
    <r>
      <rPr>
        <sz val="10"/>
        <rFont val="Arial"/>
        <family val="2"/>
      </rPr>
      <t>975</t>
    </r>
    <r>
      <rPr>
        <sz val="10"/>
        <rFont val="Noto Sans CJK SC"/>
        <family val="2"/>
      </rPr>
      <t xml:space="preserve">행 </t>
    </r>
    <r>
      <rPr>
        <sz val="10"/>
        <rFont val="Arial"/>
        <family val="2"/>
      </rPr>
      <t>x 12</t>
    </r>
    <r>
      <rPr>
        <sz val="10"/>
        <rFont val="Noto Sans CJK SC"/>
        <family val="2"/>
      </rPr>
      <t>지표</t>
    </r>
    <r>
      <rPr>
        <sz val="10"/>
        <rFont val="Arial"/>
        <family val="2"/>
      </rPr>
      <t>. Overall Score</t>
    </r>
    <r>
      <rPr>
        <sz val="10"/>
        <rFont val="Noto Sans CJK SC"/>
        <family val="2"/>
      </rPr>
      <t>와 순위를 수식으로 산출</t>
    </r>
  </si>
  <si>
    <t>분석 원자료</t>
  </si>
  <si>
    <r>
      <rPr>
        <b/>
        <sz val="10"/>
        <rFont val="Arial"/>
        <family val="2"/>
      </rPr>
      <t>02_</t>
    </r>
    <r>
      <rPr>
        <b/>
        <sz val="10"/>
        <rFont val="Noto Sans CJK SC"/>
        <family val="2"/>
      </rPr>
      <t>지표정의</t>
    </r>
  </si>
  <si>
    <r>
      <rPr>
        <sz val="10"/>
        <rFont val="Arial"/>
        <family val="2"/>
      </rPr>
      <t>12</t>
    </r>
    <r>
      <rPr>
        <sz val="10"/>
        <rFont val="Noto Sans CJK SC"/>
        <family val="2"/>
      </rPr>
      <t>개 지표의 산식 정의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그룹 가중치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표기 방언 처리</t>
    </r>
  </si>
  <si>
    <r>
      <rPr>
        <i/>
        <sz val="9"/>
        <color rgb="FF555555"/>
        <rFont val="Arial"/>
        <family val="2"/>
      </rPr>
      <t xml:space="preserve">3.2, </t>
    </r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1</t>
    </r>
  </si>
  <si>
    <r>
      <rPr>
        <b/>
        <sz val="10"/>
        <rFont val="Arial"/>
        <family val="2"/>
      </rPr>
      <t>03_</t>
    </r>
    <r>
      <rPr>
        <b/>
        <sz val="10"/>
        <rFont val="Noto Sans CJK SC"/>
        <family val="2"/>
      </rPr>
      <t>가중치민감도</t>
    </r>
  </si>
  <si>
    <r>
      <rPr>
        <sz val="10"/>
        <rFont val="Noto Sans CJK SC"/>
        <family val="2"/>
      </rPr>
      <t xml:space="preserve">가중치 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개 시나리오에 대한 결론 안정성 검증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</si>
  <si>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3, 4.1</t>
    </r>
  </si>
  <si>
    <r>
      <rPr>
        <b/>
        <sz val="10"/>
        <rFont val="Arial"/>
        <family val="2"/>
      </rPr>
      <t>03B_</t>
    </r>
    <r>
      <rPr>
        <b/>
        <sz val="10"/>
        <rFont val="Noto Sans CJK SC"/>
        <family val="2"/>
      </rPr>
      <t>시나리오점수</t>
    </r>
  </si>
  <si>
    <r>
      <rPr>
        <sz val="10"/>
        <rFont val="Noto Sans CJK SC"/>
        <family val="2"/>
      </rPr>
      <t xml:space="preserve">시나리오별 </t>
    </r>
    <r>
      <rPr>
        <sz val="10"/>
        <rFont val="Arial"/>
        <family val="2"/>
      </rPr>
      <t>975</t>
    </r>
    <r>
      <rPr>
        <sz val="10"/>
        <rFont val="Noto Sans CJK SC"/>
        <family val="2"/>
      </rPr>
      <t>쌍 점수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순위 </t>
    </r>
    <r>
      <rPr>
        <sz val="10"/>
        <rFont val="Arial"/>
        <family val="2"/>
      </rPr>
      <t xml:space="preserve">(Spearman rho </t>
    </r>
    <r>
      <rPr>
        <sz val="10"/>
        <rFont val="Noto Sans CJK SC"/>
        <family val="2"/>
      </rPr>
      <t>계산용</t>
    </r>
    <r>
      <rPr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</si>
  <si>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3</t>
    </r>
  </si>
  <si>
    <r>
      <rPr>
        <b/>
        <sz val="10"/>
        <rFont val="Arial"/>
        <family val="2"/>
      </rPr>
      <t>04_</t>
    </r>
    <r>
      <rPr>
        <b/>
        <sz val="10"/>
        <rFont val="Noto Sans CJK SC"/>
        <family val="2"/>
      </rPr>
      <t>교차표</t>
    </r>
  </si>
  <si>
    <r>
      <rPr>
        <sz val="10"/>
        <rFont val="Noto Sans CJK SC"/>
        <family val="2"/>
      </rPr>
      <t>레퍼런스</t>
    </r>
    <r>
      <rPr>
        <sz val="10"/>
        <rFont val="Arial"/>
        <family val="2"/>
      </rPr>
      <t>x</t>
    </r>
    <r>
      <rPr>
        <sz val="10"/>
        <rFont val="Noto Sans CJK SC"/>
        <family val="2"/>
      </rPr>
      <t xml:space="preserve">모델 </t>
    </r>
    <r>
      <rPr>
        <sz val="10"/>
        <rFont val="Arial"/>
        <family val="2"/>
      </rPr>
      <t xml:space="preserve">5x3 </t>
    </r>
    <r>
      <rPr>
        <sz val="10"/>
        <rFont val="Noto Sans CJK SC"/>
        <family val="2"/>
      </rPr>
      <t>셀 평균과 이중 중심화 잔차</t>
    </r>
  </si>
  <si>
    <r>
      <rPr>
        <i/>
        <sz val="9"/>
        <color rgb="FF555555"/>
        <rFont val="Arial"/>
        <family val="2"/>
      </rPr>
      <t xml:space="preserve">4.2 </t>
    </r>
    <r>
      <rPr>
        <i/>
        <sz val="9"/>
        <color rgb="FF555555"/>
        <rFont val="Noto Sans CJK SC"/>
        <family val="2"/>
      </rPr>
      <t>공통 입력</t>
    </r>
  </si>
  <si>
    <r>
      <rPr>
        <b/>
        <sz val="10"/>
        <rFont val="Arial"/>
        <family val="2"/>
      </rPr>
      <t>05_</t>
    </r>
    <r>
      <rPr>
        <b/>
        <sz val="10"/>
        <rFont val="Noto Sans CJK SC"/>
        <family val="2"/>
      </rPr>
      <t>이원분산분석</t>
    </r>
  </si>
  <si>
    <r>
      <rPr>
        <sz val="10"/>
        <rFont val="Noto Sans CJK SC"/>
        <family val="2"/>
      </rPr>
      <t xml:space="preserve">평방합 분해 → </t>
    </r>
    <r>
      <rPr>
        <sz val="10"/>
        <rFont val="Arial"/>
        <family val="2"/>
      </rPr>
      <t>eta² (</t>
    </r>
    <r>
      <rPr>
        <sz val="10"/>
        <rFont val="Noto Sans CJK SC"/>
        <family val="2"/>
      </rPr>
      <t>레퍼런스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모델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상호작용</t>
    </r>
    <r>
      <rPr>
        <sz val="10"/>
        <rFont val="Arial"/>
        <family val="2"/>
      </rPr>
      <t>)</t>
    </r>
  </si>
  <si>
    <t>4.2</t>
  </si>
  <si>
    <r>
      <rPr>
        <b/>
        <sz val="10"/>
        <rFont val="Arial"/>
        <family val="2"/>
      </rPr>
      <t>05B_</t>
    </r>
    <r>
      <rPr>
        <b/>
        <sz val="10"/>
        <rFont val="Noto Sans CJK SC"/>
        <family val="2"/>
      </rPr>
      <t>가정검정</t>
    </r>
  </si>
  <si>
    <r>
      <rPr>
        <sz val="10"/>
        <rFont val="Noto Sans CJK SC"/>
        <family val="2"/>
      </rPr>
      <t>셀별 정규성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왜도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첨도</t>
    </r>
    <r>
      <rPr>
        <sz val="10"/>
        <rFont val="Arial"/>
        <family val="2"/>
      </rPr>
      <t>·JB)</t>
    </r>
    <r>
      <rPr>
        <sz val="10"/>
        <rFont val="Noto Sans CJK SC"/>
        <family val="2"/>
      </rPr>
      <t xml:space="preserve">과 </t>
    </r>
    <r>
      <rPr>
        <sz val="10"/>
        <rFont val="Arial"/>
        <family val="2"/>
      </rPr>
      <t xml:space="preserve">Levene </t>
    </r>
    <r>
      <rPr>
        <sz val="10"/>
        <rFont val="Noto Sans CJK SC"/>
        <family val="2"/>
      </rPr>
      <t>등분산성 검정</t>
    </r>
  </si>
  <si>
    <t>3.4</t>
  </si>
  <si>
    <t>06_ICC</t>
  </si>
  <si>
    <t>문서 확률효과 분산성분과 급내상관</t>
  </si>
  <si>
    <r>
      <rPr>
        <i/>
        <sz val="9"/>
        <color rgb="FF555555"/>
        <rFont val="Arial"/>
        <family val="2"/>
      </rPr>
      <t xml:space="preserve">4.2 </t>
    </r>
    <r>
      <rPr>
        <i/>
        <sz val="9"/>
        <color rgb="FF555555"/>
        <rFont val="Noto Sans CJK SC"/>
        <family val="2"/>
      </rPr>
      <t>강건성</t>
    </r>
  </si>
  <si>
    <r>
      <rPr>
        <b/>
        <sz val="10"/>
        <rFont val="Arial"/>
        <family val="2"/>
      </rPr>
      <t>07_</t>
    </r>
    <r>
      <rPr>
        <b/>
        <sz val="10"/>
        <rFont val="Noto Sans CJK SC"/>
        <family val="2"/>
      </rPr>
      <t>관대함변별력</t>
    </r>
  </si>
  <si>
    <r>
      <rPr>
        <sz val="10"/>
        <rFont val="Noto Sans CJK SC"/>
        <family val="2"/>
      </rPr>
      <t>레퍼런스의 두 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관대함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변별력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분해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</si>
  <si>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4</t>
    </r>
  </si>
  <si>
    <t>08_KW_Holm</t>
  </si>
  <si>
    <r>
      <rPr>
        <sz val="10"/>
        <rFont val="Arial"/>
        <family val="2"/>
      </rPr>
      <t xml:space="preserve">Kruskal-Wallis + </t>
    </r>
    <r>
      <rPr>
        <sz val="10"/>
        <rFont val="Noto Sans CJK SC"/>
        <family val="2"/>
      </rPr>
      <t xml:space="preserve">쌍별 </t>
    </r>
    <r>
      <rPr>
        <sz val="10"/>
        <rFont val="Arial"/>
        <family val="2"/>
      </rPr>
      <t xml:space="preserve">Mann-Whitney + Holm </t>
    </r>
    <r>
      <rPr>
        <sz val="10"/>
        <rFont val="Noto Sans CJK SC"/>
        <family val="2"/>
      </rPr>
      <t>보정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</si>
  <si>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5</t>
    </r>
  </si>
  <si>
    <r>
      <rPr>
        <b/>
        <sz val="10"/>
        <rFont val="Arial"/>
        <family val="2"/>
      </rPr>
      <t>09_12</t>
    </r>
    <r>
      <rPr>
        <b/>
        <sz val="10"/>
        <rFont val="Noto Sans CJK SC"/>
        <family val="2"/>
      </rPr>
      <t>지표교차표</t>
    </r>
  </si>
  <si>
    <r>
      <rPr>
        <sz val="10"/>
        <rFont val="Arial"/>
        <family val="2"/>
      </rPr>
      <t>15</t>
    </r>
    <r>
      <rPr>
        <sz val="10"/>
        <rFont val="Noto Sans CJK SC"/>
        <family val="2"/>
      </rPr>
      <t xml:space="preserve">개 조합 </t>
    </r>
    <r>
      <rPr>
        <sz val="10"/>
        <rFont val="Arial"/>
        <family val="2"/>
      </rPr>
      <t>x 12</t>
    </r>
    <r>
      <rPr>
        <sz val="10"/>
        <rFont val="Noto Sans CJK SC"/>
        <family val="2"/>
      </rPr>
      <t>지표 평균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</si>
  <si>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6</t>
    </r>
  </si>
  <si>
    <r>
      <rPr>
        <b/>
        <sz val="10"/>
        <rFont val="Arial"/>
        <family val="2"/>
      </rPr>
      <t>10_</t>
    </r>
    <r>
      <rPr>
        <b/>
        <sz val="10"/>
        <rFont val="Noto Sans CJK SC"/>
        <family val="2"/>
      </rPr>
      <t>계열편향</t>
    </r>
  </si>
  <si>
    <r>
      <rPr>
        <sz val="10"/>
        <rFont val="Noto Sans CJK SC"/>
        <family val="2"/>
      </rPr>
      <t xml:space="preserve">원점수 우위 </t>
    </r>
    <r>
      <rPr>
        <sz val="10"/>
        <rFont val="Arial"/>
        <family val="2"/>
      </rPr>
      <t>D_raw</t>
    </r>
    <r>
      <rPr>
        <sz val="10"/>
        <rFont val="Noto Sans CJK SC"/>
        <family val="2"/>
      </rPr>
      <t xml:space="preserve">와 이중 중심화 잔차 </t>
    </r>
    <r>
      <rPr>
        <sz val="10"/>
        <rFont val="Arial"/>
        <family val="2"/>
      </rPr>
      <t>D*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</si>
  <si>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7, 4.4</t>
    </r>
  </si>
  <si>
    <r>
      <rPr>
        <b/>
        <sz val="10"/>
        <rFont val="Arial"/>
        <family val="2"/>
      </rPr>
      <t>10B_</t>
    </r>
    <r>
      <rPr>
        <b/>
        <sz val="10"/>
        <rFont val="Noto Sans CJK SC"/>
        <family val="2"/>
      </rPr>
      <t>문서단위잔차</t>
    </r>
  </si>
  <si>
    <r>
      <rPr>
        <sz val="10"/>
        <rFont val="Noto Sans CJK SC"/>
        <family val="2"/>
      </rPr>
      <t xml:space="preserve">문서별 </t>
    </r>
    <r>
      <rPr>
        <sz val="10"/>
        <rFont val="Arial"/>
        <family val="2"/>
      </rPr>
      <t>D*</t>
    </r>
    <r>
      <rPr>
        <sz val="10"/>
        <rFont val="Noto Sans CJK SC"/>
        <family val="2"/>
      </rPr>
      <t>와 문서형식</t>
    </r>
    <r>
      <rPr>
        <sz val="10"/>
        <rFont val="Arial"/>
        <family val="2"/>
      </rPr>
      <t>×</t>
    </r>
    <r>
      <rPr>
        <sz val="10"/>
        <rFont val="Noto Sans CJK SC"/>
        <family val="2"/>
      </rPr>
      <t>부호 카이제곱 검정</t>
    </r>
  </si>
  <si>
    <r>
      <rPr>
        <i/>
        <sz val="9"/>
        <color rgb="FF555555"/>
        <rFont val="Arial"/>
        <family val="2"/>
      </rPr>
      <t xml:space="preserve">4.4 </t>
    </r>
    <r>
      <rPr>
        <i/>
        <sz val="9"/>
        <color rgb="FF555555"/>
        <rFont val="Noto Sans CJK SC"/>
        <family val="2"/>
      </rPr>
      <t>마지막 문단</t>
    </r>
  </si>
  <si>
    <r>
      <rPr>
        <b/>
        <sz val="10"/>
        <rFont val="Arial"/>
        <family val="2"/>
      </rPr>
      <t>11_</t>
    </r>
    <r>
      <rPr>
        <b/>
        <sz val="10"/>
        <rFont val="Noto Sans CJK SC"/>
        <family val="2"/>
      </rPr>
      <t>문서단위</t>
    </r>
  </si>
  <si>
    <r>
      <rPr>
        <sz val="10"/>
        <rFont val="Noto Sans CJK SC"/>
        <family val="2"/>
      </rPr>
      <t xml:space="preserve">문서 </t>
    </r>
    <r>
      <rPr>
        <sz val="10"/>
        <rFont val="Arial"/>
        <family val="2"/>
      </rPr>
      <t>65</t>
    </r>
    <r>
      <rPr>
        <sz val="10"/>
        <rFont val="Noto Sans CJK SC"/>
        <family val="2"/>
      </rPr>
      <t xml:space="preserve">건 집계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회귀 입력변수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문서형식 비교</t>
    </r>
  </si>
  <si>
    <t>4.3</t>
  </si>
  <si>
    <r>
      <rPr>
        <b/>
        <sz val="10"/>
        <rFont val="Arial"/>
        <family val="2"/>
      </rPr>
      <t>12_</t>
    </r>
    <r>
      <rPr>
        <b/>
        <sz val="10"/>
        <rFont val="Noto Sans CJK SC"/>
        <family val="2"/>
      </rPr>
      <t>사후회귀</t>
    </r>
  </si>
  <si>
    <r>
      <rPr>
        <sz val="10"/>
        <rFont val="Noto Sans CJK SC"/>
        <family val="2"/>
      </rPr>
      <t xml:space="preserve">레퍼런스 기반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 xml:space="preserve">신호 회귀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행렬 연산 </t>
    </r>
    <r>
      <rPr>
        <sz val="10"/>
        <rFont val="Arial"/>
        <family val="2"/>
      </rPr>
      <t>+ LOOCV)</t>
    </r>
  </si>
  <si>
    <r>
      <rPr>
        <b/>
        <sz val="10"/>
        <rFont val="Arial"/>
        <family val="2"/>
      </rPr>
      <t>13_</t>
    </r>
    <r>
      <rPr>
        <b/>
        <sz val="10"/>
        <rFont val="Noto Sans CJK SC"/>
        <family val="2"/>
      </rPr>
      <t>레퍼런스프리</t>
    </r>
  </si>
  <si>
    <r>
      <rPr>
        <sz val="10"/>
        <rFont val="Noto Sans CJK SC"/>
        <family val="2"/>
      </rPr>
      <t>레퍼런스</t>
    </r>
    <r>
      <rPr>
        <sz val="10"/>
        <rFont val="Arial"/>
        <family val="2"/>
      </rPr>
      <t>-</t>
    </r>
    <r>
      <rPr>
        <sz val="10"/>
        <rFont val="Noto Sans CJK SC"/>
        <family val="2"/>
      </rPr>
      <t xml:space="preserve">프리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신호 회귀</t>
    </r>
  </si>
  <si>
    <r>
      <rPr>
        <b/>
        <sz val="10"/>
        <rFont val="Arial"/>
        <family val="2"/>
      </rPr>
      <t>13B_..._</t>
    </r>
    <r>
      <rPr>
        <b/>
        <sz val="10"/>
        <rFont val="Noto Sans CJK SC"/>
        <family val="2"/>
      </rPr>
      <t>어휘의미</t>
    </r>
  </si>
  <si>
    <r>
      <rPr>
        <sz val="10"/>
        <rFont val="Noto Sans CJK SC"/>
        <family val="2"/>
      </rPr>
      <t>레퍼런스</t>
    </r>
    <r>
      <rPr>
        <sz val="10"/>
        <rFont val="Arial"/>
        <family val="2"/>
      </rPr>
      <t>-</t>
    </r>
    <r>
      <rPr>
        <sz val="10"/>
        <rFont val="Noto Sans CJK SC"/>
        <family val="2"/>
      </rPr>
      <t xml:space="preserve">프리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신호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종속변수를 어휘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의미로 교체</t>
    </r>
  </si>
  <si>
    <r>
      <rPr>
        <b/>
        <sz val="10"/>
        <rFont val="Arial"/>
        <family val="2"/>
      </rPr>
      <t>13C_</t>
    </r>
    <r>
      <rPr>
        <b/>
        <sz val="10"/>
        <rFont val="Noto Sans CJK SC"/>
        <family val="2"/>
      </rPr>
      <t>보조모형</t>
    </r>
  </si>
  <si>
    <r>
      <rPr>
        <sz val="10"/>
        <rFont val="Noto Sans CJK SC"/>
        <family val="2"/>
      </rPr>
      <t xml:space="preserve">단일 예측변수 회귀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+ Spearman </t>
    </r>
    <r>
      <rPr>
        <sz val="10"/>
        <rFont val="Noto Sans CJK SC"/>
        <family val="2"/>
      </rPr>
      <t xml:space="preserve">순위상관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종</t>
    </r>
  </si>
  <si>
    <t>재현성 검증 결과</t>
  </si>
  <si>
    <r>
      <rPr>
        <sz val="10"/>
        <rFont val="Noto Sans CJK SC"/>
        <family val="2"/>
      </rPr>
      <t xml:space="preserve">논문 인쇄값 </t>
    </r>
    <r>
      <rPr>
        <sz val="10"/>
        <rFont val="Arial"/>
        <family val="2"/>
      </rPr>
      <t xml:space="preserve">vs </t>
    </r>
    <r>
      <rPr>
        <sz val="10"/>
        <rFont val="Noto Sans CJK SC"/>
        <family val="2"/>
      </rPr>
      <t>워크북 계산값 자동 대조</t>
    </r>
  </si>
  <si>
    <t>전체 검증</t>
  </si>
  <si>
    <t>자동 대조 재현율</t>
  </si>
  <si>
    <t>불일치 항목 수</t>
  </si>
  <si>
    <r>
      <rPr>
        <i/>
        <sz val="9"/>
        <color rgb="FF555555"/>
        <rFont val="Noto Sans CJK SC"/>
        <family val="2"/>
      </rPr>
      <t>독립 재구현 검증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본 워크북의 원자료를 만들기 위해 구조 지표 산출 코드를 원 구현과 무관하게 다시 작성하고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원 파이프라인과 동일한 조건</t>
    </r>
    <r>
      <rPr>
        <i/>
        <sz val="9"/>
        <color rgb="FF555555"/>
        <rFont val="Arial"/>
        <family val="2"/>
      </rPr>
      <t xml:space="preserve">(ATX </t>
    </r>
    <r>
      <rPr>
        <i/>
        <sz val="9"/>
        <color rgb="FF555555"/>
        <rFont val="Noto Sans CJK SC"/>
        <family val="2"/>
      </rPr>
      <t>전용 파서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 xml:space="preserve">에서 돌린 결과가 기존 산출 파일과 최대 </t>
    </r>
    <r>
      <rPr>
        <i/>
        <sz val="9"/>
        <color rgb="FF555555"/>
        <rFont val="Arial"/>
        <family val="2"/>
      </rPr>
      <t>5.6e-17(</t>
    </r>
    <r>
      <rPr>
        <i/>
        <sz val="9"/>
        <color rgb="FF555555"/>
        <rFont val="Noto Sans CJK SC"/>
        <family val="2"/>
      </rPr>
      <t>배정밀도 한계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차이로 일치하였다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따라서 재계산 절차 자체가 원 구현을 정확히 재현한다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</si>
  <si>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문서 식별자 대조</t>
    </r>
    <r>
      <rPr>
        <i/>
        <sz val="9"/>
        <color rgb="FF555555"/>
        <rFont val="Arial"/>
        <family val="2"/>
      </rPr>
      <t xml:space="preserve">: adrs/ </t>
    </r>
    <r>
      <rPr>
        <i/>
        <sz val="9"/>
        <color rgb="FF555555"/>
        <rFont val="Noto Sans CJK SC"/>
        <family val="2"/>
      </rPr>
      <t xml:space="preserve">원문의 문서번호와 산출 파일의 </t>
    </r>
    <r>
      <rPr>
        <i/>
        <sz val="9"/>
        <color rgb="FF555555"/>
        <rFont val="Arial"/>
        <family val="2"/>
      </rPr>
      <t>document_id</t>
    </r>
    <r>
      <rPr>
        <i/>
        <sz val="9"/>
        <color rgb="FF555555"/>
        <rFont val="Noto Sans CJK SC"/>
        <family val="2"/>
      </rPr>
      <t>는 서로 다른 체계를 쓴다</t>
    </r>
    <r>
      <rPr>
        <i/>
        <sz val="9"/>
        <color rgb="FF555555"/>
        <rFont val="Arial"/>
        <family val="2"/>
      </rPr>
      <t xml:space="preserve">. Markdown Awareness </t>
    </r>
    <r>
      <rPr>
        <i/>
        <sz val="9"/>
        <color rgb="FF555555"/>
        <rFont val="Noto Sans CJK SC"/>
        <family val="2"/>
      </rPr>
      <t xml:space="preserve">값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 xml:space="preserve">개를 지문으로 삼아 </t>
    </r>
    <r>
      <rPr>
        <i/>
        <sz val="9"/>
        <color rgb="FF555555"/>
        <rFont val="Arial"/>
        <family val="2"/>
      </rPr>
      <t xml:space="preserve">1:1 </t>
    </r>
    <r>
      <rPr>
        <i/>
        <sz val="9"/>
        <color rgb="FF555555"/>
        <rFont val="Noto Sans CJK SC"/>
        <family val="2"/>
      </rPr>
      <t>대응을 복원했으며</t>
    </r>
    <r>
      <rPr>
        <i/>
        <sz val="9"/>
        <color rgb="FF555555"/>
        <rFont val="Arial"/>
        <family val="2"/>
      </rPr>
      <t>, 65</t>
    </r>
    <r>
      <rPr>
        <i/>
        <sz val="9"/>
        <color rgb="FF555555"/>
        <rFont val="Noto Sans CJK SC"/>
        <family val="2"/>
      </rPr>
      <t xml:space="preserve">건 전부 </t>
    </r>
    <r>
      <rPr>
        <i/>
        <sz val="9"/>
        <color rgb="FF555555"/>
        <rFont val="Arial"/>
        <family val="2"/>
      </rPr>
      <t xml:space="preserve">L1 </t>
    </r>
    <r>
      <rPr>
        <i/>
        <sz val="9"/>
        <color rgb="FF555555"/>
        <rFont val="Noto Sans CJK SC"/>
        <family val="2"/>
      </rPr>
      <t xml:space="preserve">오차 </t>
    </r>
    <r>
      <rPr>
        <i/>
        <sz val="9"/>
        <color rgb="FF555555"/>
        <rFont val="Arial"/>
        <family val="2"/>
      </rPr>
      <t>0.0</t>
    </r>
    <r>
      <rPr>
        <i/>
        <sz val="9"/>
        <color rgb="FF555555"/>
        <rFont val="Noto Sans CJK SC"/>
        <family val="2"/>
      </rPr>
      <t>으로 유일하게 매칭되었다</t>
    </r>
    <r>
      <rPr>
        <i/>
        <sz val="9"/>
        <color rgb="FF555555"/>
        <rFont val="Arial"/>
        <family val="2"/>
      </rPr>
      <t>.</t>
    </r>
  </si>
  <si>
    <t>엑셀로 재현할 수 없는 항목</t>
  </si>
  <si>
    <r>
      <rPr>
        <i/>
        <sz val="9"/>
        <color rgb="FF555555"/>
        <rFont val="Noto Sans CJK SC"/>
        <family val="2"/>
      </rPr>
      <t>혼합모형</t>
    </r>
    <r>
      <rPr>
        <i/>
        <sz val="9"/>
        <color rgb="FF555555"/>
        <rFont val="Arial"/>
        <family val="2"/>
      </rPr>
      <t>(LMM)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 xml:space="preserve">REML </t>
    </r>
    <r>
      <rPr>
        <i/>
        <sz val="9"/>
        <color rgb="FF555555"/>
        <rFont val="Noto Sans CJK SC"/>
        <family val="2"/>
      </rPr>
      <t>추정은 엑셀 함수로 구현할 수 없다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다만 본 연구는 완전 균형설계이므로 적률법 분산성분 추정이 </t>
    </r>
    <r>
      <rPr>
        <i/>
        <sz val="9"/>
        <color rgb="FF555555"/>
        <rFont val="Arial"/>
        <family val="2"/>
      </rPr>
      <t xml:space="preserve">REML </t>
    </r>
    <r>
      <rPr>
        <i/>
        <sz val="9"/>
        <color rgb="FF555555"/>
        <rFont val="Noto Sans CJK SC"/>
        <family val="2"/>
      </rPr>
      <t>결과와 일치하며</t>
    </r>
    <r>
      <rPr>
        <i/>
        <sz val="9"/>
        <color rgb="FF555555"/>
        <rFont val="Arial"/>
        <family val="2"/>
      </rPr>
      <t>(06_ICC</t>
    </r>
    <r>
      <rPr>
        <i/>
        <sz val="9"/>
        <color rgb="FF555555"/>
        <rFont val="Noto Sans CJK SC"/>
        <family val="2"/>
      </rPr>
      <t>에서 확인</t>
    </r>
    <r>
      <rPr>
        <i/>
        <sz val="9"/>
        <color rgb="FF555555"/>
        <rFont val="Arial"/>
        <family val="2"/>
      </rPr>
      <t xml:space="preserve">), BERTScore·SBERT </t>
    </r>
    <r>
      <rPr>
        <i/>
        <sz val="9"/>
        <color rgb="FF555555"/>
        <rFont val="Noto Sans CJK SC"/>
        <family val="2"/>
      </rPr>
      <t xml:space="preserve">등 임베딩 기반 지표는 신경망 추론이 필요하므로 </t>
    </r>
    <r>
      <rPr>
        <i/>
        <sz val="9"/>
        <color rgb="FF555555"/>
        <rFont val="Arial"/>
        <family val="2"/>
      </rPr>
      <t>01_</t>
    </r>
    <r>
      <rPr>
        <i/>
        <sz val="9"/>
        <color rgb="FF555555"/>
        <rFont val="Noto Sans CJK SC"/>
        <family val="2"/>
      </rPr>
      <t>원자료에 입력값으로 수록하였다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</si>
  <si>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>값은 대표본 정규근사</t>
    </r>
    <r>
      <rPr>
        <i/>
        <sz val="9"/>
        <color rgb="FF555555"/>
        <rFont val="Arial"/>
        <family val="2"/>
      </rPr>
      <t>(NORMSDIST)</t>
    </r>
    <r>
      <rPr>
        <i/>
        <sz val="9"/>
        <color rgb="FF555555"/>
        <rFont val="Noto Sans CJK SC"/>
        <family val="2"/>
      </rPr>
      <t>와 카이제곱 분포</t>
    </r>
    <r>
      <rPr>
        <i/>
        <sz val="9"/>
        <color rgb="FF555555"/>
        <rFont val="Arial"/>
        <family val="2"/>
      </rPr>
      <t>(CHIDIST)</t>
    </r>
    <r>
      <rPr>
        <i/>
        <sz val="9"/>
        <color rgb="FF555555"/>
        <rFont val="Noto Sans CJK SC"/>
        <family val="2"/>
      </rPr>
      <t>를 사용한다</t>
    </r>
    <r>
      <rPr>
        <i/>
        <sz val="9"/>
        <color rgb="FF555555"/>
        <rFont val="Arial"/>
        <family val="2"/>
      </rPr>
      <t>. |z|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13</t>
    </r>
    <r>
      <rPr>
        <i/>
        <sz val="9"/>
        <color rgb="FF555555"/>
        <rFont val="Noto Sans CJK SC"/>
        <family val="2"/>
      </rPr>
      <t xml:space="preserve">을 넘는 경우 부동소수점 하한 때문에 </t>
    </r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으로 표시되나 실제로는 극히 작은 값이다</t>
    </r>
    <r>
      <rPr>
        <i/>
        <sz val="9"/>
        <color rgb="FF555555"/>
        <rFont val="Arial"/>
        <family val="2"/>
      </rPr>
      <t>.</t>
    </r>
  </si>
  <si>
    <t>출처</t>
  </si>
  <si>
    <r>
      <rPr>
        <i/>
        <sz val="9"/>
        <color rgb="FF555555"/>
        <rFont val="Noto Sans CJK SC"/>
        <family val="2"/>
      </rPr>
      <t>원자료</t>
    </r>
    <r>
      <rPr>
        <i/>
        <sz val="9"/>
        <color rgb="FF555555"/>
        <rFont val="Arial"/>
        <family val="2"/>
      </rPr>
      <t>: similarity_{chatgpt|claude|gemini|mistral|qwen3_6}_as_reference.xlsx (5</t>
    </r>
    <r>
      <rPr>
        <i/>
        <sz val="9"/>
        <color rgb="FF555555"/>
        <rFont val="Noto Sans CJK SC"/>
        <family val="2"/>
      </rPr>
      <t>개 파일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각 </t>
    </r>
    <r>
      <rPr>
        <i/>
        <sz val="9"/>
        <color rgb="FF555555"/>
        <rFont val="Arial"/>
        <family val="2"/>
      </rPr>
      <t>195</t>
    </r>
    <r>
      <rPr>
        <i/>
        <sz val="9"/>
        <color rgb="FF555555"/>
        <rFont val="Noto Sans CJK SC"/>
        <family val="2"/>
      </rPr>
      <t>행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</si>
  <si>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구조 지표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종</t>
    </r>
    <r>
      <rPr>
        <i/>
        <sz val="9"/>
        <color rgb="FF555555"/>
        <rFont val="Arial"/>
        <family val="2"/>
      </rPr>
      <t>(MA, TEDS_doc): adrs/ 520</t>
    </r>
    <r>
      <rPr>
        <i/>
        <sz val="9"/>
        <color rgb="FF555555"/>
        <rFont val="Noto Sans CJK SC"/>
        <family val="2"/>
      </rPr>
      <t xml:space="preserve">개 원문에서 </t>
    </r>
    <r>
      <rPr>
        <i/>
        <sz val="9"/>
        <color rgb="FF555555"/>
        <rFont val="Arial"/>
        <family val="2"/>
      </rPr>
      <t xml:space="preserve">Setext·ATX </t>
    </r>
    <r>
      <rPr>
        <i/>
        <sz val="9"/>
        <color rgb="FF555555"/>
        <rFont val="Noto Sans CJK SC"/>
        <family val="2"/>
      </rPr>
      <t>양쪽을 인식하는 파서로 전수 재계산</t>
    </r>
  </si>
  <si>
    <r>
      <rPr>
        <i/>
        <sz val="9"/>
        <color rgb="FF555555"/>
        <rFont val="Noto Sans CJK SC"/>
        <family val="2"/>
      </rPr>
      <t>출력 어휘량</t>
    </r>
    <r>
      <rPr>
        <i/>
        <sz val="9"/>
        <color rgb="FF555555"/>
        <rFont val="Arial"/>
        <family val="2"/>
      </rPr>
      <t xml:space="preserve">: adrs/ </t>
    </r>
    <r>
      <rPr>
        <i/>
        <sz val="9"/>
        <color rgb="FF555555"/>
        <rFont val="Noto Sans CJK SC"/>
        <family val="2"/>
      </rPr>
      <t xml:space="preserve">원문 토큰 수 직접 계수 </t>
    </r>
    <r>
      <rPr>
        <i/>
        <sz val="9"/>
        <color rgb="FF555555"/>
        <rFont val="Arial"/>
        <family val="2"/>
      </rPr>
      <t xml:space="preserve">/ </t>
    </r>
    <r>
      <rPr>
        <i/>
        <sz val="9"/>
        <color rgb="FF555555"/>
        <rFont val="Noto Sans CJK SC"/>
        <family val="2"/>
      </rPr>
      <t>로컬 상호 합의도</t>
    </r>
    <r>
      <rPr>
        <i/>
        <sz val="9"/>
        <color rgb="FF555555"/>
        <rFont val="Arial"/>
        <family val="2"/>
      </rPr>
      <t>: local_local_teds.csv</t>
    </r>
  </si>
  <si>
    <r>
      <rPr>
        <i/>
        <sz val="9"/>
        <color rgb="FF555555"/>
        <rFont val="Noto Sans CJK SC"/>
        <family val="2"/>
      </rPr>
      <t>원 구현</t>
    </r>
    <r>
      <rPr>
        <i/>
        <sz val="9"/>
        <color rgb="FF555555"/>
        <rFont val="Arial"/>
        <family val="2"/>
      </rPr>
      <t>: calculate_similarity.py (KIIT_paper_source_code/src)</t>
    </r>
  </si>
  <si>
    <t>document_id</t>
  </si>
  <si>
    <t>reference_model</t>
  </si>
  <si>
    <t>comparison_model</t>
  </si>
  <si>
    <t>f1_score</t>
  </si>
  <si>
    <t>rouge1</t>
  </si>
  <si>
    <t>rouge2</t>
  </si>
  <si>
    <t>rougeL</t>
  </si>
  <si>
    <t>bleu_score</t>
  </si>
  <si>
    <t>tfidf_similarity</t>
  </si>
  <si>
    <t>bertscore</t>
  </si>
  <si>
    <t>sts_score</t>
  </si>
  <si>
    <t>moverscore</t>
  </si>
  <si>
    <t>markdown_awareness_similarity</t>
  </si>
  <si>
    <t>teds_document_structure_similarity</t>
  </si>
  <si>
    <t>teds_table_structure_similarity</t>
  </si>
  <si>
    <t>lex_mean</t>
  </si>
  <si>
    <t>sem_mean</t>
  </si>
  <si>
    <t>str_mean</t>
  </si>
  <si>
    <t>overall_score</t>
  </si>
  <si>
    <t>동일계열</t>
  </si>
  <si>
    <t>문서형식</t>
  </si>
  <si>
    <t>전체평균순위</t>
  </si>
  <si>
    <r>
      <rPr>
        <b/>
        <sz val="10"/>
        <color rgb="FFFFFFFF"/>
        <rFont val="Arial"/>
        <family val="2"/>
      </rPr>
      <t>pool</t>
    </r>
    <r>
      <rPr>
        <b/>
        <sz val="10"/>
        <color rgb="FFFFFFFF"/>
        <rFont val="Noto Sans CJK SC"/>
        <family val="2"/>
      </rPr>
      <t>순위</t>
    </r>
    <r>
      <rPr>
        <b/>
        <sz val="10"/>
        <color rgb="FFFFFFFF"/>
        <rFont val="Arial"/>
        <family val="2"/>
      </rPr>
      <t>_G:M</t>
    </r>
  </si>
  <si>
    <r>
      <rPr>
        <b/>
        <sz val="10"/>
        <color rgb="FFFFFFFF"/>
        <rFont val="Arial"/>
        <family val="2"/>
      </rPr>
      <t>pool</t>
    </r>
    <r>
      <rPr>
        <b/>
        <sz val="10"/>
        <color rgb="FFFFFFFF"/>
        <rFont val="Noto Sans CJK SC"/>
        <family val="2"/>
      </rPr>
      <t>순위</t>
    </r>
    <r>
      <rPr>
        <b/>
        <sz val="10"/>
        <color rgb="FFFFFFFF"/>
        <rFont val="Arial"/>
        <family val="2"/>
      </rPr>
      <t>_G:Q</t>
    </r>
  </si>
  <si>
    <r>
      <rPr>
        <b/>
        <sz val="10"/>
        <color rgb="FFFFFFFF"/>
        <rFont val="Arial"/>
        <family val="2"/>
      </rPr>
      <t>pool</t>
    </r>
    <r>
      <rPr>
        <b/>
        <sz val="10"/>
        <color rgb="FFFFFFFF"/>
        <rFont val="Noto Sans CJK SC"/>
        <family val="2"/>
      </rPr>
      <t>순위</t>
    </r>
    <r>
      <rPr>
        <b/>
        <sz val="10"/>
        <color rgb="FFFFFFFF"/>
        <rFont val="Arial"/>
        <family val="2"/>
      </rPr>
      <t>_M:Q</t>
    </r>
  </si>
  <si>
    <t>셀내 순위</t>
  </si>
  <si>
    <r>
      <rPr>
        <b/>
        <sz val="10"/>
        <color rgb="FFFFFFFF"/>
        <rFont val="Arial"/>
        <family val="2"/>
      </rPr>
      <t>Levene Z=|y−</t>
    </r>
    <r>
      <rPr>
        <b/>
        <sz val="10"/>
        <color rgb="FFFFFFFF"/>
        <rFont val="Noto Sans CJK SC"/>
        <family val="2"/>
      </rPr>
      <t>셀중앙값</t>
    </r>
    <r>
      <rPr>
        <b/>
        <sz val="10"/>
        <color rgb="FFFFFFFF"/>
        <rFont val="Arial"/>
        <family val="2"/>
      </rPr>
      <t>|</t>
    </r>
  </si>
  <si>
    <r>
      <rPr>
        <b/>
        <sz val="10"/>
        <color rgb="FFFFFFFF"/>
        <rFont val="Noto Sans CJK SC"/>
        <family val="2"/>
      </rPr>
      <t xml:space="preserve">잔차 </t>
    </r>
    <r>
      <rPr>
        <b/>
        <sz val="10"/>
        <color rgb="FFFFFFFF"/>
        <rFont val="Arial"/>
        <family val="2"/>
      </rPr>
      <t>y−</t>
    </r>
    <r>
      <rPr>
        <b/>
        <sz val="10"/>
        <color rgb="FFFFFFFF"/>
        <rFont val="Noto Sans CJK SC"/>
        <family val="2"/>
      </rPr>
      <t>셀평균</t>
    </r>
  </si>
  <si>
    <t>PAT-01</t>
  </si>
  <si>
    <t>chatgpt</t>
  </si>
  <si>
    <t>gemma</t>
  </si>
  <si>
    <t>ministral</t>
  </si>
  <si>
    <t>qwen</t>
  </si>
  <si>
    <t>claude</t>
  </si>
  <si>
    <t>gemini</t>
  </si>
  <si>
    <t>mistral</t>
  </si>
  <si>
    <t>qwen3_6</t>
  </si>
  <si>
    <t>PAT-02</t>
  </si>
  <si>
    <t>PAT-03</t>
  </si>
  <si>
    <t>PAT-04</t>
  </si>
  <si>
    <t>PAT-05</t>
  </si>
  <si>
    <t>PAT-06</t>
  </si>
  <si>
    <t>PAT-07</t>
  </si>
  <si>
    <t>PAT-08</t>
  </si>
  <si>
    <t>PAT-09</t>
  </si>
  <si>
    <t>PAT-10</t>
  </si>
  <si>
    <t>PAT-11</t>
  </si>
  <si>
    <t>PAT-12</t>
  </si>
  <si>
    <t>PAT-13</t>
  </si>
  <si>
    <t>PAT-14</t>
  </si>
  <si>
    <t>PAT-15</t>
  </si>
  <si>
    <t>PAT-16</t>
  </si>
  <si>
    <t>PAT-17</t>
  </si>
  <si>
    <t>PAT-18</t>
  </si>
  <si>
    <t>PAT-19</t>
  </si>
  <si>
    <t>PAT-20</t>
  </si>
  <si>
    <t>PAT-21</t>
  </si>
  <si>
    <t>PAT-22</t>
  </si>
  <si>
    <t>PAT-23</t>
  </si>
  <si>
    <t>PAT-24</t>
  </si>
  <si>
    <t>PAT-25</t>
  </si>
  <si>
    <t>PAT-26</t>
  </si>
  <si>
    <t>PAT-27</t>
  </si>
  <si>
    <t>PAT-28</t>
  </si>
  <si>
    <t>PAT-29</t>
  </si>
  <si>
    <t>PAT-30</t>
  </si>
  <si>
    <t>PAT-31</t>
  </si>
  <si>
    <t>RPT-01</t>
  </si>
  <si>
    <t>RPT-02</t>
  </si>
  <si>
    <t>RPT-03</t>
  </si>
  <si>
    <t>RPT-04</t>
  </si>
  <si>
    <t>RPT-05</t>
  </si>
  <si>
    <t>RPT-06</t>
  </si>
  <si>
    <t>RPT-07</t>
  </si>
  <si>
    <t>RPT-08</t>
  </si>
  <si>
    <t>RPT-09</t>
  </si>
  <si>
    <t>RPT-10</t>
  </si>
  <si>
    <t>RPT-11</t>
  </si>
  <si>
    <t>RPT-12</t>
  </si>
  <si>
    <t>RPT-13</t>
  </si>
  <si>
    <t>RPT-14</t>
  </si>
  <si>
    <t>RPT-15</t>
  </si>
  <si>
    <t>RPT-16</t>
  </si>
  <si>
    <t>RPT-17</t>
  </si>
  <si>
    <t>RPT-18</t>
  </si>
  <si>
    <t>RPT-19</t>
  </si>
  <si>
    <t>RPT-20</t>
  </si>
  <si>
    <t>RPT-21</t>
  </si>
  <si>
    <t>RPT-22</t>
  </si>
  <si>
    <t>RPT-23</t>
  </si>
  <si>
    <t>RPT-24</t>
  </si>
  <si>
    <t>RPT-25</t>
  </si>
  <si>
    <t>RPT-26</t>
  </si>
  <si>
    <t>RPT-27</t>
  </si>
  <si>
    <t>RPT-28</t>
  </si>
  <si>
    <t>RPT-29</t>
  </si>
  <si>
    <t>RPT-30</t>
  </si>
  <si>
    <t>RPT-31</t>
  </si>
  <si>
    <t>RPT-32</t>
  </si>
  <si>
    <t>RPT-33</t>
  </si>
  <si>
    <t>RPT-34</t>
  </si>
  <si>
    <r>
      <rPr>
        <b/>
        <sz val="14"/>
        <rFont val="Noto Sans CJK SC"/>
        <family val="2"/>
      </rPr>
      <t xml:space="preserve">지표 정의 및 </t>
    </r>
    <r>
      <rPr>
        <b/>
        <sz val="14"/>
        <rFont val="Arial"/>
        <family val="2"/>
      </rPr>
      <t xml:space="preserve">Overall Score </t>
    </r>
    <r>
      <rPr>
        <b/>
        <sz val="14"/>
        <rFont val="Noto Sans CJK SC"/>
        <family val="2"/>
      </rPr>
      <t>산식</t>
    </r>
  </si>
  <si>
    <r>
      <rPr>
        <i/>
        <sz val="9"/>
        <color rgb="FF555555"/>
        <rFont val="Arial"/>
        <family val="2"/>
      </rPr>
      <t>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D~O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>12</t>
    </r>
    <r>
      <rPr>
        <i/>
        <sz val="9"/>
        <color rgb="FF555555"/>
        <rFont val="Noto Sans CJK SC"/>
        <family val="2"/>
      </rPr>
      <t>개 지표의 정의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원 구현</t>
    </r>
    <r>
      <rPr>
        <i/>
        <sz val="9"/>
        <color rgb="FF555555"/>
        <rFont val="Arial"/>
        <family val="2"/>
      </rPr>
      <t>: calculate_similarity.py</t>
    </r>
  </si>
  <si>
    <t>#</t>
  </si>
  <si>
    <r>
      <rPr>
        <b/>
        <sz val="10"/>
        <color rgb="FFFFFFFF"/>
        <rFont val="Noto Sans CJK SC"/>
        <family val="2"/>
      </rPr>
      <t>지표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컬럼</t>
    </r>
    <r>
      <rPr>
        <b/>
        <sz val="10"/>
        <color rgb="FFFFFFFF"/>
        <rFont val="Arial"/>
        <family val="2"/>
      </rPr>
      <t>)</t>
    </r>
  </si>
  <si>
    <t>그룹</t>
  </si>
  <si>
    <r>
      <rPr>
        <b/>
        <sz val="10"/>
        <color rgb="FFFFFFFF"/>
        <rFont val="Noto Sans CJK SC"/>
        <family val="2"/>
      </rPr>
      <t xml:space="preserve">산식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정의</t>
    </r>
  </si>
  <si>
    <t>범위</t>
  </si>
  <si>
    <t>어휘</t>
  </si>
  <si>
    <r>
      <rPr>
        <sz val="10"/>
        <rFont val="Noto Sans CJK SC"/>
        <family val="2"/>
      </rPr>
      <t xml:space="preserve">어휘 중복 </t>
    </r>
    <r>
      <rPr>
        <sz val="10"/>
        <rFont val="Arial"/>
        <family val="2"/>
      </rPr>
      <t>F1. P=|</t>
    </r>
    <r>
      <rPr>
        <sz val="10"/>
        <rFont val="Noto Sans CJK SC"/>
        <family val="2"/>
      </rPr>
      <t>공통토큰</t>
    </r>
    <r>
      <rPr>
        <sz val="10"/>
        <rFont val="Arial"/>
        <family val="2"/>
      </rPr>
      <t>|/|</t>
    </r>
    <r>
      <rPr>
        <sz val="10"/>
        <rFont val="Noto Sans CJK SC"/>
        <family val="2"/>
      </rPr>
      <t>후보토큰</t>
    </r>
    <r>
      <rPr>
        <sz val="10"/>
        <rFont val="Arial"/>
        <family val="2"/>
      </rPr>
      <t>|, R=|</t>
    </r>
    <r>
      <rPr>
        <sz val="10"/>
        <rFont val="Noto Sans CJK SC"/>
        <family val="2"/>
      </rPr>
      <t>공통토큰</t>
    </r>
    <r>
      <rPr>
        <sz val="10"/>
        <rFont val="Arial"/>
        <family val="2"/>
      </rPr>
      <t>|/|</t>
    </r>
    <r>
      <rPr>
        <sz val="10"/>
        <rFont val="Noto Sans CJK SC"/>
        <family val="2"/>
      </rPr>
      <t>기준토큰</t>
    </r>
    <r>
      <rPr>
        <sz val="10"/>
        <rFont val="Arial"/>
        <family val="2"/>
      </rPr>
      <t>|, F1=2PR/(P+R)</t>
    </r>
  </si>
  <si>
    <t>0~1</t>
  </si>
  <si>
    <r>
      <rPr>
        <sz val="10"/>
        <rFont val="Arial"/>
        <family val="2"/>
      </rPr>
      <t xml:space="preserve">ROUGE-1: unigram </t>
    </r>
    <r>
      <rPr>
        <sz val="10"/>
        <rFont val="Noto Sans CJK SC"/>
        <family val="2"/>
      </rPr>
      <t>재현율 기반 중복도</t>
    </r>
  </si>
  <si>
    <r>
      <rPr>
        <sz val="10"/>
        <rFont val="Arial"/>
        <family val="2"/>
      </rPr>
      <t xml:space="preserve">ROUGE-2: bigram </t>
    </r>
    <r>
      <rPr>
        <sz val="10"/>
        <rFont val="Noto Sans CJK SC"/>
        <family val="2"/>
      </rPr>
      <t>중복도</t>
    </r>
  </si>
  <si>
    <r>
      <rPr>
        <sz val="10"/>
        <rFont val="Arial"/>
        <family val="2"/>
      </rPr>
      <t xml:space="preserve">ROUGE-L: </t>
    </r>
    <r>
      <rPr>
        <sz val="10"/>
        <rFont val="Noto Sans CJK SC"/>
        <family val="2"/>
      </rPr>
      <t>최장공통부분수열</t>
    </r>
    <r>
      <rPr>
        <sz val="10"/>
        <rFont val="Arial"/>
        <family val="2"/>
      </rPr>
      <t xml:space="preserve">(LCS)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2"/>
      </rPr>
      <t>F-measure</t>
    </r>
  </si>
  <si>
    <r>
      <rPr>
        <sz val="10"/>
        <rFont val="Arial"/>
        <family val="2"/>
      </rPr>
      <t xml:space="preserve">BLEU n=1~4 </t>
    </r>
    <r>
      <rPr>
        <sz val="10"/>
        <rFont val="Noto Sans CJK SC"/>
        <family val="2"/>
      </rPr>
      <t>가중조합의 평균</t>
    </r>
    <r>
      <rPr>
        <sz val="10"/>
        <rFont val="Arial"/>
        <family val="2"/>
      </rPr>
      <t xml:space="preserve">(smoothing </t>
    </r>
    <r>
      <rPr>
        <sz val="10"/>
        <rFont val="Noto Sans CJK SC"/>
        <family val="2"/>
      </rPr>
      <t>적용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</si>
  <si>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TF-IDF </t>
    </r>
    <r>
      <rPr>
        <sz val="10"/>
        <rFont val="Noto Sans CJK SC"/>
        <family val="2"/>
      </rPr>
      <t>벡터 간 코사인 유사도</t>
    </r>
  </si>
  <si>
    <t>의미</t>
  </si>
  <si>
    <r>
      <rPr>
        <sz val="10"/>
        <rFont val="Arial"/>
        <family val="2"/>
      </rPr>
      <t xml:space="preserve">BERTScore F1. </t>
    </r>
    <r>
      <rPr>
        <sz val="10"/>
        <rFont val="Noto Sans CJK SC"/>
        <family val="2"/>
      </rPr>
      <t>청크 분할 후 길이 가중 평균</t>
    </r>
  </si>
  <si>
    <r>
      <rPr>
        <sz val="10"/>
        <rFont val="Arial"/>
        <family val="2"/>
      </rPr>
      <t xml:space="preserve">SBERT </t>
    </r>
    <r>
      <rPr>
        <sz val="10"/>
        <rFont val="Noto Sans CJK SC"/>
        <family val="2"/>
      </rPr>
      <t xml:space="preserve">임베딩 코사인 유사도의 양방향 </t>
    </r>
    <r>
      <rPr>
        <sz val="10"/>
        <rFont val="Arial"/>
        <family val="2"/>
      </rPr>
      <t xml:space="preserve">best-match </t>
    </r>
    <r>
      <rPr>
        <sz val="10"/>
        <rFont val="Noto Sans CJK SC"/>
        <family val="2"/>
      </rPr>
      <t>길이가중 평균</t>
    </r>
  </si>
  <si>
    <r>
      <rPr>
        <sz val="10"/>
        <rFont val="Arial"/>
        <family val="2"/>
      </rPr>
      <t xml:space="preserve">Word Mover </t>
    </r>
    <r>
      <rPr>
        <sz val="10"/>
        <rFont val="Noto Sans CJK SC"/>
        <family val="2"/>
      </rPr>
      <t>계열 거리 기반 유사도</t>
    </r>
  </si>
  <si>
    <t>구조</t>
  </si>
  <si>
    <r>
      <rPr>
        <sz val="10"/>
        <rFont val="Arial"/>
        <family val="2"/>
      </rPr>
      <t xml:space="preserve">MDEval Markdown Awareness. </t>
    </r>
    <r>
      <rPr>
        <sz val="10"/>
        <rFont val="Noto Sans CJK SC"/>
        <family val="2"/>
      </rPr>
      <t xml:space="preserve">마크다운을 </t>
    </r>
    <r>
      <rPr>
        <sz val="10"/>
        <rFont val="Arial"/>
        <family val="2"/>
      </rPr>
      <t>HTML</t>
    </r>
    <r>
      <rPr>
        <sz val="10"/>
        <rFont val="Noto Sans CJK SC"/>
        <family val="2"/>
      </rPr>
      <t xml:space="preserve">형 구조토큰 시퀀스로 변환 후 </t>
    </r>
    <r>
      <rPr>
        <sz val="10"/>
        <rFont val="Arial"/>
        <family val="2"/>
      </rPr>
      <t>1 - Levenshtein(t1,t2)/max(|t1|,|t2|)</t>
    </r>
  </si>
  <si>
    <r>
      <rPr>
        <sz val="10"/>
        <rFont val="Arial"/>
        <family val="2"/>
      </rPr>
      <t xml:space="preserve">TEDS(Tree Edit Distance-based Similarity) </t>
    </r>
    <r>
      <rPr>
        <sz val="10"/>
        <rFont val="Noto Sans CJK SC"/>
        <family val="2"/>
      </rPr>
      <t>문서판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문서를 순서트리로 변환 후 </t>
    </r>
    <r>
      <rPr>
        <sz val="10"/>
        <rFont val="Arial"/>
        <family val="2"/>
      </rPr>
      <t xml:space="preserve">1 - TED(T1,T2)/max(|T1|,|T2|). </t>
    </r>
    <r>
      <rPr>
        <sz val="10"/>
        <rFont val="Noto Sans CJK SC"/>
        <family val="2"/>
      </rPr>
      <t>삽입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삭제 비용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서브트리 크기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치환 비용</t>
    </r>
    <r>
      <rPr>
        <sz val="10"/>
        <rFont val="Arial"/>
        <family val="2"/>
      </rPr>
      <t>=</t>
    </r>
    <r>
      <rPr>
        <sz val="10"/>
        <rFont val="Noto Sans CJK SC"/>
        <family val="2"/>
      </rPr>
      <t xml:space="preserve">라벨 불일치 시 </t>
    </r>
    <r>
      <rPr>
        <sz val="10"/>
        <rFont val="Arial"/>
        <family val="2"/>
      </rPr>
      <t>1</t>
    </r>
  </si>
  <si>
    <r>
      <rPr>
        <sz val="10"/>
        <rFont val="Arial"/>
        <family val="2"/>
      </rPr>
      <t xml:space="preserve">TEDS </t>
    </r>
    <r>
      <rPr>
        <sz val="10"/>
        <rFont val="Noto Sans CJK SC"/>
        <family val="2"/>
      </rPr>
      <t>표판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표를 </t>
    </r>
    <r>
      <rPr>
        <sz val="10"/>
        <rFont val="Arial"/>
        <family val="2"/>
      </rPr>
      <t xml:space="preserve">table&gt;tr&gt;td </t>
    </r>
    <r>
      <rPr>
        <sz val="10"/>
        <rFont val="Noto Sans CJK SC"/>
        <family val="2"/>
      </rPr>
      <t xml:space="preserve">트리로 변환 후 양방향 </t>
    </r>
    <r>
      <rPr>
        <sz val="10"/>
        <rFont val="Arial"/>
        <family val="2"/>
      </rPr>
      <t xml:space="preserve">best-match </t>
    </r>
    <r>
      <rPr>
        <sz val="10"/>
        <rFont val="Noto Sans CJK SC"/>
        <family val="2"/>
      </rPr>
      <t>평균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양쪽 모두 표가 없으면 </t>
    </r>
    <r>
      <rPr>
        <sz val="10"/>
        <rFont val="Arial"/>
        <family val="2"/>
      </rPr>
      <t xml:space="preserve">NaN, </t>
    </r>
    <r>
      <rPr>
        <sz val="10"/>
        <rFont val="Noto Sans CJK SC"/>
        <family val="2"/>
      </rPr>
      <t xml:space="preserve">한쪽만 있으면 </t>
    </r>
    <r>
      <rPr>
        <sz val="10"/>
        <rFont val="Arial"/>
        <family val="2"/>
      </rPr>
      <t>0</t>
    </r>
  </si>
  <si>
    <r>
      <rPr>
        <b/>
        <sz val="11"/>
        <color rgb="FF2F5496"/>
        <rFont val="Noto Sans CJK SC"/>
        <family val="2"/>
      </rPr>
      <t xml:space="preserve">그룹 가중치 </t>
    </r>
    <r>
      <rPr>
        <b/>
        <sz val="11"/>
        <color rgb="FF2F5496"/>
        <rFont val="Arial"/>
        <family val="2"/>
      </rPr>
      <t>(Overall Score)</t>
    </r>
  </si>
  <si>
    <r>
      <rPr>
        <i/>
        <sz val="9"/>
        <color rgb="FF555555"/>
        <rFont val="Noto Sans CJK SC"/>
        <family val="2"/>
      </rPr>
      <t xml:space="preserve">아래 세 값은 논문에서 채택한 가중치이며 </t>
    </r>
    <r>
      <rPr>
        <i/>
        <sz val="9"/>
        <color rgb="FF555555"/>
        <rFont val="Arial"/>
        <family val="2"/>
      </rPr>
      <t>03_</t>
    </r>
    <r>
      <rPr>
        <i/>
        <sz val="9"/>
        <color rgb="FF555555"/>
        <rFont val="Noto Sans CJK SC"/>
        <family val="2"/>
      </rPr>
      <t>가중치민감도에서 검증한다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이 셀을 바꾸면 워크북 전체가 재계산된다</t>
    </r>
    <r>
      <rPr>
        <i/>
        <sz val="9"/>
        <color rgb="FF555555"/>
        <rFont val="Arial"/>
        <family val="2"/>
      </rPr>
      <t>.</t>
    </r>
  </si>
  <si>
    <t>지표 수</t>
  </si>
  <si>
    <t>가중치</t>
  </si>
  <si>
    <r>
      <rPr>
        <b/>
        <sz val="10"/>
        <rFont val="Arial"/>
        <family val="2"/>
      </rPr>
      <t>lexical (</t>
    </r>
    <r>
      <rPr>
        <b/>
        <sz val="10"/>
        <rFont val="Noto Sans CJK SC"/>
        <family val="2"/>
      </rPr>
      <t>어휘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</si>
  <si>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semantic (</t>
    </r>
    <r>
      <rPr>
        <b/>
        <sz val="10"/>
        <rFont val="Noto Sans CJK SC"/>
        <family val="2"/>
      </rPr>
      <t>의미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</si>
  <si>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structure (</t>
    </r>
    <r>
      <rPr>
        <b/>
        <sz val="10"/>
        <rFont val="Noto Sans CJK SC"/>
        <family val="2"/>
      </rPr>
      <t>구조</t>
    </r>
    <r>
      <rPr>
        <b/>
        <sz val="10"/>
        <rFont val="Arial"/>
        <family val="2"/>
      </rPr>
      <t>)</t>
    </r>
  </si>
  <si>
    <t>합계</t>
  </si>
  <si>
    <r>
      <rPr>
        <b/>
        <sz val="11"/>
        <color rgb="FF2F5496"/>
        <rFont val="Arial"/>
        <family val="2"/>
      </rPr>
      <t xml:space="preserve">Overall Score </t>
    </r>
    <r>
      <rPr>
        <b/>
        <sz val="11"/>
        <color rgb="FF2F5496"/>
        <rFont val="Noto Sans CJK SC"/>
        <family val="2"/>
      </rPr>
      <t>산식</t>
    </r>
  </si>
  <si>
    <r>
      <rPr>
        <i/>
        <sz val="9"/>
        <color rgb="FF555555"/>
        <rFont val="Arial"/>
        <family val="2"/>
      </rPr>
      <t>overall_score = w_lex x mean(</t>
    </r>
    <r>
      <rPr>
        <i/>
        <sz val="9"/>
        <color rgb="FF555555"/>
        <rFont val="Noto Sans CJK SC"/>
        <family val="2"/>
      </rPr>
      <t xml:space="preserve">어휘 </t>
    </r>
    <r>
      <rPr>
        <i/>
        <sz val="9"/>
        <color rgb="FF555555"/>
        <rFont val="Arial"/>
        <family val="2"/>
      </rPr>
      <t>6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</rPr>
      <t>) + w_sem x mean(</t>
    </r>
    <r>
      <rPr>
        <i/>
        <sz val="9"/>
        <color rgb="FF555555"/>
        <rFont val="Noto Sans CJK SC"/>
        <family val="2"/>
      </rPr>
      <t xml:space="preserve">의미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</rPr>
      <t>) + w_str x mean(</t>
    </r>
    <r>
      <rPr>
        <i/>
        <sz val="9"/>
        <color rgb="FF555555"/>
        <rFont val="Noto Sans CJK SC"/>
        <family val="2"/>
      </rPr>
      <t xml:space="preserve">구조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</si>
  <si>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Arial"/>
        <family val="2"/>
      </rPr>
      <t xml:space="preserve">  = 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>x C22 + Q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>x C23 + R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 xml:space="preserve">x C24   (P/Q/R = </t>
    </r>
    <r>
      <rPr>
        <i/>
        <sz val="9"/>
        <color rgb="FF555555"/>
        <rFont val="Noto Sans CJK SC"/>
        <family val="2"/>
      </rPr>
      <t>각 그룹 내 단순평균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</si>
  <si>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주의</t>
    </r>
    <r>
      <rPr>
        <i/>
        <sz val="9"/>
        <color rgb="FF555555"/>
        <rFont val="Arial"/>
        <family val="2"/>
      </rPr>
      <t>: overall_document_structure_similarity(=0.40·MA+0.40·TEDS_doc+0.20·TEDS_table)</t>
    </r>
    <r>
      <rPr>
        <i/>
        <sz val="9"/>
        <color rgb="FF555555"/>
        <rFont val="Noto Sans CJK SC"/>
        <family val="2"/>
      </rPr>
      <t>는 나머지 세 구조 지표의 가중평균이므로 이중계산을 피하기 위해 점수 산식에서 제외한다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</si>
  <si>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 xml:space="preserve">표기 방언 처리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>본 워크북 원자료의 전제</t>
    </r>
    <r>
      <rPr>
        <b/>
        <sz val="11"/>
        <color rgb="FF2F5496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</si>
  <si>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구조 지표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종</t>
    </r>
    <r>
      <rPr>
        <i/>
        <sz val="9"/>
        <color rgb="FF555555"/>
        <rFont val="Arial"/>
        <family val="2"/>
      </rPr>
      <t>(MA, TEDS_doc)</t>
    </r>
    <r>
      <rPr>
        <i/>
        <sz val="9"/>
        <color rgb="FF555555"/>
        <rFont val="Noto Sans CJK SC"/>
        <family val="2"/>
      </rPr>
      <t>은 마크다운 제목 표기 방언에 민감하다</t>
    </r>
    <r>
      <rPr>
        <i/>
        <sz val="9"/>
        <color rgb="FF555555"/>
        <rFont val="Arial"/>
        <family val="2"/>
      </rPr>
      <t xml:space="preserve">. Claude·GPT·Mistral </t>
    </r>
    <r>
      <rPr>
        <i/>
        <sz val="9"/>
        <color rgb="FF555555"/>
        <rFont val="Noto Sans CJK SC"/>
        <family val="2"/>
      </rPr>
      <t xml:space="preserve">산출물은 </t>
    </r>
    <r>
      <rPr>
        <i/>
        <sz val="9"/>
        <color rgb="FF555555"/>
        <rFont val="Arial"/>
        <family val="2"/>
      </rPr>
      <t>Setext(</t>
    </r>
    <r>
      <rPr>
        <i/>
        <sz val="9"/>
        <color rgb="FF555555"/>
        <rFont val="Noto Sans CJK SC"/>
        <family val="2"/>
      </rPr>
      <t xml:space="preserve">제목 아래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또는 </t>
    </r>
    <r>
      <rPr>
        <i/>
        <sz val="9"/>
        <color rgb="FF555555"/>
        <rFont val="Arial"/>
        <family val="2"/>
      </rPr>
      <t xml:space="preserve">--- </t>
    </r>
    <r>
      <rPr>
        <i/>
        <sz val="9"/>
        <color rgb="FF555555"/>
        <rFont val="Noto Sans CJK SC"/>
        <family val="2"/>
      </rPr>
      <t>반복</t>
    </r>
    <r>
      <rPr>
        <i/>
        <sz val="9"/>
        <color rgb="FF555555"/>
        <rFont val="Arial"/>
        <family val="2"/>
      </rPr>
      <t xml:space="preserve">), Gemini·Qwen3.6 </t>
    </r>
    <r>
      <rPr>
        <i/>
        <sz val="9"/>
        <color rgb="FF555555"/>
        <rFont val="Noto Sans CJK SC"/>
        <family val="2"/>
      </rPr>
      <t xml:space="preserve">및 로컬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종은 </t>
    </r>
    <r>
      <rPr>
        <i/>
        <sz val="9"/>
        <color rgb="FF555555"/>
        <rFont val="Arial"/>
        <family val="2"/>
      </rPr>
      <t xml:space="preserve">ATX(# </t>
    </r>
    <r>
      <rPr>
        <i/>
        <sz val="9"/>
        <color rgb="FF555555"/>
        <rFont val="Noto Sans CJK SC"/>
        <family val="2"/>
      </rPr>
      <t>접두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방식을 사용한다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</si>
  <si>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ATX</t>
    </r>
    <r>
      <rPr>
        <i/>
        <sz val="9"/>
        <color rgb="FF555555"/>
        <rFont val="Noto Sans CJK SC"/>
        <family val="2"/>
      </rPr>
      <t xml:space="preserve">만 인식하는 파서를 쓰면 </t>
    </r>
    <r>
      <rPr>
        <i/>
        <sz val="9"/>
        <color rgb="FF555555"/>
        <rFont val="Arial"/>
        <family val="2"/>
      </rPr>
      <t xml:space="preserve">Setext </t>
    </r>
    <r>
      <rPr>
        <i/>
        <sz val="9"/>
        <color rgb="FF555555"/>
        <rFont val="Noto Sans CJK SC"/>
        <family val="2"/>
      </rPr>
      <t xml:space="preserve">문서의 계층이 소실되어 </t>
    </r>
    <r>
      <rPr>
        <i/>
        <sz val="9"/>
        <color rgb="FF555555"/>
        <rFont val="Arial"/>
        <family val="2"/>
      </rPr>
      <t>TEDS_doc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으로 절단된다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전체의 </t>
    </r>
    <r>
      <rPr>
        <i/>
        <sz val="9"/>
        <color rgb="FF555555"/>
        <rFont val="Arial"/>
        <family val="2"/>
      </rPr>
      <t xml:space="preserve">60.2%). </t>
    </r>
    <r>
      <rPr>
        <i/>
        <sz val="9"/>
        <color rgb="FF555555"/>
        <rFont val="Noto Sans CJK SC"/>
        <family val="2"/>
      </rPr>
      <t>본 워크북 원자료는 두 방언을 모두 인식하는 파서로 전수 재계산한 값이다</t>
    </r>
    <r>
      <rPr>
        <i/>
        <sz val="9"/>
        <color rgb="FF555555"/>
        <rFont val="Arial"/>
        <family val="2"/>
      </rPr>
      <t xml:space="preserve">(0 </t>
    </r>
    <r>
      <rPr>
        <i/>
        <sz val="9"/>
        <color rgb="FF555555"/>
        <rFont val="Noto Sans CJK SC"/>
        <family val="2"/>
      </rPr>
      <t xml:space="preserve">비율 </t>
    </r>
    <r>
      <rPr>
        <i/>
        <sz val="9"/>
        <color rgb="FF555555"/>
        <rFont val="Arial"/>
        <family val="2"/>
      </rPr>
      <t xml:space="preserve">8.4%, </t>
    </r>
    <r>
      <rPr>
        <i/>
        <sz val="9"/>
        <color rgb="FF555555"/>
        <rFont val="Noto Sans CJK SC"/>
        <family val="2"/>
      </rPr>
      <t xml:space="preserve">평균 </t>
    </r>
    <r>
      <rPr>
        <i/>
        <sz val="9"/>
        <color rgb="FF555555"/>
        <rFont val="Arial"/>
        <family val="2"/>
      </rPr>
      <t>0.2543 → 0.4783).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</si>
  <si>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3. Overall Score </t>
    </r>
    <r>
      <rPr>
        <b/>
        <sz val="14"/>
        <rFont val="Noto Sans CJK SC"/>
        <family val="2"/>
      </rPr>
      <t>가중치 민감도 검증</t>
    </r>
  </si>
  <si>
    <r>
      <rPr>
        <i/>
        <sz val="9"/>
        <color rgb="FF555555"/>
        <rFont val="Noto Sans CJK SC"/>
        <family val="2"/>
      </rPr>
      <t>가중치 조합을 바꿔도 모델 순위와 점수 서열이 유지되는지 확인한다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분석단위</t>
    </r>
    <r>
      <rPr>
        <i/>
        <sz val="9"/>
        <color rgb="FF555555"/>
        <rFont val="Arial"/>
        <family val="2"/>
      </rPr>
      <t xml:space="preserve">: 975 </t>
    </r>
    <r>
      <rPr>
        <i/>
        <sz val="9"/>
        <color rgb="FF555555"/>
        <rFont val="Noto Sans CJK SC"/>
        <family val="2"/>
      </rPr>
      <t>평가쌍</t>
    </r>
  </si>
  <si>
    <t>시나리오</t>
  </si>
  <si>
    <t>w_lex</t>
  </si>
  <si>
    <t>w_sem</t>
  </si>
  <si>
    <t>w_str</t>
  </si>
  <si>
    <r>
      <rPr>
        <b/>
        <sz val="10"/>
        <color rgb="FFFFFFFF"/>
        <rFont val="Arial"/>
        <family val="2"/>
      </rPr>
      <t xml:space="preserve">Gemma </t>
    </r>
    <r>
      <rPr>
        <b/>
        <sz val="10"/>
        <color rgb="FFFFFFFF"/>
        <rFont val="Noto Sans CJK SC"/>
        <family val="2"/>
      </rPr>
      <t>평균</t>
    </r>
  </si>
  <si>
    <r>
      <rPr>
        <b/>
        <sz val="10"/>
        <color rgb="FFFFFFFF"/>
        <rFont val="Arial"/>
        <family val="2"/>
      </rPr>
      <t xml:space="preserve">Ministral </t>
    </r>
    <r>
      <rPr>
        <b/>
        <sz val="10"/>
        <color rgb="FFFFFFFF"/>
        <rFont val="Noto Sans CJK SC"/>
        <family val="2"/>
      </rPr>
      <t>평균</t>
    </r>
  </si>
  <si>
    <r>
      <rPr>
        <b/>
        <sz val="10"/>
        <color rgb="FFFFFFFF"/>
        <rFont val="Arial"/>
        <family val="2"/>
      </rPr>
      <t xml:space="preserve">Qwen </t>
    </r>
    <r>
      <rPr>
        <b/>
        <sz val="10"/>
        <color rgb="FFFFFFFF"/>
        <rFont val="Noto Sans CJK SC"/>
        <family val="2"/>
      </rPr>
      <t>평균</t>
    </r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</si>
  <si>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위 모델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</si>
  <si>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위 모델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</si>
  <si>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위 모델</t>
    </r>
  </si>
  <si>
    <r>
      <rPr>
        <b/>
        <sz val="10"/>
        <color rgb="FFFFFFFF"/>
        <rFont val="Arial"/>
        <family val="2"/>
      </rPr>
      <t xml:space="preserve">baseline </t>
    </r>
    <r>
      <rPr>
        <b/>
        <sz val="10"/>
        <color rgb="FFFFFFFF"/>
        <rFont val="Noto Sans CJK SC"/>
        <family val="2"/>
      </rPr>
      <t xml:space="preserve">대비 </t>
    </r>
    <r>
      <rPr>
        <b/>
        <sz val="10"/>
        <color rgb="FFFFFFFF"/>
        <rFont val="Arial"/>
        <family val="2"/>
      </rPr>
      <t>Spearman rho</t>
    </r>
  </si>
  <si>
    <t>baseline (20/45/35)</t>
  </si>
  <si>
    <t>lex_heavy (40/30/30)</t>
  </si>
  <si>
    <t>sem_heavy (20/50/30)</t>
  </si>
  <si>
    <t>struct_heavy (20/20/60)</t>
  </si>
  <si>
    <t>equal (1/3 each)</t>
  </si>
  <si>
    <t>sem_struct (0/50/50)</t>
  </si>
  <si>
    <r>
      <rPr>
        <b/>
        <sz val="10"/>
        <rFont val="Arial"/>
        <family val="2"/>
      </rPr>
      <t xml:space="preserve">Spearman rho </t>
    </r>
    <r>
      <rPr>
        <b/>
        <sz val="10"/>
        <rFont val="Noto Sans CJK SC"/>
        <family val="2"/>
      </rPr>
      <t>범위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</si>
  <si>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>: 6</t>
    </r>
    <r>
      <rPr>
        <i/>
        <sz val="9"/>
        <color rgb="FF555555"/>
        <rFont val="Noto Sans CJK SC"/>
        <family val="2"/>
      </rPr>
      <t xml:space="preserve">개 시나리오 전부에서 </t>
    </r>
    <r>
      <rPr>
        <i/>
        <sz val="9"/>
        <color rgb="FF555555"/>
        <rFont val="Arial"/>
        <family val="2"/>
      </rPr>
      <t>Ministral</t>
    </r>
    <r>
      <rPr>
        <i/>
        <sz val="9"/>
        <color rgb="FF555555"/>
        <rFont val="Noto Sans CJK SC"/>
        <family val="2"/>
      </rPr>
      <t>이 최하위로 고정되고</t>
    </r>
    <r>
      <rPr>
        <i/>
        <sz val="9"/>
        <color rgb="FF555555"/>
        <rFont val="Arial"/>
        <family val="2"/>
      </rPr>
      <t xml:space="preserve">, baseline </t>
    </r>
    <r>
      <rPr>
        <i/>
        <sz val="9"/>
        <color rgb="FF555555"/>
        <rFont val="Noto Sans CJK SC"/>
        <family val="2"/>
      </rPr>
      <t xml:space="preserve">대비 </t>
    </r>
    <r>
      <rPr>
        <i/>
        <sz val="9"/>
        <color rgb="FF555555"/>
        <rFont val="Arial"/>
        <family val="2"/>
      </rPr>
      <t xml:space="preserve">Spearman </t>
    </r>
    <r>
      <rPr>
        <i/>
        <sz val="9"/>
        <color rgb="FF555555"/>
        <rFont val="Noto Sans CJK SC"/>
        <family val="2"/>
      </rPr>
      <t xml:space="preserve">순위 상관이 모두 </t>
    </r>
    <r>
      <rPr>
        <i/>
        <sz val="9"/>
        <color rgb="FF555555"/>
        <rFont val="Arial"/>
        <family val="2"/>
      </rPr>
      <t xml:space="preserve">0.98 </t>
    </r>
    <r>
      <rPr>
        <i/>
        <sz val="9"/>
        <color rgb="FF555555"/>
        <rFont val="Noto Sans CJK SC"/>
        <family val="2"/>
      </rPr>
      <t>이상이다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즉 </t>
    </r>
    <r>
      <rPr>
        <i/>
        <sz val="9"/>
        <color rgb="FF555555"/>
        <rFont val="Arial"/>
        <family val="2"/>
      </rPr>
      <t>Overall Score</t>
    </r>
    <r>
      <rPr>
        <i/>
        <sz val="9"/>
        <color rgb="FF555555"/>
        <rFont val="Noto Sans CJK SC"/>
        <family val="2"/>
      </rPr>
      <t>의 결론은 가중치 선택에 강건하다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</si>
  <si>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단</t>
    </r>
    <r>
      <rPr>
        <i/>
        <sz val="9"/>
        <color rgb="FF555555"/>
        <rFont val="Arial"/>
        <family val="2"/>
      </rPr>
      <t>, Gemma</t>
    </r>
    <r>
      <rPr>
        <i/>
        <sz val="9"/>
        <color rgb="FF555555"/>
        <rFont val="Noto Sans CJK SC"/>
        <family val="2"/>
      </rPr>
      <t xml:space="preserve">와 </t>
    </r>
    <r>
      <rPr>
        <i/>
        <sz val="9"/>
        <color rgb="FF555555"/>
        <rFont val="Arial"/>
        <family val="2"/>
      </rPr>
      <t>Qwen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>1·2</t>
    </r>
    <r>
      <rPr>
        <i/>
        <sz val="9"/>
        <color rgb="FF555555"/>
        <rFont val="Noto Sans CJK SC"/>
        <family val="2"/>
      </rPr>
      <t>위 순서는 시나리오에 따라 뒤바뀐다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두 모델 평균 차이 </t>
    </r>
    <r>
      <rPr>
        <i/>
        <sz val="9"/>
        <color rgb="FF555555"/>
        <rFont val="Arial"/>
        <family val="2"/>
      </rPr>
      <t xml:space="preserve">0.003 </t>
    </r>
    <r>
      <rPr>
        <i/>
        <sz val="9"/>
        <color rgb="FF555555"/>
        <rFont val="Noto Sans CJK SC"/>
        <family val="2"/>
      </rPr>
      <t>미만</t>
    </r>
    <r>
      <rPr>
        <i/>
        <sz val="9"/>
        <color rgb="FF555555"/>
        <rFont val="Arial"/>
        <family val="2"/>
      </rPr>
      <t xml:space="preserve">). </t>
    </r>
    <r>
      <rPr>
        <i/>
        <sz val="9"/>
        <color rgb="FF555555"/>
        <rFont val="Noto Sans CJK SC"/>
        <family val="2"/>
      </rPr>
      <t>따라서 논문은 두 모델의 순위를 해석하지 않는다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</si>
  <si>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rho</t>
    </r>
    <r>
      <rPr>
        <i/>
        <sz val="9"/>
        <color rgb="FF555555"/>
        <rFont val="Noto Sans CJK SC"/>
        <family val="2"/>
      </rPr>
      <t xml:space="preserve">의 분석 단위는 </t>
    </r>
    <r>
      <rPr>
        <i/>
        <sz val="9"/>
        <color rgb="FF555555"/>
        <rFont val="Arial"/>
        <family val="2"/>
      </rPr>
      <t>975</t>
    </r>
    <r>
      <rPr>
        <i/>
        <sz val="9"/>
        <color rgb="FF555555"/>
        <rFont val="Noto Sans CJK SC"/>
        <family val="2"/>
      </rPr>
      <t>개 평가쌍의 점수다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모델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개의 순위만으로 </t>
    </r>
    <r>
      <rPr>
        <i/>
        <sz val="9"/>
        <color rgb="FF555555"/>
        <rFont val="Arial"/>
        <family val="2"/>
      </rPr>
      <t>Spearman</t>
    </r>
    <r>
      <rPr>
        <i/>
        <sz val="9"/>
        <color rgb="FF555555"/>
        <rFont val="Noto Sans CJK SC"/>
        <family val="2"/>
      </rPr>
      <t xml:space="preserve">을 계산하면 값이 </t>
    </r>
    <r>
      <rPr>
        <i/>
        <sz val="9"/>
        <color rgb="FF555555"/>
        <rFont val="Arial"/>
        <family val="2"/>
      </rPr>
      <t xml:space="preserve">1.0 </t>
    </r>
    <r>
      <rPr>
        <i/>
        <sz val="9"/>
        <color rgb="FF555555"/>
        <rFont val="Noto Sans CJK SC"/>
        <family val="2"/>
      </rPr>
      <t xml:space="preserve">또는 </t>
    </r>
    <r>
      <rPr>
        <i/>
        <sz val="9"/>
        <color rgb="FF555555"/>
        <rFont val="Arial"/>
        <family val="2"/>
      </rPr>
      <t>0.5</t>
    </r>
    <r>
      <rPr>
        <i/>
        <sz val="9"/>
        <color rgb="FF555555"/>
        <rFont val="Noto Sans CJK SC"/>
        <family val="2"/>
      </rPr>
      <t>만 가능하므로 민감도 지표로 쓸 수 없다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</si>
  <si>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 xml:space="preserve">sem_struct </t>
    </r>
    <r>
      <rPr>
        <i/>
        <sz val="9"/>
        <color rgb="FF555555"/>
        <rFont val="Noto Sans CJK SC"/>
        <family val="2"/>
      </rPr>
      <t xml:space="preserve">시나리오는 어휘 가중치가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이므로 어휘 그룹을 완전히 배제한 극단 검증이다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</si>
  <si>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가중치 시나리오별 평가쌍 점수와 순위 </t>
    </r>
    <r>
      <rPr>
        <b/>
        <sz val="14"/>
        <rFont val="Arial"/>
        <family val="2"/>
      </rPr>
      <t>(03_</t>
    </r>
    <r>
      <rPr>
        <b/>
        <sz val="14"/>
        <rFont val="Noto Sans CJK SC"/>
        <family val="2"/>
      </rPr>
      <t>가중치민감도 계산용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</si>
  <si>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Arial"/>
        <family val="2"/>
      </rPr>
      <t>E~J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각 시나리오의 </t>
    </r>
    <r>
      <rPr>
        <i/>
        <sz val="9"/>
        <color rgb="FF555555"/>
        <rFont val="Arial"/>
        <family val="2"/>
      </rPr>
      <t>975</t>
    </r>
    <r>
      <rPr>
        <i/>
        <sz val="9"/>
        <color rgb="FF555555"/>
        <rFont val="Noto Sans CJK SC"/>
        <family val="2"/>
      </rPr>
      <t>개 평가쌍 점수</t>
    </r>
    <r>
      <rPr>
        <i/>
        <sz val="9"/>
        <color rgb="FF555555"/>
        <rFont val="Arial"/>
        <family val="2"/>
      </rPr>
      <t>, K~P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>그 평균순위</t>
    </r>
    <r>
      <rPr>
        <i/>
        <sz val="9"/>
        <color rgb="FF555555"/>
        <rFont val="Arial"/>
        <family val="2"/>
      </rPr>
      <t xml:space="preserve">. Spearman rho = </t>
    </r>
    <r>
      <rPr>
        <i/>
        <sz val="9"/>
        <color rgb="FF555555"/>
        <rFont val="Noto Sans CJK SC"/>
        <family val="2"/>
      </rPr>
      <t xml:space="preserve">순위끼리의 </t>
    </r>
    <r>
      <rPr>
        <i/>
        <sz val="9"/>
        <color rgb="FF555555"/>
        <rFont val="Arial"/>
        <family val="2"/>
      </rPr>
      <t>CORREL.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</si>
  <si>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baseline (20/45/35)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</si>
  <si>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lex_heavy (40/30/30)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</si>
  <si>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sem_heavy (20/50/30)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</si>
  <si>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struct_heavy (20/20/60)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</si>
  <si>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equal (1/3 each)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</si>
  <si>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sem_struct (0/50/50)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</si>
  <si>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baseline (20/45/35)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</si>
  <si>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lex_heavy (40/30/30)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</si>
  <si>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sem_heavy (20/50/30)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</si>
  <si>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struct_heavy (20/20/60)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</si>
  <si>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equal (1/3 each)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</si>
  <si>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sem_struct (0/50/50)</t>
    </r>
  </si>
  <si>
    <r>
      <rPr>
        <b/>
        <sz val="14"/>
        <rFont val="Noto Sans CJK SC"/>
        <family val="2"/>
      </rPr>
      <t xml:space="preserve">레퍼런스 </t>
    </r>
    <r>
      <rPr>
        <b/>
        <sz val="14"/>
        <rFont val="Arial"/>
        <family val="2"/>
      </rPr>
      <t xml:space="preserve">x </t>
    </r>
    <r>
      <rPr>
        <b/>
        <sz val="14"/>
        <rFont val="Noto Sans CJK SC"/>
        <family val="2"/>
      </rPr>
      <t xml:space="preserve">모델 교차표 </t>
    </r>
    <r>
      <rPr>
        <b/>
        <sz val="14"/>
        <rFont val="Arial"/>
        <family val="2"/>
      </rPr>
      <t xml:space="preserve">(Overall Score </t>
    </r>
    <r>
      <rPr>
        <b/>
        <sz val="14"/>
        <rFont val="Noto Sans CJK SC"/>
        <family val="2"/>
      </rPr>
      <t>셀 평균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</si>
  <si>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각 셀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65</t>
    </r>
    <r>
      <rPr>
        <i/>
        <sz val="9"/>
        <color rgb="FF555555"/>
        <rFont val="Noto Sans CJK SC"/>
        <family val="2"/>
      </rPr>
      <t>건 평균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이 표가 이원분산분석</t>
    </r>
    <r>
      <rPr>
        <i/>
        <sz val="9"/>
        <color rgb="FF555555"/>
        <rFont val="Arial"/>
        <family val="2"/>
      </rPr>
      <t>·</t>
    </r>
    <r>
      <rPr>
        <i/>
        <sz val="9"/>
        <color rgb="FF555555"/>
        <rFont val="Noto Sans CJK SC"/>
        <family val="2"/>
      </rPr>
      <t>계열편향 분석의 공통 입력이다</t>
    </r>
    <r>
      <rPr>
        <i/>
        <sz val="9"/>
        <color rgb="FF555555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</si>
  <si>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>행평균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관대함</t>
    </r>
    <r>
      <rPr>
        <b/>
        <sz val="10"/>
        <color rgb="FFFFFFFF"/>
        <rFont val="Arial"/>
        <family val="2"/>
      </rPr>
      <t>)</t>
    </r>
  </si>
  <si>
    <t>표시명</t>
  </si>
  <si>
    <t>ChatGPT</t>
  </si>
  <si>
    <t>Claude</t>
  </si>
  <si>
    <t>Gemini</t>
  </si>
  <si>
    <t>Mistral</t>
  </si>
  <si>
    <t>Qwen3.6</t>
  </si>
  <si>
    <r>
      <rPr>
        <b/>
        <sz val="10"/>
        <rFont val="Noto Sans CJK SC"/>
        <family val="2"/>
      </rPr>
      <t>열평균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모델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</si>
  <si>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← 총평균 </t>
    </r>
    <r>
      <rPr>
        <i/>
        <sz val="9"/>
        <color rgb="FF555555"/>
        <rFont val="Arial"/>
        <family val="2"/>
      </rPr>
      <t>G</t>
    </r>
  </si>
  <si>
    <r>
      <rPr>
        <i/>
        <sz val="9"/>
        <color rgb="FF555555"/>
        <rFont val="Noto Sans CJK SC"/>
        <family val="2"/>
      </rPr>
      <t xml:space="preserve">셀당 관측수 </t>
    </r>
    <r>
      <rPr>
        <i/>
        <sz val="9"/>
        <color rgb="FF555555"/>
        <rFont val="Arial"/>
        <family val="2"/>
      </rPr>
      <t>n</t>
    </r>
  </si>
  <si>
    <r>
      <rPr>
        <b/>
        <sz val="11"/>
        <color rgb="FF2F5496"/>
        <rFont val="Noto Sans CJK SC"/>
        <family val="2"/>
      </rPr>
      <t xml:space="preserve">이중 중심화 잔차 </t>
    </r>
    <r>
      <rPr>
        <b/>
        <sz val="11"/>
        <color rgb="FF2F5496"/>
        <rFont val="Arial"/>
        <family val="2"/>
      </rPr>
      <t>D* = (</t>
    </r>
    <r>
      <rPr>
        <b/>
        <sz val="11"/>
        <color rgb="FF2F5496"/>
        <rFont val="Noto Sans CJK SC"/>
        <family val="2"/>
      </rPr>
      <t>셀</t>
    </r>
    <r>
      <rPr>
        <b/>
        <sz val="11"/>
        <color rgb="FF2F5496"/>
        <rFont val="Arial"/>
        <family val="2"/>
      </rPr>
      <t>) - (</t>
    </r>
    <r>
      <rPr>
        <b/>
        <sz val="11"/>
        <color rgb="FF2F5496"/>
        <rFont val="Noto Sans CJK SC"/>
        <family val="2"/>
      </rPr>
      <t>행평균</t>
    </r>
    <r>
      <rPr>
        <b/>
        <sz val="11"/>
        <color rgb="FF2F5496"/>
        <rFont val="Arial"/>
        <family val="2"/>
      </rPr>
      <t>) - (</t>
    </r>
    <r>
      <rPr>
        <b/>
        <sz val="11"/>
        <color rgb="FF2F5496"/>
        <rFont val="Noto Sans CJK SC"/>
        <family val="2"/>
      </rPr>
      <t>열평균</t>
    </r>
    <r>
      <rPr>
        <b/>
        <sz val="11"/>
        <color rgb="FF2F5496"/>
        <rFont val="Arial"/>
        <family val="2"/>
      </rPr>
      <t>) + (</t>
    </r>
    <r>
      <rPr>
        <b/>
        <sz val="11"/>
        <color rgb="FF2F5496"/>
        <rFont val="Noto Sans CJK SC"/>
        <family val="2"/>
      </rPr>
      <t>총평균</t>
    </r>
    <r>
      <rPr>
        <b/>
        <sz val="11"/>
        <color rgb="FF2F5496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</si>
  <si>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레퍼런스의 관대함과 모델의 실력을 동시에 제거한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조합 고유의 상호작용 성분이다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</si>
  <si>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합계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검산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</si>
  <si>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검산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이중 중심화 잔차는 행 방향</t>
    </r>
    <r>
      <rPr>
        <i/>
        <sz val="9"/>
        <color rgb="FF555555"/>
        <rFont val="Arial"/>
        <family val="2"/>
      </rPr>
      <t>·</t>
    </r>
    <r>
      <rPr>
        <i/>
        <sz val="9"/>
        <color rgb="FF555555"/>
        <rFont val="Noto Sans CJK SC"/>
        <family val="2"/>
      </rPr>
      <t xml:space="preserve">열 방향 합이 모두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이 되어야 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</si>
  <si>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이원분산분석</t>
    </r>
    <r>
      <rPr>
        <b/>
        <sz val="14"/>
        <rFont val="Arial"/>
        <family val="2"/>
      </rPr>
      <t xml:space="preserve">: </t>
    </r>
    <r>
      <rPr>
        <b/>
        <sz val="14"/>
        <rFont val="Noto Sans CJK SC"/>
        <family val="2"/>
      </rPr>
      <t xml:space="preserve">레퍼런스 효과 </t>
    </r>
    <r>
      <rPr>
        <b/>
        <sz val="14"/>
        <rFont val="Arial"/>
        <family val="2"/>
      </rPr>
      <t xml:space="preserve">/ </t>
    </r>
    <r>
      <rPr>
        <b/>
        <sz val="14"/>
        <rFont val="Noto Sans CJK SC"/>
        <family val="2"/>
      </rPr>
      <t xml:space="preserve">모델 효과 </t>
    </r>
    <r>
      <rPr>
        <b/>
        <sz val="14"/>
        <rFont val="Arial"/>
        <family val="2"/>
      </rPr>
      <t xml:space="preserve">/ </t>
    </r>
    <r>
      <rPr>
        <b/>
        <sz val="14"/>
        <rFont val="Noto Sans CJK SC"/>
        <family val="2"/>
      </rPr>
      <t xml:space="preserve">상호작용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>4.2)</t>
    </r>
  </si>
  <si>
    <r>
      <rPr>
        <i/>
        <sz val="9"/>
        <color rgb="FF555555"/>
        <rFont val="Noto Sans CJK SC"/>
        <family val="2"/>
      </rPr>
      <t xml:space="preserve">평방합 분해로 </t>
    </r>
    <r>
      <rPr>
        <i/>
        <sz val="9"/>
        <color rgb="FF555555"/>
        <rFont val="Arial"/>
        <family val="2"/>
      </rPr>
      <t xml:space="preserve">Overall Score </t>
    </r>
    <r>
      <rPr>
        <i/>
        <sz val="9"/>
        <color rgb="FF555555"/>
        <rFont val="Noto Sans CJK SC"/>
        <family val="2"/>
      </rPr>
      <t>총변동을 세 요인에 배분한다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설계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레퍼런스 </t>
    </r>
    <r>
      <rPr>
        <i/>
        <sz val="9"/>
        <color rgb="FF555555"/>
        <rFont val="Arial"/>
        <family val="2"/>
      </rPr>
      <t xml:space="preserve">5 x </t>
    </r>
    <r>
      <rPr>
        <i/>
        <sz val="9"/>
        <color rgb="FF555555"/>
        <rFont val="Noto Sans CJK SC"/>
        <family val="2"/>
      </rPr>
      <t xml:space="preserve">모델 </t>
    </r>
    <r>
      <rPr>
        <i/>
        <sz val="9"/>
        <color rgb="FF555555"/>
        <rFont val="Arial"/>
        <family val="2"/>
      </rPr>
      <t xml:space="preserve">3 x 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65 = 975 (</t>
    </r>
    <r>
      <rPr>
        <i/>
        <sz val="9"/>
        <color rgb="FF555555"/>
        <rFont val="Noto Sans CJK SC"/>
        <family val="2"/>
      </rPr>
      <t>균형설계</t>
    </r>
    <r>
      <rPr>
        <i/>
        <sz val="9"/>
        <color rgb="FF555555"/>
        <rFont val="Arial"/>
        <family val="2"/>
      </rPr>
      <t>)</t>
    </r>
  </si>
  <si>
    <t>기본량</t>
  </si>
  <si>
    <r>
      <rPr>
        <b/>
        <sz val="10"/>
        <rFont val="Arial"/>
        <family val="2"/>
      </rPr>
      <t>N (</t>
    </r>
    <r>
      <rPr>
        <b/>
        <sz val="10"/>
        <rFont val="Noto Sans CJK SC"/>
        <family val="2"/>
      </rPr>
      <t>총 관측수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</si>
  <si>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a (</t>
    </r>
    <r>
      <rPr>
        <b/>
        <sz val="10"/>
        <rFont val="Noto Sans CJK SC"/>
        <family val="2"/>
      </rPr>
      <t>레퍼런스 수준수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</si>
  <si>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b (</t>
    </r>
    <r>
      <rPr>
        <b/>
        <sz val="10"/>
        <rFont val="Noto Sans CJK SC"/>
        <family val="2"/>
      </rPr>
      <t>모델 수준수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</si>
  <si>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r (</t>
    </r>
    <r>
      <rPr>
        <b/>
        <sz val="10"/>
        <rFont val="Noto Sans CJK SC"/>
        <family val="2"/>
      </rPr>
      <t xml:space="preserve">셀당 반복수 </t>
    </r>
    <r>
      <rPr>
        <b/>
        <sz val="10"/>
        <rFont val="Arial"/>
        <family val="2"/>
      </rPr>
      <t xml:space="preserve">= </t>
    </r>
    <r>
      <rPr>
        <b/>
        <sz val="10"/>
        <rFont val="Noto Sans CJK SC"/>
        <family val="2"/>
      </rPr>
      <t>문서 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</si>
  <si>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G (</t>
    </r>
    <r>
      <rPr>
        <b/>
        <sz val="10"/>
        <rFont val="Noto Sans CJK SC"/>
        <family val="2"/>
      </rPr>
      <t>총평균</t>
    </r>
    <r>
      <rPr>
        <b/>
        <sz val="10"/>
        <rFont val="Arial"/>
        <family val="2"/>
      </rPr>
      <t>)</t>
    </r>
  </si>
  <si>
    <t>평방합 분해</t>
  </si>
  <si>
    <t>요인</t>
  </si>
  <si>
    <r>
      <rPr>
        <b/>
        <sz val="10"/>
        <color rgb="FFFFFFFF"/>
        <rFont val="Noto Sans CJK SC"/>
        <family val="2"/>
      </rPr>
      <t xml:space="preserve">평방합 </t>
    </r>
    <r>
      <rPr>
        <b/>
        <sz val="10"/>
        <color rgb="FFFFFFFF"/>
        <rFont val="Arial"/>
        <family val="2"/>
      </rPr>
      <t>SS</t>
    </r>
  </si>
  <si>
    <t>산식</t>
  </si>
  <si>
    <r>
      <rPr>
        <b/>
        <sz val="10"/>
        <color rgb="FFFFFFFF"/>
        <rFont val="Noto Sans CJK SC"/>
        <family val="2"/>
      </rPr>
      <t xml:space="preserve">자유도 </t>
    </r>
    <r>
      <rPr>
        <b/>
        <sz val="10"/>
        <color rgb="FFFFFFFF"/>
        <rFont val="Arial"/>
        <family val="2"/>
      </rPr>
      <t>df</t>
    </r>
  </si>
  <si>
    <r>
      <rPr>
        <b/>
        <sz val="10"/>
        <color rgb="FFFFFFFF"/>
        <rFont val="Noto Sans CJK SC"/>
        <family val="2"/>
      </rPr>
      <t xml:space="preserve">평균제곱 </t>
    </r>
    <r>
      <rPr>
        <b/>
        <sz val="10"/>
        <color rgb="FFFFFFFF"/>
        <rFont val="Arial"/>
        <family val="2"/>
      </rPr>
      <t>MS</t>
    </r>
  </si>
  <si>
    <t>F</t>
  </si>
  <si>
    <t>p</t>
  </si>
  <si>
    <t>eta squared</t>
  </si>
  <si>
    <r>
      <rPr>
        <b/>
        <sz val="10"/>
        <rFont val="Noto Sans CJK SC"/>
        <family val="2"/>
      </rPr>
      <t xml:space="preserve">레퍼런스 </t>
    </r>
    <r>
      <rPr>
        <b/>
        <sz val="10"/>
        <rFont val="Arial"/>
        <family val="2"/>
      </rPr>
      <t>(A)</t>
    </r>
  </si>
  <si>
    <r>
      <rPr>
        <i/>
        <sz val="9"/>
        <color rgb="FF555555"/>
        <rFont val="Arial"/>
        <family val="2"/>
      </rPr>
      <t>SS_A = b·r·Σ_i (</t>
    </r>
    <r>
      <rPr>
        <i/>
        <sz val="9"/>
        <color rgb="FF555555"/>
        <rFont val="Noto Sans CJK SC"/>
        <family val="2"/>
      </rPr>
      <t>행평균</t>
    </r>
    <r>
      <rPr>
        <i/>
        <sz val="9"/>
        <color rgb="FF555555"/>
        <rFont val="Arial"/>
        <family val="2"/>
      </rPr>
      <t>_i − G)²</t>
    </r>
  </si>
  <si>
    <r>
      <rPr>
        <b/>
        <sz val="10"/>
        <rFont val="Noto Sans CJK SC"/>
        <family val="2"/>
      </rPr>
      <t xml:space="preserve">모델 </t>
    </r>
    <r>
      <rPr>
        <b/>
        <sz val="10"/>
        <rFont val="Arial"/>
        <family val="2"/>
      </rPr>
      <t>(B)</t>
    </r>
  </si>
  <si>
    <r>
      <rPr>
        <i/>
        <sz val="9"/>
        <color rgb="FF555555"/>
        <rFont val="Arial"/>
        <family val="2"/>
      </rPr>
      <t>SS_B = a·r·Σ_j (</t>
    </r>
    <r>
      <rPr>
        <i/>
        <sz val="9"/>
        <color rgb="FF555555"/>
        <rFont val="Noto Sans CJK SC"/>
        <family val="2"/>
      </rPr>
      <t>열평균</t>
    </r>
    <r>
      <rPr>
        <i/>
        <sz val="9"/>
        <color rgb="FF555555"/>
        <rFont val="Arial"/>
        <family val="2"/>
      </rPr>
      <t>_j − G)²</t>
    </r>
  </si>
  <si>
    <r>
      <rPr>
        <b/>
        <sz val="10"/>
        <rFont val="Noto Sans CJK SC"/>
        <family val="2"/>
      </rPr>
      <t xml:space="preserve">상호작용 </t>
    </r>
    <r>
      <rPr>
        <b/>
        <sz val="10"/>
        <rFont val="Arial"/>
        <family val="2"/>
      </rPr>
      <t>(AxB)</t>
    </r>
  </si>
  <si>
    <r>
      <rPr>
        <i/>
        <sz val="9"/>
        <color rgb="FF555555"/>
        <rFont val="Arial"/>
        <family val="2"/>
      </rPr>
      <t>SS_AB = r·Σ_ij (</t>
    </r>
    <r>
      <rPr>
        <i/>
        <sz val="9"/>
        <color rgb="FF555555"/>
        <rFont val="Noto Sans CJK SC"/>
        <family val="2"/>
      </rPr>
      <t>셀</t>
    </r>
    <r>
      <rPr>
        <i/>
        <sz val="9"/>
        <color rgb="FF555555"/>
        <rFont val="Arial"/>
        <family val="2"/>
      </rPr>
      <t xml:space="preserve">_ij − </t>
    </r>
    <r>
      <rPr>
        <i/>
        <sz val="9"/>
        <color rgb="FF555555"/>
        <rFont val="Noto Sans CJK SC"/>
        <family val="2"/>
      </rPr>
      <t>행</t>
    </r>
    <r>
      <rPr>
        <i/>
        <sz val="9"/>
        <color rgb="FF555555"/>
        <rFont val="Arial"/>
        <family val="2"/>
      </rPr>
      <t xml:space="preserve">_i − 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>_j + G)²  ← 04_</t>
    </r>
    <r>
      <rPr>
        <i/>
        <sz val="9"/>
        <color rgb="FF555555"/>
        <rFont val="Noto Sans CJK SC"/>
        <family val="2"/>
      </rPr>
      <t xml:space="preserve">교차표 </t>
    </r>
    <r>
      <rPr>
        <i/>
        <sz val="9"/>
        <color rgb="FF555555"/>
        <rFont val="Arial"/>
        <family val="2"/>
      </rPr>
      <t>B16:D20</t>
    </r>
  </si>
  <si>
    <r>
      <rPr>
        <b/>
        <sz val="10"/>
        <rFont val="Noto Sans CJK SC"/>
        <family val="2"/>
      </rPr>
      <t xml:space="preserve">오차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잔차</t>
    </r>
    <r>
      <rPr>
        <b/>
        <sz val="10"/>
        <rFont val="Arial"/>
        <family val="2"/>
      </rPr>
      <t>)</t>
    </r>
  </si>
  <si>
    <t>SS_E = SS_T − SS_A − SS_B − SS_AB</t>
  </si>
  <si>
    <t>총변동</t>
  </si>
  <si>
    <t>SS_T = Σ (y − G)²</t>
  </si>
  <si>
    <t>결과 요약</t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</si>
  <si>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>레퍼런스</t>
    </r>
  </si>
  <si>
    <t>기준을 바꿀 때 점수가 이동하는 정도</t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</si>
  <si>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>모델</t>
    </r>
  </si>
  <si>
    <t>피평가 모델을 바꿀 때 점수가 이동하는 정도</t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</si>
  <si>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>상호작용</t>
    </r>
  </si>
  <si>
    <r>
      <rPr>
        <i/>
        <sz val="9"/>
        <color rgb="FF555555"/>
        <rFont val="Noto Sans CJK SC"/>
        <family val="2"/>
      </rPr>
      <t>특정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>모델 조합에서만 나타나는 고유 효과</t>
    </r>
  </si>
  <si>
    <r>
      <rPr>
        <b/>
        <sz val="10"/>
        <rFont val="Noto Sans CJK SC"/>
        <family val="2"/>
      </rPr>
      <t xml:space="preserve">레퍼런스 관련 합 </t>
    </r>
    <r>
      <rPr>
        <b/>
        <sz val="10"/>
        <rFont val="Arial"/>
        <family val="2"/>
      </rPr>
      <t>(A+AxB)</t>
    </r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</si>
  <si>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 xml:space="preserve">비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모델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</si>
  <si>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단일 요인끼리의 분산 배분 비교 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논문 본문의 </t>
    </r>
    <r>
      <rPr>
        <i/>
        <sz val="9"/>
        <color rgb="FF555555"/>
        <rFont val="Arial"/>
        <family val="2"/>
      </rPr>
      <t>"1.15</t>
    </r>
    <r>
      <rPr>
        <i/>
        <sz val="9"/>
        <color rgb="FF555555"/>
        <rFont val="Noto Sans CJK SC"/>
        <family val="2"/>
      </rPr>
      <t>배</t>
    </r>
    <r>
      <rPr>
        <i/>
        <sz val="9"/>
        <color rgb="FF555555"/>
        <rFont val="Arial"/>
        <family val="2"/>
      </rPr>
      <t>")</t>
    </r>
  </si>
  <si>
    <t>레퍼런스 주변평균 범위</t>
  </si>
  <si>
    <t>가장 관대한 레퍼런스 − 가장 박한 레퍼런스</t>
  </si>
  <si>
    <t>모델 주변평균 범위</t>
  </si>
  <si>
    <t>최고 성능 모델 − 최저 성능 모델</t>
  </si>
  <si>
    <r>
      <rPr>
        <b/>
        <sz val="10"/>
        <rFont val="Noto Sans CJK SC"/>
        <family val="2"/>
      </rPr>
      <t xml:space="preserve">점수 이동 비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모델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</si>
  <si>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기준을 바꿀 때의 점수 이동이 대상을 바꿀 때보다 몇 배 큰가 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논문 본문의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 xml:space="preserve">약 </t>
    </r>
    <r>
      <rPr>
        <i/>
        <sz val="9"/>
        <color rgb="FF555555"/>
        <rFont val="Arial"/>
        <family val="2"/>
      </rPr>
      <t>1.4</t>
    </r>
    <r>
      <rPr>
        <i/>
        <sz val="9"/>
        <color rgb="FF555555"/>
        <rFont val="Noto Sans CJK SC"/>
        <family val="2"/>
      </rPr>
      <t>배</t>
    </r>
    <r>
      <rPr>
        <i/>
        <sz val="9"/>
        <color rgb="FF555555"/>
        <rFont val="Arial"/>
        <family val="2"/>
      </rPr>
      <t>")</t>
    </r>
  </si>
  <si>
    <r>
      <rPr>
        <i/>
        <sz val="9"/>
        <color rgb="FF555555"/>
        <rFont val="Arial"/>
        <family val="2"/>
      </rPr>
      <t>eta²</t>
    </r>
    <r>
      <rPr>
        <i/>
        <sz val="9"/>
        <color rgb="FF555555"/>
        <rFont val="Noto Sans CJK SC"/>
        <family val="2"/>
      </rPr>
      <t>의 의미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총변동 </t>
    </r>
    <r>
      <rPr>
        <i/>
        <sz val="9"/>
        <color rgb="FF555555"/>
        <rFont val="Arial"/>
        <family val="2"/>
      </rPr>
      <t xml:space="preserve">100 </t>
    </r>
    <r>
      <rPr>
        <i/>
        <sz val="9"/>
        <color rgb="FF555555"/>
        <rFont val="Noto Sans CJK SC"/>
        <family val="2"/>
      </rPr>
      <t>중 해당 요인이 설명하는 몫</t>
    </r>
    <r>
      <rPr>
        <i/>
        <sz val="9"/>
        <color rgb="FF555555"/>
        <rFont val="Arial"/>
        <family val="2"/>
      </rPr>
      <t>. eta²=0.282</t>
    </r>
    <r>
      <rPr>
        <i/>
        <sz val="9"/>
        <color rgb="FF555555"/>
        <rFont val="Noto Sans CJK SC"/>
        <family val="2"/>
      </rPr>
      <t xml:space="preserve">는 </t>
    </r>
    <r>
      <rPr>
        <i/>
        <sz val="9"/>
        <color rgb="FF555555"/>
        <rFont val="Arial"/>
        <family val="2"/>
      </rPr>
      <t xml:space="preserve">Overall Score </t>
    </r>
    <r>
      <rPr>
        <i/>
        <sz val="9"/>
        <color rgb="FF555555"/>
        <rFont val="Noto Sans CJK SC"/>
        <family val="2"/>
      </rPr>
      <t xml:space="preserve">변동의 </t>
    </r>
    <r>
      <rPr>
        <i/>
        <sz val="9"/>
        <color rgb="FF555555"/>
        <rFont val="Arial"/>
        <family val="2"/>
      </rPr>
      <t>28.2%</t>
    </r>
    <r>
      <rPr>
        <i/>
        <sz val="9"/>
        <color rgb="FF555555"/>
        <rFont val="Noto Sans CJK SC"/>
        <family val="2"/>
      </rPr>
      <t>가 어느 레퍼런스를 기준으로 삼았는지로 설명된다는 뜻이다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</si>
  <si>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주의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본 설계는 반복측정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같은 문서가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>개 셀에 모두 등장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구조를 갖는다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이원분산분석은 이를 완전히 모델링하지 못하므로 </t>
    </r>
    <r>
      <rPr>
        <i/>
        <sz val="9"/>
        <color rgb="FF555555"/>
        <rFont val="Arial"/>
        <family val="2"/>
      </rPr>
      <t>06_ICC</t>
    </r>
    <r>
      <rPr>
        <i/>
        <sz val="9"/>
        <color rgb="FF555555"/>
        <rFont val="Noto Sans CJK SC"/>
        <family val="2"/>
      </rPr>
      <t>에서 문서 효과를 분리해 확인한다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</si>
  <si>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분산분석의 가정 검정</t>
    </r>
    <r>
      <rPr>
        <b/>
        <sz val="14"/>
        <rFont val="Arial"/>
        <family val="2"/>
      </rPr>
      <t xml:space="preserve">: </t>
    </r>
    <r>
      <rPr>
        <b/>
        <sz val="14"/>
        <rFont val="Noto Sans CJK SC"/>
        <family val="2"/>
      </rPr>
      <t xml:space="preserve">정규성과 등분산성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>3.4)</t>
    </r>
  </si>
  <si>
    <r>
      <rPr>
        <i/>
        <sz val="9"/>
        <color rgb="FF555555"/>
        <rFont val="Noto Sans CJK SC"/>
        <family val="2"/>
      </rPr>
      <t>이원분산분석이 전제하는 두 가정이 충족되는지 확인한다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위반 시 비모수 검정으로 결론을 교차 확인한다</t>
    </r>
    <r>
      <rPr>
        <i/>
        <sz val="9"/>
        <color rgb="FF555555"/>
        <rFont val="Arial"/>
        <family val="2"/>
      </rPr>
      <t>.</t>
    </r>
  </si>
  <si>
    <t>reference</t>
  </si>
  <si>
    <t>model</t>
  </si>
  <si>
    <t>n</t>
  </si>
  <si>
    <t>평균</t>
  </si>
  <si>
    <t>중앙값</t>
  </si>
  <si>
    <t>표준편차</t>
  </si>
  <si>
    <t>왜도</t>
  </si>
  <si>
    <r>
      <rPr>
        <b/>
        <sz val="10"/>
        <color rgb="FFFFFFFF"/>
        <rFont val="Noto Sans CJK SC"/>
        <family val="2"/>
      </rPr>
      <t>첨도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초과</t>
    </r>
    <r>
      <rPr>
        <b/>
        <sz val="10"/>
        <color rgb="FFFFFFFF"/>
        <rFont val="Arial"/>
        <family val="2"/>
      </rPr>
      <t>)</t>
    </r>
  </si>
  <si>
    <t>Jarque-Bera</t>
  </si>
  <si>
    <t>정규성</t>
  </si>
  <si>
    <r>
      <rPr>
        <b/>
        <sz val="10"/>
        <color rgb="FFFFFFFF"/>
        <rFont val="Arial"/>
        <family val="2"/>
      </rPr>
      <t xml:space="preserve">Levene Z </t>
    </r>
    <r>
      <rPr>
        <b/>
        <sz val="10"/>
        <color rgb="FFFFFFFF"/>
        <rFont val="Noto Sans CJK SC"/>
        <family val="2"/>
      </rPr>
      <t>평균</t>
    </r>
  </si>
  <si>
    <r>
      <rPr>
        <b/>
        <sz val="11"/>
        <color rgb="FF2F5496"/>
        <rFont val="Arial"/>
        <family val="2"/>
      </rPr>
      <t>2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>정규성 요약</t>
    </r>
  </si>
  <si>
    <r>
      <rPr>
        <b/>
        <sz val="10"/>
        <rFont val="Arial"/>
        <family val="2"/>
      </rPr>
      <t xml:space="preserve">Jarque-Bera </t>
    </r>
    <r>
      <rPr>
        <b/>
        <sz val="10"/>
        <rFont val="Noto Sans CJK SC"/>
        <family val="2"/>
      </rPr>
      <t>위반 셀 수</t>
    </r>
  </si>
  <si>
    <r>
      <rPr>
        <b/>
        <sz val="10"/>
        <rFont val="Arial"/>
        <family val="2"/>
      </rPr>
      <t xml:space="preserve">Shapiro-Wilk </t>
    </r>
    <r>
      <rPr>
        <b/>
        <sz val="10"/>
        <rFont val="Noto Sans CJK SC"/>
        <family val="2"/>
      </rPr>
      <t>위반 셀 수</t>
    </r>
  </si>
  <si>
    <t>13 / 15</t>
  </si>
  <si>
    <r>
      <rPr>
        <i/>
        <sz val="9"/>
        <color rgb="FF555555"/>
        <rFont val="Noto Sans CJK SC"/>
        <family val="2"/>
      </rPr>
      <t>← 엑셀 재현 불가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외부 계산값</t>
    </r>
    <r>
      <rPr>
        <i/>
        <sz val="9"/>
        <color rgb="FF555555"/>
        <rFont val="Arial"/>
        <family val="2"/>
      </rPr>
      <t>(scipy 1.11)</t>
    </r>
  </si>
  <si>
    <r>
      <rPr>
        <i/>
        <sz val="9"/>
        <color rgb="FF555555"/>
        <rFont val="Arial"/>
        <family val="2"/>
      </rPr>
      <t>Jarque-Bera</t>
    </r>
    <r>
      <rPr>
        <i/>
        <sz val="9"/>
        <color rgb="FF555555"/>
        <rFont val="Noto Sans CJK SC"/>
        <family val="2"/>
      </rPr>
      <t>는 왜도와 첨도만으로 정규성을 검정하므로 엑셀 수식으로 완전히 재현되지만</t>
    </r>
    <r>
      <rPr>
        <i/>
        <sz val="9"/>
        <color rgb="FF555555"/>
        <rFont val="Arial"/>
        <family val="2"/>
      </rPr>
      <t xml:space="preserve">, n=65 </t>
    </r>
    <r>
      <rPr>
        <i/>
        <sz val="9"/>
        <color rgb="FF555555"/>
        <rFont val="Noto Sans CJK SC"/>
        <family val="2"/>
      </rPr>
      <t xml:space="preserve">규모에서는 </t>
    </r>
    <r>
      <rPr>
        <i/>
        <sz val="9"/>
        <color rgb="FF555555"/>
        <rFont val="Arial"/>
        <family val="2"/>
      </rPr>
      <t>Shapiro-Wilk</t>
    </r>
    <r>
      <rPr>
        <i/>
        <sz val="9"/>
        <color rgb="FF555555"/>
        <rFont val="Noto Sans CJK SC"/>
        <family val="2"/>
      </rPr>
      <t>보다 검정력이 낮다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두 검정의 위반 셀 수가 다른 것은 이 검정력 차이 때문이며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결론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다수 셀에서 정규성 위반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은 동일하다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</si>
  <si>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논문은 </t>
    </r>
    <r>
      <rPr>
        <i/>
        <sz val="9"/>
        <color rgb="FF555555"/>
        <rFont val="Arial"/>
        <family val="2"/>
      </rPr>
      <t xml:space="preserve">Shapiro-Wilk </t>
    </r>
    <r>
      <rPr>
        <i/>
        <sz val="9"/>
        <color rgb="FF555555"/>
        <rFont val="Noto Sans CJK SC"/>
        <family val="2"/>
      </rPr>
      <t>결과를 보고한다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위반 정도가 가장 심한 셀은 </t>
    </r>
    <r>
      <rPr>
        <i/>
        <sz val="9"/>
        <color rgb="FF555555"/>
        <rFont val="Arial"/>
        <family val="2"/>
      </rPr>
      <t xml:space="preserve">qwen </t>
    </r>
    <r>
      <rPr>
        <i/>
        <sz val="9"/>
        <color rgb="FF555555"/>
        <rFont val="Noto Sans CJK SC"/>
        <family val="2"/>
      </rPr>
      <t>열이며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왜도가 −</t>
    </r>
    <r>
      <rPr>
        <i/>
        <sz val="9"/>
        <color rgb="FF555555"/>
        <rFont val="Arial"/>
        <family val="2"/>
      </rPr>
      <t xml:space="preserve">3 </t>
    </r>
    <r>
      <rPr>
        <i/>
        <sz val="9"/>
        <color rgb="FF555555"/>
        <rFont val="Noto Sans CJK SC"/>
        <family val="2"/>
      </rPr>
      <t xml:space="preserve">이하이고 초과첨도가 </t>
    </r>
    <r>
      <rPr>
        <i/>
        <sz val="9"/>
        <color rgb="FF555555"/>
        <rFont val="Arial"/>
        <family val="2"/>
      </rPr>
      <t xml:space="preserve">+13 </t>
    </r>
    <r>
      <rPr>
        <i/>
        <sz val="9"/>
        <color rgb="FF555555"/>
        <rFont val="Noto Sans CJK SC"/>
        <family val="2"/>
      </rPr>
      <t>이상으로 좌측 꼬리가 매우 긴 분포를 보인다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</si>
  <si>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Arial"/>
        <family val="2"/>
      </rPr>
      <t>3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등분산성 — </t>
    </r>
    <r>
      <rPr>
        <b/>
        <sz val="11"/>
        <color rgb="FF2F5496"/>
        <rFont val="Arial"/>
        <family val="2"/>
      </rPr>
      <t xml:space="preserve">Levene </t>
    </r>
    <r>
      <rPr>
        <b/>
        <sz val="11"/>
        <color rgb="FF2F5496"/>
        <rFont val="Noto Sans CJK SC"/>
        <family val="2"/>
      </rPr>
      <t xml:space="preserve">검정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>중앙값 기준</t>
    </r>
    <r>
      <rPr>
        <b/>
        <sz val="11"/>
        <color rgb="FF2F5496"/>
        <rFont val="Arial"/>
        <family val="2"/>
      </rPr>
      <t>, Brown-Forsythe)</t>
    </r>
  </si>
  <si>
    <r>
      <rPr>
        <i/>
        <sz val="9"/>
        <color rgb="FF555555"/>
        <rFont val="Arial"/>
        <family val="2"/>
      </rPr>
      <t xml:space="preserve">Z_ij = |y_ij − </t>
    </r>
    <r>
      <rPr>
        <i/>
        <sz val="9"/>
        <color rgb="FF555555"/>
        <rFont val="Noto Sans CJK SC"/>
        <family val="2"/>
      </rPr>
      <t>셀 중앙값</t>
    </r>
    <r>
      <rPr>
        <i/>
        <sz val="9"/>
        <color rgb="FF555555"/>
        <rFont val="Arial"/>
        <family val="2"/>
      </rPr>
      <t xml:space="preserve">| </t>
    </r>
    <r>
      <rPr>
        <i/>
        <sz val="9"/>
        <color rgb="FF555555"/>
        <rFont val="Noto Sans CJK SC"/>
        <family val="2"/>
      </rPr>
      <t xml:space="preserve">로 변환한 뒤 </t>
    </r>
    <r>
      <rPr>
        <i/>
        <sz val="9"/>
        <color rgb="FF555555"/>
        <rFont val="Arial"/>
        <family val="2"/>
      </rPr>
      <t>Z</t>
    </r>
    <r>
      <rPr>
        <i/>
        <sz val="9"/>
        <color rgb="FF555555"/>
        <rFont val="Noto Sans CJK SC"/>
        <family val="2"/>
      </rPr>
      <t>에 대한 일원분산분석을 수행한다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중앙값을 중심으로 삼는 변형은 정규성이 위반된 자료에서 표준 권고이며 </t>
    </r>
    <r>
      <rPr>
        <i/>
        <sz val="9"/>
        <color rgb="FF555555"/>
        <rFont val="Arial"/>
        <family val="2"/>
      </rPr>
      <t>scipy.stats.levene</t>
    </r>
    <r>
      <rPr>
        <i/>
        <sz val="9"/>
        <color rgb="FF555555"/>
        <rFont val="Noto Sans CJK SC"/>
        <family val="2"/>
      </rPr>
      <t>의 기본값이다</t>
    </r>
    <r>
      <rPr>
        <i/>
        <sz val="9"/>
        <color rgb="FF555555"/>
        <rFont val="Arial"/>
        <family val="2"/>
      </rPr>
      <t>.</t>
    </r>
  </si>
  <si>
    <r>
      <rPr>
        <b/>
        <sz val="10"/>
        <rFont val="Arial"/>
        <family val="2"/>
      </rPr>
      <t>k (</t>
    </r>
    <r>
      <rPr>
        <b/>
        <sz val="10"/>
        <rFont val="Noto Sans CJK SC"/>
        <family val="2"/>
      </rPr>
      <t>집단 수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</si>
  <si>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>개 셀</t>
    </r>
  </si>
  <si>
    <t>975</t>
  </si>
  <si>
    <r>
      <rPr>
        <b/>
        <sz val="10"/>
        <rFont val="Arial"/>
        <family val="2"/>
      </rPr>
      <t xml:space="preserve">Z </t>
    </r>
    <r>
      <rPr>
        <b/>
        <sz val="10"/>
        <rFont val="Noto Sans CJK SC"/>
        <family val="2"/>
      </rPr>
      <t>전체평균</t>
    </r>
  </si>
  <si>
    <r>
      <rPr>
        <i/>
        <sz val="9"/>
        <color rgb="FF555555"/>
        <rFont val="Noto Sans CJK SC"/>
        <family val="2"/>
      </rPr>
      <t xml:space="preserve">모든 </t>
    </r>
    <r>
      <rPr>
        <i/>
        <sz val="9"/>
        <color rgb="FF555555"/>
        <rFont val="Arial"/>
        <family val="2"/>
      </rPr>
      <t>Z</t>
    </r>
    <r>
      <rPr>
        <i/>
        <sz val="9"/>
        <color rgb="FF555555"/>
        <rFont val="Noto Sans CJK SC"/>
        <family val="2"/>
      </rPr>
      <t>의 평균</t>
    </r>
  </si>
  <si>
    <t>SS_between</t>
  </si>
  <si>
    <t>n·Σ(Z̄_j − Z̄)²</t>
  </si>
  <si>
    <t>SS_total</t>
  </si>
  <si>
    <t>Σ(Z − Z̄)²</t>
  </si>
  <si>
    <t>SS_within</t>
  </si>
  <si>
    <t>SS_total − SS_between</t>
  </si>
  <si>
    <t>df1</t>
  </si>
  <si>
    <t>k − 1</t>
  </si>
  <si>
    <t>df2</t>
  </si>
  <si>
    <t>N − k</t>
  </si>
  <si>
    <t>(SS_b/df1) / (SS_w/df2)</t>
  </si>
  <si>
    <t>FDIST</t>
  </si>
  <si>
    <t>등분산성</t>
  </si>
  <si>
    <r>
      <rPr>
        <b/>
        <sz val="11"/>
        <color rgb="FF2F5496"/>
        <rFont val="Arial"/>
        <family val="2"/>
      </rPr>
      <t>4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전체 잔차의 정규성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 xml:space="preserve">잔차 </t>
    </r>
    <r>
      <rPr>
        <b/>
        <sz val="11"/>
        <color rgb="FF2F5496"/>
        <rFont val="Arial"/>
        <family val="2"/>
      </rPr>
      <t xml:space="preserve">= y − </t>
    </r>
    <r>
      <rPr>
        <b/>
        <sz val="11"/>
        <color rgb="FF2F5496"/>
        <rFont val="Noto Sans CJK SC"/>
        <family val="2"/>
      </rPr>
      <t>셀평균</t>
    </r>
    <r>
      <rPr>
        <b/>
        <sz val="11"/>
        <color rgb="FF2F5496"/>
        <rFont val="Arial"/>
        <family val="2"/>
      </rPr>
      <t>, 01_</t>
    </r>
    <r>
      <rPr>
        <b/>
        <sz val="11"/>
        <color rgb="FF2F5496"/>
        <rFont val="Noto Sans CJK SC"/>
        <family val="2"/>
      </rPr>
      <t xml:space="preserve">원자료 </t>
    </r>
    <r>
      <rPr>
        <b/>
        <sz val="11"/>
        <color rgb="FF2F5496"/>
        <rFont val="Arial"/>
        <family val="2"/>
      </rPr>
      <t>AB</t>
    </r>
    <r>
      <rPr>
        <b/>
        <sz val="11"/>
        <color rgb="FF2F5496"/>
        <rFont val="Noto Sans CJK SC"/>
        <family val="2"/>
      </rPr>
      <t>열</t>
    </r>
    <r>
      <rPr>
        <b/>
        <sz val="11"/>
        <color rgb="FF2F5496"/>
        <rFont val="Arial"/>
        <family val="2"/>
      </rPr>
      <t>)</t>
    </r>
  </si>
  <si>
    <r>
      <rPr>
        <b/>
        <sz val="10"/>
        <rFont val="Noto Sans CJK SC"/>
        <family val="2"/>
      </rPr>
      <t>첨도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초과</t>
    </r>
    <r>
      <rPr>
        <b/>
        <sz val="10"/>
        <rFont val="Arial"/>
        <family val="2"/>
      </rPr>
      <t>)</t>
    </r>
  </si>
  <si>
    <t>Shapiro-Wilk W</t>
  </si>
  <si>
    <r>
      <rPr>
        <i/>
        <sz val="9"/>
        <color rgb="FF555555"/>
        <rFont val="Noto Sans CJK SC"/>
        <family val="2"/>
      </rPr>
      <t>← 엑셀 재현 불가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외부 계산값</t>
    </r>
    <r>
      <rPr>
        <i/>
        <sz val="9"/>
        <color rgb="FF555555"/>
        <rFont val="Arial"/>
        <family val="2"/>
      </rPr>
      <t>(scipy 1.11), p&lt;.001</t>
    </r>
  </si>
  <si>
    <t>결론</t>
  </si>
  <si>
    <r>
      <rPr>
        <i/>
        <sz val="9"/>
        <color rgb="FF555555"/>
        <rFont val="Noto Sans CJK SC"/>
        <family val="2"/>
      </rPr>
      <t>정규성과 등분산성이 모두 위반되었다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따라서 이원분산분석의 </t>
    </r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>값은 그대로 신뢰할 수 없으며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본 연구는 </t>
    </r>
    <r>
      <rPr>
        <i/>
        <sz val="9"/>
        <color rgb="FF555555"/>
        <rFont val="Arial"/>
        <family val="2"/>
      </rPr>
      <t xml:space="preserve">(1) </t>
    </r>
    <r>
      <rPr>
        <i/>
        <sz val="9"/>
        <color rgb="FF555555"/>
        <rFont val="Noto Sans CJK SC"/>
        <family val="2"/>
      </rPr>
      <t>문서를 무작위 효과로 둔 혼합모형을 주 분석으로 삼고</t>
    </r>
    <r>
      <rPr>
        <i/>
        <sz val="9"/>
        <color rgb="FF555555"/>
        <rFont val="Arial"/>
        <family val="2"/>
      </rPr>
      <t xml:space="preserve">, (2) Kruskal-Wallis </t>
    </r>
    <r>
      <rPr>
        <i/>
        <sz val="9"/>
        <color rgb="FF555555"/>
        <rFont val="Noto Sans CJK SC"/>
        <family val="2"/>
      </rPr>
      <t>비모수 검정으로 주효과의 결론을 교차 확인하며</t>
    </r>
    <r>
      <rPr>
        <i/>
        <sz val="9"/>
        <color rgb="FF555555"/>
        <rFont val="Arial"/>
        <family val="2"/>
      </rPr>
      <t xml:space="preserve">, (3) </t>
    </r>
    <r>
      <rPr>
        <i/>
        <sz val="9"/>
        <color rgb="FF555555"/>
        <rFont val="Noto Sans CJK SC"/>
        <family val="2"/>
      </rPr>
      <t>이원분산분석은 효과 크기</t>
    </r>
    <r>
      <rPr>
        <i/>
        <sz val="9"/>
        <color rgb="FF555555"/>
        <rFont val="Arial"/>
        <family val="2"/>
      </rPr>
      <t xml:space="preserve">(η²) </t>
    </r>
    <r>
      <rPr>
        <i/>
        <sz val="9"/>
        <color rgb="FF555555"/>
        <rFont val="Noto Sans CJK SC"/>
        <family val="2"/>
      </rPr>
      <t>산출과 방향 확인에만 사용한다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</si>
  <si>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표본이 </t>
    </r>
    <r>
      <rPr>
        <i/>
        <sz val="9"/>
        <color rgb="FF555555"/>
        <rFont val="Arial"/>
        <family val="2"/>
      </rPr>
      <t>N=975</t>
    </r>
    <r>
      <rPr>
        <i/>
        <sz val="9"/>
        <color rgb="FF555555"/>
        <rFont val="Noto Sans CJK SC"/>
        <family val="2"/>
      </rPr>
      <t>로 충분히 크고 세 접근이 동일한 결론을 주므로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가정 위반이 결론의 방향을 바꾸지는 않는다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다만 극단적으로 작은 </t>
    </r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 xml:space="preserve">값은 과장될 수 있어 논문은 </t>
    </r>
    <r>
      <rPr>
        <i/>
        <sz val="9"/>
        <color rgb="FF555555"/>
        <rFont val="Arial"/>
        <family val="2"/>
      </rPr>
      <t>p&lt;.001</t>
    </r>
    <r>
      <rPr>
        <i/>
        <sz val="9"/>
        <color rgb="FF555555"/>
        <rFont val="Noto Sans CJK SC"/>
        <family val="2"/>
      </rPr>
      <t>로 통일 표기한다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</si>
  <si>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문서 효과 분리와 급내상관 </t>
    </r>
    <r>
      <rPr>
        <b/>
        <sz val="14"/>
        <rFont val="Arial"/>
        <family val="2"/>
      </rPr>
      <t>ICC 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 xml:space="preserve">4.2 </t>
    </r>
    <r>
      <rPr>
        <b/>
        <sz val="14"/>
        <rFont val="Noto Sans CJK SC"/>
        <family val="2"/>
      </rPr>
      <t>강건성 확인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</si>
  <si>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같은 문서가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>개 조합에 반복 등장하므로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문서 자체의 난이도 차이를 분산성분으로 분리한다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</si>
  <si>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>적률법</t>
    </r>
    <r>
      <rPr>
        <b/>
        <sz val="11"/>
        <color rgb="FF2F5496"/>
        <rFont val="Arial"/>
        <family val="2"/>
      </rPr>
      <t>(method of moments)</t>
    </r>
    <r>
      <rPr>
        <b/>
        <sz val="11"/>
        <color rgb="FF2F5496"/>
        <rFont val="Noto Sans CJK SC"/>
        <family val="2"/>
      </rPr>
      <t>에 의한 분산성분 추정</t>
    </r>
  </si>
  <si>
    <r>
      <rPr>
        <i/>
        <sz val="9"/>
        <color rgb="FF555555"/>
        <rFont val="Noto Sans CJK SC"/>
        <family val="2"/>
      </rPr>
      <t>모형</t>
    </r>
    <r>
      <rPr>
        <i/>
        <sz val="9"/>
        <color rgb="FF555555"/>
        <rFont val="Arial"/>
        <family val="2"/>
      </rPr>
      <t>: y_ijk = μ + α_i(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) + β_j(</t>
    </r>
    <r>
      <rPr>
        <i/>
        <sz val="9"/>
        <color rgb="FF555555"/>
        <rFont val="Noto Sans CJK SC"/>
        <family val="2"/>
      </rPr>
      <t>모델</t>
    </r>
    <r>
      <rPr>
        <i/>
        <sz val="9"/>
        <color rgb="FF555555"/>
        <rFont val="Arial"/>
        <family val="2"/>
      </rPr>
      <t>) + (αβ)_ij + d_k(</t>
    </r>
    <r>
      <rPr>
        <i/>
        <sz val="9"/>
        <color rgb="FF555555"/>
        <rFont val="Noto Sans CJK SC"/>
        <family val="2"/>
      </rPr>
      <t>문서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확률효과</t>
    </r>
    <r>
      <rPr>
        <i/>
        <sz val="9"/>
        <color rgb="FF555555"/>
        <rFont val="Arial"/>
        <family val="2"/>
      </rPr>
      <t>) + e_ijk</t>
    </r>
  </si>
  <si>
    <r>
      <rPr>
        <i/>
        <sz val="9"/>
        <color rgb="FF555555"/>
        <rFont val="Noto Sans CJK SC"/>
        <family val="2"/>
      </rPr>
      <t>균형설계이므로 혼합모형</t>
    </r>
    <r>
      <rPr>
        <i/>
        <sz val="9"/>
        <color rgb="FF555555"/>
        <rFont val="Arial"/>
        <family val="2"/>
      </rPr>
      <t>(LMM)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 xml:space="preserve">REML </t>
    </r>
    <r>
      <rPr>
        <i/>
        <sz val="9"/>
        <color rgb="FF555555"/>
        <rFont val="Noto Sans CJK SC"/>
        <family val="2"/>
      </rPr>
      <t>추정치와 아래 적률 추정치가 일치한다</t>
    </r>
    <r>
      <rPr>
        <i/>
        <sz val="9"/>
        <color rgb="FF555555"/>
        <rFont val="Arial"/>
        <family val="2"/>
      </rPr>
      <t>.</t>
    </r>
  </si>
  <si>
    <r>
      <rPr>
        <b/>
        <sz val="10"/>
        <rFont val="Arial"/>
        <family val="2"/>
      </rPr>
      <t>SS_</t>
    </r>
    <r>
      <rPr>
        <b/>
        <sz val="10"/>
        <rFont val="Noto Sans CJK SC"/>
        <family val="2"/>
      </rPr>
      <t>문서</t>
    </r>
  </si>
  <si>
    <r>
      <rPr>
        <i/>
        <sz val="9"/>
        <color rgb="FF555555"/>
        <rFont val="Arial"/>
        <family val="2"/>
      </rPr>
      <t>SS_D = k·Σ_k (</t>
    </r>
    <r>
      <rPr>
        <i/>
        <sz val="9"/>
        <color rgb="FF555555"/>
        <rFont val="Noto Sans CJK SC"/>
        <family val="2"/>
      </rPr>
      <t>문서평균</t>
    </r>
    <r>
      <rPr>
        <i/>
        <sz val="9"/>
        <color rgb="FF555555"/>
        <rFont val="Arial"/>
        <family val="2"/>
      </rPr>
      <t>_k − G)²,  k=15</t>
    </r>
  </si>
  <si>
    <r>
      <rPr>
        <b/>
        <sz val="10"/>
        <rFont val="Arial"/>
        <family val="2"/>
      </rPr>
      <t>SS_</t>
    </r>
    <r>
      <rPr>
        <b/>
        <sz val="10"/>
        <rFont val="Noto Sans CJK SC"/>
        <family val="2"/>
      </rPr>
      <t>잔차</t>
    </r>
  </si>
  <si>
    <t>SS_R = SS_T − SS_A − SS_B − SS_AB − SS_D</t>
  </si>
  <si>
    <r>
      <rPr>
        <b/>
        <sz val="10"/>
        <rFont val="Arial"/>
        <family val="2"/>
      </rPr>
      <t>df_</t>
    </r>
    <r>
      <rPr>
        <b/>
        <sz val="10"/>
        <rFont val="Noto Sans CJK SC"/>
        <family val="2"/>
      </rPr>
      <t>문서</t>
    </r>
  </si>
  <si>
    <t>r − 1 = 64</t>
  </si>
  <si>
    <r>
      <rPr>
        <b/>
        <sz val="10"/>
        <rFont val="Arial"/>
        <family val="2"/>
      </rPr>
      <t>df_</t>
    </r>
    <r>
      <rPr>
        <b/>
        <sz val="10"/>
        <rFont val="Noto Sans CJK SC"/>
        <family val="2"/>
      </rPr>
      <t>잔차</t>
    </r>
  </si>
  <si>
    <t>(r−1)(ab−1) = 64 × 14 = 896</t>
  </si>
  <si>
    <r>
      <rPr>
        <b/>
        <sz val="10"/>
        <rFont val="Arial"/>
        <family val="2"/>
      </rPr>
      <t>MS_</t>
    </r>
    <r>
      <rPr>
        <b/>
        <sz val="10"/>
        <rFont val="Noto Sans CJK SC"/>
        <family val="2"/>
      </rPr>
      <t>문서</t>
    </r>
  </si>
  <si>
    <t>SS_D / df_D</t>
  </si>
  <si>
    <r>
      <rPr>
        <b/>
        <sz val="10"/>
        <rFont val="Arial"/>
        <family val="2"/>
      </rPr>
      <t>MS_</t>
    </r>
    <r>
      <rPr>
        <b/>
        <sz val="10"/>
        <rFont val="Noto Sans CJK SC"/>
        <family val="2"/>
      </rPr>
      <t>잔차</t>
    </r>
  </si>
  <si>
    <t>SS_R / df_R</t>
  </si>
  <si>
    <r>
      <rPr>
        <b/>
        <sz val="10"/>
        <rFont val="Arial"/>
        <family val="2"/>
      </rPr>
      <t>sigma²_</t>
    </r>
    <r>
      <rPr>
        <b/>
        <sz val="10"/>
        <rFont val="Noto Sans CJK SC"/>
        <family val="2"/>
      </rPr>
      <t>문서</t>
    </r>
  </si>
  <si>
    <t>(MS_D − MS_R) / k</t>
  </si>
  <si>
    <r>
      <rPr>
        <b/>
        <sz val="10"/>
        <rFont val="Arial"/>
        <family val="2"/>
      </rPr>
      <t>sigma²_</t>
    </r>
    <r>
      <rPr>
        <b/>
        <sz val="10"/>
        <rFont val="Noto Sans CJK SC"/>
        <family val="2"/>
      </rPr>
      <t>잔차</t>
    </r>
  </si>
  <si>
    <r>
      <rPr>
        <i/>
        <sz val="9"/>
        <color rgb="FF555555"/>
        <rFont val="Arial"/>
        <family val="2"/>
      </rPr>
      <t xml:space="preserve">← MS_R </t>
    </r>
    <r>
      <rPr>
        <i/>
        <sz val="9"/>
        <color rgb="FF555555"/>
        <rFont val="Noto Sans CJK SC"/>
        <family val="2"/>
      </rPr>
      <t>과 동일</t>
    </r>
  </si>
  <si>
    <t>ICC</t>
  </si>
  <si>
    <r>
      <rPr>
        <i/>
        <sz val="9"/>
        <color rgb="FF555555"/>
        <rFont val="Arial"/>
        <family val="2"/>
      </rPr>
      <t>σ²_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/ (σ²_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+ σ²_</t>
    </r>
    <r>
      <rPr>
        <i/>
        <sz val="9"/>
        <color rgb="FF555555"/>
        <rFont val="Noto Sans CJK SC"/>
        <family val="2"/>
      </rPr>
      <t>잔차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</si>
  <si>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Arial"/>
        <family val="2"/>
      </rPr>
      <t xml:space="preserve">ICC </t>
    </r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총 잔여변동 중 문서 자체의 난이도 차이가 차지하는 몫</t>
    </r>
    <r>
      <rPr>
        <i/>
        <sz val="9"/>
        <color rgb="FF555555"/>
        <rFont val="Arial"/>
        <family val="2"/>
      </rPr>
      <t>. ICC≈0.27</t>
    </r>
    <r>
      <rPr>
        <i/>
        <sz val="9"/>
        <color rgb="FF555555"/>
        <rFont val="Noto Sans CJK SC"/>
        <family val="2"/>
      </rPr>
      <t xml:space="preserve">은 같은 문서에 대한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>개 점수가 서로 중간 정도로 닮았다는 뜻이며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·</t>
    </r>
    <r>
      <rPr>
        <i/>
        <sz val="9"/>
        <color rgb="FF555555"/>
        <rFont val="Noto Sans CJK SC"/>
        <family val="2"/>
      </rPr>
      <t>모델 효과를 제거하고도 문서 단위 군집이 남아 있음을 보여준다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</si>
  <si>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중요</t>
    </r>
    <r>
      <rPr>
        <i/>
        <sz val="9"/>
        <color rgb="FF555555"/>
        <rFont val="Arial"/>
        <family val="2"/>
      </rPr>
      <t>: ICC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 xml:space="preserve">이 아니므로 관측치 </t>
    </r>
    <r>
      <rPr>
        <i/>
        <sz val="9"/>
        <color rgb="FF555555"/>
        <rFont val="Arial"/>
        <family val="2"/>
      </rPr>
      <t>975</t>
    </r>
    <r>
      <rPr>
        <i/>
        <sz val="9"/>
        <color rgb="FF555555"/>
        <rFont val="Noto Sans CJK SC"/>
        <family val="2"/>
      </rPr>
      <t>개를 독립표본으로 간주할 수 없다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그럼에도 </t>
    </r>
    <r>
      <rPr>
        <i/>
        <sz val="9"/>
        <color rgb="FF555555"/>
        <rFont val="Arial"/>
        <family val="2"/>
      </rPr>
      <t>05</t>
    </r>
    <r>
      <rPr>
        <i/>
        <sz val="9"/>
        <color rgb="FF555555"/>
        <rFont val="Noto Sans CJK SC"/>
        <family val="2"/>
      </rPr>
      <t>의 결론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레퍼런스 효과 </t>
    </r>
    <r>
      <rPr>
        <i/>
        <sz val="9"/>
        <color rgb="FF555555"/>
        <rFont val="Arial"/>
        <family val="2"/>
      </rPr>
      <t xml:space="preserve">&gt; </t>
    </r>
    <r>
      <rPr>
        <i/>
        <sz val="9"/>
        <color rgb="FF555555"/>
        <rFont val="Noto Sans CJK SC"/>
        <family val="2"/>
      </rPr>
      <t>모델 효과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 xml:space="preserve">은 혼합모형과 </t>
    </r>
    <r>
      <rPr>
        <i/>
        <sz val="9"/>
        <color rgb="FF555555"/>
        <rFont val="Arial"/>
        <family val="2"/>
      </rPr>
      <t>Kruskal-Wallis(08)</t>
    </r>
    <r>
      <rPr>
        <i/>
        <sz val="9"/>
        <color rgb="FF555555"/>
        <rFont val="Noto Sans CJK SC"/>
        <family val="2"/>
      </rPr>
      <t>에서 동일하게 유지된다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</si>
  <si>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>혼합모형</t>
    </r>
    <r>
      <rPr>
        <b/>
        <sz val="11"/>
        <color rgb="FF2F5496"/>
        <rFont val="Arial"/>
        <family val="2"/>
      </rPr>
      <t xml:space="preserve">(LMM) </t>
    </r>
    <r>
      <rPr>
        <b/>
        <sz val="11"/>
        <color rgb="FF2F5496"/>
        <rFont val="Noto Sans CJK SC"/>
        <family val="2"/>
      </rPr>
      <t>교차확인 — 엑셀 재현 불가</t>
    </r>
    <r>
      <rPr>
        <b/>
        <sz val="11"/>
        <color rgb="FF2F5496"/>
        <rFont val="Arial"/>
        <family val="2"/>
      </rPr>
      <t xml:space="preserve">, </t>
    </r>
    <r>
      <rPr>
        <b/>
        <sz val="11"/>
        <color rgb="FF2F5496"/>
        <rFont val="Noto Sans CJK SC"/>
        <family val="2"/>
      </rPr>
      <t>참고값</t>
    </r>
  </si>
  <si>
    <t>항목</t>
  </si>
  <si>
    <t>값</t>
  </si>
  <si>
    <t>비고</t>
  </si>
  <si>
    <t>추정 방법</t>
  </si>
  <si>
    <t>REML (statsmodels MixedLM)</t>
  </si>
  <si>
    <r>
      <rPr>
        <i/>
        <sz val="9"/>
        <color rgb="FF555555"/>
        <rFont val="Noto Sans CJK SC"/>
        <family val="2"/>
      </rPr>
      <t xml:space="preserve">문서 확률절편 </t>
    </r>
    <r>
      <rPr>
        <i/>
        <sz val="9"/>
        <color rgb="FF555555"/>
        <rFont val="Arial"/>
        <family val="2"/>
      </rPr>
      <t xml:space="preserve">+ 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×</t>
    </r>
    <r>
      <rPr>
        <i/>
        <sz val="9"/>
        <color rgb="FF555555"/>
        <rFont val="Noto Sans CJK SC"/>
        <family val="2"/>
      </rPr>
      <t>모델 고정효과</t>
    </r>
  </si>
  <si>
    <r>
      <rPr>
        <i/>
        <sz val="9"/>
        <color rgb="FF555555"/>
        <rFont val="Arial"/>
        <family val="2"/>
      </rPr>
      <t>B14</t>
    </r>
    <r>
      <rPr>
        <i/>
        <sz val="9"/>
        <color rgb="FF555555"/>
        <rFont val="Noto Sans CJK SC"/>
        <family val="2"/>
      </rPr>
      <t>와 일치</t>
    </r>
  </si>
  <si>
    <r>
      <rPr>
        <i/>
        <sz val="9"/>
        <color rgb="FF555555"/>
        <rFont val="Arial"/>
        <family val="2"/>
      </rPr>
      <t>B15</t>
    </r>
    <r>
      <rPr>
        <i/>
        <sz val="9"/>
        <color rgb="FF555555"/>
        <rFont val="Noto Sans CJK SC"/>
        <family val="2"/>
      </rPr>
      <t>와 일치</t>
    </r>
  </si>
  <si>
    <r>
      <rPr>
        <i/>
        <sz val="9"/>
        <color rgb="FF555555"/>
        <rFont val="Arial"/>
        <family val="2"/>
      </rPr>
      <t>B16</t>
    </r>
    <r>
      <rPr>
        <i/>
        <sz val="9"/>
        <color rgb="FF555555"/>
        <rFont val="Noto Sans CJK SC"/>
        <family val="2"/>
      </rPr>
      <t>과 일치</t>
    </r>
  </si>
  <si>
    <t>동일계열 계수</t>
  </si>
  <si>
    <r>
      <rPr>
        <i/>
        <sz val="9"/>
        <color rgb="FF555555"/>
        <rFont val="Arial"/>
        <family val="2"/>
      </rPr>
      <t>SE 0.0040, p&lt;.001 → 10_</t>
    </r>
    <r>
      <rPr>
        <i/>
        <sz val="9"/>
        <color rgb="FF555555"/>
        <rFont val="Noto Sans CJK SC"/>
        <family val="2"/>
      </rPr>
      <t>계열편향 참조</t>
    </r>
  </si>
  <si>
    <r>
      <rPr>
        <i/>
        <sz val="9"/>
        <color rgb="FF555555"/>
        <rFont val="Arial"/>
        <family val="2"/>
      </rPr>
      <t>LMM</t>
    </r>
    <r>
      <rPr>
        <i/>
        <sz val="9"/>
        <color rgb="FF555555"/>
        <rFont val="Noto Sans CJK SC"/>
        <family val="2"/>
      </rPr>
      <t>은 엑셀에서 직접 계산할 수 없으나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균형설계에서는 위 적률법 결과와 수치가 일치하므로 </t>
    </r>
    <r>
      <rPr>
        <i/>
        <sz val="9"/>
        <color rgb="FF555555"/>
        <rFont val="Arial"/>
        <family val="2"/>
      </rPr>
      <t>B8:B16</t>
    </r>
    <r>
      <rPr>
        <i/>
        <sz val="9"/>
        <color rgb="FF555555"/>
        <rFont val="Noto Sans CJK SC"/>
        <family val="2"/>
      </rPr>
      <t xml:space="preserve">의 수식만으로 </t>
    </r>
    <r>
      <rPr>
        <i/>
        <sz val="9"/>
        <color rgb="FF555555"/>
        <rFont val="Arial"/>
        <family val="2"/>
      </rPr>
      <t>ICC</t>
    </r>
    <r>
      <rPr>
        <i/>
        <sz val="9"/>
        <color rgb="FF555555"/>
        <rFont val="Noto Sans CJK SC"/>
        <family val="2"/>
      </rPr>
      <t>를 완전히 재현할 수 있다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</si>
  <si>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4. </t>
    </r>
    <r>
      <rPr>
        <b/>
        <sz val="14"/>
        <rFont val="Noto Sans CJK SC"/>
        <family val="2"/>
      </rPr>
      <t>레퍼런스별 점수 변동성 분해 — 관대함과 변별력 두 축</t>
    </r>
  </si>
  <si>
    <r>
      <rPr>
        <i/>
        <sz val="9"/>
        <color rgb="FF555555"/>
        <rFont val="Noto Sans CJK SC"/>
        <family val="2"/>
      </rPr>
      <t xml:space="preserve">레퍼런스는 </t>
    </r>
    <r>
      <rPr>
        <i/>
        <sz val="9"/>
        <color rgb="FF555555"/>
        <rFont val="Arial"/>
        <family val="2"/>
      </rPr>
      <t xml:space="preserve">(1) </t>
    </r>
    <r>
      <rPr>
        <i/>
        <sz val="9"/>
        <color rgb="FF555555"/>
        <rFont val="Noto Sans CJK SC"/>
        <family val="2"/>
      </rPr>
      <t>평균 점수를 얼마나 후하게 주는가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관대함</t>
    </r>
    <r>
      <rPr>
        <i/>
        <sz val="9"/>
        <color rgb="FF555555"/>
        <rFont val="Arial"/>
        <family val="2"/>
      </rPr>
      <t xml:space="preserve">), (2) </t>
    </r>
    <r>
      <rPr>
        <i/>
        <sz val="9"/>
        <color rgb="FF555555"/>
        <rFont val="Noto Sans CJK SC"/>
        <family val="2"/>
      </rPr>
      <t>모델 간 점수를 얼마나 벌리는가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변별력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로 기술된다</t>
    </r>
    <r>
      <rPr>
        <i/>
        <sz val="9"/>
        <color rgb="FF555555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</si>
  <si>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>평균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관대함</t>
    </r>
    <r>
      <rPr>
        <b/>
        <sz val="10"/>
        <color rgb="FFFFFFFF"/>
        <rFont val="Arial"/>
        <family val="2"/>
      </rPr>
      <t>)</t>
    </r>
  </si>
  <si>
    <t>CV(%)</t>
  </si>
  <si>
    <t>최고 모델</t>
  </si>
  <si>
    <t>최저 모델</t>
  </si>
  <si>
    <r>
      <rPr>
        <b/>
        <sz val="10"/>
        <color rgb="FFFFFFFF"/>
        <rFont val="Noto Sans CJK SC"/>
        <family val="2"/>
      </rPr>
      <t>변별폭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최고</t>
    </r>
    <r>
      <rPr>
        <b/>
        <sz val="10"/>
        <color rgb="FFFFFFFF"/>
        <rFont val="Arial"/>
        <family val="2"/>
      </rPr>
      <t>-</t>
    </r>
    <r>
      <rPr>
        <b/>
        <sz val="10"/>
        <color rgb="FFFFFFFF"/>
        <rFont val="Noto Sans CJK SC"/>
        <family val="2"/>
      </rPr>
      <t>최저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</si>
  <si>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모델간 분산 비중</t>
    </r>
    <r>
      <rPr>
        <b/>
        <sz val="10"/>
        <color rgb="FFFFFFFF"/>
        <rFont val="Arial"/>
        <family val="2"/>
      </rPr>
      <t>(%)</t>
    </r>
  </si>
  <si>
    <r>
      <rPr>
        <i/>
        <sz val="9"/>
        <color rgb="FF555555"/>
        <rFont val="Noto Sans CJK SC"/>
        <family val="2"/>
      </rPr>
      <t xml:space="preserve">변별폭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해당 레퍼런스 기준으로 매긴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개 모델 평균의 최댓값 − 최솟값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레퍼런스가 모델을 얼마나 벌려놓는지를 원 점수 단위로 나타낸다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</si>
  <si>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모델간 분산 비중 </t>
    </r>
    <r>
      <rPr>
        <i/>
        <sz val="9"/>
        <color rgb="FF555555"/>
        <rFont val="Arial"/>
        <family val="2"/>
      </rPr>
      <t>= r·Σ_j(</t>
    </r>
    <r>
      <rPr>
        <i/>
        <sz val="9"/>
        <color rgb="FF555555"/>
        <rFont val="Noto Sans CJK SC"/>
        <family val="2"/>
      </rPr>
      <t>셀</t>
    </r>
    <r>
      <rPr>
        <i/>
        <sz val="9"/>
        <color rgb="FF555555"/>
        <rFont val="Arial"/>
        <family val="2"/>
      </rPr>
      <t xml:space="preserve">_ij − </t>
    </r>
    <r>
      <rPr>
        <i/>
        <sz val="9"/>
        <color rgb="FF555555"/>
        <rFont val="Noto Sans CJK SC"/>
        <family val="2"/>
      </rPr>
      <t>행평균</t>
    </r>
    <r>
      <rPr>
        <i/>
        <sz val="9"/>
        <color rgb="FF555555"/>
        <rFont val="Arial"/>
        <family val="2"/>
      </rPr>
      <t xml:space="preserve">_i)² / Σ(y − </t>
    </r>
    <r>
      <rPr>
        <i/>
        <sz val="9"/>
        <color rgb="FF555555"/>
        <rFont val="Noto Sans CJK SC"/>
        <family val="2"/>
      </rPr>
      <t>행평균</t>
    </r>
    <r>
      <rPr>
        <i/>
        <sz val="9"/>
        <color rgb="FF555555"/>
        <rFont val="Arial"/>
        <family val="2"/>
      </rPr>
      <t xml:space="preserve">_i)² × 100. </t>
    </r>
    <r>
      <rPr>
        <i/>
        <sz val="9"/>
        <color rgb="FF555555"/>
        <rFont val="Noto Sans CJK SC"/>
        <family val="2"/>
      </rPr>
      <t xml:space="preserve">해당 레퍼런스 안에서 발생한 총변동 중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모델이 달라서</t>
    </r>
    <r>
      <rPr>
        <i/>
        <sz val="9"/>
        <color rgb="FF555555"/>
        <rFont val="Arial"/>
        <family val="2"/>
      </rPr>
      <t xml:space="preserve">" </t>
    </r>
    <r>
      <rPr>
        <i/>
        <sz val="9"/>
        <color rgb="FF555555"/>
        <rFont val="Noto Sans CJK SC"/>
        <family val="2"/>
      </rPr>
      <t>생긴 몫의 백분율이며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나머지는 문서 차이와 잔차다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</si>
  <si>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>: ChatGPT</t>
    </r>
    <r>
      <rPr>
        <i/>
        <sz val="9"/>
        <color rgb="FF555555"/>
        <rFont val="Noto Sans CJK SC"/>
        <family val="2"/>
      </rPr>
      <t>는 가장 박하면서</t>
    </r>
    <r>
      <rPr>
        <i/>
        <sz val="9"/>
        <color rgb="FF555555"/>
        <rFont val="Arial"/>
        <family val="2"/>
      </rPr>
      <t xml:space="preserve">(0.5455) </t>
    </r>
    <r>
      <rPr>
        <i/>
        <sz val="9"/>
        <color rgb="FF555555"/>
        <rFont val="Noto Sans CJK SC"/>
        <family val="2"/>
      </rPr>
      <t>모델을 거의 구분하지 못한다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변별폭 </t>
    </r>
    <r>
      <rPr>
        <i/>
        <sz val="9"/>
        <color rgb="FF555555"/>
        <rFont val="Arial"/>
        <family val="2"/>
      </rPr>
      <t xml:space="preserve">0.029, </t>
    </r>
    <r>
      <rPr>
        <i/>
        <sz val="9"/>
        <color rgb="FF555555"/>
        <rFont val="Noto Sans CJK SC"/>
        <family val="2"/>
      </rPr>
      <t xml:space="preserve">분산비중 </t>
    </r>
    <r>
      <rPr>
        <i/>
        <sz val="9"/>
        <color rgb="FF555555"/>
        <rFont val="Arial"/>
        <family val="2"/>
      </rPr>
      <t>10%). Qwen3.6</t>
    </r>
    <r>
      <rPr>
        <i/>
        <sz val="9"/>
        <color rgb="FF555555"/>
        <rFont val="Noto Sans CJK SC"/>
        <family val="2"/>
      </rPr>
      <t>은 관대한 편이면서 변별력이 가장 높다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변별폭 </t>
    </r>
    <r>
      <rPr>
        <i/>
        <sz val="9"/>
        <color rgb="FF555555"/>
        <rFont val="Arial"/>
        <family val="2"/>
      </rPr>
      <t>0.148, 65%).</t>
    </r>
  </si>
  <si>
    <r>
      <rPr>
        <i/>
        <sz val="9"/>
        <color rgb="FF555555"/>
        <rFont val="Noto Sans CJK SC"/>
        <family val="2"/>
      </rPr>
      <t>두 축은 독립이다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관대한 레퍼런스가 반드시 변별력이 높지 않고 그 역도 성립하지 않는다</t>
    </r>
    <r>
      <rPr>
        <i/>
        <sz val="9"/>
        <color rgb="FF555555"/>
        <rFont val="Arial"/>
        <family val="2"/>
      </rPr>
      <t>. CV</t>
    </r>
    <r>
      <rPr>
        <i/>
        <sz val="9"/>
        <color rgb="FF555555"/>
        <rFont val="Noto Sans CJK SC"/>
        <family val="2"/>
      </rPr>
      <t xml:space="preserve">만 보면 </t>
    </r>
    <r>
      <rPr>
        <i/>
        <sz val="9"/>
        <color rgb="FF555555"/>
        <rFont val="Arial"/>
        <family val="2"/>
      </rPr>
      <t>Gemini·Qwen3.6</t>
    </r>
    <r>
      <rPr>
        <i/>
        <sz val="9"/>
        <color rgb="FF555555"/>
        <rFont val="Noto Sans CJK SC"/>
        <family val="2"/>
      </rPr>
      <t xml:space="preserve">이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고변동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으로 보이지만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그 변동의 실체는 잡음이 아니라 모델을 실제로 구분해낸 신호다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</si>
  <si>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5. </t>
    </r>
    <r>
      <rPr>
        <b/>
        <sz val="14"/>
        <rFont val="Noto Sans CJK SC"/>
        <family val="2"/>
      </rPr>
      <t xml:space="preserve">모델 간 </t>
    </r>
    <r>
      <rPr>
        <b/>
        <sz val="14"/>
        <rFont val="Arial"/>
        <family val="2"/>
      </rPr>
      <t xml:space="preserve">Overall Score </t>
    </r>
    <r>
      <rPr>
        <b/>
        <sz val="14"/>
        <rFont val="Noto Sans CJK SC"/>
        <family val="2"/>
      </rPr>
      <t>차이의 비모수 검정</t>
    </r>
  </si>
  <si>
    <r>
      <rPr>
        <i/>
        <sz val="9"/>
        <color rgb="FF555555"/>
        <rFont val="Noto Sans CJK SC"/>
        <family val="2"/>
      </rPr>
      <t>점수 분포가 정규성을 만족하지 않으므로 순위 기반 검정을 사용한다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순위는 </t>
    </r>
    <r>
      <rPr>
        <i/>
        <sz val="9"/>
        <color rgb="FF555555"/>
        <rFont val="Arial"/>
        <family val="2"/>
      </rPr>
      <t>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V~Y</t>
    </r>
    <r>
      <rPr>
        <i/>
        <sz val="9"/>
        <color rgb="FF555555"/>
        <rFont val="Noto Sans CJK SC"/>
        <family val="2"/>
      </rPr>
      <t>열에서 계산된다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</si>
  <si>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Arial"/>
        <family val="2"/>
      </rPr>
      <t>1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Kruskal-Wallis </t>
    </r>
    <r>
      <rPr>
        <b/>
        <sz val="11"/>
        <color rgb="FF2F5496"/>
        <rFont val="Noto Sans CJK SC"/>
        <family val="2"/>
      </rPr>
      <t>전체 검정</t>
    </r>
  </si>
  <si>
    <r>
      <rPr>
        <i/>
        <sz val="9"/>
        <color rgb="FF555555"/>
        <rFont val="Arial"/>
        <family val="2"/>
      </rPr>
      <t xml:space="preserve">H = 12/(N(N+1)) · Σ_j (R_j²/n_j) − 3(N+1).  R_j = </t>
    </r>
    <r>
      <rPr>
        <i/>
        <sz val="9"/>
        <color rgb="FF555555"/>
        <rFont val="Noto Sans CJK SC"/>
        <family val="2"/>
      </rPr>
      <t xml:space="preserve">모델 </t>
    </r>
    <r>
      <rPr>
        <i/>
        <sz val="9"/>
        <color rgb="FF555555"/>
        <rFont val="Arial"/>
        <family val="2"/>
      </rPr>
      <t>j</t>
    </r>
    <r>
      <rPr>
        <i/>
        <sz val="9"/>
        <color rgb="FF555555"/>
        <rFont val="Noto Sans CJK SC"/>
        <family val="2"/>
      </rPr>
      <t>에 속한 관측치들의 전체 순위합</t>
    </r>
  </si>
  <si>
    <t>모델</t>
  </si>
  <si>
    <t>n_j</t>
  </si>
  <si>
    <r>
      <rPr>
        <b/>
        <sz val="10"/>
        <color rgb="FFFFFFFF"/>
        <rFont val="Noto Sans CJK SC"/>
        <family val="2"/>
      </rPr>
      <t xml:space="preserve">순위합 </t>
    </r>
    <r>
      <rPr>
        <b/>
        <sz val="10"/>
        <color rgb="FFFFFFFF"/>
        <rFont val="Arial"/>
        <family val="2"/>
      </rPr>
      <t>R_j</t>
    </r>
  </si>
  <si>
    <t>R_j²/n_j</t>
  </si>
  <si>
    <t>평균순위</t>
  </si>
  <si>
    <t>N</t>
  </si>
  <si>
    <r>
      <rPr>
        <b/>
        <sz val="10"/>
        <rFont val="Arial"/>
        <family val="2"/>
      </rPr>
      <t xml:space="preserve">H </t>
    </r>
    <r>
      <rPr>
        <b/>
        <sz val="10"/>
        <rFont val="Noto Sans CJK SC"/>
        <family val="2"/>
      </rPr>
      <t>통계량</t>
    </r>
  </si>
  <si>
    <t>자유도</t>
  </si>
  <si>
    <r>
      <rPr>
        <b/>
        <sz val="10"/>
        <rFont val="Arial"/>
        <family val="2"/>
      </rPr>
      <t>epsilon²(</t>
    </r>
    <r>
      <rPr>
        <b/>
        <sz val="10"/>
        <rFont val="Noto Sans CJK SC"/>
        <family val="2"/>
      </rPr>
      <t>효과크기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</si>
  <si>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동점</t>
    </r>
    <r>
      <rPr>
        <i/>
        <sz val="9"/>
        <color rgb="FF555555"/>
        <rFont val="Arial"/>
        <family val="2"/>
      </rPr>
      <t>(tie)</t>
    </r>
    <r>
      <rPr>
        <i/>
        <sz val="9"/>
        <color rgb="FF555555"/>
        <rFont val="Noto Sans CJK SC"/>
        <family val="2"/>
      </rPr>
      <t xml:space="preserve">이 없는 연속 점수이므로 </t>
    </r>
    <r>
      <rPr>
        <i/>
        <sz val="9"/>
        <color rgb="FF555555"/>
        <rFont val="Arial"/>
        <family val="2"/>
      </rPr>
      <t xml:space="preserve">tie </t>
    </r>
    <r>
      <rPr>
        <i/>
        <sz val="9"/>
        <color rgb="FF555555"/>
        <rFont val="Noto Sans CJK SC"/>
        <family val="2"/>
      </rPr>
      <t xml:space="preserve">보정계수는 </t>
    </r>
    <r>
      <rPr>
        <i/>
        <sz val="9"/>
        <color rgb="FF555555"/>
        <rFont val="Arial"/>
        <family val="2"/>
      </rPr>
      <t>1</t>
    </r>
    <r>
      <rPr>
        <i/>
        <sz val="9"/>
        <color rgb="FF555555"/>
        <rFont val="Noto Sans CJK SC"/>
        <family val="2"/>
      </rPr>
      <t>이다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</si>
  <si>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Arial"/>
        <family val="2"/>
      </rPr>
      <t>2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쌍별 </t>
    </r>
    <r>
      <rPr>
        <b/>
        <sz val="11"/>
        <color rgb="FF2F5496"/>
        <rFont val="Arial"/>
        <family val="2"/>
      </rPr>
      <t xml:space="preserve">Mann-Whitney U </t>
    </r>
    <r>
      <rPr>
        <b/>
        <sz val="11"/>
        <color rgb="FF2F5496"/>
        <rFont val="Noto Sans CJK SC"/>
        <family val="2"/>
      </rPr>
      <t xml:space="preserve">검정 </t>
    </r>
    <r>
      <rPr>
        <b/>
        <sz val="11"/>
        <color rgb="FF2F5496"/>
        <rFont val="Arial"/>
        <family val="2"/>
      </rPr>
      <t xml:space="preserve">+ Holm-Bonferroni </t>
    </r>
    <r>
      <rPr>
        <b/>
        <sz val="11"/>
        <color rgb="FF2F5496"/>
        <rFont val="Noto Sans CJK SC"/>
        <family val="2"/>
      </rPr>
      <t>보정</t>
    </r>
  </si>
  <si>
    <r>
      <rPr>
        <i/>
        <sz val="9"/>
        <color rgb="FF555555"/>
        <rFont val="Arial"/>
        <family val="2"/>
      </rPr>
      <t xml:space="preserve">U = R₁ − n₁(n₁+1)/2.  R₁ = </t>
    </r>
    <r>
      <rPr>
        <i/>
        <sz val="9"/>
        <color rgb="FF555555"/>
        <rFont val="Noto Sans CJK SC"/>
        <family val="2"/>
      </rPr>
      <t>두 모델만 모은 표본 내에서 모델</t>
    </r>
    <r>
      <rPr>
        <i/>
        <sz val="9"/>
        <color rgb="FF555555"/>
        <rFont val="Arial"/>
        <family val="2"/>
      </rPr>
      <t xml:space="preserve">1 </t>
    </r>
    <r>
      <rPr>
        <i/>
        <sz val="9"/>
        <color rgb="FF555555"/>
        <rFont val="Noto Sans CJK SC"/>
        <family val="2"/>
      </rPr>
      <t xml:space="preserve">관측치의 순위합 </t>
    </r>
    <r>
      <rPr>
        <i/>
        <sz val="9"/>
        <color rgb="FF555555"/>
        <rFont val="Arial"/>
        <family val="2"/>
      </rPr>
      <t>(01_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W~Y</t>
    </r>
    <r>
      <rPr>
        <i/>
        <sz val="9"/>
        <color rgb="FF555555"/>
        <rFont val="Noto Sans CJK SC"/>
        <family val="2"/>
      </rPr>
      <t>열이 쌍별 순위를 계산한다</t>
    </r>
    <r>
      <rPr>
        <i/>
        <sz val="9"/>
        <color rgb="FF555555"/>
        <rFont val="Arial"/>
        <family val="2"/>
      </rPr>
      <t>)</t>
    </r>
  </si>
  <si>
    <t>z = (U − n₁n₂/2) / sqrt(n₁n₂(n₁+n₂+1)/12),  p = 2(1 − Φ(|z|))</t>
  </si>
  <si>
    <r>
      <rPr>
        <i/>
        <sz val="9"/>
        <color rgb="FF555555"/>
        <rFont val="Arial"/>
        <family val="2"/>
      </rPr>
      <t>rank-biserial r = 2U/(n₁n₂) − 1.  0=</t>
    </r>
    <r>
      <rPr>
        <i/>
        <sz val="9"/>
        <color rgb="FF555555"/>
        <rFont val="Noto Sans CJK SC"/>
        <family val="2"/>
      </rPr>
      <t>차이없음</t>
    </r>
    <r>
      <rPr>
        <i/>
        <sz val="9"/>
        <color rgb="FF555555"/>
        <rFont val="Arial"/>
        <family val="2"/>
      </rPr>
      <t>, ±1=</t>
    </r>
    <r>
      <rPr>
        <i/>
        <sz val="9"/>
        <color rgb="FF555555"/>
        <rFont val="Noto Sans CJK SC"/>
        <family val="2"/>
      </rPr>
      <t>완전분리</t>
    </r>
  </si>
  <si>
    <t>비교</t>
  </si>
  <si>
    <t>순위열</t>
  </si>
  <si>
    <r>
      <rPr>
        <b/>
        <sz val="10"/>
        <color rgb="FFFFFFFF"/>
        <rFont val="Noto Sans CJK SC"/>
        <family val="2"/>
      </rPr>
      <t>모델</t>
    </r>
    <r>
      <rPr>
        <b/>
        <sz val="10"/>
        <color rgb="FFFFFFFF"/>
        <rFont val="Arial"/>
        <family val="2"/>
      </rPr>
      <t>1</t>
    </r>
  </si>
  <si>
    <t>n₁</t>
  </si>
  <si>
    <r>
      <rPr>
        <b/>
        <sz val="10"/>
        <color rgb="FFFFFFFF"/>
        <rFont val="Noto Sans CJK SC"/>
        <family val="2"/>
      </rPr>
      <t>모델</t>
    </r>
    <r>
      <rPr>
        <b/>
        <sz val="10"/>
        <color rgb="FFFFFFFF"/>
        <rFont val="Arial"/>
        <family val="2"/>
      </rPr>
      <t>2</t>
    </r>
  </si>
  <si>
    <t>n₂</t>
  </si>
  <si>
    <t>R₁</t>
  </si>
  <si>
    <t>U</t>
  </si>
  <si>
    <t>z</t>
  </si>
  <si>
    <r>
      <rPr>
        <b/>
        <sz val="10"/>
        <color rgb="FFFFFFFF"/>
        <rFont val="Arial"/>
        <family val="2"/>
      </rPr>
      <t>p 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</si>
  <si>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t>순위</t>
  </si>
  <si>
    <r>
      <rPr>
        <b/>
        <sz val="10"/>
        <color rgb="FFFFFFFF"/>
        <rFont val="Arial"/>
        <family val="2"/>
      </rPr>
      <t xml:space="preserve">Holm </t>
    </r>
    <r>
      <rPr>
        <b/>
        <sz val="10"/>
        <color rgb="FFFFFFFF"/>
        <rFont val="Noto Sans CJK SC"/>
        <family val="2"/>
      </rPr>
      <t>배수</t>
    </r>
  </si>
  <si>
    <t>Holm p</t>
  </si>
  <si>
    <t>r</t>
  </si>
  <si>
    <t>판정</t>
  </si>
  <si>
    <t>Gemma vs Ministral</t>
  </si>
  <si>
    <r>
      <rPr>
        <i/>
        <sz val="9"/>
        <color rgb="FF555555"/>
        <rFont val="Arial"/>
        <family val="2"/>
      </rPr>
      <t>W</t>
    </r>
    <r>
      <rPr>
        <i/>
        <sz val="9"/>
        <color rgb="FF555555"/>
        <rFont val="Noto Sans CJK SC"/>
        <family val="2"/>
      </rPr>
      <t>열</t>
    </r>
  </si>
  <si>
    <t>Gemma vs Qwen</t>
  </si>
  <si>
    <r>
      <rPr>
        <i/>
        <sz val="9"/>
        <color rgb="FF555555"/>
        <rFont val="Arial"/>
        <family val="2"/>
      </rPr>
      <t>X</t>
    </r>
    <r>
      <rPr>
        <i/>
        <sz val="9"/>
        <color rgb="FF555555"/>
        <rFont val="Noto Sans CJK SC"/>
        <family val="2"/>
      </rPr>
      <t>열</t>
    </r>
  </si>
  <si>
    <t>Ministral vs Qwen</t>
  </si>
  <si>
    <r>
      <rPr>
        <i/>
        <sz val="9"/>
        <color rgb="FF555555"/>
        <rFont val="Arial"/>
        <family val="2"/>
      </rPr>
      <t>Y</t>
    </r>
    <r>
      <rPr>
        <i/>
        <sz val="9"/>
        <color rgb="FF555555"/>
        <rFont val="Noto Sans CJK SC"/>
        <family val="2"/>
      </rPr>
      <t>열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</si>
  <si>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>: Ministral</t>
    </r>
    <r>
      <rPr>
        <i/>
        <sz val="9"/>
        <color rgb="FF555555"/>
        <rFont val="Noto Sans CJK SC"/>
        <family val="2"/>
      </rPr>
      <t>은 다른 두 모델보다 유의하게 낮다</t>
    </r>
    <r>
      <rPr>
        <i/>
        <sz val="9"/>
        <color rgb="FF555555"/>
        <rFont val="Arial"/>
        <family val="2"/>
      </rPr>
      <t xml:space="preserve">(|r|&gt;0.6, </t>
    </r>
    <r>
      <rPr>
        <i/>
        <sz val="9"/>
        <color rgb="FF555555"/>
        <rFont val="Noto Sans CJK SC"/>
        <family val="2"/>
      </rPr>
      <t>큰 효과</t>
    </r>
    <r>
      <rPr>
        <i/>
        <sz val="9"/>
        <color rgb="FF555555"/>
        <rFont val="Arial"/>
        <family val="2"/>
      </rPr>
      <t>). Gemma</t>
    </r>
    <r>
      <rPr>
        <i/>
        <sz val="9"/>
        <color rgb="FF555555"/>
        <rFont val="Noto Sans CJK SC"/>
        <family val="2"/>
      </rPr>
      <t xml:space="preserve">와 </t>
    </r>
    <r>
      <rPr>
        <i/>
        <sz val="9"/>
        <color rgb="FF555555"/>
        <rFont val="Arial"/>
        <family val="2"/>
      </rPr>
      <t xml:space="preserve">Qwen </t>
    </r>
    <r>
      <rPr>
        <i/>
        <sz val="9"/>
        <color rgb="FF555555"/>
        <rFont val="Noto Sans CJK SC"/>
        <family val="2"/>
      </rPr>
      <t>사이에는 차이가 없다</t>
    </r>
    <r>
      <rPr>
        <i/>
        <sz val="9"/>
        <color rgb="FF555555"/>
        <rFont val="Arial"/>
        <family val="2"/>
      </rPr>
      <t xml:space="preserve">(r=+0.014, p=0.76). </t>
    </r>
    <r>
      <rPr>
        <i/>
        <sz val="9"/>
        <color rgb="FF555555"/>
        <rFont val="Noto Sans CJK SC"/>
        <family val="2"/>
      </rPr>
      <t xml:space="preserve">즉 로컬 모델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종은 실질적으로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개 계층으로 나뉜다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</si>
  <si>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주의</t>
    </r>
    <r>
      <rPr>
        <i/>
        <sz val="9"/>
        <color rgb="FF555555"/>
        <rFont val="Arial"/>
        <family val="2"/>
      </rPr>
      <t>: p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 xml:space="preserve">으로 표시되는 것은 정규근사에서 </t>
    </r>
    <r>
      <rPr>
        <i/>
        <sz val="9"/>
        <color rgb="FF555555"/>
        <rFont val="Arial"/>
        <family val="2"/>
      </rPr>
      <t>|z|&gt;13</t>
    </r>
    <r>
      <rPr>
        <i/>
        <sz val="9"/>
        <color rgb="FF555555"/>
        <rFont val="Noto Sans CJK SC"/>
        <family val="2"/>
      </rPr>
      <t>이라 배정밀도 하한 아래로 내려간 것이며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실제로는 </t>
    </r>
    <r>
      <rPr>
        <i/>
        <sz val="9"/>
        <color rgb="FF555555"/>
        <rFont val="Arial"/>
        <family val="2"/>
      </rPr>
      <t xml:space="preserve">p&lt;1e-40 </t>
    </r>
    <r>
      <rPr>
        <i/>
        <sz val="9"/>
        <color rgb="FF555555"/>
        <rFont val="Noto Sans CJK SC"/>
        <family val="2"/>
      </rPr>
      <t>수준이다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</si>
  <si>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6. </t>
    </r>
    <r>
      <rPr>
        <b/>
        <sz val="14"/>
        <rFont val="Noto Sans CJK SC"/>
        <family val="2"/>
      </rPr>
      <t xml:space="preserve">레퍼런스 모델별 오픈소스 </t>
    </r>
    <r>
      <rPr>
        <b/>
        <sz val="14"/>
        <rFont val="Arial"/>
        <family val="2"/>
      </rPr>
      <t>LLM 12</t>
    </r>
    <r>
      <rPr>
        <b/>
        <sz val="14"/>
        <rFont val="Noto Sans CJK SC"/>
        <family val="2"/>
      </rPr>
      <t xml:space="preserve">개 지표 성능 비교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>평균값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</si>
  <si>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각 셀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해당 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모델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 xml:space="preserve">조합 문서 </t>
    </r>
    <r>
      <rPr>
        <i/>
        <sz val="9"/>
        <color rgb="FF555555"/>
        <rFont val="Arial"/>
        <family val="2"/>
      </rPr>
      <t>65</t>
    </r>
    <r>
      <rPr>
        <i/>
        <sz val="9"/>
        <color rgb="FF555555"/>
        <rFont val="Noto Sans CJK SC"/>
        <family val="2"/>
      </rPr>
      <t>건의 평균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모두 </t>
    </r>
    <r>
      <rPr>
        <i/>
        <sz val="9"/>
        <color rgb="FF555555"/>
        <rFont val="Arial"/>
        <family val="2"/>
      </rPr>
      <t>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D~O</t>
    </r>
    <r>
      <rPr>
        <i/>
        <sz val="9"/>
        <color rgb="FF555555"/>
        <rFont val="Noto Sans CJK SC"/>
        <family val="2"/>
      </rPr>
      <t xml:space="preserve">열에서 </t>
    </r>
    <r>
      <rPr>
        <i/>
        <sz val="9"/>
        <color rgb="FF555555"/>
        <rFont val="Arial"/>
        <family val="2"/>
      </rPr>
      <t>AVERAGEIFS</t>
    </r>
    <r>
      <rPr>
        <i/>
        <sz val="9"/>
        <color rgb="FF555555"/>
        <rFont val="Noto Sans CJK SC"/>
        <family val="2"/>
      </rPr>
      <t>로 산출</t>
    </r>
    <r>
      <rPr>
        <i/>
        <sz val="9"/>
        <color rgb="FF555555"/>
        <rFont val="Arial"/>
        <family val="2"/>
      </rPr>
      <t>.</t>
    </r>
  </si>
  <si>
    <t>전체 평균</t>
  </si>
  <si>
    <r>
      <rPr>
        <i/>
        <sz val="9"/>
        <color rgb="FF555555"/>
        <rFont val="Noto Sans CJK SC"/>
        <family val="2"/>
      </rPr>
      <t>읽는 법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같은 행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레퍼런스 고정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안에서 지표별로 어느 모델이 앞서는지 보면 강약점 프로파일이 드러난다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같은 열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지표 고정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에서 레퍼런스를 바꿔가며 보면 그 지표가 기준 선택에 얼마나 민감한지 드러난다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</si>
  <si>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특히 </t>
    </r>
    <r>
      <rPr>
        <i/>
        <sz val="9"/>
        <color rgb="FF555555"/>
        <rFont val="Arial"/>
        <family val="2"/>
      </rPr>
      <t xml:space="preserve">teds_document_structure_similarity </t>
    </r>
    <r>
      <rPr>
        <i/>
        <sz val="9"/>
        <color rgb="FF555555"/>
        <rFont val="Noto Sans CJK SC"/>
        <family val="2"/>
      </rPr>
      <t>열의 레퍼런스 간 편차가 가장 크며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이것이 구조 지표의 표기 방언 민감성이 결과에 미치는 영향의 실체다</t>
    </r>
    <r>
      <rPr>
        <i/>
        <sz val="9"/>
        <color rgb="FF555555"/>
        <rFont val="Arial"/>
        <family val="2"/>
      </rPr>
      <t>(02_</t>
    </r>
    <r>
      <rPr>
        <i/>
        <sz val="9"/>
        <color rgb="FF555555"/>
        <rFont val="Noto Sans CJK SC"/>
        <family val="2"/>
      </rPr>
      <t xml:space="preserve">지표정의 </t>
    </r>
    <r>
      <rPr>
        <i/>
        <sz val="9"/>
        <color rgb="FF555555"/>
        <rFont val="Arial"/>
        <family val="2"/>
      </rPr>
      <t>32</t>
    </r>
    <r>
      <rPr>
        <i/>
        <sz val="9"/>
        <color rgb="FF555555"/>
        <rFont val="Noto Sans CJK SC"/>
        <family val="2"/>
      </rPr>
      <t>행 참조</t>
    </r>
    <r>
      <rPr>
        <i/>
        <sz val="9"/>
        <color rgb="FF555555"/>
        <rFont val="Arial"/>
        <family val="2"/>
      </rPr>
      <t>).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</si>
  <si>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7. </t>
    </r>
    <r>
      <rPr>
        <b/>
        <sz val="14"/>
        <rFont val="Noto Sans CJK SC"/>
        <family val="2"/>
      </rPr>
      <t>계열 유사성 편향</t>
    </r>
    <r>
      <rPr>
        <b/>
        <sz val="14"/>
        <rFont val="Arial"/>
        <family val="2"/>
      </rPr>
      <t xml:space="preserve">: </t>
    </r>
    <r>
      <rPr>
        <b/>
        <sz val="14"/>
        <rFont val="Noto Sans CJK SC"/>
        <family val="2"/>
      </rPr>
      <t xml:space="preserve">원점수 차이와 이중 중심화 잔차 </t>
    </r>
    <r>
      <rPr>
        <b/>
        <sz val="14"/>
        <rFont val="Arial"/>
        <family val="2"/>
      </rPr>
      <t>D*</t>
    </r>
  </si>
  <si>
    <r>
      <rPr>
        <i/>
        <sz val="9"/>
        <color rgb="FF555555"/>
        <rFont val="Noto Sans CJK SC"/>
        <family val="2"/>
      </rPr>
      <t>같은 개발사 계열의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>모델 조합이 실제로 유리한가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관대함 효과를 제거하면 얼마나 남는가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</si>
  <si>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Arial"/>
        <family val="2"/>
      </rPr>
      <t>1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원점수 기준 우위 </t>
    </r>
    <r>
      <rPr>
        <b/>
        <sz val="11"/>
        <color rgb="FF2F5496"/>
        <rFont val="Arial"/>
        <family val="2"/>
      </rPr>
      <t>D_raw</t>
    </r>
  </si>
  <si>
    <r>
      <rPr>
        <i/>
        <sz val="9"/>
        <color rgb="FF555555"/>
        <rFont val="Arial"/>
        <family val="2"/>
      </rPr>
      <t>D_raw = (</t>
    </r>
    <r>
      <rPr>
        <i/>
        <sz val="9"/>
        <color rgb="FF555555"/>
        <rFont val="Noto Sans CJK SC"/>
        <family val="2"/>
      </rPr>
      <t>같은 계열 셀</t>
    </r>
    <r>
      <rPr>
        <i/>
        <sz val="9"/>
        <color rgb="FF555555"/>
        <rFont val="Arial"/>
        <family val="2"/>
      </rPr>
      <t>) − (</t>
    </r>
    <r>
      <rPr>
        <i/>
        <sz val="9"/>
        <color rgb="FF555555"/>
        <rFont val="Noto Sans CJK SC"/>
        <family val="2"/>
      </rPr>
      <t xml:space="preserve">같은 모델을 다른 </t>
    </r>
    <r>
      <rPr>
        <i/>
        <sz val="9"/>
        <color rgb="FF555555"/>
        <rFont val="Arial"/>
        <family val="2"/>
      </rPr>
      <t>4</t>
    </r>
    <r>
      <rPr>
        <i/>
        <sz val="9"/>
        <color rgb="FF555555"/>
        <rFont val="Noto Sans CJK SC"/>
        <family val="2"/>
      </rPr>
      <t>개 레퍼런스로 평가한 셀들의 평균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</si>
  <si>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동일한 모델이 자기 계열 레퍼런스로 평가받을 때 다른 레퍼런스 대비 얼마나 더 받는가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를 뜻한다</t>
    </r>
    <r>
      <rPr>
        <i/>
        <sz val="9"/>
        <color rgb="FF555555"/>
        <rFont val="Arial"/>
        <family val="2"/>
      </rPr>
      <t>.</t>
    </r>
  </si>
  <si>
    <t>계열</t>
  </si>
  <si>
    <t>해당 셀</t>
  </si>
  <si>
    <t>타 레퍼런스 평균</t>
  </si>
  <si>
    <t>D_raw</t>
  </si>
  <si>
    <t>Google</t>
  </si>
  <si>
    <t>Alibaba</t>
  </si>
  <si>
    <r>
      <rPr>
        <b/>
        <sz val="11"/>
        <color rgb="FF2F5496"/>
        <rFont val="Arial"/>
        <family val="2"/>
      </rPr>
      <t>2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이중 중심화 잔차 </t>
    </r>
    <r>
      <rPr>
        <b/>
        <sz val="11"/>
        <color rgb="FF2F5496"/>
        <rFont val="Arial"/>
        <family val="2"/>
      </rPr>
      <t xml:space="preserve">D* — </t>
    </r>
    <r>
      <rPr>
        <b/>
        <sz val="11"/>
        <color rgb="FF2F5496"/>
        <rFont val="Noto Sans CJK SC"/>
        <family val="2"/>
      </rPr>
      <t>관대함과 모델 실력을 모두 제거</t>
    </r>
  </si>
  <si>
    <r>
      <rPr>
        <i/>
        <sz val="9"/>
        <color rgb="FF555555"/>
        <rFont val="Arial"/>
        <family val="2"/>
      </rPr>
      <t>D* = (</t>
    </r>
    <r>
      <rPr>
        <i/>
        <sz val="9"/>
        <color rgb="FF555555"/>
        <rFont val="Noto Sans CJK SC"/>
        <family val="2"/>
      </rPr>
      <t>셀</t>
    </r>
    <r>
      <rPr>
        <i/>
        <sz val="9"/>
        <color rgb="FF555555"/>
        <rFont val="Arial"/>
        <family val="2"/>
      </rPr>
      <t>_ij) − (</t>
    </r>
    <r>
      <rPr>
        <i/>
        <sz val="9"/>
        <color rgb="FF555555"/>
        <rFont val="Noto Sans CJK SC"/>
        <family val="2"/>
      </rPr>
      <t>행평균</t>
    </r>
    <r>
      <rPr>
        <i/>
        <sz val="9"/>
        <color rgb="FF555555"/>
        <rFont val="Arial"/>
        <family val="2"/>
      </rPr>
      <t>_i) − (</t>
    </r>
    <r>
      <rPr>
        <i/>
        <sz val="9"/>
        <color rgb="FF555555"/>
        <rFont val="Noto Sans CJK SC"/>
        <family val="2"/>
      </rPr>
      <t>열평균</t>
    </r>
    <r>
      <rPr>
        <i/>
        <sz val="9"/>
        <color rgb="FF555555"/>
        <rFont val="Arial"/>
        <family val="2"/>
      </rPr>
      <t>_j) + (</t>
    </r>
    <r>
      <rPr>
        <i/>
        <sz val="9"/>
        <color rgb="FF555555"/>
        <rFont val="Noto Sans CJK SC"/>
        <family val="2"/>
      </rPr>
      <t>총평균</t>
    </r>
    <r>
      <rPr>
        <i/>
        <sz val="9"/>
        <color rgb="FF555555"/>
        <rFont val="Arial"/>
        <family val="2"/>
      </rPr>
      <t>).  04_</t>
    </r>
    <r>
      <rPr>
        <i/>
        <sz val="9"/>
        <color rgb="FF555555"/>
        <rFont val="Noto Sans CJK SC"/>
        <family val="2"/>
      </rPr>
      <t xml:space="preserve">교차표 </t>
    </r>
    <r>
      <rPr>
        <i/>
        <sz val="9"/>
        <color rgb="FF555555"/>
        <rFont val="Arial"/>
        <family val="2"/>
      </rPr>
      <t>B16:D20</t>
    </r>
    <r>
      <rPr>
        <i/>
        <sz val="9"/>
        <color rgb="FF555555"/>
        <rFont val="Noto Sans CJK SC"/>
        <family val="2"/>
      </rPr>
      <t>에서 계산된다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</si>
  <si>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행평균을 빼면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그 레퍼런스가 원래 후한 정도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가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열평균을 빼면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그 모델이 원래 잘하는 정도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가 제거되고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총평균을 되더하면 두 번 뺀 전체 수준이 복원된다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남는 것은 그 조합에서만 나타나는 고유 효과다</t>
    </r>
    <r>
      <rPr>
        <i/>
        <sz val="9"/>
        <color rgb="FF555555"/>
        <rFont val="Arial"/>
        <family val="2"/>
      </rPr>
      <t>.</t>
    </r>
  </si>
  <si>
    <t>D*</t>
  </si>
  <si>
    <r>
      <rPr>
        <b/>
        <sz val="10"/>
        <color rgb="FFFFFFFF"/>
        <rFont val="Arial"/>
        <family val="2"/>
      </rPr>
      <t>D*</t>
    </r>
    <r>
      <rPr>
        <b/>
        <sz val="10"/>
        <color rgb="FFFFFFFF"/>
        <rFont val="Noto Sans CJK SC"/>
        <family val="2"/>
      </rPr>
      <t xml:space="preserve">가 </t>
    </r>
    <r>
      <rPr>
        <b/>
        <sz val="10"/>
        <color rgb="FFFFFFFF"/>
        <rFont val="Arial"/>
        <family val="2"/>
      </rPr>
      <t>D_raw</t>
    </r>
    <r>
      <rPr>
        <b/>
        <sz val="10"/>
        <color rgb="FFFFFFFF"/>
        <rFont val="Noto Sans CJK SC"/>
        <family val="2"/>
      </rPr>
      <t>에서 차지하는 비율</t>
    </r>
  </si>
  <si>
    <t>해석</t>
  </si>
  <si>
    <t>관대함 제거 후 남은 조합 고유 효과</t>
  </si>
  <si>
    <r>
      <rPr>
        <b/>
        <sz val="11"/>
        <color rgb="FF2F5496"/>
        <rFont val="Arial"/>
        <family val="2"/>
      </rPr>
      <t>3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동일계열 </t>
    </r>
    <r>
      <rPr>
        <b/>
        <sz val="11"/>
        <color rgb="FF2F5496"/>
        <rFont val="Arial"/>
        <family val="2"/>
      </rPr>
      <t xml:space="preserve">vs </t>
    </r>
    <r>
      <rPr>
        <b/>
        <sz val="11"/>
        <color rgb="FF2F5496"/>
        <rFont val="Noto Sans CJK SC"/>
        <family val="2"/>
      </rPr>
      <t xml:space="preserve">교차계열 전체 비교 </t>
    </r>
    <r>
      <rPr>
        <b/>
        <sz val="11"/>
        <color rgb="FF2F5496"/>
        <rFont val="Arial"/>
        <family val="2"/>
      </rPr>
      <t>(Mann-Whitney)</t>
    </r>
  </si>
  <si>
    <t>구분</t>
  </si>
  <si>
    <r>
      <rPr>
        <b/>
        <sz val="10"/>
        <color rgb="FFFFFFFF"/>
        <rFont val="Noto Sans CJK SC"/>
        <family val="2"/>
      </rPr>
      <t xml:space="preserve">평균 </t>
    </r>
    <r>
      <rPr>
        <b/>
        <sz val="10"/>
        <color rgb="FFFFFFFF"/>
        <rFont val="Arial"/>
        <family val="2"/>
      </rPr>
      <t>Overall</t>
    </r>
  </si>
  <si>
    <t>순위합</t>
  </si>
  <si>
    <t>rank-biserial r</t>
  </si>
  <si>
    <t>교차계열</t>
  </si>
  <si>
    <r>
      <rPr>
        <b/>
        <sz val="10"/>
        <rFont val="Noto Sans CJK SC"/>
        <family val="2"/>
      </rPr>
      <t xml:space="preserve">차이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동일 − 교차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</si>
  <si>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핵심 결론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원점수로 보면 동일계열이 </t>
    </r>
    <r>
      <rPr>
        <i/>
        <sz val="9"/>
        <color rgb="FF555555"/>
        <rFont val="Arial"/>
        <family val="2"/>
      </rPr>
      <t xml:space="preserve">+0.053 </t>
    </r>
    <r>
      <rPr>
        <i/>
        <sz val="9"/>
        <color rgb="FF555555"/>
        <rFont val="Noto Sans CJK SC"/>
        <family val="2"/>
      </rPr>
      <t>유리하다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그러나 이를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레퍼런스별 관대함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 xml:space="preserve">과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조합 고유 효과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로 분해하면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후자에 해당하는 </t>
    </r>
    <r>
      <rPr>
        <i/>
        <sz val="9"/>
        <color rgb="FF555555"/>
        <rFont val="Arial"/>
        <family val="2"/>
      </rPr>
      <t>D*</t>
    </r>
    <r>
      <rPr>
        <i/>
        <sz val="9"/>
        <color rgb="FF555555"/>
        <rFont val="Noto Sans CJK SC"/>
        <family val="2"/>
      </rPr>
      <t xml:space="preserve">는 </t>
    </r>
    <r>
      <rPr>
        <i/>
        <sz val="9"/>
        <color rgb="FF555555"/>
        <rFont val="Arial"/>
        <family val="2"/>
      </rPr>
      <t>+0.007~+0.028</t>
    </r>
    <r>
      <rPr>
        <i/>
        <sz val="9"/>
        <color rgb="FF555555"/>
        <rFont val="Noto Sans CJK SC"/>
        <family val="2"/>
      </rPr>
      <t>에 그친다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</si>
  <si>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즉 관찰된 계열 우위의 상당 부분은 자기 계열을 편애해서가 아니라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해당 레퍼런스가 원래 모두에게 후하기 때문에 생긴 것이다</t>
    </r>
    <r>
      <rPr>
        <i/>
        <sz val="9"/>
        <color rgb="FF555555"/>
        <rFont val="Arial"/>
        <family val="2"/>
      </rPr>
      <t>. D*</t>
    </r>
    <r>
      <rPr>
        <i/>
        <sz val="9"/>
        <color rgb="FF555555"/>
        <rFont val="Noto Sans CJK SC"/>
        <family val="2"/>
      </rPr>
      <t>가 여전히 양수이고 유의하므로 조합 고유의 편향도 실재하지만 크기는 훨씬 작다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</si>
  <si>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용어</t>
    </r>
    <r>
      <rPr>
        <i/>
        <sz val="9"/>
        <color rgb="FF555555"/>
        <rFont val="Arial"/>
        <family val="2"/>
      </rPr>
      <t>: D*</t>
    </r>
    <r>
      <rPr>
        <i/>
        <sz val="9"/>
        <color rgb="FF555555"/>
        <rFont val="Noto Sans CJK SC"/>
        <family val="2"/>
      </rPr>
      <t xml:space="preserve">는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델타 스타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로 읽는다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이는 </t>
    </r>
    <r>
      <rPr>
        <i/>
        <sz val="9"/>
        <color rgb="FF555555"/>
        <rFont val="Arial"/>
        <family val="2"/>
      </rPr>
      <t>Tukey</t>
    </r>
    <r>
      <rPr>
        <i/>
        <sz val="9"/>
        <color rgb="FF555555"/>
        <rFont val="Noto Sans CJK SC"/>
        <family val="2"/>
      </rPr>
      <t>의 고전적 상호작용 추출과 같은 형태다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</si>
  <si>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 xml:space="preserve">Mistral </t>
    </r>
    <r>
      <rPr>
        <i/>
        <sz val="9"/>
        <color rgb="FF555555"/>
        <rFont val="Noto Sans CJK SC"/>
        <family val="2"/>
      </rPr>
      <t xml:space="preserve">계열은 </t>
    </r>
    <r>
      <rPr>
        <i/>
        <sz val="9"/>
        <color rgb="FF555555"/>
        <rFont val="Arial"/>
        <family val="2"/>
      </rPr>
      <t>D_raw</t>
    </r>
    <r>
      <rPr>
        <i/>
        <sz val="9"/>
        <color rgb="FF555555"/>
        <rFont val="Noto Sans CJK SC"/>
        <family val="2"/>
      </rPr>
      <t xml:space="preserve">가 음수인데 </t>
    </r>
    <r>
      <rPr>
        <i/>
        <sz val="9"/>
        <color rgb="FF555555"/>
        <rFont val="Arial"/>
        <family val="2"/>
      </rPr>
      <t>D*</t>
    </r>
    <r>
      <rPr>
        <i/>
        <sz val="9"/>
        <color rgb="FF555555"/>
        <rFont val="Noto Sans CJK SC"/>
        <family val="2"/>
      </rPr>
      <t>는 양수다</t>
    </r>
    <r>
      <rPr>
        <i/>
        <sz val="9"/>
        <color rgb="FF555555"/>
        <rFont val="Arial"/>
        <family val="2"/>
      </rPr>
      <t>. Ministral</t>
    </r>
    <r>
      <rPr>
        <i/>
        <sz val="9"/>
        <color rgb="FF555555"/>
        <rFont val="Noto Sans CJK SC"/>
        <family val="2"/>
      </rPr>
      <t>의 절대 성능이 낮아 원점수는 낮지만</t>
    </r>
    <r>
      <rPr>
        <i/>
        <sz val="9"/>
        <color rgb="FF555555"/>
        <rFont val="Arial"/>
        <family val="2"/>
      </rPr>
      <t>, "Ministral</t>
    </r>
    <r>
      <rPr>
        <i/>
        <sz val="9"/>
        <color rgb="FF555555"/>
        <rFont val="Noto Sans CJK SC"/>
        <family val="2"/>
      </rPr>
      <t>치고는</t>
    </r>
    <r>
      <rPr>
        <i/>
        <sz val="9"/>
        <color rgb="FF555555"/>
        <rFont val="Arial"/>
        <family val="2"/>
      </rPr>
      <t xml:space="preserve">" Mistral </t>
    </r>
    <r>
      <rPr>
        <i/>
        <sz val="9"/>
        <color rgb="FF555555"/>
        <rFont val="Noto Sans CJK SC"/>
        <family val="2"/>
      </rPr>
      <t>레퍼런스에서 상대적으로 잘 받는다는 뜻이다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이 반전이 이중 중심화의 필요성을 가장 잘 보여준다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</si>
  <si>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문서별 이중 중심화 잔차 </t>
    </r>
    <r>
      <rPr>
        <b/>
        <sz val="14"/>
        <rFont val="Arial"/>
        <family val="2"/>
      </rPr>
      <t xml:space="preserve">D* </t>
    </r>
    <r>
      <rPr>
        <b/>
        <sz val="14"/>
        <rFont val="Noto Sans CJK SC"/>
        <family val="2"/>
      </rPr>
      <t xml:space="preserve">와 문서 형식별 부호 분포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 xml:space="preserve">4.4 </t>
    </r>
    <r>
      <rPr>
        <b/>
        <sz val="14"/>
        <rFont val="Noto Sans CJK SC"/>
        <family val="2"/>
      </rPr>
      <t>마지막 문단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</si>
  <si>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문서마다 </t>
    </r>
    <r>
      <rPr>
        <i/>
        <sz val="9"/>
        <color rgb="FF555555"/>
        <rFont val="Arial"/>
        <family val="2"/>
      </rPr>
      <t xml:space="preserve">5x3 </t>
    </r>
    <r>
      <rPr>
        <i/>
        <sz val="9"/>
        <color rgb="FF555555"/>
        <rFont val="Noto Sans CJK SC"/>
        <family val="2"/>
      </rPr>
      <t>점수 행렬을 따로 이중 중심화한 잔차</t>
    </r>
    <r>
      <rPr>
        <i/>
        <sz val="9"/>
        <color rgb="FF555555"/>
        <rFont val="Arial"/>
        <family val="2"/>
      </rPr>
      <t>. 10_</t>
    </r>
    <r>
      <rPr>
        <i/>
        <sz val="9"/>
        <color rgb="FF555555"/>
        <rFont val="Noto Sans CJK SC"/>
        <family val="2"/>
      </rPr>
      <t>계열편향은 전체 평균 기준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이 시트는 문서 단위다</t>
    </r>
    <r>
      <rPr>
        <i/>
        <sz val="9"/>
        <color rgb="FF555555"/>
        <rFont val="Arial"/>
        <family val="2"/>
      </rPr>
      <t>.</t>
    </r>
  </si>
  <si>
    <t>D* Google</t>
  </si>
  <si>
    <t>D* Alibaba</t>
  </si>
  <si>
    <t>D* Mistral</t>
  </si>
  <si>
    <r>
      <rPr>
        <b/>
        <sz val="10"/>
        <color rgb="FFFFFFFF"/>
        <rFont val="Noto Sans CJK SC"/>
        <family val="2"/>
      </rPr>
      <t xml:space="preserve">양수 </t>
    </r>
    <r>
      <rPr>
        <b/>
        <sz val="10"/>
        <color rgb="FFFFFFFF"/>
        <rFont val="Arial"/>
        <family val="2"/>
      </rPr>
      <t>Google</t>
    </r>
  </si>
  <si>
    <r>
      <rPr>
        <b/>
        <sz val="10"/>
        <color rgb="FFFFFFFF"/>
        <rFont val="Noto Sans CJK SC"/>
        <family val="2"/>
      </rPr>
      <t xml:space="preserve">양수 </t>
    </r>
    <r>
      <rPr>
        <b/>
        <sz val="10"/>
        <color rgb="FFFFFFFF"/>
        <rFont val="Arial"/>
        <family val="2"/>
      </rPr>
      <t>Alibaba</t>
    </r>
  </si>
  <si>
    <r>
      <rPr>
        <b/>
        <sz val="10"/>
        <color rgb="FFFFFFFF"/>
        <rFont val="Noto Sans CJK SC"/>
        <family val="2"/>
      </rPr>
      <t xml:space="preserve">양수 </t>
    </r>
    <r>
      <rPr>
        <b/>
        <sz val="10"/>
        <color rgb="FFFFFFFF"/>
        <rFont val="Arial"/>
        <family val="2"/>
      </rPr>
      <t>Mistral</t>
    </r>
  </si>
  <si>
    <r>
      <rPr>
        <b/>
        <sz val="11"/>
        <color rgb="FF2F5496"/>
        <rFont val="Noto Sans CJK SC"/>
        <family val="2"/>
      </rPr>
      <t xml:space="preserve">계열별 평균 </t>
    </r>
    <r>
      <rPr>
        <b/>
        <sz val="11"/>
        <color rgb="FF2F5496"/>
        <rFont val="Arial"/>
        <family val="2"/>
      </rPr>
      <t>(10_</t>
    </r>
    <r>
      <rPr>
        <b/>
        <sz val="11"/>
        <color rgb="FF2F5496"/>
        <rFont val="Noto Sans CJK SC"/>
        <family val="2"/>
      </rPr>
      <t xml:space="preserve">계열편향의 </t>
    </r>
    <r>
      <rPr>
        <b/>
        <sz val="11"/>
        <color rgb="FF2F5496"/>
        <rFont val="Arial"/>
        <family val="2"/>
      </rPr>
      <t>D*</t>
    </r>
    <r>
      <rPr>
        <b/>
        <sz val="11"/>
        <color rgb="FF2F5496"/>
        <rFont val="Noto Sans CJK SC"/>
        <family val="2"/>
      </rPr>
      <t>와 일치해야 한다</t>
    </r>
    <r>
      <rPr>
        <b/>
        <sz val="11"/>
        <color rgb="FF2F5496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</si>
  <si>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문서 평균 </t>
    </r>
    <r>
      <rPr>
        <b/>
        <sz val="10"/>
        <color rgb="FFFFFFFF"/>
        <rFont val="Arial"/>
        <family val="2"/>
      </rPr>
      <t>D*</t>
    </r>
  </si>
  <si>
    <r>
      <rPr>
        <b/>
        <sz val="10"/>
        <color rgb="FFFFFFFF"/>
        <rFont val="Arial"/>
        <family val="2"/>
      </rPr>
      <t>10_</t>
    </r>
    <r>
      <rPr>
        <b/>
        <sz val="10"/>
        <color rgb="FFFFFFFF"/>
        <rFont val="Noto Sans CJK SC"/>
        <family val="2"/>
      </rPr>
      <t xml:space="preserve">계열편향 </t>
    </r>
    <r>
      <rPr>
        <b/>
        <sz val="10"/>
        <color rgb="FFFFFFFF"/>
        <rFont val="Arial"/>
        <family val="2"/>
      </rPr>
      <t>D*</t>
    </r>
  </si>
  <si>
    <t>차이</t>
  </si>
  <si>
    <r>
      <rPr>
        <i/>
        <sz val="9"/>
        <color rgb="FF555555"/>
        <rFont val="Noto Sans CJK SC"/>
        <family val="2"/>
      </rPr>
      <t>균형설계이므로 문서별로 중심화한 잔차의 평균은 전체를 한 번에 중심화한 잔차와 정확히 일치한다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</si>
  <si>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 xml:space="preserve">문서 형식 </t>
    </r>
    <r>
      <rPr>
        <b/>
        <sz val="11"/>
        <color rgb="FF2F5496"/>
        <rFont val="Arial"/>
        <family val="2"/>
      </rPr>
      <t xml:space="preserve">x </t>
    </r>
    <r>
      <rPr>
        <b/>
        <sz val="11"/>
        <color rgb="FF2F5496"/>
        <rFont val="Noto Sans CJK SC"/>
        <family val="2"/>
      </rPr>
      <t xml:space="preserve">잔차 부호 교차표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>관측도수</t>
    </r>
    <r>
      <rPr>
        <b/>
        <sz val="11"/>
        <color rgb="FF2F5496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</si>
  <si>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분석 단위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65</t>
    </r>
    <r>
      <rPr>
        <i/>
        <sz val="9"/>
        <color rgb="FF555555"/>
        <rFont val="Noto Sans CJK SC"/>
        <family val="2"/>
      </rPr>
      <t xml:space="preserve">건 </t>
    </r>
    <r>
      <rPr>
        <i/>
        <sz val="9"/>
        <color rgb="FF555555"/>
        <rFont val="Arial"/>
        <family val="2"/>
      </rPr>
      <t xml:space="preserve">x </t>
    </r>
    <r>
      <rPr>
        <i/>
        <sz val="9"/>
        <color rgb="FF555555"/>
        <rFont val="Noto Sans CJK SC"/>
        <family val="2"/>
      </rPr>
      <t xml:space="preserve">계열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개 </t>
    </r>
    <r>
      <rPr>
        <i/>
        <sz val="9"/>
        <color rgb="FF555555"/>
        <rFont val="Arial"/>
        <family val="2"/>
      </rPr>
      <t>= 195</t>
    </r>
    <r>
      <rPr>
        <i/>
        <sz val="9"/>
        <color rgb="FF555555"/>
        <rFont val="Noto Sans CJK SC"/>
        <family val="2"/>
      </rPr>
      <t>개 잔차</t>
    </r>
  </si>
  <si>
    <r>
      <rPr>
        <b/>
        <sz val="10"/>
        <color rgb="FFFFFFFF"/>
        <rFont val="Noto Sans CJK SC"/>
        <family val="2"/>
      </rPr>
      <t>음수</t>
    </r>
    <r>
      <rPr>
        <b/>
        <sz val="10"/>
        <color rgb="FFFFFFFF"/>
        <rFont val="Arial"/>
        <family val="2"/>
      </rPr>
      <t>(D*&lt;=0)</t>
    </r>
  </si>
  <si>
    <r>
      <rPr>
        <b/>
        <sz val="10"/>
        <color rgb="FFFFFFFF"/>
        <rFont val="Noto Sans CJK SC"/>
        <family val="2"/>
      </rPr>
      <t>양수</t>
    </r>
    <r>
      <rPr>
        <b/>
        <sz val="10"/>
        <color rgb="FFFFFFFF"/>
        <rFont val="Arial"/>
        <family val="2"/>
      </rPr>
      <t>(D*&gt;0)</t>
    </r>
  </si>
  <si>
    <t>양수 비율</t>
  </si>
  <si>
    <t>특허</t>
  </si>
  <si>
    <t>보고서</t>
  </si>
  <si>
    <r>
      <rPr>
        <b/>
        <sz val="11"/>
        <color rgb="FF2F5496"/>
        <rFont val="Noto Sans CJK SC"/>
        <family val="2"/>
      </rPr>
      <t xml:space="preserve">기대도수 및 카이제곱 </t>
    </r>
    <r>
      <rPr>
        <b/>
        <sz val="11"/>
        <color rgb="FF2F5496"/>
        <rFont val="Arial"/>
        <family val="2"/>
      </rPr>
      <t xml:space="preserve">(Yates </t>
    </r>
    <r>
      <rPr>
        <b/>
        <sz val="11"/>
        <color rgb="FF2F5496"/>
        <rFont val="Noto Sans CJK SC"/>
        <family val="2"/>
      </rPr>
      <t>연속성 보정</t>
    </r>
    <r>
      <rPr>
        <b/>
        <sz val="11"/>
        <color rgb="FF2F5496"/>
        <rFont val="Arial"/>
        <family val="2"/>
      </rPr>
      <t>)</t>
    </r>
  </si>
  <si>
    <t>기대 음수</t>
  </si>
  <si>
    <t>기대 양수</t>
  </si>
  <si>
    <r>
      <rPr>
        <b/>
        <sz val="10"/>
        <rFont val="Noto Sans CJK SC"/>
        <family val="2"/>
      </rPr>
      <t xml:space="preserve">카이제곱 </t>
    </r>
    <r>
      <rPr>
        <b/>
        <sz val="10"/>
        <rFont val="Arial"/>
        <family val="2"/>
      </rPr>
      <t>(Yates)</t>
    </r>
  </si>
  <si>
    <r>
      <rPr>
        <i/>
        <sz val="9"/>
        <color rgb="FF555555"/>
        <rFont val="Arial"/>
        <family val="2"/>
      </rPr>
      <t xml:space="preserve">2x2 </t>
    </r>
    <r>
      <rPr>
        <i/>
        <sz val="9"/>
        <color rgb="FF555555"/>
        <rFont val="Noto Sans CJK SC"/>
        <family val="2"/>
      </rPr>
      <t xml:space="preserve">분할표이므로 </t>
    </r>
    <r>
      <rPr>
        <i/>
        <sz val="9"/>
        <color rgb="FF555555"/>
        <rFont val="Arial"/>
        <family val="2"/>
      </rPr>
      <t xml:space="preserve">Yates </t>
    </r>
    <r>
      <rPr>
        <i/>
        <sz val="9"/>
        <color rgb="FF555555"/>
        <rFont val="Noto Sans CJK SC"/>
        <family val="2"/>
      </rPr>
      <t>연속성 보정을 적용하였다</t>
    </r>
    <r>
      <rPr>
        <i/>
        <sz val="9"/>
        <color rgb="FF555555"/>
        <rFont val="Arial"/>
        <family val="2"/>
      </rPr>
      <t xml:space="preserve">: χ² = Σ (|O−E|−0.5)²/E. </t>
    </r>
    <r>
      <rPr>
        <i/>
        <sz val="9"/>
        <color rgb="FF555555"/>
        <rFont val="Noto Sans CJK SC"/>
        <family val="2"/>
      </rPr>
      <t xml:space="preserve">보정을 적용하지 않으면 </t>
    </r>
    <r>
      <rPr>
        <i/>
        <sz val="9"/>
        <color rgb="FF555555"/>
        <rFont val="Arial"/>
        <family val="2"/>
      </rPr>
      <t>χ²=1.527, p=0.217</t>
    </r>
    <r>
      <rPr>
        <i/>
        <sz val="9"/>
        <color rgb="FF555555"/>
        <rFont val="Noto Sans CJK SC"/>
        <family val="2"/>
      </rPr>
      <t>이며 결론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유의하지 않음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은 동일하다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</si>
  <si>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계열 편향의 방향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양의 잔차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은 특허 문서와 보고서 문서에서 같은 비율로 나타난다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즉 편향 패턴은 입력 문서 유형과 무관하게 일관된다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</si>
  <si>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문서 단위</t>
    </r>
    <r>
      <rPr>
        <b/>
        <sz val="14"/>
        <rFont val="Arial"/>
        <family val="2"/>
      </rPr>
      <t>(65</t>
    </r>
    <r>
      <rPr>
        <b/>
        <sz val="14"/>
        <rFont val="Noto Sans CJK SC"/>
        <family val="2"/>
      </rPr>
      <t>건</t>
    </r>
    <r>
      <rPr>
        <b/>
        <sz val="14"/>
        <rFont val="Arial"/>
        <family val="2"/>
      </rPr>
      <t xml:space="preserve">) </t>
    </r>
    <r>
      <rPr>
        <b/>
        <sz val="14"/>
        <rFont val="Noto Sans CJK SC"/>
        <family val="2"/>
      </rPr>
      <t>집계와 사후 회귀 입력 변수</t>
    </r>
  </si>
  <si>
    <r>
      <rPr>
        <i/>
        <sz val="9"/>
        <color rgb="FF555555"/>
        <rFont val="Noto Sans CJK SC"/>
        <family val="2"/>
      </rPr>
      <t xml:space="preserve">파란 글씨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>외부 입력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원문에서 직접 계수</t>
    </r>
    <r>
      <rPr>
        <i/>
        <sz val="9"/>
        <color rgb="FF555555"/>
        <rFont val="Arial"/>
        <family val="2"/>
      </rPr>
      <t xml:space="preserve">), </t>
    </r>
    <r>
      <rPr>
        <i/>
        <sz val="9"/>
        <color rgb="FF555555"/>
        <rFont val="Noto Sans CJK SC"/>
        <family val="2"/>
      </rPr>
      <t xml:space="preserve">검정 글씨 </t>
    </r>
    <r>
      <rPr>
        <i/>
        <sz val="9"/>
        <color rgb="FF555555"/>
        <rFont val="Arial"/>
        <family val="2"/>
      </rPr>
      <t>= 01_</t>
    </r>
    <r>
      <rPr>
        <i/>
        <sz val="9"/>
        <color rgb="FF555555"/>
        <rFont val="Noto Sans CJK SC"/>
        <family val="2"/>
      </rPr>
      <t>원자료에서 집계한 수식</t>
    </r>
  </si>
  <si>
    <r>
      <rPr>
        <b/>
        <sz val="10"/>
        <color rgb="FFFFFFFF"/>
        <rFont val="Arial"/>
        <family val="2"/>
      </rPr>
      <t xml:space="preserve">y: </t>
    </r>
    <r>
      <rPr>
        <b/>
        <sz val="10"/>
        <color rgb="FFFFFFFF"/>
        <rFont val="Noto Sans CJK SC"/>
        <family val="2"/>
      </rPr>
      <t xml:space="preserve">평균 </t>
    </r>
    <r>
      <rPr>
        <b/>
        <sz val="10"/>
        <color rgb="FFFFFFFF"/>
        <rFont val="Arial"/>
        <family val="2"/>
      </rPr>
      <t>Overall</t>
    </r>
  </si>
  <si>
    <r>
      <rPr>
        <b/>
        <sz val="10"/>
        <color rgb="FFFFFFFF"/>
        <rFont val="Arial"/>
        <family val="2"/>
      </rPr>
      <t>TEDS</t>
    </r>
    <r>
      <rPr>
        <b/>
        <sz val="10"/>
        <color rgb="FFFFFFFF"/>
        <rFont val="Noto Sans CJK SC"/>
        <family val="2"/>
      </rPr>
      <t>표 평균</t>
    </r>
  </si>
  <si>
    <r>
      <rPr>
        <b/>
        <sz val="10"/>
        <color rgb="FFFFFFFF"/>
        <rFont val="Arial"/>
        <family val="2"/>
      </rPr>
      <t>TEDS</t>
    </r>
    <r>
      <rPr>
        <b/>
        <sz val="10"/>
        <color rgb="FFFFFFFF"/>
        <rFont val="Noto Sans CJK SC"/>
        <family val="2"/>
      </rPr>
      <t>표 표준편차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신호</t>
    </r>
    <r>
      <rPr>
        <b/>
        <sz val="10"/>
        <color rgb="FFFFFFFF"/>
        <rFont val="Arial"/>
        <family val="2"/>
      </rPr>
      <t>1)</t>
    </r>
  </si>
  <si>
    <r>
      <rPr>
        <b/>
        <sz val="10"/>
        <color rgb="FFFFFFFF"/>
        <rFont val="Noto Sans CJK SC"/>
        <family val="2"/>
      </rPr>
      <t>출력 어휘량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신호</t>
    </r>
    <r>
      <rPr>
        <b/>
        <sz val="10"/>
        <color rgb="FFFFFFFF"/>
        <rFont val="Arial"/>
        <family val="2"/>
      </rPr>
      <t>2)</t>
    </r>
  </si>
  <si>
    <r>
      <rPr>
        <b/>
        <sz val="10"/>
        <color rgb="FFFFFFFF"/>
        <rFont val="Noto Sans CJK SC"/>
        <family val="2"/>
      </rPr>
      <t>로컬합의도 평균</t>
    </r>
    <r>
      <rPr>
        <b/>
        <sz val="10"/>
        <color rgb="FFFFFFFF"/>
        <rFont val="Arial"/>
        <family val="2"/>
      </rPr>
      <t>(RF1)</t>
    </r>
  </si>
  <si>
    <r>
      <rPr>
        <b/>
        <sz val="10"/>
        <color rgb="FFFFFFFF"/>
        <rFont val="Noto Sans CJK SC"/>
        <family val="2"/>
      </rPr>
      <t>로컬합의도 분산</t>
    </r>
    <r>
      <rPr>
        <b/>
        <sz val="10"/>
        <color rgb="FFFFFFFF"/>
        <rFont val="Arial"/>
        <family val="2"/>
      </rPr>
      <t>(RF2)</t>
    </r>
  </si>
  <si>
    <t>어휘 평균</t>
  </si>
  <si>
    <t>의미 평균</t>
  </si>
  <si>
    <r>
      <rPr>
        <b/>
        <sz val="10"/>
        <color rgb="FFFFFFFF"/>
        <rFont val="Noto Sans CJK SC"/>
        <family val="2"/>
      </rPr>
      <t>어휘</t>
    </r>
    <r>
      <rPr>
        <b/>
        <sz val="10"/>
        <color rgb="FFFFFFFF"/>
        <rFont val="Arial"/>
        <family val="2"/>
      </rPr>
      <t>+</t>
    </r>
    <r>
      <rPr>
        <b/>
        <sz val="10"/>
        <color rgb="FFFFFFFF"/>
        <rFont val="Noto Sans CJK SC"/>
        <family val="2"/>
      </rPr>
      <t>의미 종속변수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</si>
  <si>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y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</si>
  <si>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TEDS</t>
    </r>
    <r>
      <rPr>
        <b/>
        <sz val="10"/>
        <color rgb="FFFFFFFF"/>
        <rFont val="Noto Sans CJK SC"/>
        <family val="2"/>
      </rPr>
      <t>표</t>
    </r>
    <r>
      <rPr>
        <b/>
        <sz val="10"/>
        <color rgb="FFFFFFFF"/>
        <rFont val="Arial"/>
        <family val="2"/>
      </rPr>
      <t>SD</t>
    </r>
  </si>
  <si>
    <t>순위 어휘량</t>
  </si>
  <si>
    <t>순위 로컬합의도</t>
  </si>
  <si>
    <r>
      <rPr>
        <b/>
        <sz val="10"/>
        <color rgb="FFFFFFFF"/>
        <rFont val="Noto Sans CJK SC"/>
        <family val="2"/>
      </rPr>
      <t>순위 어휘</t>
    </r>
    <r>
      <rPr>
        <b/>
        <sz val="10"/>
        <color rgb="FFFFFFFF"/>
        <rFont val="Arial"/>
        <family val="2"/>
      </rPr>
      <t>+</t>
    </r>
    <r>
      <rPr>
        <b/>
        <sz val="10"/>
        <color rgb="FFFFFFFF"/>
        <rFont val="Noto Sans CJK SC"/>
        <family val="2"/>
      </rPr>
      <t>의미</t>
    </r>
  </si>
  <si>
    <t>입력 변수의 출처와 정의</t>
  </si>
  <si>
    <r>
      <rPr>
        <i/>
        <sz val="9"/>
        <color rgb="FF555555"/>
        <rFont val="Arial"/>
        <family val="2"/>
      </rPr>
      <t>D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 xml:space="preserve">TEDS </t>
    </r>
    <r>
      <rPr>
        <i/>
        <sz val="9"/>
        <color rgb="FF555555"/>
        <rFont val="Noto Sans CJK SC"/>
        <family val="2"/>
      </rPr>
      <t>표구조 표준편차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한 문서에 대한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 xml:space="preserve">개 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x</t>
    </r>
    <r>
      <rPr>
        <i/>
        <sz val="9"/>
        <color rgb="FF555555"/>
        <rFont val="Noto Sans CJK SC"/>
        <family val="2"/>
      </rPr>
      <t>모델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 xml:space="preserve">조합의 </t>
    </r>
    <r>
      <rPr>
        <i/>
        <sz val="9"/>
        <color rgb="FF555555"/>
        <rFont val="Arial"/>
        <family val="2"/>
      </rPr>
      <t xml:space="preserve">teds_table_structure_similarity </t>
    </r>
    <r>
      <rPr>
        <i/>
        <sz val="9"/>
        <color rgb="FF555555"/>
        <rFont val="Noto Sans CJK SC"/>
        <family val="2"/>
      </rPr>
      <t>표본표준편차</t>
    </r>
    <r>
      <rPr>
        <i/>
        <sz val="9"/>
        <color rgb="FF555555"/>
        <rFont val="Arial"/>
        <family val="2"/>
      </rPr>
      <t xml:space="preserve">(ddof=1). </t>
    </r>
    <r>
      <rPr>
        <i/>
        <sz val="9"/>
        <color rgb="FF555555"/>
        <rFont val="Noto Sans CJK SC"/>
        <family val="2"/>
      </rPr>
      <t>레퍼런스 호출이 필요한 신호다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</si>
  <si>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E</t>
    </r>
    <r>
      <rPr>
        <i/>
        <sz val="9"/>
        <color rgb="FF555555"/>
        <rFont val="Noto Sans CJK SC"/>
        <family val="2"/>
      </rPr>
      <t>열 출력 어휘량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로컬 모델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종이 그 문서에 대해 생성한 </t>
    </r>
    <r>
      <rPr>
        <i/>
        <sz val="9"/>
        <color rgb="FF555555"/>
        <rFont val="Arial"/>
        <family val="2"/>
      </rPr>
      <t>ADR</t>
    </r>
    <r>
      <rPr>
        <i/>
        <sz val="9"/>
        <color rgb="FF555555"/>
        <rFont val="Noto Sans CJK SC"/>
        <family val="2"/>
      </rPr>
      <t>의 토큰 수 평균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정규식 </t>
    </r>
    <r>
      <rPr>
        <i/>
        <sz val="9"/>
        <color rgb="FF555555"/>
        <rFont val="Arial"/>
        <family val="2"/>
      </rPr>
      <t xml:space="preserve">\w+ </t>
    </r>
    <r>
      <rPr>
        <i/>
        <sz val="9"/>
        <color rgb="FF555555"/>
        <rFont val="Noto Sans CJK SC"/>
        <family val="2"/>
      </rPr>
      <t>기준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 xml:space="preserve">= adrs/ </t>
    </r>
    <r>
      <rPr>
        <i/>
        <sz val="9"/>
        <color rgb="FF555555"/>
        <rFont val="Noto Sans CJK SC"/>
        <family val="2"/>
      </rPr>
      <t>폴더의 원문 마크다운 파일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</si>
  <si>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F/G</t>
    </r>
    <r>
      <rPr>
        <i/>
        <sz val="9"/>
        <color rgb="FF555555"/>
        <rFont val="Noto Sans CJK SC"/>
        <family val="2"/>
      </rPr>
      <t>열 로컬 상호 합의도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로컬 모델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종의 출력끼리 직접 비교한 표 구조 </t>
    </r>
    <r>
      <rPr>
        <i/>
        <sz val="9"/>
        <color rgb="FF555555"/>
        <rFont val="Arial"/>
        <family val="2"/>
      </rPr>
      <t xml:space="preserve">TEDS </t>
    </r>
    <r>
      <rPr>
        <i/>
        <sz val="9"/>
        <color rgb="FF555555"/>
        <rFont val="Noto Sans CJK SC"/>
        <family val="2"/>
      </rPr>
      <t xml:space="preserve">유사도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쌍</t>
    </r>
    <r>
      <rPr>
        <i/>
        <sz val="9"/>
        <color rgb="FF555555"/>
        <rFont val="Arial"/>
        <family val="2"/>
      </rPr>
      <t>(gemma-ministral, gemma-qwen, ministral-qwen)</t>
    </r>
    <r>
      <rPr>
        <i/>
        <sz val="9"/>
        <color rgb="FF555555"/>
        <rFont val="Noto Sans CJK SC"/>
        <family val="2"/>
      </rPr>
      <t>의 평균과 표준편차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레퍼런스를 전혀 호출하지 않으므로 운영 시점에 산출 가능하다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</si>
  <si>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출처</t>
    </r>
    <r>
      <rPr>
        <i/>
        <sz val="9"/>
        <color rgb="FF555555"/>
        <rFont val="Arial"/>
        <family val="2"/>
      </rPr>
      <t>: local_local_teds.csv (</t>
    </r>
    <r>
      <rPr>
        <i/>
        <sz val="9"/>
        <color rgb="FF555555"/>
        <rFont val="Noto Sans CJK SC"/>
        <family val="2"/>
      </rPr>
      <t>원 분석 산출물</t>
    </r>
    <r>
      <rPr>
        <i/>
        <sz val="9"/>
        <color rgb="FF555555"/>
        <rFont val="Arial"/>
        <family val="2"/>
      </rPr>
      <t>). E</t>
    </r>
    <r>
      <rPr>
        <i/>
        <sz val="9"/>
        <color rgb="FF555555"/>
        <rFont val="Noto Sans CJK SC"/>
        <family val="2"/>
      </rPr>
      <t xml:space="preserve">열은 </t>
    </r>
    <r>
      <rPr>
        <i/>
        <sz val="9"/>
        <color rgb="FF555555"/>
        <rFont val="Arial"/>
        <family val="2"/>
      </rPr>
      <t xml:space="preserve">adrs/ </t>
    </r>
    <r>
      <rPr>
        <i/>
        <sz val="9"/>
        <color rgb="FF555555"/>
        <rFont val="Noto Sans CJK SC"/>
        <family val="2"/>
      </rPr>
      <t>원문에서 본 워크북 생성 시 직접 계수하였다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</si>
  <si>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 xml:space="preserve">문서 형식별 비교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 xml:space="preserve">논문 </t>
    </r>
    <r>
      <rPr>
        <b/>
        <sz val="11"/>
        <color rgb="FF2F5496"/>
        <rFont val="Arial"/>
        <family val="2"/>
      </rPr>
      <t>4.3)</t>
    </r>
  </si>
  <si>
    <r>
      <rPr>
        <i/>
        <sz val="9"/>
        <color rgb="FF555555"/>
        <rFont val="Noto Sans CJK SC"/>
        <family val="2"/>
      </rPr>
      <t>결론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특허 문서와 보고서 문서 사이에 유의한 차이가 없다</t>
    </r>
    <r>
      <rPr>
        <i/>
        <sz val="9"/>
        <color rgb="FF555555"/>
        <rFont val="Arial"/>
        <family val="2"/>
      </rPr>
      <t xml:space="preserve">(p=0.458). </t>
    </r>
    <r>
      <rPr>
        <i/>
        <sz val="9"/>
        <color rgb="FF555555"/>
        <rFont val="Noto Sans CJK SC"/>
        <family val="2"/>
      </rPr>
      <t xml:space="preserve">입력 문서의 표면적 형식은 </t>
    </r>
    <r>
      <rPr>
        <i/>
        <sz val="9"/>
        <color rgb="FF555555"/>
        <rFont val="Arial"/>
        <family val="2"/>
      </rPr>
      <t xml:space="preserve">ADR </t>
    </r>
    <r>
      <rPr>
        <i/>
        <sz val="9"/>
        <color rgb="FF555555"/>
        <rFont val="Noto Sans CJK SC"/>
        <family val="2"/>
      </rPr>
      <t>생성 결과를 좌우하지 않는다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</si>
  <si>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사후 출력 신호 회귀 — 레퍼런스 기반 </t>
    </r>
    <r>
      <rPr>
        <b/>
        <sz val="14"/>
        <rFont val="Arial"/>
        <family val="2"/>
      </rPr>
      <t>2</t>
    </r>
    <r>
      <rPr>
        <b/>
        <sz val="14"/>
        <rFont val="Noto Sans CJK SC"/>
        <family val="2"/>
      </rPr>
      <t xml:space="preserve">신호 모형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>4.3)</t>
    </r>
  </si>
  <si>
    <r>
      <rPr>
        <i/>
        <sz val="9"/>
        <color rgb="FF555555"/>
        <rFont val="Noto Sans CJK SC"/>
        <family val="2"/>
      </rPr>
      <t>분석단위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65</t>
    </r>
    <r>
      <rPr>
        <i/>
        <sz val="9"/>
        <color rgb="FF555555"/>
        <rFont val="Noto Sans CJK SC"/>
        <family val="2"/>
      </rPr>
      <t xml:space="preserve">건 </t>
    </r>
    <r>
      <rPr>
        <i/>
        <sz val="9"/>
        <color rgb="FF555555"/>
        <rFont val="Arial"/>
        <family val="2"/>
      </rPr>
      <t xml:space="preserve">/ </t>
    </r>
    <r>
      <rPr>
        <i/>
        <sz val="9"/>
        <color rgb="FF555555"/>
        <rFont val="Noto Sans CJK SC"/>
        <family val="2"/>
      </rPr>
      <t>종속변수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문서별 평균 </t>
    </r>
    <r>
      <rPr>
        <i/>
        <sz val="9"/>
        <color rgb="FF555555"/>
        <rFont val="Arial"/>
        <family val="2"/>
      </rPr>
      <t xml:space="preserve">Overall Score / </t>
    </r>
    <r>
      <rPr>
        <i/>
        <sz val="9"/>
        <color rgb="FF555555"/>
        <rFont val="Noto Sans CJK SC"/>
        <family val="2"/>
      </rPr>
      <t>설명변수</t>
    </r>
    <r>
      <rPr>
        <i/>
        <sz val="9"/>
        <color rgb="FF555555"/>
        <rFont val="Arial"/>
        <family val="2"/>
      </rPr>
      <t xml:space="preserve">: TEDS </t>
    </r>
    <r>
      <rPr>
        <i/>
        <sz val="9"/>
        <color rgb="FF555555"/>
        <rFont val="Noto Sans CJK SC"/>
        <family val="2"/>
      </rPr>
      <t>표구조 표준편차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출력 어휘량</t>
    </r>
  </si>
  <si>
    <r>
      <rPr>
        <b/>
        <sz val="10"/>
        <color rgb="FFFFFFFF"/>
        <rFont val="Arial"/>
        <family val="2"/>
      </rPr>
      <t>x0 (</t>
    </r>
    <r>
      <rPr>
        <b/>
        <sz val="10"/>
        <color rgb="FFFFFFFF"/>
        <rFont val="Noto Sans CJK SC"/>
        <family val="2"/>
      </rPr>
      <t>절편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</si>
  <si>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TEDS</t>
    </r>
    <r>
      <rPr>
        <b/>
        <sz val="10"/>
        <color rgb="FFFFFFFF"/>
        <rFont val="Noto Sans CJK SC"/>
        <family val="2"/>
      </rPr>
      <t>표</t>
    </r>
    <r>
      <rPr>
        <b/>
        <sz val="10"/>
        <color rgb="FFFFFFFF"/>
        <rFont val="Arial"/>
        <family val="2"/>
      </rPr>
      <t>_</t>
    </r>
    <r>
      <rPr>
        <b/>
        <sz val="10"/>
        <color rgb="FFFFFFFF"/>
        <rFont val="Noto Sans CJK SC"/>
        <family val="2"/>
      </rPr>
      <t>표준편차</t>
    </r>
  </si>
  <si>
    <t>출력어휘량</t>
  </si>
  <si>
    <r>
      <rPr>
        <b/>
        <sz val="10"/>
        <color rgb="FFFFFFFF"/>
        <rFont val="Arial"/>
        <family val="2"/>
      </rPr>
      <t>y (</t>
    </r>
    <r>
      <rPr>
        <b/>
        <sz val="10"/>
        <color rgb="FFFFFFFF"/>
        <rFont val="Noto Sans CJK SC"/>
        <family val="2"/>
      </rPr>
      <t>종속변수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</si>
  <si>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y_hat (</t>
    </r>
    <r>
      <rPr>
        <b/>
        <sz val="10"/>
        <color rgb="FFFFFFFF"/>
        <rFont val="Noto Sans CJK SC"/>
        <family val="2"/>
      </rPr>
      <t>적합값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</si>
  <si>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e (</t>
    </r>
    <r>
      <rPr>
        <b/>
        <sz val="10"/>
        <color rgb="FFFFFFFF"/>
        <rFont val="Noto Sans CJK SC"/>
        <family val="2"/>
      </rPr>
      <t>잔차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</si>
  <si>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h_ii (</t>
    </r>
    <r>
      <rPr>
        <b/>
        <sz val="10"/>
        <color rgb="FFFFFFFF"/>
        <rFont val="Noto Sans CJK SC"/>
        <family val="2"/>
      </rPr>
      <t>레버리지</t>
    </r>
    <r>
      <rPr>
        <b/>
        <sz val="10"/>
        <color rgb="FFFFFFFF"/>
        <rFont val="Arial"/>
        <family val="2"/>
      </rPr>
      <t>)</t>
    </r>
  </si>
  <si>
    <t>(e/(1-h))²</t>
  </si>
  <si>
    <r>
      <rPr>
        <b/>
        <sz val="11"/>
        <color rgb="FF2F5496"/>
        <rFont val="Arial"/>
        <family val="2"/>
      </rPr>
      <t>1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>: X'X  (</t>
    </r>
    <r>
      <rPr>
        <b/>
        <sz val="11"/>
        <color rgb="FF2F5496"/>
        <rFont val="Noto Sans CJK SC"/>
        <family val="2"/>
      </rPr>
      <t>설계행렬의 교차곱</t>
    </r>
    <r>
      <rPr>
        <b/>
        <sz val="11"/>
        <color rgb="FF2F5496"/>
        <rFont val="Arial"/>
        <family val="2"/>
      </rPr>
      <t>, 3x3)</t>
    </r>
  </si>
  <si>
    <r>
      <rPr>
        <i/>
        <sz val="9"/>
        <color rgb="FF555555"/>
        <rFont val="Arial"/>
        <family val="2"/>
      </rPr>
      <t>X = [1, TEDS</t>
    </r>
    <r>
      <rPr>
        <i/>
        <sz val="9"/>
        <color rgb="FF555555"/>
        <rFont val="Noto Sans CJK SC"/>
        <family val="2"/>
      </rPr>
      <t>표</t>
    </r>
    <r>
      <rPr>
        <i/>
        <sz val="9"/>
        <color rgb="FF555555"/>
        <rFont val="Arial"/>
        <family val="2"/>
      </rPr>
      <t>_</t>
    </r>
    <r>
      <rPr>
        <i/>
        <sz val="9"/>
        <color rgb="FF555555"/>
        <rFont val="Noto Sans CJK SC"/>
        <family val="2"/>
      </rPr>
      <t>표준편차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출력어휘량</t>
    </r>
    <r>
      <rPr>
        <i/>
        <sz val="9"/>
        <color rgb="FF555555"/>
        <rFont val="Arial"/>
        <family val="2"/>
      </rPr>
      <t xml:space="preserve">] 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 xml:space="preserve">65x3 </t>
    </r>
    <r>
      <rPr>
        <i/>
        <sz val="9"/>
        <color rgb="FF555555"/>
        <rFont val="Noto Sans CJK SC"/>
        <family val="2"/>
      </rPr>
      <t>행렬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각 셀 </t>
    </r>
    <r>
      <rPr>
        <i/>
        <sz val="9"/>
        <color rgb="FF555555"/>
        <rFont val="Arial"/>
        <family val="2"/>
      </rPr>
      <t>= SUMPRODUCT(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 xml:space="preserve">_i, 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>_j)</t>
    </r>
  </si>
  <si>
    <r>
      <rPr>
        <i/>
        <sz val="9"/>
        <color rgb="FF555555"/>
        <rFont val="Arial"/>
        <family val="2"/>
      </rPr>
      <t>B</t>
    </r>
    <r>
      <rPr>
        <i/>
        <sz val="9"/>
        <color rgb="FF555555"/>
        <rFont val="Noto Sans CJK SC"/>
        <family val="2"/>
      </rPr>
      <t>열</t>
    </r>
  </si>
  <si>
    <r>
      <rPr>
        <i/>
        <sz val="9"/>
        <color rgb="FF555555"/>
        <rFont val="Arial"/>
        <family val="2"/>
      </rPr>
      <t>C</t>
    </r>
    <r>
      <rPr>
        <i/>
        <sz val="9"/>
        <color rgb="FF555555"/>
        <rFont val="Noto Sans CJK SC"/>
        <family val="2"/>
      </rPr>
      <t>열</t>
    </r>
  </si>
  <si>
    <r>
      <rPr>
        <i/>
        <sz val="9"/>
        <color rgb="FF555555"/>
        <rFont val="Arial"/>
        <family val="2"/>
      </rPr>
      <t>D</t>
    </r>
    <r>
      <rPr>
        <i/>
        <sz val="9"/>
        <color rgb="FF555555"/>
        <rFont val="Noto Sans CJK SC"/>
        <family val="2"/>
      </rPr>
      <t>열</t>
    </r>
  </si>
  <si>
    <r>
      <rPr>
        <b/>
        <sz val="11"/>
        <color rgb="FF2F5496"/>
        <rFont val="Arial"/>
        <family val="2"/>
      </rPr>
      <t>2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>: inv(X'X)  (</t>
    </r>
    <r>
      <rPr>
        <b/>
        <sz val="11"/>
        <color rgb="FF2F5496"/>
        <rFont val="Noto Sans CJK SC"/>
        <family val="2"/>
      </rPr>
      <t>역행렬</t>
    </r>
    <r>
      <rPr>
        <b/>
        <sz val="11"/>
        <color rgb="FF2F5496"/>
        <rFont val="Arial"/>
        <family val="2"/>
      </rPr>
      <t>)</t>
    </r>
  </si>
  <si>
    <r>
      <rPr>
        <b/>
        <sz val="11"/>
        <color rgb="FF2F5496"/>
        <rFont val="Arial"/>
        <family val="2"/>
      </rPr>
      <t>3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X'y </t>
    </r>
    <r>
      <rPr>
        <b/>
        <sz val="11"/>
        <color rgb="FF2F5496"/>
        <rFont val="Noto Sans CJK SC"/>
        <family val="2"/>
      </rPr>
      <t xml:space="preserve">와 회귀계수 </t>
    </r>
    <r>
      <rPr>
        <b/>
        <sz val="11"/>
        <color rgb="FF2F5496"/>
        <rFont val="Arial"/>
        <family val="2"/>
      </rPr>
      <t>beta = inv(X'X)·X'y</t>
    </r>
  </si>
  <si>
    <t>X'y B</t>
  </si>
  <si>
    <t>X'y C</t>
  </si>
  <si>
    <t>X'y D</t>
  </si>
  <si>
    <r>
      <rPr>
        <b/>
        <sz val="10"/>
        <rFont val="Arial"/>
        <family val="2"/>
      </rPr>
      <t xml:space="preserve">beta </t>
    </r>
    <r>
      <rPr>
        <b/>
        <sz val="10"/>
        <rFont val="Noto Sans CJK SC"/>
        <family val="2"/>
      </rPr>
      <t>절편</t>
    </r>
  </si>
  <si>
    <r>
      <rPr>
        <b/>
        <sz val="10"/>
        <rFont val="Arial"/>
        <family val="2"/>
      </rPr>
      <t>beta TEDS</t>
    </r>
    <r>
      <rPr>
        <b/>
        <sz val="10"/>
        <rFont val="Noto Sans CJK SC"/>
        <family val="2"/>
      </rPr>
      <t>표</t>
    </r>
    <r>
      <rPr>
        <b/>
        <sz val="10"/>
        <rFont val="Arial"/>
        <family val="2"/>
      </rPr>
      <t>_</t>
    </r>
    <r>
      <rPr>
        <b/>
        <sz val="10"/>
        <rFont val="Noto Sans CJK SC"/>
        <family val="2"/>
      </rPr>
      <t>표준편차</t>
    </r>
  </si>
  <si>
    <r>
      <rPr>
        <b/>
        <sz val="10"/>
        <rFont val="Arial"/>
        <family val="2"/>
      </rPr>
      <t xml:space="preserve">beta </t>
    </r>
    <r>
      <rPr>
        <b/>
        <sz val="10"/>
        <rFont val="Noto Sans CJK SC"/>
        <family val="2"/>
      </rPr>
      <t>출력어휘량</t>
    </r>
  </si>
  <si>
    <r>
      <rPr>
        <b/>
        <sz val="11"/>
        <color rgb="FF2F5496"/>
        <rFont val="Arial"/>
        <family val="2"/>
      </rPr>
      <t>4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>적합도 통계</t>
    </r>
  </si>
  <si>
    <r>
      <rPr>
        <b/>
        <sz val="10"/>
        <rFont val="Arial"/>
        <family val="2"/>
      </rPr>
      <t>n (</t>
    </r>
    <r>
      <rPr>
        <b/>
        <sz val="10"/>
        <rFont val="Noto Sans CJK SC"/>
        <family val="2"/>
      </rPr>
      <t>문서 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</si>
  <si>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p (</t>
    </r>
    <r>
      <rPr>
        <b/>
        <sz val="10"/>
        <rFont val="Noto Sans CJK SC"/>
        <family val="2"/>
      </rPr>
      <t>모수 개수</t>
    </r>
    <r>
      <rPr>
        <b/>
        <sz val="10"/>
        <rFont val="Arial"/>
        <family val="2"/>
      </rPr>
      <t xml:space="preserve">, </t>
    </r>
    <r>
      <rPr>
        <b/>
        <sz val="10"/>
        <rFont val="Noto Sans CJK SC"/>
        <family val="2"/>
      </rPr>
      <t>절편 포함</t>
    </r>
    <r>
      <rPr>
        <b/>
        <sz val="10"/>
        <rFont val="Arial"/>
        <family val="2"/>
      </rPr>
      <t>)</t>
    </r>
  </si>
  <si>
    <t>k</t>
  </si>
  <si>
    <t>Σ(y − ȳ)²</t>
  </si>
  <si>
    <t>SS_residual</t>
  </si>
  <si>
    <t>Σe²</t>
  </si>
  <si>
    <t>R²</t>
  </si>
  <si>
    <t>1 − SS_res/SS_tot</t>
  </si>
  <si>
    <t>adjusted R²</t>
  </si>
  <si>
    <t>1 − (1−R²)(n−1)/(n−p)</t>
  </si>
  <si>
    <t>(R²/(p−1)) / ((1−R²)/(n−p))</t>
  </si>
  <si>
    <r>
      <rPr>
        <b/>
        <sz val="10"/>
        <rFont val="Arial"/>
        <family val="2"/>
      </rPr>
      <t xml:space="preserve">p (F </t>
    </r>
    <r>
      <rPr>
        <b/>
        <sz val="10"/>
        <rFont val="Noto Sans CJK SC"/>
        <family val="2"/>
      </rPr>
      <t>검정</t>
    </r>
    <r>
      <rPr>
        <b/>
        <sz val="10"/>
        <rFont val="Arial"/>
        <family val="2"/>
      </rPr>
      <t>)</t>
    </r>
  </si>
  <si>
    <t>PRESS</t>
  </si>
  <si>
    <t>Σ (e_i/(1−h_ii))²</t>
  </si>
  <si>
    <t>LOOCV R²</t>
  </si>
  <si>
    <t>1 − PRESS/SS_tot</t>
  </si>
  <si>
    <r>
      <rPr>
        <b/>
        <sz val="11"/>
        <color rgb="FF2F5496"/>
        <rFont val="Arial"/>
        <family val="2"/>
      </rPr>
      <t>LOOCV(</t>
    </r>
    <r>
      <rPr>
        <b/>
        <sz val="11"/>
        <color rgb="FF2F5496"/>
        <rFont val="Noto Sans CJK SC"/>
        <family val="2"/>
      </rPr>
      <t>단일제거 교차검증</t>
    </r>
    <r>
      <rPr>
        <b/>
        <sz val="11"/>
        <color rgb="FF2F5496"/>
        <rFont val="Arial"/>
        <family val="2"/>
      </rPr>
      <t>)</t>
    </r>
    <r>
      <rPr>
        <b/>
        <sz val="11"/>
        <color rgb="FF2F5496"/>
        <rFont val="Noto Sans CJK SC"/>
        <family val="2"/>
      </rPr>
      <t>를 행렬로 계산하는 원리</t>
    </r>
  </si>
  <si>
    <r>
      <rPr>
        <i/>
        <sz val="9"/>
        <color rgb="FF555555"/>
        <rFont val="Noto Sans CJK SC"/>
        <family val="2"/>
      </rPr>
      <t xml:space="preserve">관측치 </t>
    </r>
    <r>
      <rPr>
        <i/>
        <sz val="9"/>
        <color rgb="FF555555"/>
        <rFont val="Arial"/>
        <family val="2"/>
      </rPr>
      <t>i</t>
    </r>
    <r>
      <rPr>
        <i/>
        <sz val="9"/>
        <color rgb="FF555555"/>
        <rFont val="Noto Sans CJK SC"/>
        <family val="2"/>
      </rPr>
      <t xml:space="preserve">를 빼고 다시 적합한 뒤 </t>
    </r>
    <r>
      <rPr>
        <i/>
        <sz val="9"/>
        <color rgb="FF555555"/>
        <rFont val="Arial"/>
        <family val="2"/>
      </rPr>
      <t>i</t>
    </r>
    <r>
      <rPr>
        <i/>
        <sz val="9"/>
        <color rgb="FF555555"/>
        <rFont val="Noto Sans CJK SC"/>
        <family val="2"/>
      </rPr>
      <t>를 예측한 오차는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전체 적합 잔차 </t>
    </r>
    <r>
      <rPr>
        <i/>
        <sz val="9"/>
        <color rgb="FF555555"/>
        <rFont val="Arial"/>
        <family val="2"/>
      </rPr>
      <t>e_i</t>
    </r>
    <r>
      <rPr>
        <i/>
        <sz val="9"/>
        <color rgb="FF555555"/>
        <rFont val="Noto Sans CJK SC"/>
        <family val="2"/>
      </rPr>
      <t xml:space="preserve">와 레버리지 </t>
    </r>
    <r>
      <rPr>
        <i/>
        <sz val="9"/>
        <color rgb="FF555555"/>
        <rFont val="Arial"/>
        <family val="2"/>
      </rPr>
      <t>h_ii</t>
    </r>
    <r>
      <rPr>
        <i/>
        <sz val="9"/>
        <color rgb="FF555555"/>
        <rFont val="Noto Sans CJK SC"/>
        <family val="2"/>
      </rPr>
      <t xml:space="preserve">만으로 </t>
    </r>
    <r>
      <rPr>
        <i/>
        <sz val="9"/>
        <color rgb="FF555555"/>
        <rFont val="Arial"/>
        <family val="2"/>
      </rPr>
      <t>e_i/(1−h_ii)</t>
    </r>
    <r>
      <rPr>
        <i/>
        <sz val="9"/>
        <color rgb="FF555555"/>
        <rFont val="Noto Sans CJK SC"/>
        <family val="2"/>
      </rPr>
      <t>로 정확히 구해진다</t>
    </r>
    <r>
      <rPr>
        <i/>
        <sz val="9"/>
        <color rgb="FF555555"/>
        <rFont val="Arial"/>
        <family val="2"/>
      </rPr>
      <t xml:space="preserve">(PRESS </t>
    </r>
    <r>
      <rPr>
        <i/>
        <sz val="9"/>
        <color rgb="FF555555"/>
        <rFont val="Noto Sans CJK SC"/>
        <family val="2"/>
      </rPr>
      <t>항등식</t>
    </r>
    <r>
      <rPr>
        <i/>
        <sz val="9"/>
        <color rgb="FF555555"/>
        <rFont val="Arial"/>
        <family val="2"/>
      </rPr>
      <t>). 65</t>
    </r>
    <r>
      <rPr>
        <i/>
        <sz val="9"/>
        <color rgb="FF555555"/>
        <rFont val="Noto Sans CJK SC"/>
        <family val="2"/>
      </rPr>
      <t>번 재적합할 필요가 없다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</si>
  <si>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 xml:space="preserve">h_ii = x_i · inv(X'X) · x_iᵀ </t>
    </r>
    <r>
      <rPr>
        <i/>
        <sz val="9"/>
        <color rgb="FF555555"/>
        <rFont val="Noto Sans CJK SC"/>
        <family val="2"/>
      </rPr>
      <t>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관측치 </t>
    </r>
    <r>
      <rPr>
        <i/>
        <sz val="9"/>
        <color rgb="FF555555"/>
        <rFont val="Arial"/>
        <family val="2"/>
      </rPr>
      <t>i</t>
    </r>
    <r>
      <rPr>
        <i/>
        <sz val="9"/>
        <color rgb="FF555555"/>
        <rFont val="Noto Sans CJK SC"/>
        <family val="2"/>
      </rPr>
      <t>가 자기 적합값을 끌어당기는 힘이다</t>
    </r>
    <r>
      <rPr>
        <i/>
        <sz val="9"/>
        <color rgb="FF555555"/>
        <rFont val="Arial"/>
        <family val="2"/>
      </rPr>
      <t xml:space="preserve">. LOOCV R² = 1 − PRESS/SS_total </t>
    </r>
    <r>
      <rPr>
        <i/>
        <sz val="9"/>
        <color rgb="FF555555"/>
        <rFont val="Noto Sans CJK SC"/>
        <family val="2"/>
      </rPr>
      <t>이 음수면 표본평균보다도 예측이 나쁘다는 뜻이다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</si>
  <si>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두 신호가 문서별 평가 결과 변동의 약 </t>
    </r>
    <r>
      <rPr>
        <i/>
        <sz val="9"/>
        <color rgb="FF555555"/>
        <rFont val="Arial"/>
        <family val="2"/>
      </rPr>
      <t>67%</t>
    </r>
    <r>
      <rPr>
        <i/>
        <sz val="9"/>
        <color rgb="FF555555"/>
        <rFont val="Noto Sans CJK SC"/>
        <family val="2"/>
      </rPr>
      <t>를 설명한다</t>
    </r>
    <r>
      <rPr>
        <i/>
        <sz val="9"/>
        <color rgb="FF555555"/>
        <rFont val="Arial"/>
        <family val="2"/>
      </rPr>
      <t xml:space="preserve">. TEDS </t>
    </r>
    <r>
      <rPr>
        <i/>
        <sz val="9"/>
        <color rgb="FF555555"/>
        <rFont val="Noto Sans CJK SC"/>
        <family val="2"/>
      </rPr>
      <t>표구조 분산이 지배적이며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단독 </t>
    </r>
    <r>
      <rPr>
        <i/>
        <sz val="9"/>
        <color rgb="FF555555"/>
        <rFont val="Arial"/>
        <family val="2"/>
      </rPr>
      <t xml:space="preserve">R²=0.632), </t>
    </r>
    <r>
      <rPr>
        <i/>
        <sz val="9"/>
        <color rgb="FF555555"/>
        <rFont val="Noto Sans CJK SC"/>
        <family val="2"/>
      </rPr>
      <t xml:space="preserve">출력 어휘량은 단독 설명력은 약하나 </t>
    </r>
    <r>
      <rPr>
        <i/>
        <sz val="9"/>
        <color rgb="FF555555"/>
        <rFont val="Arial"/>
        <family val="2"/>
      </rPr>
      <t xml:space="preserve">TEDS </t>
    </r>
    <r>
      <rPr>
        <i/>
        <sz val="9"/>
        <color rgb="FF555555"/>
        <rFont val="Noto Sans CJK SC"/>
        <family val="2"/>
      </rPr>
      <t>분산과 거의 독립이어서 결합 시 교차검증 성능을 개선한다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</si>
  <si>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두 계수 모두 음수다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표 구조 정합성의 조합 간 분산이 크거나 출력이 장황한 문서일수록 레퍼런스 정합성이 낮다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</si>
  <si>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한계</t>
    </r>
    <r>
      <rPr>
        <i/>
        <sz val="9"/>
        <color rgb="FF555555"/>
        <rFont val="Arial"/>
        <family val="2"/>
      </rPr>
      <t xml:space="preserve">: TEDS </t>
    </r>
    <r>
      <rPr>
        <i/>
        <sz val="9"/>
        <color rgb="FF555555"/>
        <rFont val="Noto Sans CJK SC"/>
        <family val="2"/>
      </rPr>
      <t xml:space="preserve">분산은 </t>
    </r>
    <r>
      <rPr>
        <i/>
        <sz val="9"/>
        <color rgb="FF555555"/>
        <rFont val="Arial"/>
        <family val="2"/>
      </rPr>
      <t>Overall Score</t>
    </r>
    <r>
      <rPr>
        <i/>
        <sz val="9"/>
        <color rgb="FF555555"/>
        <rFont val="Noto Sans CJK SC"/>
        <family val="2"/>
      </rPr>
      <t>의 구성요소에서 파생된 신호이며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운영 시점에 레퍼런스 호출을 전제한다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이를 해소한 것이 </t>
    </r>
    <r>
      <rPr>
        <i/>
        <sz val="9"/>
        <color rgb="FF555555"/>
        <rFont val="Arial"/>
        <family val="2"/>
      </rPr>
      <t>13_</t>
    </r>
    <r>
      <rPr>
        <i/>
        <sz val="9"/>
        <color rgb="FF555555"/>
        <rFont val="Noto Sans CJK SC"/>
        <family val="2"/>
      </rPr>
      <t>레퍼런스프리 시트다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</si>
  <si>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레퍼런스</t>
    </r>
    <r>
      <rPr>
        <b/>
        <sz val="14"/>
        <rFont val="Arial"/>
        <family val="2"/>
      </rPr>
      <t>-</t>
    </r>
    <r>
      <rPr>
        <b/>
        <sz val="14"/>
        <rFont val="Noto Sans CJK SC"/>
        <family val="2"/>
      </rPr>
      <t xml:space="preserve">프리 </t>
    </r>
    <r>
      <rPr>
        <b/>
        <sz val="14"/>
        <rFont val="Arial"/>
        <family val="2"/>
      </rPr>
      <t>3</t>
    </r>
    <r>
      <rPr>
        <b/>
        <sz val="14"/>
        <rFont val="Noto Sans CJK SC"/>
        <family val="2"/>
      </rPr>
      <t xml:space="preserve">신호 회귀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 xml:space="preserve">4.3 </t>
    </r>
    <r>
      <rPr>
        <b/>
        <sz val="14"/>
        <rFont val="Noto Sans CJK SC"/>
        <family val="2"/>
      </rPr>
      <t>후반</t>
    </r>
    <r>
      <rPr>
        <b/>
        <sz val="14"/>
        <rFont val="Arial"/>
        <family val="2"/>
      </rPr>
      <t>)</t>
    </r>
  </si>
  <si>
    <t>레퍼런스를 전혀 호출하지 않고 로컬 모델 출력끼리의 상호 합의도만으로 정합성을 예측할 수 있는가</t>
  </si>
  <si>
    <r>
      <rPr>
        <b/>
        <sz val="10"/>
        <color rgb="FFFFFFFF"/>
        <rFont val="Noto Sans CJK SC"/>
        <family val="2"/>
      </rPr>
      <t>로컬합의도</t>
    </r>
    <r>
      <rPr>
        <b/>
        <sz val="10"/>
        <color rgb="FFFFFFFF"/>
        <rFont val="Arial"/>
        <family val="2"/>
      </rPr>
      <t>_</t>
    </r>
    <r>
      <rPr>
        <b/>
        <sz val="10"/>
        <color rgb="FFFFFFFF"/>
        <rFont val="Noto Sans CJK SC"/>
        <family val="2"/>
      </rPr>
      <t>평균</t>
    </r>
  </si>
  <si>
    <r>
      <rPr>
        <b/>
        <sz val="10"/>
        <color rgb="FFFFFFFF"/>
        <rFont val="Noto Sans CJK SC"/>
        <family val="2"/>
      </rPr>
      <t>로컬합의도</t>
    </r>
    <r>
      <rPr>
        <b/>
        <sz val="10"/>
        <color rgb="FFFFFFFF"/>
        <rFont val="Arial"/>
        <family val="2"/>
      </rPr>
      <t>_</t>
    </r>
    <r>
      <rPr>
        <b/>
        <sz val="10"/>
        <color rgb="FFFFFFFF"/>
        <rFont val="Noto Sans CJK SC"/>
        <family val="2"/>
      </rPr>
      <t>분산</t>
    </r>
  </si>
  <si>
    <r>
      <rPr>
        <b/>
        <sz val="11"/>
        <color rgb="FF2F5496"/>
        <rFont val="Arial"/>
        <family val="2"/>
      </rPr>
      <t>1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>: X'X  (</t>
    </r>
    <r>
      <rPr>
        <b/>
        <sz val="11"/>
        <color rgb="FF2F5496"/>
        <rFont val="Noto Sans CJK SC"/>
        <family val="2"/>
      </rPr>
      <t>설계행렬의 교차곱</t>
    </r>
    <r>
      <rPr>
        <b/>
        <sz val="11"/>
        <color rgb="FF2F5496"/>
        <rFont val="Arial"/>
        <family val="2"/>
      </rPr>
      <t>, 4x4)</t>
    </r>
  </si>
  <si>
    <r>
      <rPr>
        <i/>
        <sz val="9"/>
        <color rgb="FF555555"/>
        <rFont val="Arial"/>
        <family val="2"/>
      </rPr>
      <t xml:space="preserve">X = [1, </t>
    </r>
    <r>
      <rPr>
        <i/>
        <sz val="9"/>
        <color rgb="FF555555"/>
        <rFont val="Noto Sans CJK SC"/>
        <family val="2"/>
      </rPr>
      <t>로컬합의도</t>
    </r>
    <r>
      <rPr>
        <i/>
        <sz val="9"/>
        <color rgb="FF555555"/>
        <rFont val="Arial"/>
        <family val="2"/>
      </rPr>
      <t>_</t>
    </r>
    <r>
      <rPr>
        <i/>
        <sz val="9"/>
        <color rgb="FF555555"/>
        <rFont val="Noto Sans CJK SC"/>
        <family val="2"/>
      </rPr>
      <t>평균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로컬합의도</t>
    </r>
    <r>
      <rPr>
        <i/>
        <sz val="9"/>
        <color rgb="FF555555"/>
        <rFont val="Arial"/>
        <family val="2"/>
      </rPr>
      <t>_</t>
    </r>
    <r>
      <rPr>
        <i/>
        <sz val="9"/>
        <color rgb="FF555555"/>
        <rFont val="Noto Sans CJK SC"/>
        <family val="2"/>
      </rPr>
      <t>분산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출력어휘량</t>
    </r>
    <r>
      <rPr>
        <i/>
        <sz val="9"/>
        <color rgb="FF555555"/>
        <rFont val="Arial"/>
        <family val="2"/>
      </rPr>
      <t xml:space="preserve">] 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 xml:space="preserve">65x4 </t>
    </r>
    <r>
      <rPr>
        <i/>
        <sz val="9"/>
        <color rgb="FF555555"/>
        <rFont val="Noto Sans CJK SC"/>
        <family val="2"/>
      </rPr>
      <t>행렬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각 셀 </t>
    </r>
    <r>
      <rPr>
        <i/>
        <sz val="9"/>
        <color rgb="FF555555"/>
        <rFont val="Arial"/>
        <family val="2"/>
      </rPr>
      <t>= SUMPRODUCT(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 xml:space="preserve">_i, 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>_j)</t>
    </r>
  </si>
  <si>
    <r>
      <rPr>
        <i/>
        <sz val="9"/>
        <color rgb="FF555555"/>
        <rFont val="Arial"/>
        <family val="2"/>
      </rPr>
      <t>E</t>
    </r>
    <r>
      <rPr>
        <i/>
        <sz val="9"/>
        <color rgb="FF555555"/>
        <rFont val="Noto Sans CJK SC"/>
        <family val="2"/>
      </rPr>
      <t>열</t>
    </r>
  </si>
  <si>
    <t>X'y E</t>
  </si>
  <si>
    <r>
      <rPr>
        <b/>
        <sz val="10"/>
        <rFont val="Arial"/>
        <family val="2"/>
      </rPr>
      <t xml:space="preserve">beta </t>
    </r>
    <r>
      <rPr>
        <b/>
        <sz val="10"/>
        <rFont val="Noto Sans CJK SC"/>
        <family val="2"/>
      </rPr>
      <t>로컬합의도</t>
    </r>
    <r>
      <rPr>
        <b/>
        <sz val="10"/>
        <rFont val="Arial"/>
        <family val="2"/>
      </rPr>
      <t>_</t>
    </r>
    <r>
      <rPr>
        <b/>
        <sz val="10"/>
        <rFont val="Noto Sans CJK SC"/>
        <family val="2"/>
      </rPr>
      <t>평균</t>
    </r>
  </si>
  <si>
    <r>
      <rPr>
        <b/>
        <sz val="10"/>
        <rFont val="Arial"/>
        <family val="2"/>
      </rPr>
      <t xml:space="preserve">beta </t>
    </r>
    <r>
      <rPr>
        <b/>
        <sz val="10"/>
        <rFont val="Noto Sans CJK SC"/>
        <family val="2"/>
      </rPr>
      <t>로컬합의도</t>
    </r>
    <r>
      <rPr>
        <b/>
        <sz val="10"/>
        <rFont val="Arial"/>
        <family val="2"/>
      </rPr>
      <t>_</t>
    </r>
    <r>
      <rPr>
        <b/>
        <sz val="10"/>
        <rFont val="Noto Sans CJK SC"/>
        <family val="2"/>
      </rPr>
      <t>분산</t>
    </r>
  </si>
  <si>
    <r>
      <rPr>
        <i/>
        <sz val="9"/>
        <color rgb="FF555555"/>
        <rFont val="Noto Sans CJK SC"/>
        <family val="2"/>
      </rPr>
      <t>핵심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이 모형은 레퍼런스 기반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신호 모형</t>
    </r>
    <r>
      <rPr>
        <i/>
        <sz val="9"/>
        <color rgb="FF555555"/>
        <rFont val="Arial"/>
        <family val="2"/>
      </rPr>
      <t>(12_</t>
    </r>
    <r>
      <rPr>
        <i/>
        <sz val="9"/>
        <color rgb="FF555555"/>
        <rFont val="Noto Sans CJK SC"/>
        <family val="2"/>
      </rPr>
      <t>사후회귀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을 상회한다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즉 운영 환경에서 레퍼런스 </t>
    </r>
    <r>
      <rPr>
        <i/>
        <sz val="9"/>
        <color rgb="FF555555"/>
        <rFont val="Arial"/>
        <family val="2"/>
      </rPr>
      <t>LLM</t>
    </r>
    <r>
      <rPr>
        <i/>
        <sz val="9"/>
        <color rgb="FF555555"/>
        <rFont val="Noto Sans CJK SC"/>
        <family val="2"/>
      </rPr>
      <t>을 호출하지 않고도 동등 이상의 모니터링 신호를 얻을 수 있다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</si>
  <si>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원리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서로 다른 로컬 모델이 같은 입력에 대해 구조적으로 일치하는 출력을 내면 그 문서는 정합성이 높고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서로 흩어지면 낮다</t>
    </r>
    <r>
      <rPr>
        <i/>
        <sz val="9"/>
        <color rgb="FF555555"/>
        <rFont val="Arial"/>
        <family val="2"/>
      </rPr>
      <t xml:space="preserve">. query-by-committee </t>
    </r>
    <r>
      <rPr>
        <i/>
        <sz val="9"/>
        <color rgb="FF555555"/>
        <rFont val="Noto Sans CJK SC"/>
        <family val="2"/>
      </rPr>
      <t xml:space="preserve">및 </t>
    </r>
    <r>
      <rPr>
        <i/>
        <sz val="9"/>
        <color rgb="FF555555"/>
        <rFont val="Arial"/>
        <family val="2"/>
      </rPr>
      <t xml:space="preserve">self-consistency </t>
    </r>
    <r>
      <rPr>
        <i/>
        <sz val="9"/>
        <color rgb="FF555555"/>
        <rFont val="Noto Sans CJK SC"/>
        <family val="2"/>
      </rPr>
      <t>계열 아이디어와 통한다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</si>
  <si>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검증</t>
    </r>
    <r>
      <rPr>
        <i/>
        <sz val="9"/>
        <color rgb="FF555555"/>
        <rFont val="Arial"/>
        <family val="2"/>
      </rPr>
      <t>: 14_</t>
    </r>
    <r>
      <rPr>
        <i/>
        <sz val="9"/>
        <color rgb="FF555555"/>
        <rFont val="Noto Sans CJK SC"/>
        <family val="2"/>
      </rPr>
      <t>논문대조 시트에서 이 모형의 값이 논문 보고치와 다르게 나오는 유일한 항목이므로 반드시 확인할 것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</si>
  <si>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레퍼런스</t>
    </r>
    <r>
      <rPr>
        <b/>
        <sz val="14"/>
        <rFont val="Arial"/>
        <family val="2"/>
      </rPr>
      <t>-</t>
    </r>
    <r>
      <rPr>
        <b/>
        <sz val="14"/>
        <rFont val="Noto Sans CJK SC"/>
        <family val="2"/>
      </rPr>
      <t xml:space="preserve">프리 </t>
    </r>
    <r>
      <rPr>
        <b/>
        <sz val="14"/>
        <rFont val="Arial"/>
        <family val="2"/>
      </rPr>
      <t>3</t>
    </r>
    <r>
      <rPr>
        <b/>
        <sz val="14"/>
        <rFont val="Noto Sans CJK SC"/>
        <family val="2"/>
      </rPr>
      <t>신호 회귀 — 종속변수를 어휘</t>
    </r>
    <r>
      <rPr>
        <b/>
        <sz val="14"/>
        <rFont val="Arial"/>
        <family val="2"/>
      </rPr>
      <t>+</t>
    </r>
    <r>
      <rPr>
        <b/>
        <sz val="14"/>
        <rFont val="Noto Sans CJK SC"/>
        <family val="2"/>
      </rPr>
      <t xml:space="preserve">의미로 교체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>4.3)</t>
    </r>
  </si>
  <si>
    <r>
      <rPr>
        <i/>
        <sz val="9"/>
        <color rgb="FF555555"/>
        <rFont val="Noto Sans CJK SC"/>
        <family val="2"/>
      </rPr>
      <t>구조 성분을 제외한 종속변수에 대해서도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>프리 신호가 설명력을 유지하는지 확인한다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</si>
  <si>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종속변수는 어휘 그룹과 의미 그룹만 가중평균한 값이다</t>
    </r>
    <r>
      <rPr>
        <i/>
        <sz val="9"/>
        <color rgb="FF555555"/>
        <rFont val="Arial"/>
        <family val="2"/>
      </rPr>
      <t>(11_</t>
    </r>
    <r>
      <rPr>
        <i/>
        <sz val="9"/>
        <color rgb="FF555555"/>
        <rFont val="Noto Sans CJK SC"/>
        <family val="2"/>
      </rPr>
      <t xml:space="preserve">문서단위 </t>
    </r>
    <r>
      <rPr>
        <i/>
        <sz val="9"/>
        <color rgb="FF555555"/>
        <rFont val="Arial"/>
        <family val="2"/>
      </rPr>
      <t>J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 xml:space="preserve">). </t>
    </r>
    <r>
      <rPr>
        <i/>
        <sz val="9"/>
        <color rgb="FF555555"/>
        <rFont val="Noto Sans CJK SC"/>
        <family val="2"/>
      </rPr>
      <t>구조 지표를 완전히 배제했으므로 순환 논리가 없다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</si>
  <si>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설명력이 크게 줄지만 소멸하지는 않는다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레퍼런스 기반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신호는 같은 조건에서 설명력이 사실상 사라지므로</t>
    </r>
    <r>
      <rPr>
        <i/>
        <sz val="9"/>
        <color rgb="FF555555"/>
        <rFont val="Arial"/>
        <family val="2"/>
      </rPr>
      <t>(13C_</t>
    </r>
    <r>
      <rPr>
        <i/>
        <sz val="9"/>
        <color rgb="FF555555"/>
        <rFont val="Noto Sans CJK SC"/>
        <family val="2"/>
      </rPr>
      <t>보조모형 참조</t>
    </r>
    <r>
      <rPr>
        <i/>
        <sz val="9"/>
        <color rgb="FF555555"/>
        <rFont val="Arial"/>
        <family val="2"/>
      </rPr>
      <t xml:space="preserve">), 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>프리 신호가 구조 붕괴 탐지를 넘어 정합성 전반에 대한 부분적 예측력을 갖는다는 근거가 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</si>
  <si>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보조 모형</t>
    </r>
    <r>
      <rPr>
        <b/>
        <sz val="14"/>
        <rFont val="Arial"/>
        <family val="2"/>
      </rPr>
      <t xml:space="preserve">: </t>
    </r>
    <r>
      <rPr>
        <b/>
        <sz val="14"/>
        <rFont val="Noto Sans CJK SC"/>
        <family val="2"/>
      </rPr>
      <t>단일 예측변수 회귀와 순위상관</t>
    </r>
  </si>
  <si>
    <r>
      <rPr>
        <i/>
        <sz val="9"/>
        <color rgb="FF555555"/>
        <rFont val="Noto Sans CJK SC"/>
        <family val="2"/>
      </rPr>
      <t xml:space="preserve">논문 </t>
    </r>
    <r>
      <rPr>
        <i/>
        <sz val="9"/>
        <color rgb="FF555555"/>
        <rFont val="Arial"/>
        <family val="2"/>
      </rPr>
      <t>4.3</t>
    </r>
    <r>
      <rPr>
        <i/>
        <sz val="9"/>
        <color rgb="FF555555"/>
        <rFont val="Noto Sans CJK SC"/>
        <family val="2"/>
      </rPr>
      <t>에 인용된 단독 설명력 수치를 닫힌 형태 수식으로 계산한다</t>
    </r>
    <r>
      <rPr>
        <i/>
        <sz val="9"/>
        <color rgb="FF555555"/>
        <rFont val="Arial"/>
        <family val="2"/>
      </rPr>
      <t xml:space="preserve">. 12·13 </t>
    </r>
    <r>
      <rPr>
        <i/>
        <sz val="9"/>
        <color rgb="FF555555"/>
        <rFont val="Noto Sans CJK SC"/>
        <family val="2"/>
      </rPr>
      <t>시트의 행렬 연산 없이도 동일 결과가 나온다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</si>
  <si>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 xml:space="preserve">단일 예측변수 회귀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 xml:space="preserve">모두 </t>
    </r>
    <r>
      <rPr>
        <b/>
        <sz val="11"/>
        <color rgb="FF2F5496"/>
        <rFont val="Arial"/>
        <family val="2"/>
      </rPr>
      <t>11_</t>
    </r>
    <r>
      <rPr>
        <b/>
        <sz val="11"/>
        <color rgb="FF2F5496"/>
        <rFont val="Noto Sans CJK SC"/>
        <family val="2"/>
      </rPr>
      <t>문서단위 열을 직접 참조</t>
    </r>
    <r>
      <rPr>
        <b/>
        <sz val="11"/>
        <color rgb="FF2F5496"/>
        <rFont val="Arial"/>
        <family val="2"/>
      </rPr>
      <t>)</t>
    </r>
  </si>
  <si>
    <r>
      <rPr>
        <i/>
        <sz val="9"/>
        <color rgb="FF555555"/>
        <rFont val="Arial"/>
        <family val="2"/>
      </rPr>
      <t xml:space="preserve">b1=SLOPE, b0=INTERCEPT, R²=RSQ.  </t>
    </r>
    <r>
      <rPr>
        <i/>
        <sz val="9"/>
        <color rgb="FF555555"/>
        <rFont val="Noto Sans CJK SC"/>
        <family val="2"/>
      </rPr>
      <t xml:space="preserve">레버리지 </t>
    </r>
    <r>
      <rPr>
        <i/>
        <sz val="9"/>
        <color rgb="FF555555"/>
        <rFont val="Arial"/>
        <family val="2"/>
      </rPr>
      <t xml:space="preserve">h_i = 1/n + (x_i−x̄)²/DEVSQ(x) </t>
    </r>
    <r>
      <rPr>
        <i/>
        <sz val="9"/>
        <color rgb="FF555555"/>
        <rFont val="Noto Sans CJK SC"/>
        <family val="2"/>
      </rPr>
      <t xml:space="preserve">이므로 </t>
    </r>
    <r>
      <rPr>
        <i/>
        <sz val="9"/>
        <color rgb="FF555555"/>
        <rFont val="Arial"/>
        <family val="2"/>
      </rPr>
      <t xml:space="preserve">PRESS = Σ ((y_i − b0 − b1·x_i)/(1 − h_i))² </t>
    </r>
    <r>
      <rPr>
        <i/>
        <sz val="9"/>
        <color rgb="FF555555"/>
        <rFont val="Noto Sans CJK SC"/>
        <family val="2"/>
      </rPr>
      <t xml:space="preserve">를 보조열 없이 한 개의 </t>
    </r>
    <r>
      <rPr>
        <i/>
        <sz val="9"/>
        <color rgb="FF555555"/>
        <rFont val="Arial"/>
        <family val="2"/>
      </rPr>
      <t>SUMPRODUCT</t>
    </r>
    <r>
      <rPr>
        <i/>
        <sz val="9"/>
        <color rgb="FF555555"/>
        <rFont val="Noto Sans CJK SC"/>
        <family val="2"/>
      </rPr>
      <t>로 계산할 수 있다</t>
    </r>
    <r>
      <rPr>
        <i/>
        <sz val="9"/>
        <color rgb="FF555555"/>
        <rFont val="Arial"/>
        <family val="2"/>
      </rPr>
      <t>.</t>
    </r>
  </si>
  <si>
    <t>모형</t>
  </si>
  <si>
    <r>
      <rPr>
        <b/>
        <sz val="10"/>
        <color rgb="FFFFFFFF"/>
        <rFont val="Noto Sans CJK SC"/>
        <family val="2"/>
      </rPr>
      <t xml:space="preserve">종속변수 </t>
    </r>
    <r>
      <rPr>
        <b/>
        <sz val="10"/>
        <color rgb="FFFFFFFF"/>
        <rFont val="Arial"/>
        <family val="2"/>
      </rPr>
      <t>y</t>
    </r>
  </si>
  <si>
    <r>
      <rPr>
        <b/>
        <sz val="10"/>
        <color rgb="FFFFFFFF"/>
        <rFont val="Noto Sans CJK SC"/>
        <family val="2"/>
      </rPr>
      <t xml:space="preserve">설명변수 </t>
    </r>
    <r>
      <rPr>
        <b/>
        <sz val="10"/>
        <color rgb="FFFFFFFF"/>
        <rFont val="Arial"/>
        <family val="2"/>
      </rPr>
      <t>x</t>
    </r>
  </si>
  <si>
    <r>
      <rPr>
        <b/>
        <sz val="10"/>
        <color rgb="FFFFFFFF"/>
        <rFont val="Noto Sans CJK SC"/>
        <family val="2"/>
      </rPr>
      <t xml:space="preserve">기울기 </t>
    </r>
    <r>
      <rPr>
        <b/>
        <sz val="10"/>
        <color rgb="FFFFFFFF"/>
        <rFont val="Arial"/>
        <family val="2"/>
      </rPr>
      <t>b1</t>
    </r>
  </si>
  <si>
    <r>
      <rPr>
        <b/>
        <sz val="10"/>
        <color rgb="FFFFFFFF"/>
        <rFont val="Noto Sans CJK SC"/>
        <family val="2"/>
      </rPr>
      <t xml:space="preserve">절편 </t>
    </r>
    <r>
      <rPr>
        <b/>
        <sz val="10"/>
        <color rgb="FFFFFFFF"/>
        <rFont val="Arial"/>
        <family val="2"/>
      </rPr>
      <t>b0</t>
    </r>
  </si>
  <si>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표 분산 단독</t>
    </r>
  </si>
  <si>
    <t>Overall</t>
  </si>
  <si>
    <r>
      <rPr>
        <i/>
        <sz val="9"/>
        <color rgb="FF555555"/>
        <rFont val="Arial"/>
        <family val="2"/>
      </rPr>
      <t>TEDS</t>
    </r>
    <r>
      <rPr>
        <i/>
        <sz val="9"/>
        <color rgb="FF555555"/>
        <rFont val="Noto Sans CJK SC"/>
        <family val="2"/>
      </rPr>
      <t>표 표준편차</t>
    </r>
  </si>
  <si>
    <t>출력 어휘량 단독</t>
  </si>
  <si>
    <t>출력 어휘량</t>
  </si>
  <si>
    <t>로컬 합의도 단독</t>
  </si>
  <si>
    <t>로컬합의도 평균</t>
  </si>
  <si>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표 분산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>의미</t>
    </r>
  </si>
  <si>
    <r>
      <rPr>
        <i/>
        <sz val="9"/>
        <color rgb="FF555555"/>
        <rFont val="Noto Sans CJK SC"/>
        <family val="2"/>
      </rPr>
      <t>어휘</t>
    </r>
    <r>
      <rPr>
        <i/>
        <sz val="9"/>
        <color rgb="FF555555"/>
        <rFont val="Arial"/>
        <family val="2"/>
      </rPr>
      <t>+</t>
    </r>
    <r>
      <rPr>
        <i/>
        <sz val="9"/>
        <color rgb="FF555555"/>
        <rFont val="Noto Sans CJK SC"/>
        <family val="2"/>
      </rPr>
      <t>의미</t>
    </r>
  </si>
  <si>
    <r>
      <rPr>
        <b/>
        <sz val="10"/>
        <rFont val="Noto Sans CJK SC"/>
        <family val="2"/>
      </rPr>
      <t>출력 어휘량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>의미</t>
    </r>
  </si>
  <si>
    <r>
      <rPr>
        <b/>
        <sz val="11"/>
        <color rgb="FF2F5496"/>
        <rFont val="Arial"/>
        <family val="2"/>
      </rPr>
      <t xml:space="preserve">Spearman </t>
    </r>
    <r>
      <rPr>
        <b/>
        <sz val="11"/>
        <color rgb="FF2F5496"/>
        <rFont val="Noto Sans CJK SC"/>
        <family val="2"/>
      </rPr>
      <t xml:space="preserve">순위상관 </t>
    </r>
    <r>
      <rPr>
        <b/>
        <sz val="11"/>
        <color rgb="FF2F5496"/>
        <rFont val="Arial"/>
        <family val="2"/>
      </rPr>
      <t>(11_</t>
    </r>
    <r>
      <rPr>
        <b/>
        <sz val="11"/>
        <color rgb="FF2F5496"/>
        <rFont val="Noto Sans CJK SC"/>
        <family val="2"/>
      </rPr>
      <t xml:space="preserve">문서단위 </t>
    </r>
    <r>
      <rPr>
        <b/>
        <sz val="11"/>
        <color rgb="FF2F5496"/>
        <rFont val="Arial"/>
        <family val="2"/>
      </rPr>
      <t>L~P</t>
    </r>
    <r>
      <rPr>
        <b/>
        <sz val="11"/>
        <color rgb="FF2F5496"/>
        <rFont val="Noto Sans CJK SC"/>
        <family val="2"/>
      </rPr>
      <t xml:space="preserve">열의 순위를 </t>
    </r>
    <r>
      <rPr>
        <b/>
        <sz val="11"/>
        <color rgb="FF2F5496"/>
        <rFont val="Arial"/>
        <family val="2"/>
      </rPr>
      <t>CORREL)</t>
    </r>
  </si>
  <si>
    <r>
      <rPr>
        <i/>
        <sz val="9"/>
        <color rgb="FF555555"/>
        <rFont val="Arial"/>
        <family val="2"/>
      </rPr>
      <t xml:space="preserve">Spearman ρ = </t>
    </r>
    <r>
      <rPr>
        <i/>
        <sz val="9"/>
        <color rgb="FF555555"/>
        <rFont val="Noto Sans CJK SC"/>
        <family val="2"/>
      </rPr>
      <t xml:space="preserve">두 변수를 각각 순위로 바꾼 뒤의 </t>
    </r>
    <r>
      <rPr>
        <i/>
        <sz val="9"/>
        <color rgb="FF555555"/>
        <rFont val="Arial"/>
        <family val="2"/>
      </rPr>
      <t xml:space="preserve">Pearson </t>
    </r>
    <r>
      <rPr>
        <i/>
        <sz val="9"/>
        <color rgb="FF555555"/>
        <rFont val="Noto Sans CJK SC"/>
        <family val="2"/>
      </rPr>
      <t>상관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동점이 있는 변수</t>
    </r>
    <r>
      <rPr>
        <i/>
        <sz val="9"/>
        <color rgb="FF555555"/>
        <rFont val="Arial"/>
        <family val="2"/>
      </rPr>
      <t>(TEDS</t>
    </r>
    <r>
      <rPr>
        <i/>
        <sz val="9"/>
        <color rgb="FF555555"/>
        <rFont val="Noto Sans CJK SC"/>
        <family val="2"/>
      </rPr>
      <t xml:space="preserve">표 표준편차가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인 문서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로컬 합의도가 </t>
    </r>
    <r>
      <rPr>
        <i/>
        <sz val="9"/>
        <color rgb="FF555555"/>
        <rFont val="Arial"/>
        <family val="2"/>
      </rPr>
      <t>1.0</t>
    </r>
    <r>
      <rPr>
        <i/>
        <sz val="9"/>
        <color rgb="FF555555"/>
        <rFont val="Noto Sans CJK SC"/>
        <family val="2"/>
      </rPr>
      <t>인 문서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가 있으므로 평균순위를 사용한다</t>
    </r>
    <r>
      <rPr>
        <i/>
        <sz val="9"/>
        <color rgb="FF555555"/>
        <rFont val="Arial"/>
        <family val="2"/>
      </rPr>
      <t>: COUNTIF(</t>
    </r>
    <r>
      <rPr>
        <i/>
        <sz val="9"/>
        <color rgb="FF555555"/>
        <rFont val="Noto Sans CJK SC"/>
        <family val="2"/>
      </rPr>
      <t>범위</t>
    </r>
    <r>
      <rPr>
        <i/>
        <sz val="9"/>
        <color rgb="FF555555"/>
        <rFont val="Arial"/>
        <family val="2"/>
      </rPr>
      <t>,"&lt;"&amp;</t>
    </r>
    <r>
      <rPr>
        <i/>
        <sz val="9"/>
        <color rgb="FF555555"/>
        <rFont val="Noto Sans CJK SC"/>
        <family val="2"/>
      </rPr>
      <t>값</t>
    </r>
    <r>
      <rPr>
        <i/>
        <sz val="9"/>
        <color rgb="FF555555"/>
        <rFont val="Arial"/>
        <family val="2"/>
      </rPr>
      <t>) + (COUNTIF(</t>
    </r>
    <r>
      <rPr>
        <i/>
        <sz val="9"/>
        <color rgb="FF555555"/>
        <rFont val="Noto Sans CJK SC"/>
        <family val="2"/>
      </rPr>
      <t>범위</t>
    </r>
    <r>
      <rPr>
        <i/>
        <sz val="9"/>
        <color rgb="FF555555"/>
        <rFont val="Arial"/>
        <family val="2"/>
      </rPr>
      <t>,"="&amp;</t>
    </r>
    <r>
      <rPr>
        <i/>
        <sz val="9"/>
        <color rgb="FF555555"/>
        <rFont val="Noto Sans CJK SC"/>
        <family val="2"/>
      </rPr>
      <t>값</t>
    </r>
    <r>
      <rPr>
        <i/>
        <sz val="9"/>
        <color rgb="FF555555"/>
        <rFont val="Arial"/>
        <family val="2"/>
      </rPr>
      <t>)+1)/2</t>
    </r>
  </si>
  <si>
    <t>상관</t>
  </si>
  <si>
    <r>
      <rPr>
        <b/>
        <sz val="10"/>
        <color rgb="FFFFFFFF"/>
        <rFont val="Noto Sans CJK SC"/>
        <family val="2"/>
      </rPr>
      <t xml:space="preserve">변수 </t>
    </r>
    <r>
      <rPr>
        <b/>
        <sz val="10"/>
        <color rgb="FFFFFFFF"/>
        <rFont val="Arial"/>
        <family val="2"/>
      </rPr>
      <t>1</t>
    </r>
  </si>
  <si>
    <r>
      <rPr>
        <b/>
        <sz val="10"/>
        <color rgb="FFFFFFFF"/>
        <rFont val="Noto Sans CJK SC"/>
        <family val="2"/>
      </rPr>
      <t xml:space="preserve">변수 </t>
    </r>
    <r>
      <rPr>
        <b/>
        <sz val="10"/>
        <color rgb="FFFFFFFF"/>
        <rFont val="Arial"/>
        <family val="2"/>
      </rPr>
      <t>2</t>
    </r>
  </si>
  <si>
    <t>Spearman rho</t>
  </si>
  <si>
    <r>
      <rPr>
        <b/>
        <sz val="10"/>
        <rFont val="Noto Sans CJK SC"/>
        <family val="2"/>
      </rPr>
      <t xml:space="preserve">출력어휘량 ↔ </t>
    </r>
    <r>
      <rPr>
        <b/>
        <sz val="10"/>
        <rFont val="Arial"/>
        <family val="2"/>
      </rPr>
      <t>Overall</t>
    </r>
  </si>
  <si>
    <r>
      <rPr>
        <i/>
        <sz val="9"/>
        <color rgb="FF555555"/>
        <rFont val="Noto Sans CJK SC"/>
        <family val="2"/>
      </rPr>
      <t xml:space="preserve">문서평균 </t>
    </r>
    <r>
      <rPr>
        <i/>
        <sz val="9"/>
        <color rgb="FF555555"/>
        <rFont val="Arial"/>
        <family val="2"/>
      </rPr>
      <t>Overall</t>
    </r>
  </si>
  <si>
    <t>출력이 장황할수록 레퍼런스 정합성이 낮다</t>
  </si>
  <si>
    <r>
      <rPr>
        <b/>
        <sz val="10"/>
        <rFont val="Noto Sans CJK SC"/>
        <family val="2"/>
      </rPr>
      <t xml:space="preserve">출력어휘량 ↔ </t>
    </r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표 분산</t>
    </r>
  </si>
  <si>
    <t>두 신호가 거의 독립이므로 결합 시 설명력이 더해진다</t>
  </si>
  <si>
    <r>
      <rPr>
        <b/>
        <sz val="10"/>
        <rFont val="Noto Sans CJK SC"/>
        <family val="2"/>
      </rPr>
      <t xml:space="preserve">로컬합의도 ↔ </t>
    </r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표 분산</t>
    </r>
  </si>
  <si>
    <r>
      <rPr>
        <i/>
        <sz val="9"/>
        <color rgb="FF555555"/>
        <rFont val="Noto Sans CJK SC"/>
        <family val="2"/>
      </rPr>
      <t>강한 음의 상관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레퍼런스 없이도 같은 정보를 담고 있다는 근거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</si>
  <si>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>: TEDS</t>
    </r>
    <r>
      <rPr>
        <i/>
        <sz val="9"/>
        <color rgb="FF555555"/>
        <rFont val="Noto Sans CJK SC"/>
        <family val="2"/>
      </rPr>
      <t xml:space="preserve">표 분산 단독으로 이미 </t>
    </r>
    <r>
      <rPr>
        <i/>
        <sz val="9"/>
        <color rgb="FF555555"/>
        <rFont val="Arial"/>
        <family val="2"/>
      </rPr>
      <t>R²=0.632</t>
    </r>
    <r>
      <rPr>
        <i/>
        <sz val="9"/>
        <color rgb="FF555555"/>
        <rFont val="Noto Sans CJK SC"/>
        <family val="2"/>
      </rPr>
      <t>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출력 어휘량은 단독으로는 약하지만</t>
    </r>
    <r>
      <rPr>
        <i/>
        <sz val="9"/>
        <color rgb="FF555555"/>
        <rFont val="Arial"/>
        <family val="2"/>
      </rPr>
      <t xml:space="preserve">(R²=0.084) TEDS </t>
    </r>
    <r>
      <rPr>
        <i/>
        <sz val="9"/>
        <color rgb="FF555555"/>
        <rFont val="Noto Sans CJK SC"/>
        <family val="2"/>
      </rPr>
      <t xml:space="preserve">분산과 거의 독립이어서 결합 시 교차검증 성능을 </t>
    </r>
    <r>
      <rPr>
        <i/>
        <sz val="9"/>
        <color rgb="FF555555"/>
        <rFont val="Arial"/>
        <family val="2"/>
      </rPr>
      <t>0.581</t>
    </r>
    <r>
      <rPr>
        <i/>
        <sz val="9"/>
        <color rgb="FF555555"/>
        <rFont val="Noto Sans CJK SC"/>
        <family val="2"/>
      </rPr>
      <t xml:space="preserve">에서 </t>
    </r>
    <r>
      <rPr>
        <i/>
        <sz val="9"/>
        <color rgb="FF555555"/>
        <rFont val="Arial"/>
        <family val="2"/>
      </rPr>
      <t>0.604</t>
    </r>
    <r>
      <rPr>
        <i/>
        <sz val="9"/>
        <color rgb="FF555555"/>
        <rFont val="Noto Sans CJK SC"/>
        <family val="2"/>
      </rPr>
      <t>로 끌어올린다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</si>
  <si>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결정적 대비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종속변수에서 구조 그룹을 빼면 두 레퍼런스 기반 신호는 설명력이 사실상 사라진다</t>
    </r>
    <r>
      <rPr>
        <i/>
        <sz val="9"/>
        <color rgb="FF555555"/>
        <rFont val="Arial"/>
        <family val="2"/>
      </rPr>
      <t xml:space="preserve">(R²=0.036, 0.042, LOOCV R²&lt;0). </t>
    </r>
    <r>
      <rPr>
        <i/>
        <sz val="9"/>
        <color rgb="FF555555"/>
        <rFont val="Noto Sans CJK SC"/>
        <family val="2"/>
      </rPr>
      <t>즉 이 모형은 정합성 전반의 예측자가 아니라 구조적 정합성 변동의 탐지기다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</si>
  <si>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반면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 xml:space="preserve">프리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신호는 같은 조건에서도 설명력을 유지한다</t>
    </r>
    <r>
      <rPr>
        <i/>
        <sz val="9"/>
        <color rgb="FF555555"/>
        <rFont val="Arial"/>
        <family val="2"/>
      </rPr>
      <t xml:space="preserve">(13B </t>
    </r>
    <r>
      <rPr>
        <i/>
        <sz val="9"/>
        <color rgb="FF555555"/>
        <rFont val="Noto Sans CJK SC"/>
        <family val="2"/>
      </rPr>
      <t>시트</t>
    </r>
    <r>
      <rPr>
        <i/>
        <sz val="9"/>
        <color rgb="FF555555"/>
        <rFont val="Arial"/>
        <family val="2"/>
      </rPr>
      <t>).</t>
    </r>
  </si>
  <si>
    <r>
      <rPr>
        <b/>
        <sz val="14"/>
        <rFont val="Noto Sans CJK SC"/>
        <family val="2"/>
      </rPr>
      <t xml:space="preserve">논문 보고값 </t>
    </r>
    <r>
      <rPr>
        <b/>
        <sz val="14"/>
        <rFont val="Arial"/>
        <family val="2"/>
      </rPr>
      <t xml:space="preserve">vs </t>
    </r>
    <r>
      <rPr>
        <b/>
        <sz val="14"/>
        <rFont val="Noto Sans CJK SC"/>
        <family val="2"/>
      </rPr>
      <t>워크북 재계산값 대조</t>
    </r>
  </si>
  <si>
    <r>
      <rPr>
        <i/>
        <sz val="9"/>
        <color rgb="FF555555"/>
        <rFont val="Noto Sans CJK SC"/>
        <family val="2"/>
      </rPr>
      <t>논문</t>
    </r>
    <r>
      <rPr>
        <i/>
        <sz val="9"/>
        <color rgb="FF555555"/>
        <rFont val="Arial"/>
        <family val="2"/>
      </rPr>
      <t>(KIIT</t>
    </r>
    <r>
      <rPr>
        <i/>
        <sz val="9"/>
        <color rgb="FF555555"/>
        <rFont val="Noto Sans CJK SC"/>
        <family val="2"/>
      </rPr>
      <t>논문</t>
    </r>
    <r>
      <rPr>
        <i/>
        <sz val="9"/>
        <color rgb="FF555555"/>
        <rFont val="Arial"/>
        <family val="2"/>
      </rPr>
      <t>_</t>
    </r>
    <r>
      <rPr>
        <i/>
        <sz val="9"/>
        <color rgb="FF555555"/>
        <rFont val="Noto Sans CJK SC"/>
        <family val="2"/>
      </rPr>
      <t>최종본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 xml:space="preserve">에 인쇄된 모든 수치를 이 워크북의 수식 결과와 </t>
    </r>
    <r>
      <rPr>
        <i/>
        <sz val="9"/>
        <color rgb="FF555555"/>
        <rFont val="Arial"/>
        <family val="2"/>
      </rPr>
      <t>1:1</t>
    </r>
    <r>
      <rPr>
        <i/>
        <sz val="9"/>
        <color rgb="FF555555"/>
        <rFont val="Noto Sans CJK SC"/>
        <family val="2"/>
      </rPr>
      <t>로 대조한다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판정은 자동 계산되므로 입력값을 바꾸면 즉시 갱신된다</t>
    </r>
    <r>
      <rPr>
        <i/>
        <sz val="9"/>
        <color rgb="FF555555"/>
        <rFont val="Arial"/>
        <family val="2"/>
      </rPr>
      <t>.</t>
    </r>
  </si>
  <si>
    <t>논문 위치</t>
  </si>
  <si>
    <t>논문 보고값</t>
  </si>
  <si>
    <t>워크북 계산값</t>
  </si>
  <si>
    <t>허용오차</t>
  </si>
  <si>
    <r>
      <rPr>
        <i/>
        <sz val="9"/>
        <color rgb="FF555555"/>
        <rFont val="Arial"/>
        <family val="2"/>
      </rPr>
      <t xml:space="preserve">4.2 / </t>
    </r>
    <r>
      <rPr>
        <i/>
        <sz val="9"/>
        <color rgb="FF555555"/>
        <rFont val="Noto Sans CJK SC"/>
        <family val="2"/>
      </rPr>
      <t>표</t>
    </r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</si>
  <si>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>레퍼런스 관련 합</t>
    </r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</si>
  <si>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 xml:space="preserve">비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레퍼런스합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모델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</si>
  <si>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ICC (</t>
    </r>
    <r>
      <rPr>
        <b/>
        <sz val="10"/>
        <rFont val="Noto Sans CJK SC"/>
        <family val="2"/>
      </rPr>
      <t>문서 확률효과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</si>
  <si>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ChatGPT (</t>
    </r>
    <r>
      <rPr>
        <b/>
        <sz val="10"/>
        <rFont val="Noto Sans CJK SC"/>
        <family val="2"/>
      </rPr>
      <t>최저 관대함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</si>
  <si>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Mistral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</si>
  <si>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Claude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</si>
  <si>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Qwen3.6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</si>
  <si>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Gemini (</t>
    </r>
    <r>
      <rPr>
        <b/>
        <sz val="10"/>
        <rFont val="Noto Sans CJK SC"/>
        <family val="2"/>
      </rPr>
      <t>최고 관대함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</si>
  <si>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ChatGPT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</si>
  <si>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Mistral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</si>
  <si>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Claude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</si>
  <si>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Gemini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</si>
  <si>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Qwen3.6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</si>
  <si>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ChatGPT(%)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</si>
  <si>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Mistral(%)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</si>
  <si>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Claude(%)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</si>
  <si>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Gemini(%)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</si>
  <si>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Qwen3.6(%)</t>
    </r>
  </si>
  <si>
    <r>
      <rPr>
        <b/>
        <sz val="10"/>
        <rFont val="Noto Sans CJK SC"/>
        <family val="2"/>
      </rPr>
      <t xml:space="preserve">모델 평균 </t>
    </r>
    <r>
      <rPr>
        <b/>
        <sz val="10"/>
        <rFont val="Arial"/>
        <family val="2"/>
      </rPr>
      <t>Ministral</t>
    </r>
  </si>
  <si>
    <r>
      <rPr>
        <b/>
        <sz val="10"/>
        <rFont val="Noto Sans CJK SC"/>
        <family val="2"/>
      </rPr>
      <t xml:space="preserve">모델 평균 </t>
    </r>
    <r>
      <rPr>
        <b/>
        <sz val="10"/>
        <rFont val="Arial"/>
        <family val="2"/>
      </rPr>
      <t>Qwen</t>
    </r>
  </si>
  <si>
    <r>
      <rPr>
        <b/>
        <sz val="10"/>
        <rFont val="Noto Sans CJK SC"/>
        <family val="2"/>
      </rPr>
      <t xml:space="preserve">모델 평균 </t>
    </r>
    <r>
      <rPr>
        <b/>
        <sz val="10"/>
        <rFont val="Arial"/>
        <family val="2"/>
      </rPr>
      <t>Gemma</t>
    </r>
  </si>
  <si>
    <t>Kruskal-Wallis H</t>
  </si>
  <si>
    <t>U (Gemma vs Ministral)</t>
  </si>
  <si>
    <t>r (Gemma vs Ministral)</t>
  </si>
  <si>
    <t>U (Gemma vs Qwen)</t>
  </si>
  <si>
    <t>r (Gemma vs Qwen)</t>
  </si>
  <si>
    <t>U (Ministral vs Qwen)</t>
  </si>
  <si>
    <t>r (Ministral vs Qwen)</t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</si>
  <si>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7</t>
    </r>
  </si>
  <si>
    <t>D_raw Google</t>
  </si>
  <si>
    <t>D_raw Alibaba</t>
  </si>
  <si>
    <t>D_raw Mistral</t>
  </si>
  <si>
    <t>4.4</t>
  </si>
  <si>
    <t>동일계열 평균</t>
  </si>
  <si>
    <t>교차계열 평균</t>
  </si>
  <si>
    <r>
      <rPr>
        <b/>
        <sz val="10"/>
        <rFont val="Noto Sans CJK SC"/>
        <family val="2"/>
      </rPr>
      <t>동일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교차 차이</t>
    </r>
  </si>
  <si>
    <r>
      <rPr>
        <b/>
        <sz val="10"/>
        <rFont val="Arial"/>
        <family val="2"/>
      </rPr>
      <t>U (</t>
    </r>
    <r>
      <rPr>
        <b/>
        <sz val="10"/>
        <rFont val="Noto Sans CJK SC"/>
        <family val="2"/>
      </rPr>
      <t xml:space="preserve">동일 </t>
    </r>
    <r>
      <rPr>
        <b/>
        <sz val="10"/>
        <rFont val="Arial"/>
        <family val="2"/>
      </rPr>
      <t xml:space="preserve">vs </t>
    </r>
    <r>
      <rPr>
        <b/>
        <sz val="10"/>
        <rFont val="Noto Sans CJK SC"/>
        <family val="2"/>
      </rPr>
      <t>교차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</si>
  <si>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문서형식 </t>
    </r>
    <r>
      <rPr>
        <b/>
        <sz val="10"/>
        <rFont val="Arial"/>
        <family val="2"/>
      </rPr>
      <t>Mann-Whitney p</t>
    </r>
  </si>
  <si>
    <r>
      <rPr>
        <b/>
        <sz val="10"/>
        <rFont val="Arial"/>
        <family val="2"/>
      </rPr>
      <t>Levene F (</t>
    </r>
    <r>
      <rPr>
        <b/>
        <sz val="10"/>
        <rFont val="Noto Sans CJK SC"/>
        <family val="2"/>
      </rPr>
      <t>중앙값 기준</t>
    </r>
    <r>
      <rPr>
        <b/>
        <sz val="10"/>
        <rFont val="Arial"/>
        <family val="2"/>
      </rPr>
      <t>)</t>
    </r>
  </si>
  <si>
    <t>Levene df1</t>
  </si>
  <si>
    <t>Levene df2</t>
  </si>
  <si>
    <t>전체 잔차 왜도</t>
  </si>
  <si>
    <r>
      <rPr>
        <b/>
        <sz val="10"/>
        <rFont val="Noto Sans CJK SC"/>
        <family val="2"/>
      </rPr>
      <t>전체 잔차 첨도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초과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</si>
  <si>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>문서형식</t>
    </r>
    <r>
      <rPr>
        <b/>
        <sz val="10"/>
        <rFont val="Arial"/>
        <family val="2"/>
      </rPr>
      <t>×</t>
    </r>
    <r>
      <rPr>
        <b/>
        <sz val="10"/>
        <rFont val="Noto Sans CJK SC"/>
        <family val="2"/>
      </rPr>
      <t>잔차부호 카이제곱</t>
    </r>
  </si>
  <si>
    <r>
      <rPr>
        <b/>
        <sz val="10"/>
        <rFont val="Noto Sans CJK SC"/>
        <family val="2"/>
      </rPr>
      <t xml:space="preserve">〃 </t>
    </r>
    <r>
      <rPr>
        <b/>
        <sz val="10"/>
        <rFont val="Arial"/>
        <family val="2"/>
      </rPr>
      <t>p</t>
    </r>
  </si>
  <si>
    <r>
      <rPr>
        <b/>
        <sz val="10"/>
        <rFont val="Noto Sans CJK SC"/>
        <family val="2"/>
      </rPr>
      <t>양의 잔차 비율 특허</t>
    </r>
    <r>
      <rPr>
        <b/>
        <sz val="10"/>
        <rFont val="Arial"/>
        <family val="2"/>
      </rPr>
      <t>(%)</t>
    </r>
  </si>
  <si>
    <r>
      <rPr>
        <b/>
        <sz val="10"/>
        <rFont val="Noto Sans CJK SC"/>
        <family val="2"/>
      </rPr>
      <t>양의 잔차 비율 보고서</t>
    </r>
    <r>
      <rPr>
        <b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</si>
  <si>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TEDS </t>
    </r>
    <r>
      <rPr>
        <b/>
        <sz val="10"/>
        <rFont val="Noto Sans CJK SC"/>
        <family val="2"/>
      </rPr>
      <t xml:space="preserve">분산 단독 </t>
    </r>
    <r>
      <rPr>
        <b/>
        <sz val="10"/>
        <rFont val="Arial"/>
        <family val="2"/>
      </rPr>
      <t>R²</t>
    </r>
  </si>
  <si>
    <r>
      <rPr>
        <b/>
        <sz val="10"/>
        <rFont val="Arial"/>
        <family val="2"/>
      </rPr>
      <t xml:space="preserve">TEDS </t>
    </r>
    <r>
      <rPr>
        <b/>
        <sz val="10"/>
        <rFont val="Noto Sans CJK SC"/>
        <family val="2"/>
      </rPr>
      <t xml:space="preserve">분산 단독 </t>
    </r>
    <r>
      <rPr>
        <b/>
        <sz val="10"/>
        <rFont val="Arial"/>
        <family val="2"/>
      </rPr>
      <t>LOOCV R²</t>
    </r>
  </si>
  <si>
    <r>
      <rPr>
        <b/>
        <sz val="10"/>
        <rFont val="Noto Sans CJK SC"/>
        <family val="2"/>
      </rPr>
      <t xml:space="preserve">출력 어휘량 단독 </t>
    </r>
    <r>
      <rPr>
        <b/>
        <sz val="10"/>
        <rFont val="Arial"/>
        <family val="2"/>
      </rPr>
      <t>R²</t>
    </r>
  </si>
  <si>
    <r>
      <rPr>
        <b/>
        <sz val="10"/>
        <rFont val="Arial"/>
        <family val="2"/>
      </rPr>
      <t>rho (</t>
    </r>
    <r>
      <rPr>
        <b/>
        <sz val="10"/>
        <rFont val="Noto Sans CJK SC"/>
        <family val="2"/>
      </rPr>
      <t>출력어휘량</t>
    </r>
    <r>
      <rPr>
        <b/>
        <sz val="10"/>
        <rFont val="Arial"/>
        <family val="2"/>
      </rPr>
      <t>, Overall)</t>
    </r>
  </si>
  <si>
    <r>
      <rPr>
        <b/>
        <sz val="10"/>
        <rFont val="Arial"/>
        <family val="2"/>
      </rPr>
      <t>rho (</t>
    </r>
    <r>
      <rPr>
        <b/>
        <sz val="10"/>
        <rFont val="Noto Sans CJK SC"/>
        <family val="2"/>
      </rPr>
      <t>출력어휘량</t>
    </r>
    <r>
      <rPr>
        <b/>
        <sz val="10"/>
        <rFont val="Arial"/>
        <family val="2"/>
      </rPr>
      <t>, TEDS</t>
    </r>
    <r>
      <rPr>
        <b/>
        <sz val="10"/>
        <rFont val="Noto Sans CJK SC"/>
        <family val="2"/>
      </rPr>
      <t>분산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</si>
  <si>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R²</t>
    </r>
  </si>
  <si>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adjusted R²</t>
    </r>
  </si>
  <si>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F</t>
    </r>
  </si>
  <si>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LOOCV R²</t>
    </r>
  </si>
  <si>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분산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 xml:space="preserve">의미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</si>
  <si>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>어휘량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 xml:space="preserve">의미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</si>
  <si>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 xml:space="preserve">로컬 합의도 단독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</si>
  <si>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 xml:space="preserve">로컬 합의도 단독 </t>
    </r>
    <r>
      <rPr>
        <b/>
        <sz val="10"/>
        <rFont val="Arial"/>
        <family val="2"/>
      </rPr>
      <t>LOOCV R²</t>
    </r>
  </si>
  <si>
    <r>
      <rPr>
        <b/>
        <sz val="10"/>
        <rFont val="Arial"/>
        <family val="2"/>
      </rPr>
      <t>rho (</t>
    </r>
    <r>
      <rPr>
        <b/>
        <sz val="10"/>
        <rFont val="Noto Sans CJK SC"/>
        <family val="2"/>
      </rPr>
      <t>로컬합의도</t>
    </r>
    <r>
      <rPr>
        <b/>
        <sz val="10"/>
        <rFont val="Arial"/>
        <family val="2"/>
      </rPr>
      <t>, TEDS</t>
    </r>
    <r>
      <rPr>
        <b/>
        <sz val="10"/>
        <rFont val="Noto Sans CJK SC"/>
        <family val="2"/>
      </rPr>
      <t>분산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</si>
  <si>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 xml:space="preserve">프리 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</si>
  <si>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 xml:space="preserve">프리 </t>
    </r>
    <r>
      <rPr>
        <b/>
        <sz val="10"/>
        <rFont val="Arial"/>
        <family val="2"/>
      </rPr>
      <t>adjusted R²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</si>
  <si>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 xml:space="preserve">프리 </t>
    </r>
    <r>
      <rPr>
        <b/>
        <sz val="10"/>
        <rFont val="Arial"/>
        <family val="2"/>
      </rPr>
      <t>LOOCV R²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</si>
  <si>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프리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 xml:space="preserve">의미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</si>
  <si>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프리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 xml:space="preserve">의미 </t>
    </r>
    <r>
      <rPr>
        <b/>
        <sz val="10"/>
        <rFont val="Arial"/>
        <family val="2"/>
      </rPr>
      <t>LOOCV</t>
    </r>
  </si>
  <si>
    <t>rho lex_heavy</t>
  </si>
  <si>
    <t>rho sem_heavy</t>
  </si>
  <si>
    <t>rho struct_heavy</t>
  </si>
  <si>
    <t>rho equal</t>
  </si>
  <si>
    <t>rho sem_struct</t>
  </si>
  <si>
    <r>
      <rPr>
        <b/>
        <sz val="10"/>
        <rFont val="Arial"/>
        <family val="2"/>
      </rPr>
      <t xml:space="preserve">struct_heavy Gemma </t>
    </r>
    <r>
      <rPr>
        <b/>
        <sz val="10"/>
        <rFont val="Noto Sans CJK SC"/>
        <family val="2"/>
      </rPr>
      <t>평균</t>
    </r>
  </si>
  <si>
    <r>
      <rPr>
        <b/>
        <sz val="10"/>
        <rFont val="Arial"/>
        <family val="2"/>
      </rPr>
      <t xml:space="preserve">sem_struct Gemma </t>
    </r>
    <r>
      <rPr>
        <b/>
        <sz val="10"/>
        <rFont val="Noto Sans CJK SC"/>
        <family val="2"/>
      </rPr>
      <t>평균</t>
    </r>
  </si>
  <si>
    <t>3.2</t>
  </si>
  <si>
    <r>
      <rPr>
        <b/>
        <sz val="10"/>
        <rFont val="Arial"/>
        <family val="2"/>
      </rPr>
      <t xml:space="preserve">teds_doc </t>
    </r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방언 교정 후</t>
    </r>
    <r>
      <rPr>
        <b/>
        <sz val="10"/>
        <rFont val="Arial"/>
        <family val="2"/>
      </rPr>
      <t>)</t>
    </r>
  </si>
  <si>
    <t>총 평가쌍 수</t>
  </si>
  <si>
    <t>문서 수</t>
  </si>
  <si>
    <t>대조 요약</t>
  </si>
  <si>
    <t>자동 대조 항목 수</t>
  </si>
  <si>
    <t>일치</t>
  </si>
  <si>
    <t>불일치</t>
  </si>
  <si>
    <t>재현율</t>
  </si>
  <si>
    <r>
      <rPr>
        <i/>
        <sz val="9"/>
        <color rgb="FF555555"/>
        <rFont val="Noto Sans CJK SC"/>
        <family val="2"/>
      </rPr>
      <t>판정 기준</t>
    </r>
    <r>
      <rPr>
        <i/>
        <sz val="9"/>
        <color rgb="FF555555"/>
        <rFont val="Arial"/>
        <family val="2"/>
      </rPr>
      <t>: |</t>
    </r>
    <r>
      <rPr>
        <i/>
        <sz val="9"/>
        <color rgb="FF555555"/>
        <rFont val="Noto Sans CJK SC"/>
        <family val="2"/>
      </rPr>
      <t>워크북값 − 논문값</t>
    </r>
    <r>
      <rPr>
        <i/>
        <sz val="9"/>
        <color rgb="FF555555"/>
        <rFont val="Arial"/>
        <family val="2"/>
      </rPr>
      <t>| ≤ H</t>
    </r>
    <r>
      <rPr>
        <i/>
        <sz val="9"/>
        <color rgb="FF555555"/>
        <rFont val="Noto Sans CJK SC"/>
        <family val="2"/>
      </rPr>
      <t>열 허용오차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허용오차는 논문에 인쇄된 반올림 자릿수의 절반으로 설정하였다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</si>
  <si>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문서형식 </t>
    </r>
    <r>
      <rPr>
        <i/>
        <sz val="9"/>
        <color rgb="FF555555"/>
        <rFont val="Arial"/>
        <family val="2"/>
      </rPr>
      <t xml:space="preserve">p: </t>
    </r>
    <r>
      <rPr>
        <i/>
        <sz val="9"/>
        <color rgb="FF555555"/>
        <rFont val="Noto Sans CJK SC"/>
        <family val="2"/>
      </rPr>
      <t>워크북은 대표본 정규근사</t>
    </r>
    <r>
      <rPr>
        <i/>
        <sz val="9"/>
        <color rgb="FF555555"/>
        <rFont val="Arial"/>
        <family val="2"/>
      </rPr>
      <t>(NORMSDIST)</t>
    </r>
    <r>
      <rPr>
        <i/>
        <sz val="9"/>
        <color rgb="FF555555"/>
        <rFont val="Noto Sans CJK SC"/>
        <family val="2"/>
      </rPr>
      <t>를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논문은 정확검정</t>
    </r>
    <r>
      <rPr>
        <i/>
        <sz val="9"/>
        <color rgb="FF555555"/>
        <rFont val="Arial"/>
        <family val="2"/>
      </rPr>
      <t>(exact)</t>
    </r>
    <r>
      <rPr>
        <i/>
        <sz val="9"/>
        <color rgb="FF555555"/>
        <rFont val="Noto Sans CJK SC"/>
        <family val="2"/>
      </rPr>
      <t>을 사용하였다</t>
    </r>
    <r>
      <rPr>
        <i/>
        <sz val="9"/>
        <color rgb="FF555555"/>
        <rFont val="Arial"/>
        <family val="2"/>
      </rPr>
      <t>. n=31/34</t>
    </r>
    <r>
      <rPr>
        <i/>
        <sz val="9"/>
        <color rgb="FF555555"/>
        <rFont val="Noto Sans CJK SC"/>
        <family val="2"/>
      </rPr>
      <t xml:space="preserve">에서 두 방법의 차이는 </t>
    </r>
    <r>
      <rPr>
        <i/>
        <sz val="9"/>
        <color rgb="FF555555"/>
        <rFont val="Arial"/>
        <family val="2"/>
      </rPr>
      <t>0.004</t>
    </r>
    <r>
      <rPr>
        <i/>
        <sz val="9"/>
        <color rgb="FF555555"/>
        <rFont val="Noto Sans CJK SC"/>
        <family val="2"/>
      </rPr>
      <t>이며 결론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유의하지 않음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은 동일하다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허용오차를 </t>
    </r>
    <r>
      <rPr>
        <i/>
        <sz val="9"/>
        <color rgb="FF555555"/>
        <rFont val="Arial"/>
        <family val="2"/>
      </rPr>
      <t>0.01</t>
    </r>
    <r>
      <rPr>
        <i/>
        <sz val="9"/>
        <color rgb="FF555555"/>
        <rFont val="Noto Sans CJK SC"/>
        <family val="2"/>
      </rPr>
      <t>로 둔 이유다</t>
    </r>
    <r>
      <rPr>
        <i/>
        <sz val="9"/>
        <color rgb="FF555555"/>
        <rFont val="Arial"/>
        <family val="2"/>
      </rPr>
      <t>.</t>
    </r>
  </si>
  <si>
    <t>본 워크북 검증으로 논문에서 교정된 수치</t>
  </si>
  <si>
    <r>
      <rPr>
        <i/>
        <sz val="9"/>
        <color rgb="FF555555"/>
        <rFont val="Noto Sans CJK SC"/>
        <family val="2"/>
      </rPr>
      <t xml:space="preserve">아래 </t>
    </r>
    <r>
      <rPr>
        <i/>
        <sz val="9"/>
        <color rgb="FF555555"/>
        <rFont val="Arial"/>
        <family val="2"/>
      </rPr>
      <t>9</t>
    </r>
    <r>
      <rPr>
        <i/>
        <sz val="9"/>
        <color rgb="FF555555"/>
        <rFont val="Noto Sans CJK SC"/>
        <family val="2"/>
      </rPr>
      <t>건은 최초 원고의 값이 재계산과 달라 워크북 계산값으로 교체하였다</t>
    </r>
    <r>
      <rPr>
        <i/>
        <sz val="9"/>
        <color rgb="FF555555"/>
        <rFont val="Arial"/>
        <family val="2"/>
      </rPr>
      <t>. D</t>
    </r>
    <r>
      <rPr>
        <i/>
        <sz val="9"/>
        <color rgb="FF555555"/>
        <rFont val="Noto Sans CJK SC"/>
        <family val="2"/>
      </rPr>
      <t xml:space="preserve">열의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논문 보고값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은 이미 교정된 값이며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따라서 전 항목이 일치로 표시된다</t>
    </r>
    <r>
      <rPr>
        <i/>
        <sz val="9"/>
        <color rgb="FF555555"/>
        <rFont val="Arial"/>
        <family val="2"/>
      </rPr>
      <t>.</t>
    </r>
  </si>
  <si>
    <t>교정 전</t>
  </si>
  <si>
    <t>교정 후</t>
  </si>
  <si>
    <t>방향</t>
  </si>
  <si>
    <t>상향</t>
  </si>
  <si>
    <t>하향</t>
  </si>
  <si>
    <t>절댓값 상향</t>
  </si>
  <si>
    <r>
      <rPr>
        <i/>
        <sz val="9"/>
        <color rgb="FF555555"/>
        <rFont val="Noto Sans CJK SC"/>
        <family val="2"/>
      </rPr>
      <t>원인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 xml:space="preserve">프리 모형과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신호 모형이 공유하는 변수는 출력 어휘량뿐인데</t>
    </r>
    <r>
      <rPr>
        <i/>
        <sz val="9"/>
        <color rgb="FF555555"/>
        <rFont val="Arial"/>
        <family val="2"/>
      </rPr>
      <t>, 2</t>
    </r>
    <r>
      <rPr>
        <i/>
        <sz val="9"/>
        <color rgb="FF555555"/>
        <rFont val="Noto Sans CJK SC"/>
        <family val="2"/>
      </rPr>
      <t>신호 모형은 소수점 넷째 자리까지 일치한다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따라서 이전 분석에서 두 모형 간 출력 어휘량의 집계 방식이 달랐던 것이 원인이다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본 워크북은 두 모형 모두 </t>
    </r>
    <r>
      <rPr>
        <i/>
        <sz val="9"/>
        <color rgb="FF555555"/>
        <rFont val="Arial"/>
        <family val="2"/>
      </rPr>
      <t>11_</t>
    </r>
    <r>
      <rPr>
        <i/>
        <sz val="9"/>
        <color rgb="FF555555"/>
        <rFont val="Noto Sans CJK SC"/>
        <family val="2"/>
      </rPr>
      <t xml:space="preserve">문서단위 </t>
    </r>
    <r>
      <rPr>
        <i/>
        <sz val="9"/>
        <color rgb="FF555555"/>
        <rFont val="Arial"/>
        <family val="2"/>
      </rPr>
      <t>E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로컬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종 토큰 수 평균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하나만 참조하므로 이 문제가 재발하지 않는다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</si>
  <si>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결론의 방향은 바뀌지 않았다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교정된 값은 오히려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 xml:space="preserve">프리 모형이 레퍼런스 기반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신호 모형을 더 뚜렷하게 상회함을 보여준다</t>
    </r>
    <r>
      <rPr>
        <i/>
        <sz val="9"/>
        <color rgb="FF555555"/>
        <rFont val="Arial"/>
        <family val="2"/>
      </rPr>
      <t>(0.741 → 0.760 vs 0.673).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</si>
</sst>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%"/>
    <numFmt numFmtId="177" formatCode="0.000000"/>
    <numFmt numFmtId="178" formatCode="0.0"/>
    <numFmt numFmtId="179" formatCode="0.000"/>
    <numFmt numFmtId="180" formatCode="0.0000"/>
    <numFmt numFmtId="181" formatCode="\+0.000;\-0.000"/>
    <numFmt numFmtId="182" formatCode="\+0.0000;\-0.0000"/>
    <numFmt numFmtId="183" formatCode="\+0.000"/>
    <numFmt numFmtId="184" formatCode="\+0.0000"/>
    <numFmt numFmtId="185" formatCode="0.00000"/>
    <numFmt numFmtId="186" formatCode="\+0.00000;\-0.00000"/>
  </numFmts>
  <fonts count="17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4"/>
      <name val="Noto Sans CJK SC"/>
      <family val="2"/>
    </font>
    <font>
      <i/>
      <sz val="9"/>
      <color rgb="FF555555"/>
      <name val="Noto Sans CJK SC"/>
      <family val="2"/>
    </font>
    <font>
      <i/>
      <sz val="9"/>
      <color rgb="FF555555"/>
      <name val="Arial"/>
      <family val="2"/>
    </font>
    <font>
      <b/>
      <sz val="11"/>
      <color rgb="FF2F5496"/>
      <name val="Noto Sans CJK SC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name val="Arial"/>
      <family val="2"/>
    </font>
    <font>
      <sz val="10"/>
      <color rgb="FF0000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1"/>
      <color rgb="FF2F5496"/>
      <name val="Arial"/>
      <family val="2"/>
    </font>
    <font>
      <b/>
      <sz val="14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2F5496"/>
        <bgColor rgb="FF555555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8" fillId="2" borderId="0" xfId="0" applyFont="1" applyFill="1"/>
    <xf numFmtId="0" fontId="11" fillId="3" borderId="0" xfId="0" applyFont="1" applyFill="1" applyAlignment="1">
      <alignment horizontal="center" vertical="center" wrapText="1"/>
    </xf>
    <xf numFmtId="0" fontId="4" fillId="0" borderId="0" xfId="0" applyFont="1"/>
    <xf numFmtId="176" fontId="9" fillId="2" borderId="0" xfId="0" applyNumberFormat="1" applyFont="1" applyFill="1"/>
    <xf numFmtId="1" fontId="9" fillId="0" borderId="0" xfId="0" applyNumberFormat="1" applyFont="1"/>
    <xf numFmtId="0" fontId="12" fillId="3" borderId="0" xfId="0" applyFont="1" applyFill="1" applyAlignment="1">
      <alignment horizontal="center" vertical="center" wrapText="1"/>
    </xf>
    <xf numFmtId="0" fontId="13" fillId="0" borderId="0" xfId="0" applyFont="1"/>
    <xf numFmtId="177" fontId="13" fillId="0" borderId="0" xfId="0" applyNumberFormat="1" applyFont="1"/>
    <xf numFmtId="177" fontId="7" fillId="0" borderId="0" xfId="0" applyNumberFormat="1" applyFont="1"/>
    <xf numFmtId="178" fontId="7" fillId="0" borderId="0" xfId="0" applyNumberFormat="1" applyFont="1"/>
    <xf numFmtId="1" fontId="4" fillId="0" borderId="0" xfId="0" applyNumberFormat="1" applyFont="1"/>
    <xf numFmtId="177" fontId="4" fillId="0" borderId="0" xfId="0" applyNumberFormat="1" applyFont="1"/>
    <xf numFmtId="0" fontId="2" fillId="0" borderId="0" xfId="0" applyFont="1"/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2" fontId="13" fillId="2" borderId="0" xfId="0" applyNumberFormat="1" applyFont="1" applyFill="1"/>
    <xf numFmtId="2" fontId="9" fillId="0" borderId="0" xfId="0" applyNumberFormat="1" applyFont="1"/>
    <xf numFmtId="0" fontId="14" fillId="0" borderId="0" xfId="0" applyFont="1"/>
    <xf numFmtId="179" fontId="13" fillId="2" borderId="0" xfId="0" applyNumberFormat="1" applyFont="1" applyFill="1"/>
    <xf numFmtId="180" fontId="7" fillId="0" borderId="0" xfId="0" applyNumberFormat="1" applyFont="1"/>
    <xf numFmtId="180" fontId="9" fillId="2" borderId="0" xfId="0" applyNumberFormat="1" applyFont="1" applyFill="1"/>
    <xf numFmtId="0" fontId="9" fillId="2" borderId="0" xfId="0" applyFont="1" applyFill="1"/>
    <xf numFmtId="178" fontId="4" fillId="0" borderId="0" xfId="0" applyNumberFormat="1" applyFont="1"/>
    <xf numFmtId="180" fontId="9" fillId="0" borderId="0" xfId="0" applyNumberFormat="1" applyFont="1"/>
    <xf numFmtId="1" fontId="7" fillId="0" borderId="0" xfId="0" applyNumberFormat="1" applyFont="1"/>
    <xf numFmtId="2" fontId="7" fillId="0" borderId="0" xfId="0" applyNumberFormat="1" applyFont="1"/>
    <xf numFmtId="11" fontId="7" fillId="0" borderId="0" xfId="0" applyNumberFormat="1" applyFont="1"/>
    <xf numFmtId="177" fontId="9" fillId="0" borderId="0" xfId="0" applyNumberFormat="1" applyFont="1"/>
    <xf numFmtId="2" fontId="9" fillId="2" borderId="0" xfId="0" applyNumberFormat="1" applyFont="1" applyFill="1"/>
    <xf numFmtId="181" fontId="7" fillId="0" borderId="0" xfId="0" applyNumberFormat="1" applyFont="1"/>
    <xf numFmtId="0" fontId="13" fillId="2" borderId="0" xfId="0" applyFont="1" applyFill="1"/>
    <xf numFmtId="179" fontId="9" fillId="2" borderId="0" xfId="0" applyNumberFormat="1" applyFont="1" applyFill="1"/>
    <xf numFmtId="11" fontId="9" fillId="2" borderId="0" xfId="0" applyNumberFormat="1" applyFont="1" applyFill="1"/>
    <xf numFmtId="182" fontId="9" fillId="0" borderId="0" xfId="0" applyNumberFormat="1" applyFont="1"/>
    <xf numFmtId="178" fontId="9" fillId="2" borderId="0" xfId="0" applyNumberFormat="1" applyFont="1" applyFill="1"/>
    <xf numFmtId="11" fontId="9" fillId="0" borderId="0" xfId="0" applyNumberFormat="1" applyFont="1"/>
    <xf numFmtId="178" fontId="9" fillId="0" borderId="0" xfId="0" applyNumberFormat="1" applyFont="1"/>
    <xf numFmtId="179" fontId="9" fillId="0" borderId="0" xfId="0" applyNumberFormat="1" applyFont="1"/>
    <xf numFmtId="182" fontId="9" fillId="2" borderId="0" xfId="0" applyNumberFormat="1" applyFont="1" applyFill="1"/>
    <xf numFmtId="182" fontId="7" fillId="0" borderId="0" xfId="0" applyNumberFormat="1" applyFont="1"/>
    <xf numFmtId="176" fontId="7" fillId="0" borderId="0" xfId="0" applyNumberFormat="1" applyFont="1"/>
    <xf numFmtId="183" fontId="9" fillId="2" borderId="0" xfId="0" applyNumberFormat="1" applyFont="1" applyFill="1"/>
    <xf numFmtId="184" fontId="9" fillId="2" borderId="0" xfId="0" applyNumberFormat="1" applyFont="1" applyFill="1"/>
    <xf numFmtId="184" fontId="9" fillId="0" borderId="0" xfId="0" applyNumberFormat="1" applyFont="1"/>
    <xf numFmtId="184" fontId="7" fillId="0" borderId="0" xfId="0" applyNumberFormat="1" applyFont="1"/>
    <xf numFmtId="11" fontId="4" fillId="0" borderId="0" xfId="0" applyNumberFormat="1" applyFont="1"/>
    <xf numFmtId="1" fontId="9" fillId="2" borderId="0" xfId="0" applyNumberFormat="1" applyFont="1" applyFill="1"/>
    <xf numFmtId="2" fontId="13" fillId="0" borderId="0" xfId="0" applyNumberFormat="1" applyFont="1"/>
    <xf numFmtId="185" fontId="7" fillId="0" borderId="0" xfId="0" applyNumberFormat="1" applyFont="1"/>
    <xf numFmtId="177" fontId="9" fillId="2" borderId="0" xfId="0" applyNumberFormat="1" applyFont="1" applyFill="1"/>
    <xf numFmtId="180" fontId="13" fillId="0" borderId="0" xfId="0" applyNumberFormat="1" applyFont="1"/>
    <xf numFmtId="186" fontId="7" fillId="0" borderId="0" xfId="0" applyNumberFormat="1" applyFont="1"/>
    <xf numFmtId="180" fontId="4" fillId="0" borderId="0" xfId="0" applyNumberFormat="1" applyFont="1"/>
    <xf numFmtId="1" fontId="13" fillId="0" borderId="0" xfId="0" applyNumberFormat="1" applyFont="1"/>
    <xf numFmtId="1" fontId="9" fillId="4" borderId="0" xfId="0" applyNumberFormat="1" applyFont="1" applyFill="1"/>
    <xf numFmtId="1" fontId="9" fillId="5" borderId="0" xfId="0" applyNumberFormat="1" applyFont="1" applyFill="1"/>
    <xf numFmtId="179" fontId="13" fillId="0" borderId="0" xfId="0" applyNumberFormat="1" applyFont="1"/>
    <xf numFmtId="179" fontId="9" fillId="4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zoomScaleNormal="100" workbookViewId="0"/>
  </sheetViews>
  <sheetFormatPr defaultColWidth="8.6640625" defaultRowHeight="14.4"/>
  <cols>
    <col min="1" max="1" width="22" customWidth="1"/>
    <col min="2" max="2" width="68" customWidth="1"/>
    <col min="3" max="3" width="16" customWidth="1"/>
  </cols>
  <sheetData>
    <row r="1" spans="1:3" ht="17.399999999999999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s="4" t="s">
        <v>3</v>
      </c>
      <c r="B5" s="5" t="s">
        <v>4</v>
      </c>
    </row>
    <row r="6" spans="1:3">
      <c r="A6" s="6" t="s">
        <v>5</v>
      </c>
      <c r="B6" s="5" t="s">
        <v>6</v>
      </c>
    </row>
    <row r="7" spans="1:3">
      <c r="A7" s="4" t="s">
        <v>7</v>
      </c>
      <c r="B7" s="5" t="s">
        <v>8</v>
      </c>
    </row>
    <row r="8" spans="1:3">
      <c r="A8" s="4" t="s">
        <v>9</v>
      </c>
      <c r="B8" s="7" t="s">
        <v>10</v>
      </c>
    </row>
    <row r="10" spans="1:3">
      <c r="A10" s="3" t="s">
        <v>11</v>
      </c>
    </row>
    <row r="11" spans="1:3">
      <c r="A11" s="8" t="s">
        <v>12</v>
      </c>
      <c r="B11" s="7" t="s">
        <v>13</v>
      </c>
    </row>
    <row r="12" spans="1:3">
      <c r="A12" s="7" t="s">
        <v>14</v>
      </c>
      <c r="B12" s="7" t="s">
        <v>15</v>
      </c>
    </row>
    <row r="13" spans="1:3">
      <c r="A13" s="9" t="s">
        <v>16</v>
      </c>
      <c r="B13" s="7" t="s">
        <v>17</v>
      </c>
    </row>
    <row r="15" spans="1:3">
      <c r="A15" s="3" t="s">
        <v>18</v>
      </c>
    </row>
    <row r="16" spans="1:3">
      <c r="A16" s="10" t="s">
        <v>19</v>
      </c>
      <c r="B16" s="10" t="s">
        <v>20</v>
      </c>
      <c r="C16" s="10" t="s">
        <v>21</v>
      </c>
    </row>
    <row r="17" spans="1:3">
      <c r="A17" s="6" t="s">
        <v>22</v>
      </c>
      <c r="B17" s="5" t="s">
        <v>23</v>
      </c>
      <c r="C17" s="2" t="s">
        <v>24</v>
      </c>
    </row>
    <row r="18" spans="1:3">
      <c r="A18" s="6" t="s">
        <v>25</v>
      </c>
      <c r="B18" s="5" t="s">
        <v>26</v>
      </c>
      <c r="C18" s="11" t="s">
        <v>27</v>
      </c>
    </row>
    <row r="19" spans="1:3">
      <c r="A19" s="6" t="s">
        <v>28</v>
      </c>
      <c r="B19" s="7" t="s">
        <v>29</v>
      </c>
      <c r="C19" s="2" t="s">
        <v>30</v>
      </c>
    </row>
    <row r="20" spans="1:3">
      <c r="A20" s="6" t="s">
        <v>31</v>
      </c>
      <c r="B20" s="7" t="s">
        <v>32</v>
      </c>
      <c r="C20" s="2" t="s">
        <v>33</v>
      </c>
    </row>
    <row r="21" spans="1:3">
      <c r="A21" s="6" t="s">
        <v>34</v>
      </c>
      <c r="B21" s="7" t="s">
        <v>35</v>
      </c>
      <c r="C21" s="11" t="s">
        <v>36</v>
      </c>
    </row>
    <row r="22" spans="1:3">
      <c r="A22" s="6" t="s">
        <v>37</v>
      </c>
      <c r="B22" s="7" t="s">
        <v>38</v>
      </c>
      <c r="C22" s="11" t="s">
        <v>39</v>
      </c>
    </row>
    <row r="23" spans="1:3">
      <c r="A23" s="6" t="s">
        <v>40</v>
      </c>
      <c r="B23" s="7" t="s">
        <v>41</v>
      </c>
      <c r="C23" s="11" t="s">
        <v>42</v>
      </c>
    </row>
    <row r="24" spans="1:3">
      <c r="A24" s="6" t="s">
        <v>43</v>
      </c>
      <c r="B24" s="7" t="s">
        <v>44</v>
      </c>
      <c r="C24" s="11" t="s">
        <v>45</v>
      </c>
    </row>
    <row r="25" spans="1:3">
      <c r="A25" s="6" t="s">
        <v>46</v>
      </c>
      <c r="B25" s="7" t="s">
        <v>47</v>
      </c>
      <c r="C25" s="2" t="s">
        <v>48</v>
      </c>
    </row>
    <row r="26" spans="1:3">
      <c r="A26" s="6" t="s">
        <v>49</v>
      </c>
      <c r="B26" s="5" t="s">
        <v>50</v>
      </c>
      <c r="C26" s="2" t="s">
        <v>51</v>
      </c>
    </row>
    <row r="27" spans="1:3">
      <c r="A27" s="6" t="s">
        <v>52</v>
      </c>
      <c r="B27" s="5" t="s">
        <v>53</v>
      </c>
      <c r="C27" s="2" t="s">
        <v>54</v>
      </c>
    </row>
    <row r="28" spans="1:3">
      <c r="A28" s="6" t="s">
        <v>55</v>
      </c>
      <c r="B28" s="7" t="s">
        <v>56</v>
      </c>
      <c r="C28" s="2" t="s">
        <v>57</v>
      </c>
    </row>
    <row r="29" spans="1:3">
      <c r="A29" s="6" t="s">
        <v>58</v>
      </c>
      <c r="B29" s="7" t="s">
        <v>59</v>
      </c>
      <c r="C29" s="11" t="s">
        <v>60</v>
      </c>
    </row>
    <row r="30" spans="1:3">
      <c r="A30" s="6" t="s">
        <v>61</v>
      </c>
      <c r="B30" s="7" t="s">
        <v>62</v>
      </c>
      <c r="C30" s="11" t="s">
        <v>63</v>
      </c>
    </row>
    <row r="31" spans="1:3">
      <c r="A31" s="6" t="s">
        <v>64</v>
      </c>
      <c r="B31" s="7" t="s">
        <v>65</v>
      </c>
      <c r="C31" s="11" t="s">
        <v>63</v>
      </c>
    </row>
    <row r="32" spans="1:3">
      <c r="A32" s="6" t="s">
        <v>66</v>
      </c>
      <c r="B32" s="7" t="s">
        <v>67</v>
      </c>
      <c r="C32" s="11" t="s">
        <v>63</v>
      </c>
    </row>
    <row r="33" spans="1:3">
      <c r="A33" s="6" t="s">
        <v>68</v>
      </c>
      <c r="B33" s="7" t="s">
        <v>69</v>
      </c>
      <c r="C33" s="11" t="s">
        <v>63</v>
      </c>
    </row>
    <row r="34" spans="1:3">
      <c r="A34" s="6" t="s">
        <v>70</v>
      </c>
      <c r="B34" s="7" t="s">
        <v>71</v>
      </c>
      <c r="C34" s="11" t="s">
        <v>63</v>
      </c>
    </row>
    <row r="35" spans="1:3">
      <c r="A35" s="3" t="s">
        <v>72</v>
      </c>
      <c r="B35" s="7" t="s">
        <v>73</v>
      </c>
      <c r="C35" s="2" t="s">
        <v>74</v>
      </c>
    </row>
    <row r="36" spans="1:3">
      <c r="A36" s="4" t="s">
        <v>75</v>
      </c>
      <c r="B36" s="12">
        <f>'14_논문대조'!B92</f>
        <v>1</v>
      </c>
    </row>
    <row r="37" spans="1:3">
      <c r="A37" s="4" t="s">
        <v>76</v>
      </c>
      <c r="B37" s="13">
        <f>'14_논문대조'!B91</f>
        <v>0</v>
      </c>
    </row>
    <row r="39" spans="1:3">
      <c r="A39" s="2" t="s">
        <v>77</v>
      </c>
    </row>
    <row r="40" spans="1:3">
      <c r="A40" s="2" t="s">
        <v>78</v>
      </c>
    </row>
    <row r="42" spans="1:3">
      <c r="A42" s="3" t="s">
        <v>79</v>
      </c>
    </row>
    <row r="43" spans="1:3">
      <c r="A43" s="2" t="s">
        <v>80</v>
      </c>
    </row>
    <row r="44" spans="1:3">
      <c r="A44" s="11" t="s">
        <v>81</v>
      </c>
    </row>
    <row r="46" spans="1:3">
      <c r="A46" s="3" t="s">
        <v>82</v>
      </c>
    </row>
    <row r="47" spans="1:3">
      <c r="A47" s="2" t="s">
        <v>83</v>
      </c>
    </row>
    <row r="48" spans="1:3">
      <c r="A48" s="2" t="s">
        <v>84</v>
      </c>
    </row>
    <row r="49" spans="1:1">
      <c r="A49" s="2" t="s">
        <v>85</v>
      </c>
    </row>
    <row r="50" spans="1:1">
      <c r="A50" s="2" t="s">
        <v>86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7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/>
  <cols>
    <col min="1" max="1" width="26" customWidth="1"/>
    <col min="2" max="2" width="17" customWidth="1"/>
    <col min="3" max="3" width="18" customWidth="1"/>
    <col min="4" max="15" width="11" customWidth="1"/>
    <col min="16" max="18" width="10" customWidth="1"/>
    <col min="19" max="19" width="12" customWidth="1"/>
    <col min="20" max="21" width="9" customWidth="1"/>
    <col min="22" max="22" width="12" customWidth="1"/>
    <col min="23" max="25" width="13" customWidth="1"/>
    <col min="26" max="26" width="11" customWidth="1"/>
    <col min="27" max="27" width="17" customWidth="1"/>
    <col min="28" max="28" width="14" customWidth="1"/>
  </cols>
  <sheetData>
    <row r="1" spans="1:28" ht="52.8">
      <c r="A1" s="14" t="s">
        <v>87</v>
      </c>
      <c r="B1" s="14" t="s">
        <v>88</v>
      </c>
      <c r="C1" s="14" t="s">
        <v>89</v>
      </c>
      <c r="D1" s="14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s="14" t="s">
        <v>96</v>
      </c>
      <c r="K1" s="14" t="s">
        <v>97</v>
      </c>
      <c r="L1" s="14" t="s">
        <v>98</v>
      </c>
      <c r="M1" s="14" t="s">
        <v>99</v>
      </c>
      <c r="N1" s="14" t="s">
        <v>100</v>
      </c>
      <c r="O1" s="14" t="s">
        <v>101</v>
      </c>
      <c r="P1" s="14" t="s">
        <v>102</v>
      </c>
      <c r="Q1" s="14" t="s">
        <v>103</v>
      </c>
      <c r="R1" s="14" t="s">
        <v>104</v>
      </c>
      <c r="S1" s="14" t="s">
        <v>105</v>
      </c>
      <c r="T1" s="10" t="s">
        <v>106</v>
      </c>
      <c r="U1" s="10" t="s">
        <v>107</v>
      </c>
      <c r="V1" s="10" t="s">
        <v>108</v>
      </c>
      <c r="W1" s="14" t="s">
        <v>109</v>
      </c>
      <c r="X1" s="14" t="s">
        <v>110</v>
      </c>
      <c r="Y1" s="14" t="s">
        <v>111</v>
      </c>
      <c r="Z1" s="10" t="s">
        <v>112</v>
      </c>
      <c r="AA1" s="14" t="s">
        <v>113</v>
      </c>
      <c r="AB1" s="10" t="s">
        <v>114</v>
      </c>
    </row>
    <row r="2" spans="1:28">
      <c r="A2" s="15" t="s">
        <v>115</v>
      </c>
      <c r="B2" s="15" t="s">
        <v>116</v>
      </c>
      <c r="C2" s="15" t="s">
        <v>117</v>
      </c>
      <c r="D2" s="16">
        <v>0.25144508670520199</v>
      </c>
      <c r="E2" s="16">
        <v>0.28193832599118901</v>
      </c>
      <c r="F2" s="16">
        <v>0.10666666666666701</v>
      </c>
      <c r="G2" s="16">
        <v>0.246696035242291</v>
      </c>
      <c r="H2" s="16">
        <v>0.20082964568614101</v>
      </c>
      <c r="I2" s="16">
        <v>0.22584740099199599</v>
      </c>
      <c r="J2" s="16">
        <v>0.63084063934031998</v>
      </c>
      <c r="K2" s="16">
        <v>0.57586197031102504</v>
      </c>
      <c r="L2" s="16">
        <v>0.731729737126389</v>
      </c>
      <c r="M2" s="16">
        <v>0.43589743589743601</v>
      </c>
      <c r="N2" s="16">
        <v>0.18269230769230799</v>
      </c>
      <c r="O2" s="16">
        <v>1</v>
      </c>
      <c r="P2" s="17">
        <f t="shared" ref="P2:P65" si="0">AVERAGE(D2:I2)</f>
        <v>0.21890386021391431</v>
      </c>
      <c r="Q2" s="17">
        <f t="shared" ref="Q2:Q65" si="1">AVERAGE(J2:L2)</f>
        <v>0.64614411559257789</v>
      </c>
      <c r="R2" s="17">
        <f t="shared" ref="R2:R65" si="2">AVERAGE(M2:O2)</f>
        <v>0.53952991452991472</v>
      </c>
      <c r="S2" s="17">
        <f>'02_지표정의'!$C$22*P2+'02_지표정의'!$C$23*Q2+'02_지표정의'!$C$24*R2</f>
        <v>0.52338109414491307</v>
      </c>
      <c r="T2" s="5">
        <f t="shared" ref="T2:T65" si="3">IF(OR(AND(B2="gemini",C2="gemma"),AND(B2="qwen3_6",C2="qwen"),AND(B2="mistral",C2="ministral")),1,0)</f>
        <v>0</v>
      </c>
      <c r="U2" s="5" t="str">
        <f t="shared" ref="U2:U65" si="4">IF(LEFT(A2,3)="PAT","특허","보고서")</f>
        <v>특허</v>
      </c>
      <c r="V2" s="18">
        <f t="shared" ref="V2:V65" si="5">COUNTIF($S$2:$S$976,"&lt;"&amp;S2)+(COUNTIF($S$2:$S$976,"="&amp;S2)+1)/2</f>
        <v>113</v>
      </c>
      <c r="W2" s="5">
        <f t="shared" ref="W2:W65" si="6">IF(C2="qwen",0,COUNTIFS($C$2:$C$976,"&lt;&gt;qwen",$S$2:$S$976,"&lt;"&amp;S2)+1)</f>
        <v>102</v>
      </c>
      <c r="X2" s="5">
        <f t="shared" ref="X2:X65" si="7">IF(C2="ministral",0,COUNTIFS($C$2:$C$976,"&lt;&gt;ministral",$S$2:$S$976,"&lt;"&amp;S2)+1)</f>
        <v>21</v>
      </c>
      <c r="Y2" s="5">
        <f t="shared" ref="Y2:Y65" si="8">IF(C2="gemma",0,COUNTIFS($C$2:$C$976,"&lt;&gt;gemma",$S$2:$S$976,"&lt;"&amp;S2)+1)</f>
        <v>0</v>
      </c>
      <c r="Z2" s="19">
        <f t="shared" ref="Z2:Z65" si="9">COUNTIFS($B$2:$B$976,B2,$C$2:$C$976,C2,$S$2:$S$976,"&lt;"&amp;S2)+1</f>
        <v>9</v>
      </c>
      <c r="AA2" s="20">
        <f>ABS(S2-SUMPRODUCT(('05B_가정검정'!$A$5:$A$19=B2)*('05B_가정검정'!$B$5:$B$19=C2)*'05B_가정검정'!$E$5:$E$19))</f>
        <v>3.4022610840054202E-2</v>
      </c>
      <c r="AB2" s="20">
        <f t="shared" ref="AB2:AB65" si="10">S2-AVERAGEIFS($S$2:$S$976,$B$2:$B$976,B2,$C$2:$C$976,C2)</f>
        <v>-2.9170071267710318E-2</v>
      </c>
    </row>
    <row r="3" spans="1:28">
      <c r="A3" s="15" t="s">
        <v>115</v>
      </c>
      <c r="B3" s="15" t="s">
        <v>116</v>
      </c>
      <c r="C3" s="15" t="s">
        <v>118</v>
      </c>
      <c r="D3" s="16">
        <v>0.28382838283828399</v>
      </c>
      <c r="E3" s="16">
        <v>0.33093525179856098</v>
      </c>
      <c r="F3" s="16">
        <v>0.13043478260869601</v>
      </c>
      <c r="G3" s="16">
        <v>0.28776978417266202</v>
      </c>
      <c r="H3" s="16">
        <v>0.141585470314294</v>
      </c>
      <c r="I3" s="16">
        <v>0.30670945179124498</v>
      </c>
      <c r="J3" s="16">
        <v>0.65374856415446103</v>
      </c>
      <c r="K3" s="16">
        <v>0.664882502739647</v>
      </c>
      <c r="L3" s="16">
        <v>0.79131049160760503</v>
      </c>
      <c r="M3" s="16">
        <v>0.473118279569893</v>
      </c>
      <c r="N3" s="16">
        <v>0</v>
      </c>
      <c r="O3" s="16">
        <v>1</v>
      </c>
      <c r="P3" s="17">
        <f t="shared" si="0"/>
        <v>0.24687718725395702</v>
      </c>
      <c r="Q3" s="17">
        <f t="shared" si="1"/>
        <v>0.70331385283390435</v>
      </c>
      <c r="R3" s="17">
        <f t="shared" si="2"/>
        <v>0.49103942652329763</v>
      </c>
      <c r="S3" s="17">
        <f>'02_지표정의'!$C$22*P3+'02_지표정의'!$C$23*Q3+'02_지표정의'!$C$24*R3</f>
        <v>0.53773047050920253</v>
      </c>
      <c r="T3" s="5">
        <f t="shared" si="3"/>
        <v>0</v>
      </c>
      <c r="U3" s="5" t="str">
        <f t="shared" si="4"/>
        <v>특허</v>
      </c>
      <c r="V3" s="18">
        <f t="shared" si="5"/>
        <v>161</v>
      </c>
      <c r="W3" s="5">
        <f t="shared" si="6"/>
        <v>141</v>
      </c>
      <c r="X3" s="5">
        <f t="shared" si="7"/>
        <v>0</v>
      </c>
      <c r="Y3" s="5">
        <f t="shared" si="8"/>
        <v>146</v>
      </c>
      <c r="Z3" s="19">
        <f t="shared" si="9"/>
        <v>37</v>
      </c>
      <c r="AA3" s="20">
        <f>ABS(S3-SUMPRODUCT(('05B_가정검정'!$A$5:$A$19=B3)*('05B_가정검정'!$B$5:$B$19=C3)*'05B_가정검정'!$E$5:$E$19))</f>
        <v>6.4380488074808895E-3</v>
      </c>
      <c r="AB3" s="20">
        <f t="shared" si="10"/>
        <v>1.0181438130616227E-2</v>
      </c>
    </row>
    <row r="4" spans="1:28">
      <c r="A4" s="15" t="s">
        <v>115</v>
      </c>
      <c r="B4" s="15" t="s">
        <v>116</v>
      </c>
      <c r="C4" s="15" t="s">
        <v>119</v>
      </c>
      <c r="D4" s="16">
        <v>0.24815361890694199</v>
      </c>
      <c r="E4" s="16">
        <v>0.420560747663551</v>
      </c>
      <c r="F4" s="16">
        <v>0.122641509433962</v>
      </c>
      <c r="G4" s="16">
        <v>0.30841121495327101</v>
      </c>
      <c r="H4" s="16">
        <v>0.18206849548024101</v>
      </c>
      <c r="I4" s="16">
        <v>0.35395533700771098</v>
      </c>
      <c r="J4" s="16">
        <v>0.66989182596493302</v>
      </c>
      <c r="K4" s="16">
        <v>0.55981052207495396</v>
      </c>
      <c r="L4" s="16">
        <v>0.71544087252660205</v>
      </c>
      <c r="M4" s="16">
        <v>0.37948717948718003</v>
      </c>
      <c r="N4" s="16">
        <v>0</v>
      </c>
      <c r="O4" s="16">
        <v>1</v>
      </c>
      <c r="P4" s="17">
        <f t="shared" si="0"/>
        <v>0.27263182057427965</v>
      </c>
      <c r="Q4" s="17">
        <f t="shared" si="1"/>
        <v>0.64838107352216301</v>
      </c>
      <c r="R4" s="17">
        <f t="shared" si="2"/>
        <v>0.45982905982905997</v>
      </c>
      <c r="S4" s="17">
        <f>'02_지표정의'!$C$22*P4+'02_지표정의'!$C$23*Q4+'02_지표정의'!$C$24*R4</f>
        <v>0.50723801814000025</v>
      </c>
      <c r="T4" s="5">
        <f t="shared" si="3"/>
        <v>0</v>
      </c>
      <c r="U4" s="5" t="str">
        <f t="shared" si="4"/>
        <v>특허</v>
      </c>
      <c r="V4" s="18">
        <f t="shared" si="5"/>
        <v>60</v>
      </c>
      <c r="W4" s="5">
        <f t="shared" si="6"/>
        <v>0</v>
      </c>
      <c r="X4" s="5">
        <f t="shared" si="7"/>
        <v>14</v>
      </c>
      <c r="Y4" s="5">
        <f t="shared" si="8"/>
        <v>53</v>
      </c>
      <c r="Z4" s="19">
        <f t="shared" si="9"/>
        <v>2</v>
      </c>
      <c r="AA4" s="20">
        <f>ABS(S4-SUMPRODUCT(('05B_가정검정'!$A$5:$A$19=B4)*('05B_가정검정'!$B$5:$B$19=C4)*'05B_가정검정'!$E$5:$E$19))</f>
        <v>4.578549860278236E-2</v>
      </c>
      <c r="AB4" s="20">
        <f t="shared" si="10"/>
        <v>-4.9214465536179808E-2</v>
      </c>
    </row>
    <row r="5" spans="1:28">
      <c r="A5" s="15" t="s">
        <v>115</v>
      </c>
      <c r="B5" s="15" t="s">
        <v>120</v>
      </c>
      <c r="C5" s="15" t="s">
        <v>117</v>
      </c>
      <c r="D5" s="16">
        <v>0.26677994902294</v>
      </c>
      <c r="E5" s="16">
        <v>0.30246913580246898</v>
      </c>
      <c r="F5" s="16">
        <v>7.4534161490683204E-2</v>
      </c>
      <c r="G5" s="16">
        <v>0.179012345679012</v>
      </c>
      <c r="H5" s="16">
        <v>0.28403317935774403</v>
      </c>
      <c r="I5" s="16">
        <v>0.186038397955163</v>
      </c>
      <c r="J5" s="16">
        <v>0.68962661099219502</v>
      </c>
      <c r="K5" s="16">
        <v>0.62263355600248205</v>
      </c>
      <c r="L5" s="16">
        <v>0.85854658687827301</v>
      </c>
      <c r="M5" s="16">
        <v>0.56707317073170704</v>
      </c>
      <c r="N5" s="16">
        <v>0.52127659574468099</v>
      </c>
      <c r="O5" s="16">
        <v>1</v>
      </c>
      <c r="P5" s="17">
        <f t="shared" si="0"/>
        <v>0.21547786155133519</v>
      </c>
      <c r="Q5" s="17">
        <f t="shared" si="1"/>
        <v>0.72360225129098332</v>
      </c>
      <c r="R5" s="17">
        <f t="shared" si="2"/>
        <v>0.69611658882546268</v>
      </c>
      <c r="S5" s="17">
        <f>'02_지표정의'!$C$22*P5+'02_지표정의'!$C$23*Q5+'02_지표정의'!$C$24*R5</f>
        <v>0.61235739148012147</v>
      </c>
      <c r="T5" s="5">
        <f t="shared" si="3"/>
        <v>0</v>
      </c>
      <c r="U5" s="5" t="str">
        <f t="shared" si="4"/>
        <v>특허</v>
      </c>
      <c r="V5" s="18">
        <f t="shared" si="5"/>
        <v>448</v>
      </c>
      <c r="W5" s="5">
        <f t="shared" si="6"/>
        <v>365</v>
      </c>
      <c r="X5" s="5">
        <f t="shared" si="7"/>
        <v>191</v>
      </c>
      <c r="Y5" s="5">
        <f t="shared" si="8"/>
        <v>0</v>
      </c>
      <c r="Z5" s="19">
        <f t="shared" si="9"/>
        <v>18</v>
      </c>
      <c r="AA5" s="20">
        <f>ABS(S5-SUMPRODUCT(('05B_가정검정'!$A$5:$A$19=B5)*('05B_가정검정'!$B$5:$B$19=C5)*'05B_가정검정'!$E$5:$E$19))</f>
        <v>1.5691568576999604E-2</v>
      </c>
      <c r="AB5" s="20">
        <f t="shared" si="10"/>
        <v>-1.8945311944635668E-2</v>
      </c>
    </row>
    <row r="6" spans="1:28">
      <c r="A6" s="15" t="s">
        <v>115</v>
      </c>
      <c r="B6" s="15" t="s">
        <v>120</v>
      </c>
      <c r="C6" s="15" t="s">
        <v>118</v>
      </c>
      <c r="D6" s="16">
        <v>0.22914757103574701</v>
      </c>
      <c r="E6" s="16">
        <v>0.27200000000000002</v>
      </c>
      <c r="F6" s="16">
        <v>9.1152815013404803E-2</v>
      </c>
      <c r="G6" s="16">
        <v>0.20266666666666699</v>
      </c>
      <c r="H6" s="16">
        <v>0.23924119782401901</v>
      </c>
      <c r="I6" s="16">
        <v>0.173766125173858</v>
      </c>
      <c r="J6" s="16">
        <v>0.70776472700042503</v>
      </c>
      <c r="K6" s="16">
        <v>0.64362821814817395</v>
      </c>
      <c r="L6" s="16">
        <v>0.84404955310441698</v>
      </c>
      <c r="M6" s="16">
        <v>0.53046594982078898</v>
      </c>
      <c r="N6" s="16">
        <v>0.52713178294573704</v>
      </c>
      <c r="O6" s="16">
        <v>1</v>
      </c>
      <c r="P6" s="17">
        <f t="shared" si="0"/>
        <v>0.20132906261894931</v>
      </c>
      <c r="Q6" s="17">
        <f t="shared" si="1"/>
        <v>0.73181416608433869</v>
      </c>
      <c r="R6" s="17">
        <f t="shared" si="2"/>
        <v>0.6858659109221753</v>
      </c>
      <c r="S6" s="17">
        <f>'02_지표정의'!$C$22*P6+'02_지표정의'!$C$23*Q6+'02_지표정의'!$C$24*R6</f>
        <v>0.60963525608450364</v>
      </c>
      <c r="T6" s="5">
        <f t="shared" si="3"/>
        <v>0</v>
      </c>
      <c r="U6" s="5" t="str">
        <f t="shared" si="4"/>
        <v>특허</v>
      </c>
      <c r="V6" s="18">
        <f t="shared" si="5"/>
        <v>428</v>
      </c>
      <c r="W6" s="5">
        <f t="shared" si="6"/>
        <v>349</v>
      </c>
      <c r="X6" s="5">
        <f t="shared" si="7"/>
        <v>0</v>
      </c>
      <c r="Y6" s="5">
        <f t="shared" si="8"/>
        <v>326</v>
      </c>
      <c r="Z6" s="19">
        <f t="shared" si="9"/>
        <v>43</v>
      </c>
      <c r="AA6" s="20">
        <f>ABS(S6-SUMPRODUCT(('05B_가정검정'!$A$5:$A$19=B6)*('05B_가정검정'!$B$5:$B$19=C6)*'05B_가정검정'!$E$5:$E$19))</f>
        <v>1.8806407502875655E-2</v>
      </c>
      <c r="AB6" s="20">
        <f t="shared" si="10"/>
        <v>3.474448012239284E-2</v>
      </c>
    </row>
    <row r="7" spans="1:28">
      <c r="A7" s="15" t="s">
        <v>115</v>
      </c>
      <c r="B7" s="15" t="s">
        <v>120</v>
      </c>
      <c r="C7" s="15" t="s">
        <v>119</v>
      </c>
      <c r="D7" s="16">
        <v>0.258175559380379</v>
      </c>
      <c r="E7" s="16">
        <v>0.36012861736334401</v>
      </c>
      <c r="F7" s="16">
        <v>0.116504854368932</v>
      </c>
      <c r="G7" s="16">
        <v>0.25723472668810299</v>
      </c>
      <c r="H7" s="16">
        <v>0.32048679812012898</v>
      </c>
      <c r="I7" s="16">
        <v>0.245056753805066</v>
      </c>
      <c r="J7" s="16">
        <v>0.69981070500610199</v>
      </c>
      <c r="K7" s="16">
        <v>0.61108905595146001</v>
      </c>
      <c r="L7" s="16">
        <v>0.84354566116571705</v>
      </c>
      <c r="M7" s="16">
        <v>0.61538461538461497</v>
      </c>
      <c r="N7" s="16">
        <v>0.54901960784313697</v>
      </c>
      <c r="O7" s="16">
        <v>1</v>
      </c>
      <c r="P7" s="17">
        <f t="shared" si="0"/>
        <v>0.25959788495432551</v>
      </c>
      <c r="Q7" s="17">
        <f t="shared" si="1"/>
        <v>0.71814847404109294</v>
      </c>
      <c r="R7" s="17">
        <f t="shared" si="2"/>
        <v>0.72146807440925065</v>
      </c>
      <c r="S7" s="17">
        <f>'02_지표정의'!$C$22*P7+'02_지표정의'!$C$23*Q7+'02_지표정의'!$C$24*R7</f>
        <v>0.62760021635259466</v>
      </c>
      <c r="T7" s="5">
        <f t="shared" si="3"/>
        <v>0</v>
      </c>
      <c r="U7" s="5" t="str">
        <f t="shared" si="4"/>
        <v>특허</v>
      </c>
      <c r="V7" s="18">
        <f t="shared" si="5"/>
        <v>519</v>
      </c>
      <c r="W7" s="5">
        <f t="shared" si="6"/>
        <v>0</v>
      </c>
      <c r="X7" s="5">
        <f t="shared" si="7"/>
        <v>229</v>
      </c>
      <c r="Y7" s="5">
        <f t="shared" si="8"/>
        <v>392</v>
      </c>
      <c r="Z7" s="19">
        <f t="shared" si="9"/>
        <v>11</v>
      </c>
      <c r="AA7" s="20">
        <f>ABS(S7-SUMPRODUCT(('05B_가정검정'!$A$5:$A$19=B7)*('05B_가정검정'!$B$5:$B$19=C7)*'05B_가정검정'!$E$5:$E$19))</f>
        <v>3.6077100128791617E-2</v>
      </c>
      <c r="AB7" s="20">
        <f t="shared" si="10"/>
        <v>-3.0822791158220952E-2</v>
      </c>
    </row>
    <row r="8" spans="1:28">
      <c r="A8" s="15" t="s">
        <v>115</v>
      </c>
      <c r="B8" s="15" t="s">
        <v>121</v>
      </c>
      <c r="C8" s="15" t="s">
        <v>117</v>
      </c>
      <c r="D8" s="16">
        <v>0.26373626373626402</v>
      </c>
      <c r="E8" s="16">
        <v>0.30769230769230799</v>
      </c>
      <c r="F8" s="16">
        <v>0.11872146118721499</v>
      </c>
      <c r="G8" s="16">
        <v>0.23529411764705899</v>
      </c>
      <c r="H8" s="16">
        <v>0.28200643124457397</v>
      </c>
      <c r="I8" s="16">
        <v>0.16971891372523101</v>
      </c>
      <c r="J8" s="16">
        <v>0.73920991891701604</v>
      </c>
      <c r="K8" s="16">
        <v>0.69748530486860905</v>
      </c>
      <c r="L8" s="16">
        <v>0.85993135002354304</v>
      </c>
      <c r="M8" s="16">
        <v>0.90654205607476601</v>
      </c>
      <c r="N8" s="16">
        <v>0.91666666666666696</v>
      </c>
      <c r="O8" s="16">
        <v>1</v>
      </c>
      <c r="P8" s="17">
        <f t="shared" si="0"/>
        <v>0.22952824920544182</v>
      </c>
      <c r="Q8" s="17">
        <f t="shared" si="1"/>
        <v>0.76554219126972267</v>
      </c>
      <c r="R8" s="17">
        <f t="shared" si="2"/>
        <v>0.94106957424714432</v>
      </c>
      <c r="S8" s="17">
        <f>'02_지표정의'!$C$22*P8+'02_지표정의'!$C$23*Q8+'02_지표정의'!$C$24*R8</f>
        <v>0.7197739868989641</v>
      </c>
      <c r="T8" s="5">
        <f t="shared" si="3"/>
        <v>1</v>
      </c>
      <c r="U8" s="5" t="str">
        <f t="shared" si="4"/>
        <v>특허</v>
      </c>
      <c r="V8" s="18">
        <f t="shared" si="5"/>
        <v>878</v>
      </c>
      <c r="W8" s="5">
        <f t="shared" si="6"/>
        <v>586</v>
      </c>
      <c r="X8" s="5">
        <f t="shared" si="7"/>
        <v>553</v>
      </c>
      <c r="Y8" s="5">
        <f t="shared" si="8"/>
        <v>0</v>
      </c>
      <c r="Z8" s="19">
        <f t="shared" si="9"/>
        <v>24</v>
      </c>
      <c r="AA8" s="20">
        <f>ABS(S8-SUMPRODUCT(('05B_가정검정'!$A$5:$A$19=B8)*('05B_가정검정'!$B$5:$B$19=C8)*'05B_가정검정'!$E$5:$E$19))</f>
        <v>9.6580844829170509E-3</v>
      </c>
      <c r="AB8" s="20">
        <f t="shared" si="10"/>
        <v>2.1221938260831408E-3</v>
      </c>
    </row>
    <row r="9" spans="1:28">
      <c r="A9" s="15" t="s">
        <v>115</v>
      </c>
      <c r="B9" s="15" t="s">
        <v>121</v>
      </c>
      <c r="C9" s="15" t="s">
        <v>118</v>
      </c>
      <c r="D9" s="16">
        <v>0.23465211459754401</v>
      </c>
      <c r="E9" s="16">
        <v>0.27941176470588203</v>
      </c>
      <c r="F9" s="16">
        <v>0.10370370370370401</v>
      </c>
      <c r="G9" s="16">
        <v>0.24264705882352899</v>
      </c>
      <c r="H9" s="16">
        <v>0.16846332450551399</v>
      </c>
      <c r="I9" s="16">
        <v>0.175925804610195</v>
      </c>
      <c r="J9" s="16">
        <v>0.74590856282059703</v>
      </c>
      <c r="K9" s="16">
        <v>0.74663407536875703</v>
      </c>
      <c r="L9" s="16">
        <v>0.88730619944075595</v>
      </c>
      <c r="M9" s="16">
        <v>0.34767025089605702</v>
      </c>
      <c r="N9" s="16">
        <v>0.42635658914728702</v>
      </c>
      <c r="O9" s="16">
        <v>1</v>
      </c>
      <c r="P9" s="17">
        <f t="shared" si="0"/>
        <v>0.20080062849106131</v>
      </c>
      <c r="Q9" s="17">
        <f t="shared" si="1"/>
        <v>0.79328294587670334</v>
      </c>
      <c r="R9" s="17">
        <f t="shared" si="2"/>
        <v>0.591342280014448</v>
      </c>
      <c r="S9" s="17">
        <f>'02_지표정의'!$C$22*P9+'02_지표정의'!$C$23*Q9+'02_지표정의'!$C$24*R9</f>
        <v>0.60410724934778559</v>
      </c>
      <c r="T9" s="5">
        <f t="shared" si="3"/>
        <v>0</v>
      </c>
      <c r="U9" s="5" t="str">
        <f t="shared" si="4"/>
        <v>특허</v>
      </c>
      <c r="V9" s="18">
        <f t="shared" si="5"/>
        <v>408</v>
      </c>
      <c r="W9" s="5">
        <f t="shared" si="6"/>
        <v>330</v>
      </c>
      <c r="X9" s="5">
        <f t="shared" si="7"/>
        <v>0</v>
      </c>
      <c r="Y9" s="5">
        <f t="shared" si="8"/>
        <v>310</v>
      </c>
      <c r="Z9" s="19">
        <f t="shared" si="9"/>
        <v>35</v>
      </c>
      <c r="AA9" s="20">
        <f>ABS(S9-SUMPRODUCT(('05B_가정검정'!$A$5:$A$19=B9)*('05B_가정검정'!$B$5:$B$19=C9)*'05B_가정검정'!$E$5:$E$19))</f>
        <v>5.52775918081716E-3</v>
      </c>
      <c r="AB9" s="20">
        <f t="shared" si="10"/>
        <v>2.4708174820972317E-2</v>
      </c>
    </row>
    <row r="10" spans="1:28">
      <c r="A10" s="15" t="s">
        <v>115</v>
      </c>
      <c r="B10" s="15" t="s">
        <v>121</v>
      </c>
      <c r="C10" s="15" t="s">
        <v>119</v>
      </c>
      <c r="D10" s="16">
        <v>0.24378109452736299</v>
      </c>
      <c r="E10" s="16">
        <v>0.38461538461538503</v>
      </c>
      <c r="F10" s="16">
        <v>0.12621359223301001</v>
      </c>
      <c r="G10" s="16">
        <v>0.27884615384615402</v>
      </c>
      <c r="H10" s="16">
        <v>0.239659226442833</v>
      </c>
      <c r="I10" s="16">
        <v>0.268432412772175</v>
      </c>
      <c r="J10" s="16">
        <v>0.76145151832526103</v>
      </c>
      <c r="K10" s="16">
        <v>0.69550728349322899</v>
      </c>
      <c r="L10" s="16">
        <v>0.85429733019757503</v>
      </c>
      <c r="M10" s="16">
        <v>0.57396449704142005</v>
      </c>
      <c r="N10" s="16">
        <v>0.53921568627451</v>
      </c>
      <c r="O10" s="16">
        <v>1</v>
      </c>
      <c r="P10" s="17">
        <f t="shared" si="0"/>
        <v>0.25692464407281995</v>
      </c>
      <c r="Q10" s="17">
        <f t="shared" si="1"/>
        <v>0.77041871067202161</v>
      </c>
      <c r="R10" s="17">
        <f t="shared" si="2"/>
        <v>0.70439339443864346</v>
      </c>
      <c r="S10" s="17">
        <f>'02_지표정의'!$C$22*P10+'02_지표정의'!$C$23*Q10+'02_지표정의'!$C$24*R10</f>
        <v>0.6446110366704989</v>
      </c>
      <c r="T10" s="5">
        <f t="shared" si="3"/>
        <v>0</v>
      </c>
      <c r="U10" s="5" t="str">
        <f t="shared" si="4"/>
        <v>특허</v>
      </c>
      <c r="V10" s="18">
        <f t="shared" si="5"/>
        <v>595</v>
      </c>
      <c r="W10" s="5">
        <f t="shared" si="6"/>
        <v>0</v>
      </c>
      <c r="X10" s="5">
        <f t="shared" si="7"/>
        <v>286</v>
      </c>
      <c r="Y10" s="5">
        <f t="shared" si="8"/>
        <v>445</v>
      </c>
      <c r="Z10" s="19">
        <f t="shared" si="9"/>
        <v>6</v>
      </c>
      <c r="AA10" s="20">
        <f>ABS(S10-SUMPRODUCT(('05B_가정검정'!$A$5:$A$19=B10)*('05B_가정검정'!$B$5:$B$19=C10)*'05B_가정검정'!$E$5:$E$19))</f>
        <v>4.7708806125354775E-2</v>
      </c>
      <c r="AB10" s="20">
        <f t="shared" si="10"/>
        <v>-4.3625938749112136E-2</v>
      </c>
    </row>
    <row r="11" spans="1:28">
      <c r="A11" s="15" t="s">
        <v>115</v>
      </c>
      <c r="B11" s="15" t="s">
        <v>122</v>
      </c>
      <c r="C11" s="15" t="s">
        <v>117</v>
      </c>
      <c r="D11" s="16">
        <v>0.24849215922798601</v>
      </c>
      <c r="E11" s="16">
        <v>0.251012145748988</v>
      </c>
      <c r="F11" s="16">
        <v>7.3469387755102006E-2</v>
      </c>
      <c r="G11" s="16">
        <v>0.21052631578947401</v>
      </c>
      <c r="H11" s="16">
        <v>0.31677417018223097</v>
      </c>
      <c r="I11" s="16">
        <v>0.19932074146714099</v>
      </c>
      <c r="J11" s="16">
        <v>0.70184692464701404</v>
      </c>
      <c r="K11" s="16">
        <v>0.542277475371021</v>
      </c>
      <c r="L11" s="16">
        <v>0.746423009226726</v>
      </c>
      <c r="M11" s="16">
        <v>0.50270270270270301</v>
      </c>
      <c r="N11" s="16">
        <v>0.44545454545454499</v>
      </c>
      <c r="O11" s="16">
        <v>1</v>
      </c>
      <c r="P11" s="17">
        <f t="shared" si="0"/>
        <v>0.21659915336182031</v>
      </c>
      <c r="Q11" s="17">
        <f t="shared" si="1"/>
        <v>0.66351580308158697</v>
      </c>
      <c r="R11" s="17">
        <f t="shared" si="2"/>
        <v>0.64938574938574933</v>
      </c>
      <c r="S11" s="17">
        <f>'02_지표정의'!$C$22*P11+'02_지표정의'!$C$23*Q11+'02_지표정의'!$C$24*R11</f>
        <v>0.56918695434409039</v>
      </c>
      <c r="T11" s="5">
        <f t="shared" si="3"/>
        <v>0</v>
      </c>
      <c r="U11" s="5" t="str">
        <f t="shared" si="4"/>
        <v>특허</v>
      </c>
      <c r="V11" s="18">
        <f t="shared" si="5"/>
        <v>281</v>
      </c>
      <c r="W11" s="5">
        <f t="shared" si="6"/>
        <v>229</v>
      </c>
      <c r="X11" s="5">
        <f t="shared" si="7"/>
        <v>111</v>
      </c>
      <c r="Y11" s="5">
        <f t="shared" si="8"/>
        <v>0</v>
      </c>
      <c r="Z11" s="19">
        <f t="shared" si="9"/>
        <v>10</v>
      </c>
      <c r="AA11" s="20">
        <f>ABS(S11-SUMPRODUCT(('05B_가정검정'!$A$5:$A$19=B11)*('05B_가정검정'!$B$5:$B$19=C11)*'05B_가정검정'!$E$5:$E$19))</f>
        <v>7.0166000364588088E-2</v>
      </c>
      <c r="AB11" s="20">
        <f t="shared" si="10"/>
        <v>-5.3694667845555766E-2</v>
      </c>
    </row>
    <row r="12" spans="1:28">
      <c r="A12" s="15" t="s">
        <v>115</v>
      </c>
      <c r="B12" s="15" t="s">
        <v>122</v>
      </c>
      <c r="C12" s="15" t="s">
        <v>118</v>
      </c>
      <c r="D12" s="16">
        <v>0.30686406460296101</v>
      </c>
      <c r="E12" s="16">
        <v>0.37583892617449699</v>
      </c>
      <c r="F12" s="16">
        <v>0.162162162162162</v>
      </c>
      <c r="G12" s="16">
        <v>0.288590604026846</v>
      </c>
      <c r="H12" s="16">
        <v>0.27356377425599399</v>
      </c>
      <c r="I12" s="16">
        <v>0.25737722365020199</v>
      </c>
      <c r="J12" s="16">
        <v>0.71775165577775402</v>
      </c>
      <c r="K12" s="16">
        <v>0.63988421718820998</v>
      </c>
      <c r="L12" s="16">
        <v>0.78329371851447804</v>
      </c>
      <c r="M12" s="16">
        <v>0.57706093189964203</v>
      </c>
      <c r="N12" s="16">
        <v>0.63565891472868197</v>
      </c>
      <c r="O12" s="16">
        <v>1</v>
      </c>
      <c r="P12" s="17">
        <f t="shared" si="0"/>
        <v>0.27739945914544367</v>
      </c>
      <c r="Q12" s="17">
        <f t="shared" si="1"/>
        <v>0.71364319716014746</v>
      </c>
      <c r="R12" s="17">
        <f t="shared" si="2"/>
        <v>0.73757328220944129</v>
      </c>
      <c r="S12" s="17">
        <f>'02_지표정의'!$C$22*P12+'02_지표정의'!$C$23*Q12+'02_지표정의'!$C$24*R12</f>
        <v>0.63476997932445955</v>
      </c>
      <c r="T12" s="5">
        <f t="shared" si="3"/>
        <v>1</v>
      </c>
      <c r="U12" s="5" t="str">
        <f t="shared" si="4"/>
        <v>특허</v>
      </c>
      <c r="V12" s="18">
        <f t="shared" si="5"/>
        <v>552</v>
      </c>
      <c r="W12" s="5">
        <f t="shared" si="6"/>
        <v>434</v>
      </c>
      <c r="X12" s="5">
        <f t="shared" si="7"/>
        <v>0</v>
      </c>
      <c r="Y12" s="5">
        <f t="shared" si="8"/>
        <v>416</v>
      </c>
      <c r="Z12" s="19">
        <f t="shared" si="9"/>
        <v>54</v>
      </c>
      <c r="AA12" s="20">
        <f>ABS(S12-SUMPRODUCT(('05B_가정검정'!$A$5:$A$19=B12)*('05B_가정검정'!$B$5:$B$19=C12)*'05B_가정검정'!$E$5:$E$19))</f>
        <v>4.7848043327301304E-2</v>
      </c>
      <c r="AB12" s="20">
        <f t="shared" si="10"/>
        <v>5.3546703106775784E-2</v>
      </c>
    </row>
    <row r="13" spans="1:28">
      <c r="A13" s="15" t="s">
        <v>115</v>
      </c>
      <c r="B13" s="15" t="s">
        <v>122</v>
      </c>
      <c r="C13" s="15" t="s">
        <v>119</v>
      </c>
      <c r="D13" s="16">
        <v>0.238329238329238</v>
      </c>
      <c r="E13" s="16">
        <v>0.47008547008547003</v>
      </c>
      <c r="F13" s="16">
        <v>0.15517241379310301</v>
      </c>
      <c r="G13" s="16">
        <v>0.36752136752136799</v>
      </c>
      <c r="H13" s="16">
        <v>0.31914738484782001</v>
      </c>
      <c r="I13" s="16">
        <v>0.236801990576158</v>
      </c>
      <c r="J13" s="16">
        <v>0.71708490605902897</v>
      </c>
      <c r="K13" s="16">
        <v>0.55676925054203896</v>
      </c>
      <c r="L13" s="16">
        <v>0.75243565531790901</v>
      </c>
      <c r="M13" s="16">
        <v>0.79459459459459503</v>
      </c>
      <c r="N13" s="16">
        <v>0.80909090909090897</v>
      </c>
      <c r="O13" s="16">
        <v>1</v>
      </c>
      <c r="P13" s="17">
        <f t="shared" si="0"/>
        <v>0.29784297752552613</v>
      </c>
      <c r="Q13" s="17">
        <f t="shared" si="1"/>
        <v>0.67542993730632561</v>
      </c>
      <c r="R13" s="17">
        <f t="shared" si="2"/>
        <v>0.86789516789516796</v>
      </c>
      <c r="S13" s="17">
        <f>'02_지표정의'!$C$22*P13+'02_지표정의'!$C$23*Q13+'02_지표정의'!$C$24*R13</f>
        <v>0.66727537605626053</v>
      </c>
      <c r="T13" s="5">
        <f t="shared" si="3"/>
        <v>0</v>
      </c>
      <c r="U13" s="5" t="str">
        <f t="shared" si="4"/>
        <v>특허</v>
      </c>
      <c r="V13" s="18">
        <f t="shared" si="5"/>
        <v>704</v>
      </c>
      <c r="W13" s="5">
        <f t="shared" si="6"/>
        <v>0</v>
      </c>
      <c r="X13" s="5">
        <f t="shared" si="7"/>
        <v>384</v>
      </c>
      <c r="Y13" s="5">
        <f t="shared" si="8"/>
        <v>518</v>
      </c>
      <c r="Z13" s="19">
        <f t="shared" si="9"/>
        <v>49</v>
      </c>
      <c r="AA13" s="20">
        <f>ABS(S13-SUMPRODUCT(('05B_가정검정'!$A$5:$A$19=B13)*('05B_가정검정'!$B$5:$B$19=C13)*'05B_가정검정'!$E$5:$E$19))</f>
        <v>3.1669188154809125E-2</v>
      </c>
      <c r="AB13" s="20">
        <f t="shared" si="10"/>
        <v>3.5886509741374528E-2</v>
      </c>
    </row>
    <row r="14" spans="1:28">
      <c r="A14" s="15" t="s">
        <v>115</v>
      </c>
      <c r="B14" s="15" t="s">
        <v>123</v>
      </c>
      <c r="C14" s="15" t="s">
        <v>117</v>
      </c>
      <c r="D14" s="16">
        <v>0.30303030303030298</v>
      </c>
      <c r="E14" s="16">
        <v>0.35059760956175301</v>
      </c>
      <c r="F14" s="16">
        <v>0.120481927710843</v>
      </c>
      <c r="G14" s="16">
        <v>0.23904382470119501</v>
      </c>
      <c r="H14" s="16">
        <v>0.32515675407977501</v>
      </c>
      <c r="I14" s="16">
        <v>0.24974747862045599</v>
      </c>
      <c r="J14" s="16">
        <v>0.71563852124292304</v>
      </c>
      <c r="K14" s="16">
        <v>0.64526002620275702</v>
      </c>
      <c r="L14" s="16">
        <v>0.85222012284397697</v>
      </c>
      <c r="M14" s="16">
        <v>0.90654205607476601</v>
      </c>
      <c r="N14" s="16">
        <v>0.91666666666666696</v>
      </c>
      <c r="O14" s="16">
        <v>1</v>
      </c>
      <c r="P14" s="17">
        <f t="shared" si="0"/>
        <v>0.26467631628405419</v>
      </c>
      <c r="Q14" s="17">
        <f t="shared" si="1"/>
        <v>0.73770622342988579</v>
      </c>
      <c r="R14" s="17">
        <f t="shared" si="2"/>
        <v>0.94106957424714432</v>
      </c>
      <c r="S14" s="17">
        <f>'02_지표정의'!$C$22*P14+'02_지표정의'!$C$23*Q14+'02_지표정의'!$C$24*R14</f>
        <v>0.71427741478675988</v>
      </c>
      <c r="T14" s="5">
        <f t="shared" si="3"/>
        <v>0</v>
      </c>
      <c r="U14" s="5" t="str">
        <f t="shared" si="4"/>
        <v>특허</v>
      </c>
      <c r="V14" s="18">
        <f t="shared" si="5"/>
        <v>858</v>
      </c>
      <c r="W14" s="5">
        <f t="shared" si="6"/>
        <v>571</v>
      </c>
      <c r="X14" s="5">
        <f t="shared" si="7"/>
        <v>533</v>
      </c>
      <c r="Y14" s="5">
        <f t="shared" si="8"/>
        <v>0</v>
      </c>
      <c r="Z14" s="19">
        <f t="shared" si="9"/>
        <v>32</v>
      </c>
      <c r="AA14" s="20">
        <f>ABS(S14-SUMPRODUCT(('05B_가정검정'!$A$5:$A$19=B14)*('05B_가정검정'!$B$5:$B$19=C14)*'05B_가정검정'!$E$5:$E$19))</f>
        <v>6.4546798946385486E-4</v>
      </c>
      <c r="AB14" s="20">
        <f t="shared" si="10"/>
        <v>6.2919629755167072E-3</v>
      </c>
    </row>
    <row r="15" spans="1:28">
      <c r="A15" s="15" t="s">
        <v>115</v>
      </c>
      <c r="B15" s="15" t="s">
        <v>123</v>
      </c>
      <c r="C15" s="15" t="s">
        <v>118</v>
      </c>
      <c r="D15" s="16">
        <v>0.30062111801242197</v>
      </c>
      <c r="E15" s="16">
        <v>0.30463576158940397</v>
      </c>
      <c r="F15" s="16">
        <v>0.12666666666666701</v>
      </c>
      <c r="G15" s="16">
        <v>0.23841059602649001</v>
      </c>
      <c r="H15" s="16">
        <v>0.205800854189577</v>
      </c>
      <c r="I15" s="16">
        <v>0.239361197064583</v>
      </c>
      <c r="J15" s="16">
        <v>0.70776396935543795</v>
      </c>
      <c r="K15" s="16">
        <v>0.67562807213937603</v>
      </c>
      <c r="L15" s="16">
        <v>0.81899877657635001</v>
      </c>
      <c r="M15" s="16">
        <v>0.34767025089605702</v>
      </c>
      <c r="N15" s="16">
        <v>0.42635658914728702</v>
      </c>
      <c r="O15" s="16">
        <v>1</v>
      </c>
      <c r="P15" s="17">
        <f t="shared" si="0"/>
        <v>0.23591603225819049</v>
      </c>
      <c r="Q15" s="17">
        <f t="shared" si="1"/>
        <v>0.734130272690388</v>
      </c>
      <c r="R15" s="17">
        <f t="shared" si="2"/>
        <v>0.591342280014448</v>
      </c>
      <c r="S15" s="17">
        <f>'02_지표정의'!$C$22*P15+'02_지표정의'!$C$23*Q15+'02_지표정의'!$C$24*R15</f>
        <v>0.58451162716736949</v>
      </c>
      <c r="T15" s="5">
        <f t="shared" si="3"/>
        <v>0</v>
      </c>
      <c r="U15" s="5" t="str">
        <f t="shared" si="4"/>
        <v>특허</v>
      </c>
      <c r="V15" s="18">
        <f t="shared" si="5"/>
        <v>334</v>
      </c>
      <c r="W15" s="5">
        <f t="shared" si="6"/>
        <v>273</v>
      </c>
      <c r="X15" s="5">
        <f t="shared" si="7"/>
        <v>0</v>
      </c>
      <c r="Y15" s="5">
        <f t="shared" si="8"/>
        <v>252</v>
      </c>
      <c r="Z15" s="19">
        <f t="shared" si="9"/>
        <v>37</v>
      </c>
      <c r="AA15" s="20">
        <f>ABS(S15-SUMPRODUCT(('05B_가정검정'!$A$5:$A$19=B15)*('05B_가정검정'!$B$5:$B$19=C15)*'05B_가정검정'!$E$5:$E$19))</f>
        <v>9.2128002883997695E-3</v>
      </c>
      <c r="AB15" s="20">
        <f t="shared" si="10"/>
        <v>2.4640019242878397E-2</v>
      </c>
    </row>
    <row r="16" spans="1:28">
      <c r="A16" s="15" t="s">
        <v>115</v>
      </c>
      <c r="B16" s="15" t="s">
        <v>123</v>
      </c>
      <c r="C16" s="15" t="s">
        <v>119</v>
      </c>
      <c r="D16" s="16">
        <v>0.29452054794520599</v>
      </c>
      <c r="E16" s="16">
        <v>0.504201680672269</v>
      </c>
      <c r="F16" s="16">
        <v>0.14406779661017</v>
      </c>
      <c r="G16" s="16">
        <v>0.310924369747899</v>
      </c>
      <c r="H16" s="16">
        <v>0.28516826078611801</v>
      </c>
      <c r="I16" s="16">
        <v>0.35569544906302503</v>
      </c>
      <c r="J16" s="16">
        <v>0.71183433098299198</v>
      </c>
      <c r="K16" s="16">
        <v>0.61987887788302498</v>
      </c>
      <c r="L16" s="16">
        <v>0.83187361812693295</v>
      </c>
      <c r="M16" s="16">
        <v>0.57396449704142005</v>
      </c>
      <c r="N16" s="16">
        <v>0.53921568627451</v>
      </c>
      <c r="O16" s="16">
        <v>1</v>
      </c>
      <c r="P16" s="17">
        <f t="shared" si="0"/>
        <v>0.31576301747078117</v>
      </c>
      <c r="Q16" s="17">
        <f t="shared" si="1"/>
        <v>0.72119560899765001</v>
      </c>
      <c r="R16" s="17">
        <f t="shared" si="2"/>
        <v>0.70439339443864346</v>
      </c>
      <c r="S16" s="17">
        <f>'02_지표정의'!$C$22*P16+'02_지표정의'!$C$23*Q16+'02_지표정의'!$C$24*R16</f>
        <v>0.63422831559662396</v>
      </c>
      <c r="T16" s="5">
        <f t="shared" si="3"/>
        <v>1</v>
      </c>
      <c r="U16" s="5" t="str">
        <f t="shared" si="4"/>
        <v>특허</v>
      </c>
      <c r="V16" s="18">
        <f t="shared" si="5"/>
        <v>548</v>
      </c>
      <c r="W16" s="5">
        <f t="shared" si="6"/>
        <v>0</v>
      </c>
      <c r="X16" s="5">
        <f t="shared" si="7"/>
        <v>251</v>
      </c>
      <c r="Y16" s="5">
        <f t="shared" si="8"/>
        <v>413</v>
      </c>
      <c r="Z16" s="19">
        <f t="shared" si="9"/>
        <v>7</v>
      </c>
      <c r="AA16" s="20">
        <f>ABS(S16-SUMPRODUCT(('05B_가정검정'!$A$5:$A$19=B16)*('05B_가정검정'!$B$5:$B$19=C16)*'05B_가정검정'!$E$5:$E$19))</f>
        <v>5.1401481727603393E-2</v>
      </c>
      <c r="AB16" s="20">
        <f t="shared" si="10"/>
        <v>-4.819041744837782E-2</v>
      </c>
    </row>
    <row r="17" spans="1:28">
      <c r="A17" s="15" t="s">
        <v>124</v>
      </c>
      <c r="B17" s="15" t="s">
        <v>116</v>
      </c>
      <c r="C17" s="15" t="s">
        <v>117</v>
      </c>
      <c r="D17" s="16">
        <v>0.23774145616641901</v>
      </c>
      <c r="E17" s="16">
        <v>0.29702970297029702</v>
      </c>
      <c r="F17" s="16">
        <v>0.11</v>
      </c>
      <c r="G17" s="16">
        <v>0.25742574257425699</v>
      </c>
      <c r="H17" s="16">
        <v>0.208572230625021</v>
      </c>
      <c r="I17" s="16">
        <v>0.28985473278305401</v>
      </c>
      <c r="J17" s="16">
        <v>0.67850488593165104</v>
      </c>
      <c r="K17" s="16">
        <v>0.618927114101258</v>
      </c>
      <c r="L17" s="16">
        <v>0.79708294259564205</v>
      </c>
      <c r="M17" s="16">
        <v>0.43589743589743601</v>
      </c>
      <c r="N17" s="16">
        <v>0.18269230769230799</v>
      </c>
      <c r="O17" s="16">
        <v>1</v>
      </c>
      <c r="P17" s="17">
        <f t="shared" si="0"/>
        <v>0.23343731085317468</v>
      </c>
      <c r="Q17" s="17">
        <f t="shared" si="1"/>
        <v>0.69817164754285033</v>
      </c>
      <c r="R17" s="17">
        <f t="shared" si="2"/>
        <v>0.53952991452991472</v>
      </c>
      <c r="S17" s="17">
        <f>'02_지표정의'!$C$22*P17+'02_지표정의'!$C$23*Q17+'02_지표정의'!$C$24*R17</f>
        <v>0.5497001736503877</v>
      </c>
      <c r="T17" s="5">
        <f t="shared" si="3"/>
        <v>0</v>
      </c>
      <c r="U17" s="5" t="str">
        <f t="shared" si="4"/>
        <v>특허</v>
      </c>
      <c r="V17" s="18">
        <f t="shared" si="5"/>
        <v>206</v>
      </c>
      <c r="W17" s="5">
        <f t="shared" si="6"/>
        <v>170</v>
      </c>
      <c r="X17" s="5">
        <f t="shared" si="7"/>
        <v>64</v>
      </c>
      <c r="Y17" s="5">
        <f t="shared" si="8"/>
        <v>0</v>
      </c>
      <c r="Z17" s="19">
        <f t="shared" si="9"/>
        <v>23</v>
      </c>
      <c r="AA17" s="20">
        <f>ABS(S17-SUMPRODUCT(('05B_가정검정'!$A$5:$A$19=B17)*('05B_가정검정'!$B$5:$B$19=C17)*'05B_가정검정'!$E$5:$E$19))</f>
        <v>7.703531334579572E-3</v>
      </c>
      <c r="AB17" s="20">
        <f t="shared" si="10"/>
        <v>-2.8509917622356884E-3</v>
      </c>
    </row>
    <row r="18" spans="1:28">
      <c r="A18" s="15" t="s">
        <v>124</v>
      </c>
      <c r="B18" s="15" t="s">
        <v>116</v>
      </c>
      <c r="C18" s="15" t="s">
        <v>118</v>
      </c>
      <c r="D18" s="16">
        <v>0.22903225806451599</v>
      </c>
      <c r="E18" s="16">
        <v>0.197879858657244</v>
      </c>
      <c r="F18" s="16">
        <v>8.5409252669039204E-2</v>
      </c>
      <c r="G18" s="16">
        <v>0.18374558303886901</v>
      </c>
      <c r="H18" s="16">
        <v>0.140958327997491</v>
      </c>
      <c r="I18" s="16">
        <v>0.19253242343903401</v>
      </c>
      <c r="J18" s="16">
        <v>0.66786831336665198</v>
      </c>
      <c r="K18" s="16">
        <v>0.65543573360097196</v>
      </c>
      <c r="L18" s="16">
        <v>0.81343550515659802</v>
      </c>
      <c r="M18" s="16">
        <v>0.42388059701492498</v>
      </c>
      <c r="N18" s="16">
        <v>0</v>
      </c>
      <c r="O18" s="16">
        <v>0.64473684210526305</v>
      </c>
      <c r="P18" s="17">
        <f t="shared" si="0"/>
        <v>0.17159295064436553</v>
      </c>
      <c r="Q18" s="17">
        <f t="shared" si="1"/>
        <v>0.71224651737474065</v>
      </c>
      <c r="R18" s="17">
        <f t="shared" si="2"/>
        <v>0.35620581304006266</v>
      </c>
      <c r="S18" s="17">
        <f>'02_지표정의'!$C$22*P18+'02_지표정의'!$C$23*Q18+'02_지표정의'!$C$24*R18</f>
        <v>0.47950155751152834</v>
      </c>
      <c r="T18" s="5">
        <f t="shared" si="3"/>
        <v>0</v>
      </c>
      <c r="U18" s="5" t="str">
        <f t="shared" si="4"/>
        <v>특허</v>
      </c>
      <c r="V18" s="18">
        <f t="shared" si="5"/>
        <v>16</v>
      </c>
      <c r="W18" s="5">
        <f t="shared" si="6"/>
        <v>10</v>
      </c>
      <c r="X18" s="5">
        <f t="shared" si="7"/>
        <v>0</v>
      </c>
      <c r="Y18" s="5">
        <f t="shared" si="8"/>
        <v>15</v>
      </c>
      <c r="Z18" s="19">
        <f t="shared" si="9"/>
        <v>7</v>
      </c>
      <c r="AA18" s="20">
        <f>ABS(S18-SUMPRODUCT(('05B_가정검정'!$A$5:$A$19=B18)*('05B_가정검정'!$B$5:$B$19=C18)*'05B_가정검정'!$E$5:$E$19))</f>
        <v>5.1790864190193298E-2</v>
      </c>
      <c r="AB18" s="20">
        <f t="shared" si="10"/>
        <v>-4.804747486705796E-2</v>
      </c>
    </row>
    <row r="19" spans="1:28">
      <c r="A19" s="15" t="s">
        <v>124</v>
      </c>
      <c r="B19" s="15" t="s">
        <v>116</v>
      </c>
      <c r="C19" s="15" t="s">
        <v>119</v>
      </c>
      <c r="D19" s="16">
        <v>0.294303797468354</v>
      </c>
      <c r="E19" s="16">
        <v>0.46222222222222198</v>
      </c>
      <c r="F19" s="16">
        <v>0.116591928251121</v>
      </c>
      <c r="G19" s="16">
        <v>0.34666666666666701</v>
      </c>
      <c r="H19" s="16">
        <v>0.223850609040323</v>
      </c>
      <c r="I19" s="16">
        <v>0.52532687685679103</v>
      </c>
      <c r="J19" s="16">
        <v>0.66146968802525197</v>
      </c>
      <c r="K19" s="16">
        <v>0.58614981122362497</v>
      </c>
      <c r="L19" s="16">
        <v>0.78991502296859495</v>
      </c>
      <c r="M19" s="16">
        <v>0.502564102564103</v>
      </c>
      <c r="N19" s="16">
        <v>0</v>
      </c>
      <c r="O19" s="16">
        <v>1</v>
      </c>
      <c r="P19" s="17">
        <f t="shared" si="0"/>
        <v>0.32816035008424632</v>
      </c>
      <c r="Q19" s="17">
        <f t="shared" si="1"/>
        <v>0.67917817407249059</v>
      </c>
      <c r="R19" s="17">
        <f t="shared" si="2"/>
        <v>0.50085470085470096</v>
      </c>
      <c r="S19" s="17">
        <f>'02_지표정의'!$C$22*P19+'02_지표정의'!$C$23*Q19+'02_지표정의'!$C$24*R19</f>
        <v>0.54656139364861545</v>
      </c>
      <c r="T19" s="5">
        <f t="shared" si="3"/>
        <v>0</v>
      </c>
      <c r="U19" s="5" t="str">
        <f t="shared" si="4"/>
        <v>특허</v>
      </c>
      <c r="V19" s="18">
        <f t="shared" si="5"/>
        <v>192</v>
      </c>
      <c r="W19" s="5">
        <f t="shared" si="6"/>
        <v>0</v>
      </c>
      <c r="X19" s="5">
        <f t="shared" si="7"/>
        <v>57</v>
      </c>
      <c r="Y19" s="5">
        <f t="shared" si="8"/>
        <v>167</v>
      </c>
      <c r="Z19" s="19">
        <f t="shared" si="9"/>
        <v>26</v>
      </c>
      <c r="AA19" s="20">
        <f>ABS(S19-SUMPRODUCT(('05B_가정검정'!$A$5:$A$19=B19)*('05B_가정검정'!$B$5:$B$19=C19)*'05B_가정검정'!$E$5:$E$19))</f>
        <v>6.4621230941671604E-3</v>
      </c>
      <c r="AB19" s="20">
        <f t="shared" si="10"/>
        <v>-9.8910900275646085E-3</v>
      </c>
    </row>
    <row r="20" spans="1:28">
      <c r="A20" s="15" t="s">
        <v>124</v>
      </c>
      <c r="B20" s="15" t="s">
        <v>120</v>
      </c>
      <c r="C20" s="15" t="s">
        <v>117</v>
      </c>
      <c r="D20" s="16">
        <v>0.25794392523364501</v>
      </c>
      <c r="E20" s="16">
        <v>0.29315960912052103</v>
      </c>
      <c r="F20" s="16">
        <v>9.8360655737704902E-2</v>
      </c>
      <c r="G20" s="16">
        <v>0.18892508143322501</v>
      </c>
      <c r="H20" s="16">
        <v>0.31243447467513602</v>
      </c>
      <c r="I20" s="16">
        <v>0.26642267644989998</v>
      </c>
      <c r="J20" s="16">
        <v>0.69715425544947696</v>
      </c>
      <c r="K20" s="16">
        <v>0.68096656703462499</v>
      </c>
      <c r="L20" s="16">
        <v>0.85999722640461396</v>
      </c>
      <c r="M20" s="16">
        <v>0.64583333333333304</v>
      </c>
      <c r="N20" s="16">
        <v>0.58333333333333304</v>
      </c>
      <c r="O20" s="16">
        <v>1</v>
      </c>
      <c r="P20" s="17">
        <f t="shared" si="0"/>
        <v>0.23620773710835533</v>
      </c>
      <c r="Q20" s="17">
        <f t="shared" si="1"/>
        <v>0.74603934962957197</v>
      </c>
      <c r="R20" s="17">
        <f t="shared" si="2"/>
        <v>0.74305555555555536</v>
      </c>
      <c r="S20" s="17">
        <f>'02_지표정의'!$C$22*P20+'02_지표정의'!$C$23*Q20+'02_지표정의'!$C$24*R20</f>
        <v>0.64302869919942285</v>
      </c>
      <c r="T20" s="5">
        <f t="shared" si="3"/>
        <v>0</v>
      </c>
      <c r="U20" s="5" t="str">
        <f t="shared" si="4"/>
        <v>특허</v>
      </c>
      <c r="V20" s="18">
        <f t="shared" si="5"/>
        <v>587</v>
      </c>
      <c r="W20" s="5">
        <f t="shared" si="6"/>
        <v>456</v>
      </c>
      <c r="X20" s="5">
        <f t="shared" si="7"/>
        <v>279</v>
      </c>
      <c r="Y20" s="5">
        <f t="shared" si="8"/>
        <v>0</v>
      </c>
      <c r="Z20" s="19">
        <f t="shared" si="9"/>
        <v>48</v>
      </c>
      <c r="AA20" s="20">
        <f>ABS(S20-SUMPRODUCT(('05B_가정검정'!$A$5:$A$19=B20)*('05B_가정검정'!$B$5:$B$19=C20)*'05B_가정검정'!$E$5:$E$19))</f>
        <v>1.4979739142301773E-2</v>
      </c>
      <c r="AB20" s="20">
        <f t="shared" si="10"/>
        <v>1.172599577466571E-2</v>
      </c>
    </row>
    <row r="21" spans="1:28">
      <c r="A21" s="15" t="s">
        <v>124</v>
      </c>
      <c r="B21" s="15" t="s">
        <v>120</v>
      </c>
      <c r="C21" s="15" t="s">
        <v>118</v>
      </c>
      <c r="D21" s="16">
        <v>0.26352015732546702</v>
      </c>
      <c r="E21" s="16">
        <v>0.25257731958762902</v>
      </c>
      <c r="F21" s="16">
        <v>7.7720207253885995E-2</v>
      </c>
      <c r="G21" s="16">
        <v>0.19587628865979401</v>
      </c>
      <c r="H21" s="16">
        <v>0.26901855363011501</v>
      </c>
      <c r="I21" s="16">
        <v>0.19603430853485901</v>
      </c>
      <c r="J21" s="16">
        <v>0.70556490160795304</v>
      </c>
      <c r="K21" s="16">
        <v>0.66558124522024698</v>
      </c>
      <c r="L21" s="16">
        <v>0.83737830971858296</v>
      </c>
      <c r="M21" s="16">
        <v>0.42388059701492498</v>
      </c>
      <c r="N21" s="16">
        <v>0.30379746835443</v>
      </c>
      <c r="O21" s="16">
        <v>0.65263157894736901</v>
      </c>
      <c r="P21" s="17">
        <f t="shared" si="0"/>
        <v>0.20912447249862501</v>
      </c>
      <c r="Q21" s="17">
        <f t="shared" si="1"/>
        <v>0.73617481884892777</v>
      </c>
      <c r="R21" s="17">
        <f t="shared" si="2"/>
        <v>0.46010321477224131</v>
      </c>
      <c r="S21" s="17">
        <f>'02_지표정의'!$C$22*P21+'02_지표정의'!$C$23*Q21+'02_지표정의'!$C$24*R21</f>
        <v>0.53413968815202695</v>
      </c>
      <c r="T21" s="5">
        <f t="shared" si="3"/>
        <v>0</v>
      </c>
      <c r="U21" s="5" t="str">
        <f t="shared" si="4"/>
        <v>특허</v>
      </c>
      <c r="V21" s="18">
        <f t="shared" si="5"/>
        <v>149</v>
      </c>
      <c r="W21" s="5">
        <f t="shared" si="6"/>
        <v>134</v>
      </c>
      <c r="X21" s="5">
        <f t="shared" si="7"/>
        <v>0</v>
      </c>
      <c r="Y21" s="5">
        <f t="shared" si="8"/>
        <v>135</v>
      </c>
      <c r="Z21" s="19">
        <f t="shared" si="9"/>
        <v>24</v>
      </c>
      <c r="AA21" s="20">
        <f>ABS(S21-SUMPRODUCT(('05B_가정검정'!$A$5:$A$19=B21)*('05B_가정검정'!$B$5:$B$19=C21)*'05B_가정검정'!$E$5:$E$19))</f>
        <v>5.6689160429601038E-2</v>
      </c>
      <c r="AB21" s="20">
        <f t="shared" si="10"/>
        <v>-4.0751087810083853E-2</v>
      </c>
    </row>
    <row r="22" spans="1:28">
      <c r="A22" s="15" t="s">
        <v>124</v>
      </c>
      <c r="B22" s="15" t="s">
        <v>120</v>
      </c>
      <c r="C22" s="15" t="s">
        <v>119</v>
      </c>
      <c r="D22" s="16">
        <v>0.28182701652089398</v>
      </c>
      <c r="E22" s="16">
        <v>0.43636363636363601</v>
      </c>
      <c r="F22" s="16">
        <v>0.14024390243902399</v>
      </c>
      <c r="G22" s="16">
        <v>0.28484848484848502</v>
      </c>
      <c r="H22" s="16">
        <v>0.34763590099747599</v>
      </c>
      <c r="I22" s="16">
        <v>0.45857090632896103</v>
      </c>
      <c r="J22" s="16">
        <v>0.72234113729180105</v>
      </c>
      <c r="K22" s="16">
        <v>0.66949631692649703</v>
      </c>
      <c r="L22" s="16">
        <v>0.847507250447607</v>
      </c>
      <c r="M22" s="16">
        <v>0.69101123595505598</v>
      </c>
      <c r="N22" s="16">
        <v>0.6875</v>
      </c>
      <c r="O22" s="16">
        <v>1</v>
      </c>
      <c r="P22" s="17">
        <f t="shared" si="0"/>
        <v>0.32491497458307933</v>
      </c>
      <c r="Q22" s="17">
        <f t="shared" si="1"/>
        <v>0.7464482348886351</v>
      </c>
      <c r="R22" s="17">
        <f t="shared" si="2"/>
        <v>0.79283707865168529</v>
      </c>
      <c r="S22" s="17">
        <f>'02_지표정의'!$C$22*P22+'02_지표정의'!$C$23*Q22+'02_지표정의'!$C$24*R22</f>
        <v>0.67837767814459149</v>
      </c>
      <c r="T22" s="5">
        <f t="shared" si="3"/>
        <v>0</v>
      </c>
      <c r="U22" s="5" t="str">
        <f t="shared" si="4"/>
        <v>특허</v>
      </c>
      <c r="V22" s="18">
        <f t="shared" si="5"/>
        <v>753</v>
      </c>
      <c r="W22" s="5">
        <f t="shared" si="6"/>
        <v>0</v>
      </c>
      <c r="X22" s="5">
        <f t="shared" si="7"/>
        <v>430</v>
      </c>
      <c r="Y22" s="5">
        <f t="shared" si="8"/>
        <v>546</v>
      </c>
      <c r="Z22" s="19">
        <f t="shared" si="9"/>
        <v>46</v>
      </c>
      <c r="AA22" s="20">
        <f>ABS(S22-SUMPRODUCT(('05B_가정검정'!$A$5:$A$19=B22)*('05B_가정검정'!$B$5:$B$19=C22)*'05B_가정검정'!$E$5:$E$19))</f>
        <v>1.4700361663205208E-2</v>
      </c>
      <c r="AB22" s="20">
        <f t="shared" si="10"/>
        <v>1.9954670633775873E-2</v>
      </c>
    </row>
    <row r="23" spans="1:28">
      <c r="A23" s="15" t="s">
        <v>124</v>
      </c>
      <c r="B23" s="15" t="s">
        <v>121</v>
      </c>
      <c r="C23" s="15" t="s">
        <v>117</v>
      </c>
      <c r="D23" s="16">
        <v>0.24836601307189499</v>
      </c>
      <c r="E23" s="16">
        <v>0.28431372549019601</v>
      </c>
      <c r="F23" s="16">
        <v>0.10891089108910899</v>
      </c>
      <c r="G23" s="16">
        <v>0.23529411764705899</v>
      </c>
      <c r="H23" s="16">
        <v>0.28989749170233797</v>
      </c>
      <c r="I23" s="16">
        <v>0.20628018614664401</v>
      </c>
      <c r="J23" s="16">
        <v>0.74588273306076702</v>
      </c>
      <c r="K23" s="16">
        <v>0.80038207563305797</v>
      </c>
      <c r="L23" s="16">
        <v>0.90793041375649597</v>
      </c>
      <c r="M23" s="16">
        <v>0.90654205607476601</v>
      </c>
      <c r="N23" s="16">
        <v>0.91666666666666696</v>
      </c>
      <c r="O23" s="16">
        <v>1</v>
      </c>
      <c r="P23" s="17">
        <f t="shared" si="0"/>
        <v>0.22884373752454015</v>
      </c>
      <c r="Q23" s="17">
        <f t="shared" si="1"/>
        <v>0.8180650741501071</v>
      </c>
      <c r="R23" s="17">
        <f t="shared" si="2"/>
        <v>0.94106957424714432</v>
      </c>
      <c r="S23" s="17">
        <f>'02_지표정의'!$C$22*P23+'02_지표정의'!$C$23*Q23+'02_지표정의'!$C$24*R23</f>
        <v>0.74327238185895672</v>
      </c>
      <c r="T23" s="5">
        <f t="shared" si="3"/>
        <v>1</v>
      </c>
      <c r="U23" s="5" t="str">
        <f t="shared" si="4"/>
        <v>특허</v>
      </c>
      <c r="V23" s="18">
        <f t="shared" si="5"/>
        <v>938</v>
      </c>
      <c r="W23" s="5">
        <f t="shared" si="6"/>
        <v>638</v>
      </c>
      <c r="X23" s="5">
        <f t="shared" si="7"/>
        <v>613</v>
      </c>
      <c r="Y23" s="5">
        <f t="shared" si="8"/>
        <v>0</v>
      </c>
      <c r="Z23" s="19">
        <f t="shared" si="9"/>
        <v>54</v>
      </c>
      <c r="AA23" s="20">
        <f>ABS(S23-SUMPRODUCT(('05B_가정검정'!$A$5:$A$19=B23)*('05B_가정검정'!$B$5:$B$19=C23)*'05B_가정검정'!$E$5:$E$19))</f>
        <v>1.3840310477075568E-2</v>
      </c>
      <c r="AB23" s="20">
        <f t="shared" si="10"/>
        <v>2.562058878607576E-2</v>
      </c>
    </row>
    <row r="24" spans="1:28">
      <c r="A24" s="15" t="s">
        <v>124</v>
      </c>
      <c r="B24" s="15" t="s">
        <v>121</v>
      </c>
      <c r="C24" s="15" t="s">
        <v>118</v>
      </c>
      <c r="D24" s="16">
        <v>0.25280898876404501</v>
      </c>
      <c r="E24" s="16">
        <v>0.18947368421052599</v>
      </c>
      <c r="F24" s="16">
        <v>7.0671378091872794E-2</v>
      </c>
      <c r="G24" s="16">
        <v>0.16140350877192999</v>
      </c>
      <c r="H24" s="16">
        <v>0.193213332710094</v>
      </c>
      <c r="I24" s="16">
        <v>0.171567007124102</v>
      </c>
      <c r="J24" s="16">
        <v>0.74418382375388203</v>
      </c>
      <c r="K24" s="16">
        <v>0.76174372832704695</v>
      </c>
      <c r="L24" s="16">
        <v>0.88448868543037595</v>
      </c>
      <c r="M24" s="16">
        <v>0.28955223880596997</v>
      </c>
      <c r="N24" s="16">
        <v>0.272151898734177</v>
      </c>
      <c r="O24" s="16">
        <v>0.64473684210526305</v>
      </c>
      <c r="P24" s="17">
        <f t="shared" si="0"/>
        <v>0.17318964994542832</v>
      </c>
      <c r="Q24" s="17">
        <f t="shared" si="1"/>
        <v>0.79680541250376835</v>
      </c>
      <c r="R24" s="17">
        <f t="shared" si="2"/>
        <v>0.40214699321513669</v>
      </c>
      <c r="S24" s="17">
        <f>'02_지표정의'!$C$22*P24+'02_지표정의'!$C$23*Q24+'02_지표정의'!$C$24*R24</f>
        <v>0.53395181324107921</v>
      </c>
      <c r="T24" s="5">
        <f t="shared" si="3"/>
        <v>0</v>
      </c>
      <c r="U24" s="5" t="str">
        <f t="shared" si="4"/>
        <v>특허</v>
      </c>
      <c r="V24" s="18">
        <f t="shared" si="5"/>
        <v>148</v>
      </c>
      <c r="W24" s="5">
        <f t="shared" si="6"/>
        <v>133</v>
      </c>
      <c r="X24" s="5">
        <f t="shared" si="7"/>
        <v>0</v>
      </c>
      <c r="Y24" s="5">
        <f t="shared" si="8"/>
        <v>134</v>
      </c>
      <c r="Z24" s="19">
        <f t="shared" si="9"/>
        <v>17</v>
      </c>
      <c r="AA24" s="20">
        <f>ABS(S24-SUMPRODUCT(('05B_가정검정'!$A$5:$A$19=B24)*('05B_가정검정'!$B$5:$B$19=C24)*'05B_가정검정'!$E$5:$E$19))</f>
        <v>6.4627676925889221E-2</v>
      </c>
      <c r="AB24" s="20">
        <f t="shared" si="10"/>
        <v>-4.5447261285734064E-2</v>
      </c>
    </row>
    <row r="25" spans="1:28">
      <c r="A25" s="15" t="s">
        <v>124</v>
      </c>
      <c r="B25" s="15" t="s">
        <v>121</v>
      </c>
      <c r="C25" s="15" t="s">
        <v>119</v>
      </c>
      <c r="D25" s="16">
        <v>0.25966850828729299</v>
      </c>
      <c r="E25" s="16">
        <v>0.37885462555066102</v>
      </c>
      <c r="F25" s="16">
        <v>0.16</v>
      </c>
      <c r="G25" s="16">
        <v>0.27312775330396499</v>
      </c>
      <c r="H25" s="16">
        <v>0.27790384129236201</v>
      </c>
      <c r="I25" s="16">
        <v>0.34598071097845101</v>
      </c>
      <c r="J25" s="16">
        <v>0.75543073627754698</v>
      </c>
      <c r="K25" s="16">
        <v>0.76414713384676303</v>
      </c>
      <c r="L25" s="16">
        <v>0.88967320029002295</v>
      </c>
      <c r="M25" s="16">
        <v>0.54494382022471899</v>
      </c>
      <c r="N25" s="16">
        <v>0.57291666666666696</v>
      </c>
      <c r="O25" s="16">
        <v>1</v>
      </c>
      <c r="P25" s="17">
        <f t="shared" si="0"/>
        <v>0.28258923990212198</v>
      </c>
      <c r="Q25" s="17">
        <f t="shared" si="1"/>
        <v>0.80308369013811098</v>
      </c>
      <c r="R25" s="17">
        <f t="shared" si="2"/>
        <v>0.70595349563046206</v>
      </c>
      <c r="S25" s="17">
        <f>'02_지표정의'!$C$22*P25+'02_지표정의'!$C$23*Q25+'02_지표정의'!$C$24*R25</f>
        <v>0.66498923201323601</v>
      </c>
      <c r="T25" s="5">
        <f t="shared" si="3"/>
        <v>0</v>
      </c>
      <c r="U25" s="5" t="str">
        <f t="shared" si="4"/>
        <v>특허</v>
      </c>
      <c r="V25" s="18">
        <f t="shared" si="5"/>
        <v>692</v>
      </c>
      <c r="W25" s="5">
        <f t="shared" si="6"/>
        <v>0</v>
      </c>
      <c r="X25" s="5">
        <f t="shared" si="7"/>
        <v>373</v>
      </c>
      <c r="Y25" s="5">
        <f t="shared" si="8"/>
        <v>509</v>
      </c>
      <c r="Z25" s="19">
        <f t="shared" si="9"/>
        <v>20</v>
      </c>
      <c r="AA25" s="20">
        <f>ABS(S25-SUMPRODUCT(('05B_가정검정'!$A$5:$A$19=B25)*('05B_가정검정'!$B$5:$B$19=C25)*'05B_가정검정'!$E$5:$E$19))</f>
        <v>2.733061078261767E-2</v>
      </c>
      <c r="AB25" s="20">
        <f t="shared" si="10"/>
        <v>-2.3247743406375032E-2</v>
      </c>
    </row>
    <row r="26" spans="1:28">
      <c r="A26" s="15" t="s">
        <v>124</v>
      </c>
      <c r="B26" s="15" t="s">
        <v>122</v>
      </c>
      <c r="C26" s="15" t="s">
        <v>117</v>
      </c>
      <c r="D26" s="16">
        <v>0.29432213209733499</v>
      </c>
      <c r="E26" s="16">
        <v>0.36641221374045801</v>
      </c>
      <c r="F26" s="16">
        <v>9.2307692307692299E-2</v>
      </c>
      <c r="G26" s="16">
        <v>0.25190839694656503</v>
      </c>
      <c r="H26" s="16">
        <v>0.36903987331894</v>
      </c>
      <c r="I26" s="16">
        <v>0.30451286115019999</v>
      </c>
      <c r="J26" s="16">
        <v>0.71860399374042805</v>
      </c>
      <c r="K26" s="16">
        <v>0.713042491905575</v>
      </c>
      <c r="L26" s="16">
        <v>0.86643263042561502</v>
      </c>
      <c r="M26" s="16">
        <v>0.48633879781420802</v>
      </c>
      <c r="N26" s="16">
        <v>0.53260869565217395</v>
      </c>
      <c r="O26" s="16">
        <v>1</v>
      </c>
      <c r="P26" s="17">
        <f t="shared" si="0"/>
        <v>0.27975052826019836</v>
      </c>
      <c r="Q26" s="17">
        <f t="shared" si="1"/>
        <v>0.76602637202387269</v>
      </c>
      <c r="R26" s="17">
        <f t="shared" si="2"/>
        <v>0.67298249782212738</v>
      </c>
      <c r="S26" s="17">
        <f>'02_지표정의'!$C$22*P26+'02_지표정의'!$C$23*Q26+'02_지표정의'!$C$24*R26</f>
        <v>0.63620584730052698</v>
      </c>
      <c r="T26" s="5">
        <f t="shared" si="3"/>
        <v>0</v>
      </c>
      <c r="U26" s="5" t="str">
        <f t="shared" si="4"/>
        <v>특허</v>
      </c>
      <c r="V26" s="18">
        <f t="shared" si="5"/>
        <v>566</v>
      </c>
      <c r="W26" s="5">
        <f t="shared" si="6"/>
        <v>441</v>
      </c>
      <c r="X26" s="5">
        <f t="shared" si="7"/>
        <v>264</v>
      </c>
      <c r="Y26" s="5">
        <f t="shared" si="8"/>
        <v>0</v>
      </c>
      <c r="Z26" s="19">
        <f t="shared" si="9"/>
        <v>32</v>
      </c>
      <c r="AA26" s="20">
        <f>ABS(S26-SUMPRODUCT(('05B_가정검정'!$A$5:$A$19=B26)*('05B_가정검정'!$B$5:$B$19=C26)*'05B_가정검정'!$E$5:$E$19))</f>
        <v>3.1471074081514949E-3</v>
      </c>
      <c r="AB26" s="20">
        <f t="shared" si="10"/>
        <v>1.3324225110880827E-2</v>
      </c>
    </row>
    <row r="27" spans="1:28">
      <c r="A27" s="15" t="s">
        <v>124</v>
      </c>
      <c r="B27" s="15" t="s">
        <v>122</v>
      </c>
      <c r="C27" s="15" t="s">
        <v>118</v>
      </c>
      <c r="D27" s="16">
        <v>0.30617283950617302</v>
      </c>
      <c r="E27" s="16">
        <v>0.233236151603499</v>
      </c>
      <c r="F27" s="16">
        <v>7.62463343108504E-2</v>
      </c>
      <c r="G27" s="16">
        <v>0.20408163265306101</v>
      </c>
      <c r="H27" s="16">
        <v>0.25891240752853401</v>
      </c>
      <c r="I27" s="16">
        <v>0.24143037283743901</v>
      </c>
      <c r="J27" s="16">
        <v>0.72127061230883704</v>
      </c>
      <c r="K27" s="16">
        <v>0.70920911945818499</v>
      </c>
      <c r="L27" s="16">
        <v>0.83791725014088203</v>
      </c>
      <c r="M27" s="16">
        <v>0.48656716417910501</v>
      </c>
      <c r="N27" s="16">
        <v>0.272151898734177</v>
      </c>
      <c r="O27" s="16">
        <v>0.64473684210526305</v>
      </c>
      <c r="P27" s="17">
        <f t="shared" si="0"/>
        <v>0.22001328973992607</v>
      </c>
      <c r="Q27" s="17">
        <f t="shared" si="1"/>
        <v>0.7561323273026348</v>
      </c>
      <c r="R27" s="17">
        <f t="shared" si="2"/>
        <v>0.4678186350061817</v>
      </c>
      <c r="S27" s="17">
        <f>'02_지표정의'!$C$22*P27+'02_지표정의'!$C$23*Q27+'02_지표정의'!$C$24*R27</f>
        <v>0.54799872748633449</v>
      </c>
      <c r="T27" s="5">
        <f t="shared" si="3"/>
        <v>1</v>
      </c>
      <c r="U27" s="5" t="str">
        <f t="shared" si="4"/>
        <v>특허</v>
      </c>
      <c r="V27" s="18">
        <f t="shared" si="5"/>
        <v>196</v>
      </c>
      <c r="W27" s="5">
        <f t="shared" si="6"/>
        <v>162</v>
      </c>
      <c r="X27" s="5">
        <f t="shared" si="7"/>
        <v>0</v>
      </c>
      <c r="Y27" s="5">
        <f t="shared" si="8"/>
        <v>170</v>
      </c>
      <c r="Z27" s="19">
        <f t="shared" si="9"/>
        <v>19</v>
      </c>
      <c r="AA27" s="20">
        <f>ABS(S27-SUMPRODUCT(('05B_가정검정'!$A$5:$A$19=B27)*('05B_가정검정'!$B$5:$B$19=C27)*'05B_가정검정'!$E$5:$E$19))</f>
        <v>3.8923208510823759E-2</v>
      </c>
      <c r="AB27" s="20">
        <f t="shared" si="10"/>
        <v>-3.3224548731349279E-2</v>
      </c>
    </row>
    <row r="28" spans="1:28">
      <c r="A28" s="15" t="s">
        <v>124</v>
      </c>
      <c r="B28" s="15" t="s">
        <v>122</v>
      </c>
      <c r="C28" s="15" t="s">
        <v>119</v>
      </c>
      <c r="D28" s="16">
        <v>0.30900243309002401</v>
      </c>
      <c r="E28" s="16">
        <v>0.39298245614035099</v>
      </c>
      <c r="F28" s="16">
        <v>9.8939929328621903E-2</v>
      </c>
      <c r="G28" s="16">
        <v>0.23859649122807</v>
      </c>
      <c r="H28" s="16">
        <v>0.33824577251981502</v>
      </c>
      <c r="I28" s="16">
        <v>0.32935818789144899</v>
      </c>
      <c r="J28" s="16">
        <v>0.73828355686494995</v>
      </c>
      <c r="K28" s="16">
        <v>0.68530825872707701</v>
      </c>
      <c r="L28" s="16">
        <v>0.86166228114407495</v>
      </c>
      <c r="M28" s="16">
        <v>0.66666666666666696</v>
      </c>
      <c r="N28" s="16">
        <v>0.48958333333333298</v>
      </c>
      <c r="O28" s="16">
        <v>1</v>
      </c>
      <c r="P28" s="17">
        <f t="shared" si="0"/>
        <v>0.28452087836638856</v>
      </c>
      <c r="Q28" s="17">
        <f t="shared" si="1"/>
        <v>0.7617513655787006</v>
      </c>
      <c r="R28" s="17">
        <f t="shared" si="2"/>
        <v>0.71875</v>
      </c>
      <c r="S28" s="17">
        <f>'02_지표정의'!$C$22*P28+'02_지표정의'!$C$23*Q28+'02_지표정의'!$C$24*R28</f>
        <v>0.65125479018369292</v>
      </c>
      <c r="T28" s="5">
        <f t="shared" si="3"/>
        <v>0</v>
      </c>
      <c r="U28" s="5" t="str">
        <f t="shared" si="4"/>
        <v>특허</v>
      </c>
      <c r="V28" s="18">
        <f t="shared" si="5"/>
        <v>625</v>
      </c>
      <c r="W28" s="5">
        <f t="shared" si="6"/>
        <v>0</v>
      </c>
      <c r="X28" s="5">
        <f t="shared" si="7"/>
        <v>310</v>
      </c>
      <c r="Y28" s="5">
        <f t="shared" si="8"/>
        <v>467</v>
      </c>
      <c r="Z28" s="19">
        <f t="shared" si="9"/>
        <v>41</v>
      </c>
      <c r="AA28" s="20">
        <f>ABS(S28-SUMPRODUCT(('05B_가정검정'!$A$5:$A$19=B28)*('05B_가정검정'!$B$5:$B$19=C28)*'05B_가정검정'!$E$5:$E$19))</f>
        <v>1.5648602282241519E-2</v>
      </c>
      <c r="AB28" s="20">
        <f t="shared" si="10"/>
        <v>1.9865923868806923E-2</v>
      </c>
    </row>
    <row r="29" spans="1:28">
      <c r="A29" s="15" t="s">
        <v>124</v>
      </c>
      <c r="B29" s="15" t="s">
        <v>123</v>
      </c>
      <c r="C29" s="15" t="s">
        <v>117</v>
      </c>
      <c r="D29" s="16">
        <v>0.27378190255220403</v>
      </c>
      <c r="E29" s="16">
        <v>0.32478632478632502</v>
      </c>
      <c r="F29" s="16">
        <v>0.11206896551724101</v>
      </c>
      <c r="G29" s="16">
        <v>0.26495726495726502</v>
      </c>
      <c r="H29" s="16">
        <v>0.347127219833544</v>
      </c>
      <c r="I29" s="16">
        <v>0.18855012000044899</v>
      </c>
      <c r="J29" s="16">
        <v>0.70551585311360498</v>
      </c>
      <c r="K29" s="16">
        <v>0.65818158227096302</v>
      </c>
      <c r="L29" s="16">
        <v>0.85260380980805694</v>
      </c>
      <c r="M29" s="16">
        <v>0.90654205607476601</v>
      </c>
      <c r="N29" s="16">
        <v>0.91666666666666696</v>
      </c>
      <c r="O29" s="16">
        <v>1</v>
      </c>
      <c r="P29" s="17">
        <f t="shared" si="0"/>
        <v>0.25187863294117135</v>
      </c>
      <c r="Q29" s="17">
        <f t="shared" si="1"/>
        <v>0.73876708173087502</v>
      </c>
      <c r="R29" s="17">
        <f t="shared" si="2"/>
        <v>0.94106957424714432</v>
      </c>
      <c r="S29" s="17">
        <f>'02_지표정의'!$C$22*P29+'02_지표정의'!$C$23*Q29+'02_지표정의'!$C$24*R29</f>
        <v>0.71219526435362857</v>
      </c>
      <c r="T29" s="5">
        <f t="shared" si="3"/>
        <v>0</v>
      </c>
      <c r="U29" s="5" t="str">
        <f t="shared" si="4"/>
        <v>특허</v>
      </c>
      <c r="V29" s="18">
        <f t="shared" si="5"/>
        <v>852</v>
      </c>
      <c r="W29" s="5">
        <f t="shared" si="6"/>
        <v>567</v>
      </c>
      <c r="X29" s="5">
        <f t="shared" si="7"/>
        <v>527</v>
      </c>
      <c r="Y29" s="5">
        <f t="shared" si="8"/>
        <v>0</v>
      </c>
      <c r="Z29" s="19">
        <f t="shared" si="9"/>
        <v>29</v>
      </c>
      <c r="AA29" s="20">
        <f>ABS(S29-SUMPRODUCT(('05B_가정검정'!$A$5:$A$19=B29)*('05B_가정검정'!$B$5:$B$19=C29)*'05B_가정검정'!$E$5:$E$19))</f>
        <v>2.7276184225951683E-3</v>
      </c>
      <c r="AB29" s="20">
        <f t="shared" si="10"/>
        <v>4.2098125423853938E-3</v>
      </c>
    </row>
    <row r="30" spans="1:28">
      <c r="A30" s="15" t="s">
        <v>124</v>
      </c>
      <c r="B30" s="15" t="s">
        <v>123</v>
      </c>
      <c r="C30" s="15" t="s">
        <v>118</v>
      </c>
      <c r="D30" s="16">
        <v>0.262051915945612</v>
      </c>
      <c r="E30" s="16">
        <v>0.20952380952381</v>
      </c>
      <c r="F30" s="16">
        <v>9.5846645367412095E-2</v>
      </c>
      <c r="G30" s="16">
        <v>0.184126984126984</v>
      </c>
      <c r="H30" s="16">
        <v>0.21530614177721</v>
      </c>
      <c r="I30" s="16">
        <v>0.15764488596099899</v>
      </c>
      <c r="J30" s="16">
        <v>0.71411636110688104</v>
      </c>
      <c r="K30" s="16">
        <v>0.64912341763984904</v>
      </c>
      <c r="L30" s="16">
        <v>0.81564639646431403</v>
      </c>
      <c r="M30" s="16">
        <v>0.28955223880596997</v>
      </c>
      <c r="N30" s="16">
        <v>0.272151898734177</v>
      </c>
      <c r="O30" s="16">
        <v>0.64473684210526305</v>
      </c>
      <c r="P30" s="17">
        <f t="shared" si="0"/>
        <v>0.18741673045033783</v>
      </c>
      <c r="Q30" s="17">
        <f t="shared" si="1"/>
        <v>0.72629539173701474</v>
      </c>
      <c r="R30" s="17">
        <f t="shared" si="2"/>
        <v>0.40214699321513669</v>
      </c>
      <c r="S30" s="17">
        <f>'02_지표정의'!$C$22*P30+'02_지표정의'!$C$23*Q30+'02_지표정의'!$C$24*R30</f>
        <v>0.50506771999702216</v>
      </c>
      <c r="T30" s="5">
        <f t="shared" si="3"/>
        <v>0</v>
      </c>
      <c r="U30" s="5" t="str">
        <f t="shared" si="4"/>
        <v>특허</v>
      </c>
      <c r="V30" s="18">
        <f t="shared" si="5"/>
        <v>55</v>
      </c>
      <c r="W30" s="5">
        <f t="shared" si="6"/>
        <v>49</v>
      </c>
      <c r="X30" s="5">
        <f t="shared" si="7"/>
        <v>0</v>
      </c>
      <c r="Y30" s="5">
        <f t="shared" si="8"/>
        <v>49</v>
      </c>
      <c r="Z30" s="19">
        <f t="shared" si="9"/>
        <v>12</v>
      </c>
      <c r="AA30" s="20">
        <f>ABS(S30-SUMPRODUCT(('05B_가정검정'!$A$5:$A$19=B30)*('05B_가정검정'!$B$5:$B$19=C30)*'05B_가정검정'!$E$5:$E$19))</f>
        <v>7.0231106881947558E-2</v>
      </c>
      <c r="AB30" s="20">
        <f t="shared" si="10"/>
        <v>-5.4803887927468931E-2</v>
      </c>
    </row>
    <row r="31" spans="1:28">
      <c r="A31" s="15" t="s">
        <v>124</v>
      </c>
      <c r="B31" s="15" t="s">
        <v>123</v>
      </c>
      <c r="C31" s="15" t="s">
        <v>119</v>
      </c>
      <c r="D31" s="16">
        <v>0.30937880633373899</v>
      </c>
      <c r="E31" s="16">
        <v>0.44357976653696501</v>
      </c>
      <c r="F31" s="16">
        <v>0.149019607843137</v>
      </c>
      <c r="G31" s="16">
        <v>0.32684824902723703</v>
      </c>
      <c r="H31" s="16">
        <v>0.33348040425147901</v>
      </c>
      <c r="I31" s="16">
        <v>0.35004854593250501</v>
      </c>
      <c r="J31" s="16">
        <v>0.732554421779542</v>
      </c>
      <c r="K31" s="16">
        <v>0.62856851139478098</v>
      </c>
      <c r="L31" s="16">
        <v>0.83398430328940099</v>
      </c>
      <c r="M31" s="16">
        <v>0.54494382022471899</v>
      </c>
      <c r="N31" s="16">
        <v>0.57291666666666696</v>
      </c>
      <c r="O31" s="16">
        <v>1</v>
      </c>
      <c r="P31" s="17">
        <f t="shared" si="0"/>
        <v>0.318725896654177</v>
      </c>
      <c r="Q31" s="17">
        <f t="shared" si="1"/>
        <v>0.73170241215457477</v>
      </c>
      <c r="R31" s="17">
        <f t="shared" si="2"/>
        <v>0.70595349563046206</v>
      </c>
      <c r="S31" s="17">
        <f>'02_지표정의'!$C$22*P31+'02_지표정의'!$C$23*Q31+'02_지표정의'!$C$24*R31</f>
        <v>0.64009498827105582</v>
      </c>
      <c r="T31" s="5">
        <f t="shared" si="3"/>
        <v>1</v>
      </c>
      <c r="U31" s="5" t="str">
        <f t="shared" si="4"/>
        <v>특허</v>
      </c>
      <c r="V31" s="18">
        <f t="shared" si="5"/>
        <v>574</v>
      </c>
      <c r="W31" s="5">
        <f t="shared" si="6"/>
        <v>0</v>
      </c>
      <c r="X31" s="5">
        <f t="shared" si="7"/>
        <v>270</v>
      </c>
      <c r="Y31" s="5">
        <f t="shared" si="8"/>
        <v>432</v>
      </c>
      <c r="Z31" s="19">
        <f t="shared" si="9"/>
        <v>10</v>
      </c>
      <c r="AA31" s="20">
        <f>ABS(S31-SUMPRODUCT(('05B_가정검정'!$A$5:$A$19=B31)*('05B_가정검정'!$B$5:$B$19=C31)*'05B_가정검정'!$E$5:$E$19))</f>
        <v>4.5534809053171532E-2</v>
      </c>
      <c r="AB31" s="20">
        <f t="shared" si="10"/>
        <v>-4.2323744773945959E-2</v>
      </c>
    </row>
    <row r="32" spans="1:28">
      <c r="A32" s="15" t="s">
        <v>125</v>
      </c>
      <c r="B32" s="15" t="s">
        <v>116</v>
      </c>
      <c r="C32" s="15" t="s">
        <v>117</v>
      </c>
      <c r="D32" s="16">
        <v>0.19240506329113899</v>
      </c>
      <c r="E32" s="16">
        <v>0.256410256410256</v>
      </c>
      <c r="F32" s="16">
        <v>9.4827586206896602E-2</v>
      </c>
      <c r="G32" s="16">
        <v>0.230769230769231</v>
      </c>
      <c r="H32" s="16">
        <v>0.19813302659481599</v>
      </c>
      <c r="I32" s="16">
        <v>0.102186263686652</v>
      </c>
      <c r="J32" s="16">
        <v>0.64969858100352995</v>
      </c>
      <c r="K32" s="16">
        <v>0.63384451350099702</v>
      </c>
      <c r="L32" s="16">
        <v>0.80088931218098802</v>
      </c>
      <c r="M32" s="16">
        <v>0.44615384615384601</v>
      </c>
      <c r="N32" s="16">
        <v>0.19230769230769201</v>
      </c>
      <c r="O32" s="16">
        <v>1</v>
      </c>
      <c r="P32" s="17">
        <f t="shared" si="0"/>
        <v>0.17912190449316509</v>
      </c>
      <c r="Q32" s="17">
        <f t="shared" si="1"/>
        <v>0.694810802228505</v>
      </c>
      <c r="R32" s="17">
        <f t="shared" si="2"/>
        <v>0.54615384615384599</v>
      </c>
      <c r="S32" s="17">
        <f>'02_지표정의'!$C$22*P32+'02_지표정의'!$C$23*Q32+'02_지표정의'!$C$24*R32</f>
        <v>0.53964308805530636</v>
      </c>
      <c r="T32" s="5">
        <f t="shared" si="3"/>
        <v>0</v>
      </c>
      <c r="U32" s="5" t="str">
        <f t="shared" si="4"/>
        <v>특허</v>
      </c>
      <c r="V32" s="18">
        <f t="shared" si="5"/>
        <v>167</v>
      </c>
      <c r="W32" s="5">
        <f t="shared" si="6"/>
        <v>145</v>
      </c>
      <c r="X32" s="5">
        <f t="shared" si="7"/>
        <v>39</v>
      </c>
      <c r="Y32" s="5">
        <f t="shared" si="8"/>
        <v>0</v>
      </c>
      <c r="Z32" s="19">
        <f t="shared" si="9"/>
        <v>16</v>
      </c>
      <c r="AA32" s="20">
        <f>ABS(S32-SUMPRODUCT(('05B_가정검정'!$A$5:$A$19=B32)*('05B_가정검정'!$B$5:$B$19=C32)*'05B_가정검정'!$E$5:$E$19))</f>
        <v>1.7760616929660911E-2</v>
      </c>
      <c r="AB32" s="20">
        <f t="shared" si="10"/>
        <v>-1.2908077357317027E-2</v>
      </c>
    </row>
    <row r="33" spans="1:28">
      <c r="A33" s="15" t="s">
        <v>125</v>
      </c>
      <c r="B33" s="15" t="s">
        <v>116</v>
      </c>
      <c r="C33" s="15" t="s">
        <v>118</v>
      </c>
      <c r="D33" s="16">
        <v>0.33024118738404501</v>
      </c>
      <c r="E33" s="16">
        <v>0.33812949640287798</v>
      </c>
      <c r="F33" s="16">
        <v>0.15942028985507301</v>
      </c>
      <c r="G33" s="16">
        <v>0.28057553956834502</v>
      </c>
      <c r="H33" s="16">
        <v>0.187636428216751</v>
      </c>
      <c r="I33" s="16">
        <v>0.271735925000263</v>
      </c>
      <c r="J33" s="16">
        <v>0.69439385379775398</v>
      </c>
      <c r="K33" s="16">
        <v>0.68416238235813898</v>
      </c>
      <c r="L33" s="16">
        <v>0.82956424397256801</v>
      </c>
      <c r="M33" s="16">
        <v>0.43234323432343202</v>
      </c>
      <c r="N33" s="16">
        <v>0</v>
      </c>
      <c r="O33" s="16">
        <v>0.52631578947368396</v>
      </c>
      <c r="P33" s="17">
        <f t="shared" si="0"/>
        <v>0.26128981107122584</v>
      </c>
      <c r="Q33" s="17">
        <f t="shared" si="1"/>
        <v>0.73604016004282036</v>
      </c>
      <c r="R33" s="17">
        <f t="shared" si="2"/>
        <v>0.31955300793237201</v>
      </c>
      <c r="S33" s="17">
        <f>'02_지표정의'!$C$22*P33+'02_지표정의'!$C$23*Q33+'02_지표정의'!$C$24*R33</f>
        <v>0.49531958700984452</v>
      </c>
      <c r="T33" s="5">
        <f t="shared" si="3"/>
        <v>0</v>
      </c>
      <c r="U33" s="5" t="str">
        <f t="shared" si="4"/>
        <v>특허</v>
      </c>
      <c r="V33" s="18">
        <f t="shared" si="5"/>
        <v>38</v>
      </c>
      <c r="W33" s="5">
        <f t="shared" si="6"/>
        <v>32</v>
      </c>
      <c r="X33" s="5">
        <f t="shared" si="7"/>
        <v>0</v>
      </c>
      <c r="Y33" s="5">
        <f t="shared" si="8"/>
        <v>33</v>
      </c>
      <c r="Z33" s="19">
        <f t="shared" si="9"/>
        <v>19</v>
      </c>
      <c r="AA33" s="20">
        <f>ABS(S33-SUMPRODUCT(('05B_가정검정'!$A$5:$A$19=B33)*('05B_가정검정'!$B$5:$B$19=C33)*'05B_가정검정'!$E$5:$E$19))</f>
        <v>3.597283469187712E-2</v>
      </c>
      <c r="AB33" s="20">
        <f t="shared" si="10"/>
        <v>-3.2229445368741783E-2</v>
      </c>
    </row>
    <row r="34" spans="1:28">
      <c r="A34" s="15" t="s">
        <v>125</v>
      </c>
      <c r="B34" s="15" t="s">
        <v>116</v>
      </c>
      <c r="C34" s="15" t="s">
        <v>119</v>
      </c>
      <c r="D34" s="16">
        <v>0.27725856697819301</v>
      </c>
      <c r="E34" s="16">
        <v>0.46636771300448399</v>
      </c>
      <c r="F34" s="16">
        <v>0.13574660633484201</v>
      </c>
      <c r="G34" s="16">
        <v>0.29596412556053803</v>
      </c>
      <c r="H34" s="16">
        <v>0.23764113719551</v>
      </c>
      <c r="I34" s="16">
        <v>0.30168357530665102</v>
      </c>
      <c r="J34" s="16">
        <v>0.70735244388858398</v>
      </c>
      <c r="K34" s="16">
        <v>0.66463858414957699</v>
      </c>
      <c r="L34" s="16">
        <v>0.86743490629225395</v>
      </c>
      <c r="M34" s="16">
        <v>0.41538461538461502</v>
      </c>
      <c r="N34" s="16">
        <v>0</v>
      </c>
      <c r="O34" s="16">
        <v>0.84210526315789502</v>
      </c>
      <c r="P34" s="17">
        <f t="shared" si="0"/>
        <v>0.28577695406336967</v>
      </c>
      <c r="Q34" s="17">
        <f t="shared" si="1"/>
        <v>0.74647531144347168</v>
      </c>
      <c r="R34" s="17">
        <f t="shared" si="2"/>
        <v>0.41916329284750331</v>
      </c>
      <c r="S34" s="17">
        <f>'02_지표정의'!$C$22*P34+'02_지표정의'!$C$23*Q34+'02_지표정의'!$C$24*R34</f>
        <v>0.53977643345886239</v>
      </c>
      <c r="T34" s="5">
        <f t="shared" si="3"/>
        <v>0</v>
      </c>
      <c r="U34" s="5" t="str">
        <f t="shared" si="4"/>
        <v>특허</v>
      </c>
      <c r="V34" s="18">
        <f t="shared" si="5"/>
        <v>169</v>
      </c>
      <c r="W34" s="5">
        <f t="shared" si="6"/>
        <v>0</v>
      </c>
      <c r="X34" s="5">
        <f t="shared" si="7"/>
        <v>40</v>
      </c>
      <c r="Y34" s="5">
        <f t="shared" si="8"/>
        <v>152</v>
      </c>
      <c r="Z34" s="19">
        <f t="shared" si="9"/>
        <v>18</v>
      </c>
      <c r="AA34" s="20">
        <f>ABS(S34-SUMPRODUCT(('05B_가정검정'!$A$5:$A$19=B34)*('05B_가정검정'!$B$5:$B$19=C34)*'05B_가정검정'!$E$5:$E$19))</f>
        <v>1.3247083283920214E-2</v>
      </c>
      <c r="AB34" s="20">
        <f t="shared" si="10"/>
        <v>-1.6676050217317662E-2</v>
      </c>
    </row>
    <row r="35" spans="1:28">
      <c r="A35" s="15" t="s">
        <v>125</v>
      </c>
      <c r="B35" s="15" t="s">
        <v>120</v>
      </c>
      <c r="C35" s="15" t="s">
        <v>117</v>
      </c>
      <c r="D35" s="16">
        <v>0.21704035874439501</v>
      </c>
      <c r="E35" s="16">
        <v>0.22653721682847899</v>
      </c>
      <c r="F35" s="16">
        <v>6.5146579804560303E-2</v>
      </c>
      <c r="G35" s="16">
        <v>0.168284789644013</v>
      </c>
      <c r="H35" s="16">
        <v>0.32027540416152001</v>
      </c>
      <c r="I35" s="16">
        <v>0.10944203212600601</v>
      </c>
      <c r="J35" s="16">
        <v>0.67569322821941102</v>
      </c>
      <c r="K35" s="16">
        <v>0.64517982576699395</v>
      </c>
      <c r="L35" s="16">
        <v>0.81600478178428104</v>
      </c>
      <c r="M35" s="16">
        <v>0.64583333333333304</v>
      </c>
      <c r="N35" s="16">
        <v>0.57142857142857095</v>
      </c>
      <c r="O35" s="16">
        <v>1</v>
      </c>
      <c r="P35" s="17">
        <f t="shared" si="0"/>
        <v>0.1844543968848289</v>
      </c>
      <c r="Q35" s="17">
        <f t="shared" si="1"/>
        <v>0.71229261192356186</v>
      </c>
      <c r="R35" s="17">
        <f t="shared" si="2"/>
        <v>0.7390873015873014</v>
      </c>
      <c r="S35" s="17">
        <f>'02_지표정의'!$C$22*P35+'02_지표정의'!$C$23*Q35+'02_지표정의'!$C$24*R35</f>
        <v>0.61610311029812403</v>
      </c>
      <c r="T35" s="5">
        <f t="shared" si="3"/>
        <v>0</v>
      </c>
      <c r="U35" s="5" t="str">
        <f t="shared" si="4"/>
        <v>특허</v>
      </c>
      <c r="V35" s="18">
        <f t="shared" si="5"/>
        <v>466</v>
      </c>
      <c r="W35" s="5">
        <f t="shared" si="6"/>
        <v>380</v>
      </c>
      <c r="X35" s="5">
        <f t="shared" si="7"/>
        <v>201</v>
      </c>
      <c r="Y35" s="5">
        <f t="shared" si="8"/>
        <v>0</v>
      </c>
      <c r="Z35" s="19">
        <f t="shared" si="9"/>
        <v>23</v>
      </c>
      <c r="AA35" s="20">
        <f>ABS(S35-SUMPRODUCT(('05B_가정검정'!$A$5:$A$19=B35)*('05B_가정검정'!$B$5:$B$19=C35)*'05B_가정검정'!$E$5:$E$19))</f>
        <v>1.194584975899704E-2</v>
      </c>
      <c r="AB35" s="20">
        <f t="shared" si="10"/>
        <v>-1.5199593126633104E-2</v>
      </c>
    </row>
    <row r="36" spans="1:28">
      <c r="A36" s="15" t="s">
        <v>125</v>
      </c>
      <c r="B36" s="15" t="s">
        <v>120</v>
      </c>
      <c r="C36" s="15" t="s">
        <v>118</v>
      </c>
      <c r="D36" s="16">
        <v>0.25231481481481499</v>
      </c>
      <c r="E36" s="16">
        <v>0.40226628895184102</v>
      </c>
      <c r="F36" s="16">
        <v>0.15384615384615399</v>
      </c>
      <c r="G36" s="16">
        <v>0.28328611898016998</v>
      </c>
      <c r="H36" s="16">
        <v>0.259804885436972</v>
      </c>
      <c r="I36" s="16">
        <v>0.33195405556718799</v>
      </c>
      <c r="J36" s="16">
        <v>0.70706876630063398</v>
      </c>
      <c r="K36" s="16">
        <v>0.65045010117786395</v>
      </c>
      <c r="L36" s="16">
        <v>0.83143356961614701</v>
      </c>
      <c r="M36" s="16">
        <v>0.46864686468646899</v>
      </c>
      <c r="N36" s="16">
        <v>0.29508196721311503</v>
      </c>
      <c r="O36" s="16">
        <v>0.52631578947368396</v>
      </c>
      <c r="P36" s="17">
        <f t="shared" si="0"/>
        <v>0.28057871959952335</v>
      </c>
      <c r="Q36" s="17">
        <f t="shared" si="1"/>
        <v>0.72965081236488161</v>
      </c>
      <c r="R36" s="17">
        <f t="shared" si="2"/>
        <v>0.43001487379108932</v>
      </c>
      <c r="S36" s="17">
        <f>'02_지표정의'!$C$22*P36+'02_지표정의'!$C$23*Q36+'02_지표정의'!$C$24*R36</f>
        <v>0.53496381531098258</v>
      </c>
      <c r="T36" s="5">
        <f t="shared" si="3"/>
        <v>0</v>
      </c>
      <c r="U36" s="5" t="str">
        <f t="shared" si="4"/>
        <v>특허</v>
      </c>
      <c r="V36" s="18">
        <f t="shared" si="5"/>
        <v>153</v>
      </c>
      <c r="W36" s="5">
        <f t="shared" si="6"/>
        <v>135</v>
      </c>
      <c r="X36" s="5">
        <f t="shared" si="7"/>
        <v>0</v>
      </c>
      <c r="Y36" s="5">
        <f t="shared" si="8"/>
        <v>139</v>
      </c>
      <c r="Z36" s="19">
        <f t="shared" si="9"/>
        <v>25</v>
      </c>
      <c r="AA36" s="20">
        <f>ABS(S36-SUMPRODUCT(('05B_가정검정'!$A$5:$A$19=B36)*('05B_가정검정'!$B$5:$B$19=C36)*'05B_가정검정'!$E$5:$E$19))</f>
        <v>5.5865033270645403E-2</v>
      </c>
      <c r="AB36" s="20">
        <f t="shared" si="10"/>
        <v>-3.9926960651128218E-2</v>
      </c>
    </row>
    <row r="37" spans="1:28">
      <c r="A37" s="15" t="s">
        <v>125</v>
      </c>
      <c r="B37" s="15" t="s">
        <v>120</v>
      </c>
      <c r="C37" s="15" t="s">
        <v>119</v>
      </c>
      <c r="D37" s="16">
        <v>0.27094105480868702</v>
      </c>
      <c r="E37" s="16">
        <v>0.44295302013422799</v>
      </c>
      <c r="F37" s="16">
        <v>0.141891891891892</v>
      </c>
      <c r="G37" s="16">
        <v>0.288590604026846</v>
      </c>
      <c r="H37" s="16">
        <v>0.32954245507136998</v>
      </c>
      <c r="I37" s="16">
        <v>0.36580616931061799</v>
      </c>
      <c r="J37" s="16">
        <v>0.73472776382586402</v>
      </c>
      <c r="K37" s="16">
        <v>0.67516077609622005</v>
      </c>
      <c r="L37" s="16">
        <v>0.85682269865878902</v>
      </c>
      <c r="M37" s="16">
        <v>0.73611111111111105</v>
      </c>
      <c r="N37" s="16">
        <v>0.75</v>
      </c>
      <c r="O37" s="16">
        <v>0.84210526315789502</v>
      </c>
      <c r="P37" s="17">
        <f t="shared" si="0"/>
        <v>0.30662086587394016</v>
      </c>
      <c r="Q37" s="17">
        <f t="shared" si="1"/>
        <v>0.75557041286029103</v>
      </c>
      <c r="R37" s="17">
        <f t="shared" si="2"/>
        <v>0.77607212475633547</v>
      </c>
      <c r="S37" s="17">
        <f>'02_지표정의'!$C$22*P37+'02_지표정의'!$C$23*Q37+'02_지표정의'!$C$24*R37</f>
        <v>0.67295610262663641</v>
      </c>
      <c r="T37" s="5">
        <f t="shared" si="3"/>
        <v>0</v>
      </c>
      <c r="U37" s="5" t="str">
        <f t="shared" si="4"/>
        <v>특허</v>
      </c>
      <c r="V37" s="18">
        <f t="shared" si="5"/>
        <v>729</v>
      </c>
      <c r="W37" s="5">
        <f t="shared" si="6"/>
        <v>0</v>
      </c>
      <c r="X37" s="5">
        <f t="shared" si="7"/>
        <v>408</v>
      </c>
      <c r="Y37" s="5">
        <f t="shared" si="8"/>
        <v>531</v>
      </c>
      <c r="Z37" s="19">
        <f t="shared" si="9"/>
        <v>40</v>
      </c>
      <c r="AA37" s="20">
        <f>ABS(S37-SUMPRODUCT(('05B_가정검정'!$A$5:$A$19=B37)*('05B_가정검정'!$B$5:$B$19=C37)*'05B_가정검정'!$E$5:$E$19))</f>
        <v>9.2787861452501286E-3</v>
      </c>
      <c r="AB37" s="20">
        <f t="shared" si="10"/>
        <v>1.4533095115820793E-2</v>
      </c>
    </row>
    <row r="38" spans="1:28">
      <c r="A38" s="15" t="s">
        <v>125</v>
      </c>
      <c r="B38" s="15" t="s">
        <v>121</v>
      </c>
      <c r="C38" s="15" t="s">
        <v>117</v>
      </c>
      <c r="D38" s="16">
        <v>0.21235102925243801</v>
      </c>
      <c r="E38" s="16">
        <v>0.28085106382978697</v>
      </c>
      <c r="F38" s="16">
        <v>9.4420600858369105E-2</v>
      </c>
      <c r="G38" s="16">
        <v>0.21276595744680901</v>
      </c>
      <c r="H38" s="16">
        <v>0.30019323350143001</v>
      </c>
      <c r="I38" s="16">
        <v>0.107566771756367</v>
      </c>
      <c r="J38" s="16">
        <v>0.72922527894764799</v>
      </c>
      <c r="K38" s="16">
        <v>0.72112319527399504</v>
      </c>
      <c r="L38" s="16">
        <v>0.86700225313644697</v>
      </c>
      <c r="M38" s="16">
        <v>0.88990825688073405</v>
      </c>
      <c r="N38" s="16">
        <v>0.90163934426229497</v>
      </c>
      <c r="O38" s="16">
        <v>1</v>
      </c>
      <c r="P38" s="17">
        <f t="shared" si="0"/>
        <v>0.20135810944086671</v>
      </c>
      <c r="Q38" s="17">
        <f t="shared" si="1"/>
        <v>0.77245024245269667</v>
      </c>
      <c r="R38" s="17">
        <f t="shared" si="2"/>
        <v>0.93051586704767641</v>
      </c>
      <c r="S38" s="17">
        <f>'02_지표정의'!$C$22*P38+'02_지표정의'!$C$23*Q38+'02_지표정의'!$C$24*R38</f>
        <v>0.71355478445857357</v>
      </c>
      <c r="T38" s="5">
        <f t="shared" si="3"/>
        <v>1</v>
      </c>
      <c r="U38" s="5" t="str">
        <f t="shared" si="4"/>
        <v>특허</v>
      </c>
      <c r="V38" s="18">
        <f t="shared" si="5"/>
        <v>857</v>
      </c>
      <c r="W38" s="5">
        <f t="shared" si="6"/>
        <v>570</v>
      </c>
      <c r="X38" s="5">
        <f t="shared" si="7"/>
        <v>532</v>
      </c>
      <c r="Y38" s="5">
        <f t="shared" si="8"/>
        <v>0</v>
      </c>
      <c r="Z38" s="19">
        <f t="shared" si="9"/>
        <v>19</v>
      </c>
      <c r="AA38" s="20">
        <f>ABS(S38-SUMPRODUCT(('05B_가정검정'!$A$5:$A$19=B38)*('05B_가정검정'!$B$5:$B$19=C38)*'05B_가정검정'!$E$5:$E$19))</f>
        <v>1.5877286923307588E-2</v>
      </c>
      <c r="AB38" s="20">
        <f t="shared" si="10"/>
        <v>-4.0970086143073958E-3</v>
      </c>
    </row>
    <row r="39" spans="1:28">
      <c r="A39" s="15" t="s">
        <v>125</v>
      </c>
      <c r="B39" s="15" t="s">
        <v>121</v>
      </c>
      <c r="C39" s="15" t="s">
        <v>118</v>
      </c>
      <c r="D39" s="16">
        <v>0.297619047619048</v>
      </c>
      <c r="E39" s="16">
        <v>0.372759856630824</v>
      </c>
      <c r="F39" s="16">
        <v>0.15884476534295999</v>
      </c>
      <c r="G39" s="16">
        <v>0.25089605734767001</v>
      </c>
      <c r="H39" s="16">
        <v>0.26578775630698798</v>
      </c>
      <c r="I39" s="16">
        <v>0.29556038779448801</v>
      </c>
      <c r="J39" s="16">
        <v>0.74541814292323505</v>
      </c>
      <c r="K39" s="16">
        <v>0.76938080177030599</v>
      </c>
      <c r="L39" s="16">
        <v>0.89694002963484298</v>
      </c>
      <c r="M39" s="16">
        <v>0.32013201320132001</v>
      </c>
      <c r="N39" s="16">
        <v>0.30327868852459</v>
      </c>
      <c r="O39" s="16">
        <v>0.52631578947368396</v>
      </c>
      <c r="P39" s="17">
        <f t="shared" si="0"/>
        <v>0.27357797850699633</v>
      </c>
      <c r="Q39" s="17">
        <f t="shared" si="1"/>
        <v>0.8039129914427946</v>
      </c>
      <c r="R39" s="17">
        <f t="shared" si="2"/>
        <v>0.38324216373319803</v>
      </c>
      <c r="S39" s="17">
        <f>'02_지표정의'!$C$22*P39+'02_지표정의'!$C$23*Q39+'02_지표정의'!$C$24*R39</f>
        <v>0.55061119915727619</v>
      </c>
      <c r="T39" s="5">
        <f t="shared" si="3"/>
        <v>0</v>
      </c>
      <c r="U39" s="5" t="str">
        <f t="shared" si="4"/>
        <v>특허</v>
      </c>
      <c r="V39" s="18">
        <f t="shared" si="5"/>
        <v>209</v>
      </c>
      <c r="W39" s="5">
        <f t="shared" si="6"/>
        <v>173</v>
      </c>
      <c r="X39" s="5">
        <f t="shared" si="7"/>
        <v>0</v>
      </c>
      <c r="Y39" s="5">
        <f t="shared" si="8"/>
        <v>181</v>
      </c>
      <c r="Z39" s="19">
        <f t="shared" si="9"/>
        <v>25</v>
      </c>
      <c r="AA39" s="20">
        <f>ABS(S39-SUMPRODUCT(('05B_가정검정'!$A$5:$A$19=B39)*('05B_가정검정'!$B$5:$B$19=C39)*'05B_가정검정'!$E$5:$E$19))</f>
        <v>4.7968291009692243E-2</v>
      </c>
      <c r="AB39" s="20">
        <f t="shared" si="10"/>
        <v>-2.8787875369537086E-2</v>
      </c>
    </row>
    <row r="40" spans="1:28">
      <c r="A40" s="15" t="s">
        <v>125</v>
      </c>
      <c r="B40" s="15" t="s">
        <v>121</v>
      </c>
      <c r="C40" s="15" t="s">
        <v>119</v>
      </c>
      <c r="D40" s="16">
        <v>0.28387096774193599</v>
      </c>
      <c r="E40" s="16">
        <v>0.42857142857142899</v>
      </c>
      <c r="F40" s="16">
        <v>0.135135135135135</v>
      </c>
      <c r="G40" s="16">
        <v>0.27678571428571402</v>
      </c>
      <c r="H40" s="16">
        <v>0.35414240335532499</v>
      </c>
      <c r="I40" s="16">
        <v>0.265878011401598</v>
      </c>
      <c r="J40" s="16">
        <v>0.77965541762592705</v>
      </c>
      <c r="K40" s="16">
        <v>0.75079785507205798</v>
      </c>
      <c r="L40" s="16">
        <v>0.87643391319923802</v>
      </c>
      <c r="M40" s="16">
        <v>0.74615384615384595</v>
      </c>
      <c r="N40" s="16">
        <v>0.65333333333333299</v>
      </c>
      <c r="O40" s="16">
        <v>0.84210526315789502</v>
      </c>
      <c r="P40" s="17">
        <f t="shared" si="0"/>
        <v>0.29073061008185619</v>
      </c>
      <c r="Q40" s="17">
        <f t="shared" si="1"/>
        <v>0.80229572863240772</v>
      </c>
      <c r="R40" s="17">
        <f t="shared" si="2"/>
        <v>0.74719748088169136</v>
      </c>
      <c r="S40" s="17">
        <f>'02_지표정의'!$C$22*P40+'02_지표정의'!$C$23*Q40+'02_지표정의'!$C$24*R40</f>
        <v>0.68069831820954674</v>
      </c>
      <c r="T40" s="5">
        <f t="shared" si="3"/>
        <v>0</v>
      </c>
      <c r="U40" s="5" t="str">
        <f t="shared" si="4"/>
        <v>특허</v>
      </c>
      <c r="V40" s="18">
        <f t="shared" si="5"/>
        <v>760</v>
      </c>
      <c r="W40" s="5">
        <f t="shared" si="6"/>
        <v>0</v>
      </c>
      <c r="X40" s="5">
        <f t="shared" si="7"/>
        <v>436</v>
      </c>
      <c r="Y40" s="5">
        <f t="shared" si="8"/>
        <v>551</v>
      </c>
      <c r="Z40" s="19">
        <f t="shared" si="9"/>
        <v>29</v>
      </c>
      <c r="AA40" s="20">
        <f>ABS(S40-SUMPRODUCT(('05B_가정검정'!$A$5:$A$19=B40)*('05B_가정검정'!$B$5:$B$19=C40)*'05B_가정검정'!$E$5:$E$19))</f>
        <v>1.1621524586306942E-2</v>
      </c>
      <c r="AB40" s="20">
        <f t="shared" si="10"/>
        <v>-7.5386572100643034E-3</v>
      </c>
    </row>
    <row r="41" spans="1:28">
      <c r="A41" s="15" t="s">
        <v>125</v>
      </c>
      <c r="B41" s="15" t="s">
        <v>122</v>
      </c>
      <c r="C41" s="15" t="s">
        <v>117</v>
      </c>
      <c r="D41" s="16">
        <v>0.23389021479713601</v>
      </c>
      <c r="E41" s="16">
        <v>0.282258064516129</v>
      </c>
      <c r="F41" s="16">
        <v>0.113821138211382</v>
      </c>
      <c r="G41" s="16">
        <v>0.19354838709677399</v>
      </c>
      <c r="H41" s="16">
        <v>0.23957992112512799</v>
      </c>
      <c r="I41" s="16">
        <v>0.131717003893558</v>
      </c>
      <c r="J41" s="16">
        <v>0.62897822415920002</v>
      </c>
      <c r="K41" s="16">
        <v>0.57412609539167403</v>
      </c>
      <c r="L41" s="16">
        <v>0.73074711467234299</v>
      </c>
      <c r="M41" s="16">
        <v>0.73109243697478998</v>
      </c>
      <c r="N41" s="16">
        <v>0.72727272727272696</v>
      </c>
      <c r="O41" s="16">
        <v>1</v>
      </c>
      <c r="P41" s="17">
        <f t="shared" si="0"/>
        <v>0.19913578827335118</v>
      </c>
      <c r="Q41" s="17">
        <f t="shared" si="1"/>
        <v>0.64461714474107235</v>
      </c>
      <c r="R41" s="17">
        <f t="shared" si="2"/>
        <v>0.81945505474917235</v>
      </c>
      <c r="S41" s="17">
        <f>'02_지표정의'!$C$22*P41+'02_지표정의'!$C$23*Q41+'02_지표정의'!$C$24*R41</f>
        <v>0.61671414195036312</v>
      </c>
      <c r="T41" s="5">
        <f t="shared" si="3"/>
        <v>0</v>
      </c>
      <c r="U41" s="5" t="str">
        <f t="shared" si="4"/>
        <v>특허</v>
      </c>
      <c r="V41" s="18">
        <f t="shared" si="5"/>
        <v>473</v>
      </c>
      <c r="W41" s="5">
        <f t="shared" si="6"/>
        <v>385</v>
      </c>
      <c r="X41" s="5">
        <f t="shared" si="7"/>
        <v>206</v>
      </c>
      <c r="Y41" s="5">
        <f t="shared" si="8"/>
        <v>0</v>
      </c>
      <c r="Z41" s="19">
        <f t="shared" si="9"/>
        <v>27</v>
      </c>
      <c r="AA41" s="20">
        <f>ABS(S41-SUMPRODUCT(('05B_가정검정'!$A$5:$A$19=B41)*('05B_가정검정'!$B$5:$B$19=C41)*'05B_가정검정'!$E$5:$E$19))</f>
        <v>2.2638812758315363E-2</v>
      </c>
      <c r="AB41" s="20">
        <f t="shared" si="10"/>
        <v>-6.1674802392830408E-3</v>
      </c>
    </row>
    <row r="42" spans="1:28">
      <c r="A42" s="15" t="s">
        <v>125</v>
      </c>
      <c r="B42" s="15" t="s">
        <v>122</v>
      </c>
      <c r="C42" s="15" t="s">
        <v>118</v>
      </c>
      <c r="D42" s="16">
        <v>0.37819420783645702</v>
      </c>
      <c r="E42" s="16">
        <v>0.32876712328767099</v>
      </c>
      <c r="F42" s="16">
        <v>0.14482758620689701</v>
      </c>
      <c r="G42" s="16">
        <v>0.232876712328767</v>
      </c>
      <c r="H42" s="16">
        <v>0.24021368286627301</v>
      </c>
      <c r="I42" s="16">
        <v>0.32638167260304701</v>
      </c>
      <c r="J42" s="16">
        <v>0.65134860100569603</v>
      </c>
      <c r="K42" s="16">
        <v>0.690107211063268</v>
      </c>
      <c r="L42" s="16">
        <v>0.77248301264441299</v>
      </c>
      <c r="M42" s="16">
        <v>0.366336633663366</v>
      </c>
      <c r="N42" s="16">
        <v>0.23770491803278701</v>
      </c>
      <c r="O42" s="16">
        <v>0.52631578947368396</v>
      </c>
      <c r="P42" s="17">
        <f t="shared" si="0"/>
        <v>0.27521016418818539</v>
      </c>
      <c r="Q42" s="17">
        <f t="shared" si="1"/>
        <v>0.70464627490445897</v>
      </c>
      <c r="R42" s="17">
        <f t="shared" si="2"/>
        <v>0.37678578038994565</v>
      </c>
      <c r="S42" s="17">
        <f>'02_지표정의'!$C$22*P42+'02_지표정의'!$C$23*Q42+'02_지표정의'!$C$24*R42</f>
        <v>0.50400787968112459</v>
      </c>
      <c r="T42" s="5">
        <f t="shared" si="3"/>
        <v>1</v>
      </c>
      <c r="U42" s="5" t="str">
        <f t="shared" si="4"/>
        <v>특허</v>
      </c>
      <c r="V42" s="18">
        <f t="shared" si="5"/>
        <v>51</v>
      </c>
      <c r="W42" s="5">
        <f t="shared" si="6"/>
        <v>45</v>
      </c>
      <c r="X42" s="5">
        <f t="shared" si="7"/>
        <v>0</v>
      </c>
      <c r="Y42" s="5">
        <f t="shared" si="8"/>
        <v>45</v>
      </c>
      <c r="Z42" s="19">
        <f t="shared" si="9"/>
        <v>4</v>
      </c>
      <c r="AA42" s="20">
        <f>ABS(S42-SUMPRODUCT(('05B_가정검정'!$A$5:$A$19=B42)*('05B_가정검정'!$B$5:$B$19=C42)*'05B_가정검정'!$E$5:$E$19))</f>
        <v>8.2914056316033657E-2</v>
      </c>
      <c r="AB42" s="20">
        <f t="shared" si="10"/>
        <v>-7.7215396536559178E-2</v>
      </c>
    </row>
    <row r="43" spans="1:28">
      <c r="A43" s="15" t="s">
        <v>125</v>
      </c>
      <c r="B43" s="15" t="s">
        <v>122</v>
      </c>
      <c r="C43" s="15" t="s">
        <v>119</v>
      </c>
      <c r="D43" s="16">
        <v>0.32463768115941999</v>
      </c>
      <c r="E43" s="16">
        <v>0.47257383966244698</v>
      </c>
      <c r="F43" s="16">
        <v>0.16170212765957501</v>
      </c>
      <c r="G43" s="16">
        <v>0.33755274261603402</v>
      </c>
      <c r="H43" s="16">
        <v>0.29382276529555101</v>
      </c>
      <c r="I43" s="16">
        <v>0.338653733157325</v>
      </c>
      <c r="J43" s="16">
        <v>0.68411795412613197</v>
      </c>
      <c r="K43" s="16">
        <v>0.60633990987824105</v>
      </c>
      <c r="L43" s="16">
        <v>0.79687254063789603</v>
      </c>
      <c r="M43" s="16">
        <v>0.6</v>
      </c>
      <c r="N43" s="16">
        <v>0.49333333333333301</v>
      </c>
      <c r="O43" s="16">
        <v>0.84210526315789502</v>
      </c>
      <c r="P43" s="17">
        <f t="shared" si="0"/>
        <v>0.32149048159172533</v>
      </c>
      <c r="Q43" s="17">
        <f t="shared" si="1"/>
        <v>0.69577680154742294</v>
      </c>
      <c r="R43" s="17">
        <f t="shared" si="2"/>
        <v>0.64514619883040936</v>
      </c>
      <c r="S43" s="17">
        <f>'02_지표정의'!$C$22*P43+'02_지표정의'!$C$23*Q43+'02_지표정의'!$C$24*R43</f>
        <v>0.60319882660532864</v>
      </c>
      <c r="T43" s="5">
        <f t="shared" si="3"/>
        <v>0</v>
      </c>
      <c r="U43" s="5" t="str">
        <f t="shared" si="4"/>
        <v>특허</v>
      </c>
      <c r="V43" s="18">
        <f t="shared" si="5"/>
        <v>402</v>
      </c>
      <c r="W43" s="5">
        <f t="shared" si="6"/>
        <v>0</v>
      </c>
      <c r="X43" s="5">
        <f t="shared" si="7"/>
        <v>172</v>
      </c>
      <c r="Y43" s="5">
        <f t="shared" si="8"/>
        <v>307</v>
      </c>
      <c r="Z43" s="19">
        <f t="shared" si="9"/>
        <v>16</v>
      </c>
      <c r="AA43" s="20">
        <f>ABS(S43-SUMPRODUCT(('05B_가정검정'!$A$5:$A$19=B43)*('05B_가정검정'!$B$5:$B$19=C43)*'05B_가정검정'!$E$5:$E$19))</f>
        <v>3.2407361296122761E-2</v>
      </c>
      <c r="AB43" s="20">
        <f t="shared" si="10"/>
        <v>-2.8190039709557357E-2</v>
      </c>
    </row>
    <row r="44" spans="1:28">
      <c r="A44" s="15" t="s">
        <v>125</v>
      </c>
      <c r="B44" s="15" t="s">
        <v>123</v>
      </c>
      <c r="C44" s="15" t="s">
        <v>117</v>
      </c>
      <c r="D44" s="16">
        <v>0.22010582010582</v>
      </c>
      <c r="E44" s="16">
        <v>0.28461538461538499</v>
      </c>
      <c r="F44" s="16">
        <v>9.3023255813953501E-2</v>
      </c>
      <c r="G44" s="16">
        <v>0.2</v>
      </c>
      <c r="H44" s="16">
        <v>0.29027119945181901</v>
      </c>
      <c r="I44" s="16">
        <v>0.118652003043437</v>
      </c>
      <c r="J44" s="16">
        <v>0.716883395849092</v>
      </c>
      <c r="K44" s="16">
        <v>0.60660503045019498</v>
      </c>
      <c r="L44" s="16">
        <v>0.79610053608574005</v>
      </c>
      <c r="M44" s="16">
        <v>0.88990825688073405</v>
      </c>
      <c r="N44" s="16">
        <v>0.90163934426229497</v>
      </c>
      <c r="O44" s="16">
        <v>1</v>
      </c>
      <c r="P44" s="17">
        <f t="shared" si="0"/>
        <v>0.20111127717173574</v>
      </c>
      <c r="Q44" s="17">
        <f t="shared" si="1"/>
        <v>0.70652965412834234</v>
      </c>
      <c r="R44" s="17">
        <f t="shared" si="2"/>
        <v>0.93051586704767641</v>
      </c>
      <c r="S44" s="17">
        <f>'02_지표정의'!$C$22*P44+'02_지표정의'!$C$23*Q44+'02_지표정의'!$C$24*R44</f>
        <v>0.68384115325878803</v>
      </c>
      <c r="T44" s="5">
        <f t="shared" si="3"/>
        <v>0</v>
      </c>
      <c r="U44" s="5" t="str">
        <f t="shared" si="4"/>
        <v>특허</v>
      </c>
      <c r="V44" s="18">
        <f t="shared" si="5"/>
        <v>767</v>
      </c>
      <c r="W44" s="5">
        <f t="shared" si="6"/>
        <v>538</v>
      </c>
      <c r="X44" s="5">
        <f t="shared" si="7"/>
        <v>443</v>
      </c>
      <c r="Y44" s="5">
        <f t="shared" si="8"/>
        <v>0</v>
      </c>
      <c r="Z44" s="19">
        <f t="shared" si="9"/>
        <v>14</v>
      </c>
      <c r="AA44" s="20">
        <f>ABS(S44-SUMPRODUCT(('05B_가정검정'!$A$5:$A$19=B44)*('05B_가정검정'!$B$5:$B$19=C44)*'05B_가정검정'!$E$5:$E$19))</f>
        <v>3.1081729517435708E-2</v>
      </c>
      <c r="AB44" s="20">
        <f t="shared" si="10"/>
        <v>-2.4144298552455146E-2</v>
      </c>
    </row>
    <row r="45" spans="1:28">
      <c r="A45" s="15" t="s">
        <v>125</v>
      </c>
      <c r="B45" s="15" t="s">
        <v>123</v>
      </c>
      <c r="C45" s="15" t="s">
        <v>118</v>
      </c>
      <c r="D45" s="16">
        <v>0.31700288184438002</v>
      </c>
      <c r="E45" s="16">
        <v>0.40131578947368401</v>
      </c>
      <c r="F45" s="16">
        <v>0.139072847682119</v>
      </c>
      <c r="G45" s="16">
        <v>0.25</v>
      </c>
      <c r="H45" s="16">
        <v>0.27369926934757099</v>
      </c>
      <c r="I45" s="16">
        <v>0.36160183099165499</v>
      </c>
      <c r="J45" s="16">
        <v>0.70339071238548401</v>
      </c>
      <c r="K45" s="16">
        <v>0.65540218592851396</v>
      </c>
      <c r="L45" s="16">
        <v>0.82616632802409595</v>
      </c>
      <c r="M45" s="16">
        <v>0.32013201320132001</v>
      </c>
      <c r="N45" s="16">
        <v>0.30327868852459</v>
      </c>
      <c r="O45" s="16">
        <v>0.52631578947368396</v>
      </c>
      <c r="P45" s="17">
        <f t="shared" si="0"/>
        <v>0.29044876988990148</v>
      </c>
      <c r="Q45" s="17">
        <f t="shared" si="1"/>
        <v>0.72831974211269801</v>
      </c>
      <c r="R45" s="17">
        <f t="shared" si="2"/>
        <v>0.38324216373319803</v>
      </c>
      <c r="S45" s="17">
        <f>'02_지표정의'!$C$22*P45+'02_지표정의'!$C$23*Q45+'02_지표정의'!$C$24*R45</f>
        <v>0.51996839523531369</v>
      </c>
      <c r="T45" s="5">
        <f t="shared" si="3"/>
        <v>0</v>
      </c>
      <c r="U45" s="5" t="str">
        <f t="shared" si="4"/>
        <v>특허</v>
      </c>
      <c r="V45" s="18">
        <f t="shared" si="5"/>
        <v>92</v>
      </c>
      <c r="W45" s="5">
        <f t="shared" si="6"/>
        <v>83</v>
      </c>
      <c r="X45" s="5">
        <f t="shared" si="7"/>
        <v>0</v>
      </c>
      <c r="Y45" s="5">
        <f t="shared" si="8"/>
        <v>84</v>
      </c>
      <c r="Z45" s="19">
        <f t="shared" si="9"/>
        <v>21</v>
      </c>
      <c r="AA45" s="20">
        <f>ABS(S45-SUMPRODUCT(('05B_가정검정'!$A$5:$A$19=B45)*('05B_가정검정'!$B$5:$B$19=C45)*'05B_가정검정'!$E$5:$E$19))</f>
        <v>5.5330431643656031E-2</v>
      </c>
      <c r="AB45" s="20">
        <f t="shared" si="10"/>
        <v>-3.9903212689177403E-2</v>
      </c>
    </row>
    <row r="46" spans="1:28">
      <c r="A46" s="15" t="s">
        <v>125</v>
      </c>
      <c r="B46" s="15" t="s">
        <v>123</v>
      </c>
      <c r="C46" s="15" t="s">
        <v>119</v>
      </c>
      <c r="D46" s="16">
        <v>0.33124215809284802</v>
      </c>
      <c r="E46" s="16">
        <v>0.417670682730924</v>
      </c>
      <c r="F46" s="16">
        <v>0.11336032388664</v>
      </c>
      <c r="G46" s="16">
        <v>0.27309236947791199</v>
      </c>
      <c r="H46" s="16">
        <v>0.37130813115462002</v>
      </c>
      <c r="I46" s="16">
        <v>0.371384877190442</v>
      </c>
      <c r="J46" s="16">
        <v>0.71131637312509899</v>
      </c>
      <c r="K46" s="16">
        <v>0.629232526409646</v>
      </c>
      <c r="L46" s="16">
        <v>0.83596122286879304</v>
      </c>
      <c r="M46" s="16">
        <v>0.74615384615384595</v>
      </c>
      <c r="N46" s="16">
        <v>0.65333333333333299</v>
      </c>
      <c r="O46" s="16">
        <v>0.84210526315789502</v>
      </c>
      <c r="P46" s="17">
        <f t="shared" si="0"/>
        <v>0.31300975708889767</v>
      </c>
      <c r="Q46" s="17">
        <f t="shared" si="1"/>
        <v>0.7255033741345126</v>
      </c>
      <c r="R46" s="17">
        <f t="shared" si="2"/>
        <v>0.74719748088169136</v>
      </c>
      <c r="S46" s="17">
        <f>'02_지표정의'!$C$22*P46+'02_지표정의'!$C$23*Q46+'02_지표정의'!$C$24*R46</f>
        <v>0.65059758808690216</v>
      </c>
      <c r="T46" s="5">
        <f t="shared" si="3"/>
        <v>1</v>
      </c>
      <c r="U46" s="5" t="str">
        <f t="shared" si="4"/>
        <v>특허</v>
      </c>
      <c r="V46" s="18">
        <f t="shared" si="5"/>
        <v>620</v>
      </c>
      <c r="W46" s="5">
        <f t="shared" si="6"/>
        <v>0</v>
      </c>
      <c r="X46" s="5">
        <f t="shared" si="7"/>
        <v>306</v>
      </c>
      <c r="Y46" s="5">
        <f t="shared" si="8"/>
        <v>463</v>
      </c>
      <c r="Z46" s="19">
        <f t="shared" si="9"/>
        <v>16</v>
      </c>
      <c r="AA46" s="20">
        <f>ABS(S46-SUMPRODUCT(('05B_가정검정'!$A$5:$A$19=B46)*('05B_가정검정'!$B$5:$B$19=C46)*'05B_가정검정'!$E$5:$E$19))</f>
        <v>3.5032209237325196E-2</v>
      </c>
      <c r="AB46" s="20">
        <f t="shared" si="10"/>
        <v>-3.1821144958099623E-2</v>
      </c>
    </row>
    <row r="47" spans="1:28">
      <c r="A47" s="15" t="s">
        <v>126</v>
      </c>
      <c r="B47" s="15" t="s">
        <v>116</v>
      </c>
      <c r="C47" s="15" t="s">
        <v>117</v>
      </c>
      <c r="D47" s="16">
        <v>0.19420289855072501</v>
      </c>
      <c r="E47" s="16">
        <v>0.33980582524271902</v>
      </c>
      <c r="F47" s="16">
        <v>0.11764705882352899</v>
      </c>
      <c r="G47" s="16">
        <v>0.242718446601942</v>
      </c>
      <c r="H47" s="16">
        <v>0.20091364105411899</v>
      </c>
      <c r="I47" s="16">
        <v>0.198786188712329</v>
      </c>
      <c r="J47" s="16">
        <v>0.71152244257131003</v>
      </c>
      <c r="K47" s="16">
        <v>0.610639441187798</v>
      </c>
      <c r="L47" s="16">
        <v>0.81407966763839801</v>
      </c>
      <c r="M47" s="16">
        <v>0.45549738219895303</v>
      </c>
      <c r="N47" s="16">
        <v>1.9607843137254902E-2</v>
      </c>
      <c r="O47" s="16">
        <v>0.52631578947368396</v>
      </c>
      <c r="P47" s="17">
        <f t="shared" si="0"/>
        <v>0.21567900983089383</v>
      </c>
      <c r="Q47" s="17">
        <f t="shared" si="1"/>
        <v>0.71208051713250198</v>
      </c>
      <c r="R47" s="17">
        <f t="shared" si="2"/>
        <v>0.33380700493663062</v>
      </c>
      <c r="S47" s="17">
        <f>'02_지표정의'!$C$22*P47+'02_지표정의'!$C$23*Q47+'02_지표정의'!$C$24*R47</f>
        <v>0.48040448640362537</v>
      </c>
      <c r="T47" s="5">
        <f t="shared" si="3"/>
        <v>0</v>
      </c>
      <c r="U47" s="5" t="str">
        <f t="shared" si="4"/>
        <v>특허</v>
      </c>
      <c r="V47" s="18">
        <f t="shared" si="5"/>
        <v>18</v>
      </c>
      <c r="W47" s="5">
        <f t="shared" si="6"/>
        <v>12</v>
      </c>
      <c r="X47" s="5">
        <f t="shared" si="7"/>
        <v>8</v>
      </c>
      <c r="Y47" s="5">
        <f t="shared" si="8"/>
        <v>0</v>
      </c>
      <c r="Z47" s="19">
        <f t="shared" si="9"/>
        <v>1</v>
      </c>
      <c r="AA47" s="20">
        <f>ABS(S47-SUMPRODUCT(('05B_가정검정'!$A$5:$A$19=B47)*('05B_가정검정'!$B$5:$B$19=C47)*'05B_가정검정'!$E$5:$E$19))</f>
        <v>7.6999218581341899E-2</v>
      </c>
      <c r="AB47" s="20">
        <f t="shared" si="10"/>
        <v>-7.2146679008998016E-2</v>
      </c>
    </row>
    <row r="48" spans="1:28">
      <c r="A48" s="15" t="s">
        <v>126</v>
      </c>
      <c r="B48" s="15" t="s">
        <v>116</v>
      </c>
      <c r="C48" s="15" t="s">
        <v>118</v>
      </c>
      <c r="D48" s="16">
        <v>0.27767354596622901</v>
      </c>
      <c r="E48" s="16">
        <v>0.23050847457627099</v>
      </c>
      <c r="F48" s="16">
        <v>0.109215017064846</v>
      </c>
      <c r="G48" s="16">
        <v>0.20338983050847501</v>
      </c>
      <c r="H48" s="16">
        <v>0.124606486658332</v>
      </c>
      <c r="I48" s="16">
        <v>0.28110749498412402</v>
      </c>
      <c r="J48" s="16">
        <v>0.72050104986797303</v>
      </c>
      <c r="K48" s="16">
        <v>0.72817018564728697</v>
      </c>
      <c r="L48" s="16">
        <v>0.87428124261592299</v>
      </c>
      <c r="M48" s="16">
        <v>0.44444444444444398</v>
      </c>
      <c r="N48" s="16">
        <v>0</v>
      </c>
      <c r="O48" s="16">
        <v>0.52631578947368396</v>
      </c>
      <c r="P48" s="17">
        <f t="shared" si="0"/>
        <v>0.2044168082930462</v>
      </c>
      <c r="Q48" s="17">
        <f t="shared" si="1"/>
        <v>0.7743174927103943</v>
      </c>
      <c r="R48" s="17">
        <f t="shared" si="2"/>
        <v>0.32358674463937598</v>
      </c>
      <c r="S48" s="17">
        <f>'02_지표정의'!$C$22*P48+'02_지표정의'!$C$23*Q48+'02_지표정의'!$C$24*R48</f>
        <v>0.50258159400206825</v>
      </c>
      <c r="T48" s="5">
        <f t="shared" si="3"/>
        <v>0</v>
      </c>
      <c r="U48" s="5" t="str">
        <f t="shared" si="4"/>
        <v>특허</v>
      </c>
      <c r="V48" s="18">
        <f t="shared" si="5"/>
        <v>49</v>
      </c>
      <c r="W48" s="5">
        <f t="shared" si="6"/>
        <v>43</v>
      </c>
      <c r="X48" s="5">
        <f t="shared" si="7"/>
        <v>0</v>
      </c>
      <c r="Y48" s="5">
        <f t="shared" si="8"/>
        <v>43</v>
      </c>
      <c r="Z48" s="19">
        <f t="shared" si="9"/>
        <v>21</v>
      </c>
      <c r="AA48" s="20">
        <f>ABS(S48-SUMPRODUCT(('05B_가정검정'!$A$5:$A$19=B48)*('05B_가정검정'!$B$5:$B$19=C48)*'05B_가정검정'!$E$5:$E$19))</f>
        <v>2.8710827699653385E-2</v>
      </c>
      <c r="AB48" s="20">
        <f t="shared" si="10"/>
        <v>-2.4967438376518047E-2</v>
      </c>
    </row>
    <row r="49" spans="1:28">
      <c r="A49" s="15" t="s">
        <v>126</v>
      </c>
      <c r="B49" s="15" t="s">
        <v>116</v>
      </c>
      <c r="C49" s="15" t="s">
        <v>119</v>
      </c>
      <c r="D49" s="16">
        <v>0.23529411764705899</v>
      </c>
      <c r="E49" s="16">
        <v>0.33980582524271902</v>
      </c>
      <c r="F49" s="16">
        <v>0.15686274509803899</v>
      </c>
      <c r="G49" s="16">
        <v>0.30097087378640802</v>
      </c>
      <c r="H49" s="16">
        <v>0.21670138166606601</v>
      </c>
      <c r="I49" s="16">
        <v>0.30776615162725202</v>
      </c>
      <c r="J49" s="16">
        <v>0.71761377797709403</v>
      </c>
      <c r="K49" s="16">
        <v>0.66828570473660198</v>
      </c>
      <c r="L49" s="16">
        <v>0.83134904783191399</v>
      </c>
      <c r="M49" s="16">
        <v>0.53926701570680602</v>
      </c>
      <c r="N49" s="16">
        <v>0</v>
      </c>
      <c r="O49" s="16">
        <v>0.52631578947368396</v>
      </c>
      <c r="P49" s="17">
        <f t="shared" si="0"/>
        <v>0.25956684917792389</v>
      </c>
      <c r="Q49" s="17">
        <f t="shared" si="1"/>
        <v>0.73908284351520326</v>
      </c>
      <c r="R49" s="17">
        <f t="shared" si="2"/>
        <v>0.3551942683934966</v>
      </c>
      <c r="S49" s="17">
        <f>'02_지표정의'!$C$22*P49+'02_지표정의'!$C$23*Q49+'02_지표정의'!$C$24*R49</f>
        <v>0.50881864335515004</v>
      </c>
      <c r="T49" s="5">
        <f t="shared" si="3"/>
        <v>0</v>
      </c>
      <c r="U49" s="5" t="str">
        <f t="shared" si="4"/>
        <v>특허</v>
      </c>
      <c r="V49" s="18">
        <f t="shared" si="5"/>
        <v>62</v>
      </c>
      <c r="W49" s="5">
        <f t="shared" si="6"/>
        <v>0</v>
      </c>
      <c r="X49" s="5">
        <f t="shared" si="7"/>
        <v>15</v>
      </c>
      <c r="Y49" s="5">
        <f t="shared" si="8"/>
        <v>55</v>
      </c>
      <c r="Z49" s="19">
        <f t="shared" si="9"/>
        <v>3</v>
      </c>
      <c r="AA49" s="20">
        <f>ABS(S49-SUMPRODUCT(('05B_가정검정'!$A$5:$A$19=B49)*('05B_가정검정'!$B$5:$B$19=C49)*'05B_가정검정'!$E$5:$E$19))</f>
        <v>4.4204873387632571E-2</v>
      </c>
      <c r="AB49" s="20">
        <f t="shared" si="10"/>
        <v>-4.7633840321030019E-2</v>
      </c>
    </row>
    <row r="50" spans="1:28">
      <c r="A50" s="15" t="s">
        <v>126</v>
      </c>
      <c r="B50" s="15" t="s">
        <v>120</v>
      </c>
      <c r="C50" s="15" t="s">
        <v>117</v>
      </c>
      <c r="D50" s="16">
        <v>0.22577422577422601</v>
      </c>
      <c r="E50" s="16">
        <v>0.29457364341085301</v>
      </c>
      <c r="F50" s="16">
        <v>8.59375E-2</v>
      </c>
      <c r="G50" s="16">
        <v>0.224806201550388</v>
      </c>
      <c r="H50" s="16">
        <v>0.320636072820081</v>
      </c>
      <c r="I50" s="16">
        <v>0.194654507210719</v>
      </c>
      <c r="J50" s="16">
        <v>0.70202940033716799</v>
      </c>
      <c r="K50" s="16">
        <v>0.67527188938845395</v>
      </c>
      <c r="L50" s="16">
        <v>0.84897860773170797</v>
      </c>
      <c r="M50" s="16">
        <v>0.85321100917431203</v>
      </c>
      <c r="N50" s="16">
        <v>0.86885245901639296</v>
      </c>
      <c r="O50" s="16">
        <v>1</v>
      </c>
      <c r="P50" s="17">
        <f t="shared" si="0"/>
        <v>0.2243970251277112</v>
      </c>
      <c r="Q50" s="17">
        <f t="shared" si="1"/>
        <v>0.74209329915244326</v>
      </c>
      <c r="R50" s="17">
        <f t="shared" si="2"/>
        <v>0.90735448939690178</v>
      </c>
      <c r="S50" s="17">
        <f>'02_지표정의'!$C$22*P50+'02_지표정의'!$C$23*Q50+'02_지표정의'!$C$24*R50</f>
        <v>0.69639546093305738</v>
      </c>
      <c r="T50" s="5">
        <f t="shared" si="3"/>
        <v>0</v>
      </c>
      <c r="U50" s="5" t="str">
        <f t="shared" si="4"/>
        <v>특허</v>
      </c>
      <c r="V50" s="18">
        <f t="shared" si="5"/>
        <v>812</v>
      </c>
      <c r="W50" s="5">
        <f t="shared" si="6"/>
        <v>552</v>
      </c>
      <c r="X50" s="5">
        <f t="shared" si="7"/>
        <v>487</v>
      </c>
      <c r="Y50" s="5">
        <f t="shared" si="8"/>
        <v>0</v>
      </c>
      <c r="Z50" s="19">
        <f t="shared" si="9"/>
        <v>64</v>
      </c>
      <c r="AA50" s="20">
        <f>ABS(S50-SUMPRODUCT(('05B_가정검정'!$A$5:$A$19=B50)*('05B_가정검정'!$B$5:$B$19=C50)*'05B_가정검정'!$E$5:$E$19))</f>
        <v>6.83465008759363E-2</v>
      </c>
      <c r="AB50" s="20">
        <f t="shared" si="10"/>
        <v>6.5092757508300236E-2</v>
      </c>
    </row>
    <row r="51" spans="1:28">
      <c r="A51" s="15" t="s">
        <v>126</v>
      </c>
      <c r="B51" s="15" t="s">
        <v>120</v>
      </c>
      <c r="C51" s="15" t="s">
        <v>118</v>
      </c>
      <c r="D51" s="16">
        <v>0.26066350710900499</v>
      </c>
      <c r="E51" s="16">
        <v>0.31123919308357401</v>
      </c>
      <c r="F51" s="16">
        <v>0.133333333333333</v>
      </c>
      <c r="G51" s="16">
        <v>0.19596541786743499</v>
      </c>
      <c r="H51" s="16">
        <v>0.21303359304684599</v>
      </c>
      <c r="I51" s="16">
        <v>0.268726838167613</v>
      </c>
      <c r="J51" s="16">
        <v>0.69857473482229104</v>
      </c>
      <c r="K51" s="16">
        <v>0.68150688435756701</v>
      </c>
      <c r="L51" s="16">
        <v>0.83149163478375598</v>
      </c>
      <c r="M51" s="16">
        <v>0.390946502057613</v>
      </c>
      <c r="N51" s="16">
        <v>0.44537815126050401</v>
      </c>
      <c r="O51" s="16">
        <v>1</v>
      </c>
      <c r="P51" s="17">
        <f t="shared" si="0"/>
        <v>0.23049364710130096</v>
      </c>
      <c r="Q51" s="17">
        <f t="shared" si="1"/>
        <v>0.73719108465453809</v>
      </c>
      <c r="R51" s="17">
        <f t="shared" si="2"/>
        <v>0.61210821777270563</v>
      </c>
      <c r="S51" s="17">
        <f>'02_지표정의'!$C$22*P51+'02_지표정의'!$C$23*Q51+'02_지표정의'!$C$24*R51</f>
        <v>0.59207259373524934</v>
      </c>
      <c r="T51" s="5">
        <f t="shared" si="3"/>
        <v>0</v>
      </c>
      <c r="U51" s="5" t="str">
        <f t="shared" si="4"/>
        <v>특허</v>
      </c>
      <c r="V51" s="18">
        <f t="shared" si="5"/>
        <v>354</v>
      </c>
      <c r="W51" s="5">
        <f t="shared" si="6"/>
        <v>287</v>
      </c>
      <c r="X51" s="5">
        <f t="shared" si="7"/>
        <v>0</v>
      </c>
      <c r="Y51" s="5">
        <f t="shared" si="8"/>
        <v>271</v>
      </c>
      <c r="Z51" s="19">
        <f t="shared" si="9"/>
        <v>34</v>
      </c>
      <c r="AA51" s="20">
        <f>ABS(S51-SUMPRODUCT(('05B_가정검정'!$A$5:$A$19=B51)*('05B_가정검정'!$B$5:$B$19=C51)*'05B_가정검정'!$E$5:$E$19))</f>
        <v>1.2437451536213562E-3</v>
      </c>
      <c r="AB51" s="20">
        <f t="shared" si="10"/>
        <v>1.7181817773138541E-2</v>
      </c>
    </row>
    <row r="52" spans="1:28">
      <c r="A52" s="15" t="s">
        <v>126</v>
      </c>
      <c r="B52" s="15" t="s">
        <v>120</v>
      </c>
      <c r="C52" s="15" t="s">
        <v>119</v>
      </c>
      <c r="D52" s="16">
        <v>0.29574468085106398</v>
      </c>
      <c r="E52" s="16">
        <v>0.418604651162791</v>
      </c>
      <c r="F52" s="16">
        <v>0.1953125</v>
      </c>
      <c r="G52" s="16">
        <v>0.32558139534883701</v>
      </c>
      <c r="H52" s="16">
        <v>0.36969177081761501</v>
      </c>
      <c r="I52" s="16">
        <v>0.45012430684645899</v>
      </c>
      <c r="J52" s="16">
        <v>0.70999698649338405</v>
      </c>
      <c r="K52" s="16">
        <v>0.72075224260387605</v>
      </c>
      <c r="L52" s="16">
        <v>0.87169787312802305</v>
      </c>
      <c r="M52" s="16">
        <v>0.63265306122449005</v>
      </c>
      <c r="N52" s="16">
        <v>0.706666666666667</v>
      </c>
      <c r="O52" s="16">
        <v>1</v>
      </c>
      <c r="P52" s="17">
        <f t="shared" si="0"/>
        <v>0.34250988417112765</v>
      </c>
      <c r="Q52" s="17">
        <f t="shared" si="1"/>
        <v>0.76748236740842779</v>
      </c>
      <c r="R52" s="17">
        <f t="shared" si="2"/>
        <v>0.77977324263038561</v>
      </c>
      <c r="S52" s="17">
        <f>'02_지표정의'!$C$22*P52+'02_지표정의'!$C$23*Q52+'02_지표정의'!$C$24*R52</f>
        <v>0.68678967708865302</v>
      </c>
      <c r="T52" s="5">
        <f t="shared" si="3"/>
        <v>0</v>
      </c>
      <c r="U52" s="5" t="str">
        <f t="shared" si="4"/>
        <v>특허</v>
      </c>
      <c r="V52" s="18">
        <f t="shared" si="5"/>
        <v>775</v>
      </c>
      <c r="W52" s="5">
        <f t="shared" si="6"/>
        <v>0</v>
      </c>
      <c r="X52" s="5">
        <f t="shared" si="7"/>
        <v>451</v>
      </c>
      <c r="Y52" s="5">
        <f t="shared" si="8"/>
        <v>559</v>
      </c>
      <c r="Z52" s="19">
        <f t="shared" si="9"/>
        <v>47</v>
      </c>
      <c r="AA52" s="20">
        <f>ABS(S52-SUMPRODUCT(('05B_가정검정'!$A$5:$A$19=B52)*('05B_가정검정'!$B$5:$B$19=C52)*'05B_가정검정'!$E$5:$E$19))</f>
        <v>2.3112360607266735E-2</v>
      </c>
      <c r="AB52" s="20">
        <f t="shared" si="10"/>
        <v>2.83666695778374E-2</v>
      </c>
    </row>
    <row r="53" spans="1:28">
      <c r="A53" s="15" t="s">
        <v>126</v>
      </c>
      <c r="B53" s="15" t="s">
        <v>121</v>
      </c>
      <c r="C53" s="15" t="s">
        <v>117</v>
      </c>
      <c r="D53" s="16">
        <v>0.23907455012853501</v>
      </c>
      <c r="E53" s="16">
        <v>0.29955947136563899</v>
      </c>
      <c r="F53" s="16">
        <v>8.8888888888888906E-2</v>
      </c>
      <c r="G53" s="16">
        <v>0.22026431718061701</v>
      </c>
      <c r="H53" s="16">
        <v>0.28400003318778599</v>
      </c>
      <c r="I53" s="16">
        <v>0.210993843458503</v>
      </c>
      <c r="J53" s="16">
        <v>0.74620854060248099</v>
      </c>
      <c r="K53" s="16">
        <v>0.77257817435679998</v>
      </c>
      <c r="L53" s="16">
        <v>0.88991505294608098</v>
      </c>
      <c r="M53" s="16">
        <v>0.88990825688073405</v>
      </c>
      <c r="N53" s="16">
        <v>0.90163934426229497</v>
      </c>
      <c r="O53" s="16">
        <v>1</v>
      </c>
      <c r="P53" s="17">
        <f t="shared" si="0"/>
        <v>0.22379685070166147</v>
      </c>
      <c r="Q53" s="17">
        <f t="shared" si="1"/>
        <v>0.80290058930178743</v>
      </c>
      <c r="R53" s="17">
        <f t="shared" si="2"/>
        <v>0.93051586704767641</v>
      </c>
      <c r="S53" s="17">
        <f>'02_지표정의'!$C$22*P53+'02_지표정의'!$C$23*Q53+'02_지표정의'!$C$24*R53</f>
        <v>0.73174518879282346</v>
      </c>
      <c r="T53" s="5">
        <f t="shared" si="3"/>
        <v>1</v>
      </c>
      <c r="U53" s="5" t="str">
        <f t="shared" si="4"/>
        <v>특허</v>
      </c>
      <c r="V53" s="18">
        <f t="shared" si="5"/>
        <v>906</v>
      </c>
      <c r="W53" s="5">
        <f t="shared" si="6"/>
        <v>611</v>
      </c>
      <c r="X53" s="5">
        <f t="shared" si="7"/>
        <v>581</v>
      </c>
      <c r="Y53" s="5">
        <f t="shared" si="8"/>
        <v>0</v>
      </c>
      <c r="Z53" s="19">
        <f t="shared" si="9"/>
        <v>36</v>
      </c>
      <c r="AA53" s="20">
        <f>ABS(S53-SUMPRODUCT(('05B_가정검정'!$A$5:$A$19=B53)*('05B_가정검정'!$B$5:$B$19=C53)*'05B_가정검정'!$E$5:$E$19))</f>
        <v>2.3131174109423114E-3</v>
      </c>
      <c r="AB53" s="20">
        <f t="shared" si="10"/>
        <v>1.4093395719942503E-2</v>
      </c>
    </row>
    <row r="54" spans="1:28">
      <c r="A54" s="15" t="s">
        <v>126</v>
      </c>
      <c r="B54" s="15" t="s">
        <v>121</v>
      </c>
      <c r="C54" s="15" t="s">
        <v>118</v>
      </c>
      <c r="D54" s="16">
        <v>0.30917874396135298</v>
      </c>
      <c r="E54" s="16">
        <v>0.278481012658228</v>
      </c>
      <c r="F54" s="16">
        <v>8.9171974522293002E-2</v>
      </c>
      <c r="G54" s="16">
        <v>0.19620253164557</v>
      </c>
      <c r="H54" s="16">
        <v>0.18372090626156501</v>
      </c>
      <c r="I54" s="16">
        <v>0.38069317948278703</v>
      </c>
      <c r="J54" s="16">
        <v>0.73483667763970695</v>
      </c>
      <c r="K54" s="16">
        <v>0.81421898044599095</v>
      </c>
      <c r="L54" s="16">
        <v>0.91786940939164496</v>
      </c>
      <c r="M54" s="16">
        <v>0.39917695473251003</v>
      </c>
      <c r="N54" s="16">
        <v>0.46218487394958002</v>
      </c>
      <c r="O54" s="16">
        <v>1</v>
      </c>
      <c r="P54" s="17">
        <f t="shared" si="0"/>
        <v>0.23957472475529931</v>
      </c>
      <c r="Q54" s="17">
        <f t="shared" si="1"/>
        <v>0.82230835582578099</v>
      </c>
      <c r="R54" s="17">
        <f t="shared" si="2"/>
        <v>0.62045394289403</v>
      </c>
      <c r="S54" s="17">
        <f>'02_지표정의'!$C$22*P54+'02_지표정의'!$C$23*Q54+'02_지표정의'!$C$24*R54</f>
        <v>0.63511258508557178</v>
      </c>
      <c r="T54" s="5">
        <f t="shared" si="3"/>
        <v>0</v>
      </c>
      <c r="U54" s="5" t="str">
        <f t="shared" si="4"/>
        <v>특허</v>
      </c>
      <c r="V54" s="18">
        <f t="shared" si="5"/>
        <v>556</v>
      </c>
      <c r="W54" s="5">
        <f t="shared" si="6"/>
        <v>436</v>
      </c>
      <c r="X54" s="5">
        <f t="shared" si="7"/>
        <v>0</v>
      </c>
      <c r="Y54" s="5">
        <f t="shared" si="8"/>
        <v>420</v>
      </c>
      <c r="Z54" s="19">
        <f t="shared" si="9"/>
        <v>58</v>
      </c>
      <c r="AA54" s="20">
        <f>ABS(S54-SUMPRODUCT(('05B_가정검정'!$A$5:$A$19=B54)*('05B_가정검정'!$B$5:$B$19=C54)*'05B_가정검정'!$E$5:$E$19))</f>
        <v>3.6533094918603348E-2</v>
      </c>
      <c r="AB54" s="20">
        <f t="shared" si="10"/>
        <v>5.5713510558758506E-2</v>
      </c>
    </row>
    <row r="55" spans="1:28">
      <c r="A55" s="15" t="s">
        <v>126</v>
      </c>
      <c r="B55" s="15" t="s">
        <v>121</v>
      </c>
      <c r="C55" s="15" t="s">
        <v>119</v>
      </c>
      <c r="D55" s="16">
        <v>0.31520223152022298</v>
      </c>
      <c r="E55" s="16">
        <v>0.46696035242290801</v>
      </c>
      <c r="F55" s="16">
        <v>0.21333333333333299</v>
      </c>
      <c r="G55" s="16">
        <v>0.32599118942731298</v>
      </c>
      <c r="H55" s="16">
        <v>0.324350260636729</v>
      </c>
      <c r="I55" s="16">
        <v>0.38158841436998397</v>
      </c>
      <c r="J55" s="16">
        <v>0.75403572779851802</v>
      </c>
      <c r="K55" s="16">
        <v>0.80125052820046705</v>
      </c>
      <c r="L55" s="16">
        <v>0.90338115523602602</v>
      </c>
      <c r="M55" s="16">
        <v>0.65986394557823103</v>
      </c>
      <c r="N55" s="16">
        <v>0.73333333333333295</v>
      </c>
      <c r="O55" s="16">
        <v>1</v>
      </c>
      <c r="P55" s="17">
        <f t="shared" si="0"/>
        <v>0.33790429695174828</v>
      </c>
      <c r="Q55" s="17">
        <f t="shared" si="1"/>
        <v>0.8195558037450037</v>
      </c>
      <c r="R55" s="17">
        <f t="shared" si="2"/>
        <v>0.79773242630385466</v>
      </c>
      <c r="S55" s="17">
        <f>'02_지표정의'!$C$22*P55+'02_지표정의'!$C$23*Q55+'02_지표정의'!$C$24*R55</f>
        <v>0.71558732028195049</v>
      </c>
      <c r="T55" s="5">
        <f t="shared" si="3"/>
        <v>0</v>
      </c>
      <c r="U55" s="5" t="str">
        <f t="shared" si="4"/>
        <v>특허</v>
      </c>
      <c r="V55" s="18">
        <f t="shared" si="5"/>
        <v>861</v>
      </c>
      <c r="W55" s="5">
        <f t="shared" si="6"/>
        <v>0</v>
      </c>
      <c r="X55" s="5">
        <f t="shared" si="7"/>
        <v>536</v>
      </c>
      <c r="Y55" s="5">
        <f t="shared" si="8"/>
        <v>614</v>
      </c>
      <c r="Z55" s="19">
        <f t="shared" si="9"/>
        <v>47</v>
      </c>
      <c r="AA55" s="20">
        <f>ABS(S55-SUMPRODUCT(('05B_가정검정'!$A$5:$A$19=B55)*('05B_가정검정'!$B$5:$B$19=C55)*'05B_가정검정'!$E$5:$E$19))</f>
        <v>2.326747748609681E-2</v>
      </c>
      <c r="AB55" s="20">
        <f t="shared" si="10"/>
        <v>2.7350344862339449E-2</v>
      </c>
    </row>
    <row r="56" spans="1:28">
      <c r="A56" s="15" t="s">
        <v>126</v>
      </c>
      <c r="B56" s="15" t="s">
        <v>122</v>
      </c>
      <c r="C56" s="15" t="s">
        <v>117</v>
      </c>
      <c r="D56" s="16">
        <v>0.24671916010498701</v>
      </c>
      <c r="E56" s="16">
        <v>0.293577981651376</v>
      </c>
      <c r="F56" s="16">
        <v>9.2592592592592601E-2</v>
      </c>
      <c r="G56" s="16">
        <v>0.247706422018349</v>
      </c>
      <c r="H56" s="16">
        <v>0.25836662364016899</v>
      </c>
      <c r="I56" s="16">
        <v>0.19328930355277599</v>
      </c>
      <c r="J56" s="16">
        <v>0.72452705917207405</v>
      </c>
      <c r="K56" s="16">
        <v>0.68996649629826301</v>
      </c>
      <c r="L56" s="16">
        <v>0.84667968606064703</v>
      </c>
      <c r="M56" s="16">
        <v>0.73109243697478998</v>
      </c>
      <c r="N56" s="16">
        <v>0.72727272727272696</v>
      </c>
      <c r="O56" s="16">
        <v>1</v>
      </c>
      <c r="P56" s="17">
        <f t="shared" si="0"/>
        <v>0.22204201392670828</v>
      </c>
      <c r="Q56" s="17">
        <f t="shared" si="1"/>
        <v>0.75372441384366129</v>
      </c>
      <c r="R56" s="17">
        <f t="shared" si="2"/>
        <v>0.81945505474917235</v>
      </c>
      <c r="S56" s="17">
        <f>'02_지표정의'!$C$22*P56+'02_지표정의'!$C$23*Q56+'02_지표정의'!$C$24*R56</f>
        <v>0.67039365817719943</v>
      </c>
      <c r="T56" s="5">
        <f t="shared" si="3"/>
        <v>0</v>
      </c>
      <c r="U56" s="5" t="str">
        <f t="shared" si="4"/>
        <v>특허</v>
      </c>
      <c r="V56" s="18">
        <f t="shared" si="5"/>
        <v>717</v>
      </c>
      <c r="W56" s="5">
        <f t="shared" si="6"/>
        <v>514</v>
      </c>
      <c r="X56" s="5">
        <f t="shared" si="7"/>
        <v>396</v>
      </c>
      <c r="Y56" s="5">
        <f t="shared" si="8"/>
        <v>0</v>
      </c>
      <c r="Z56" s="19">
        <f t="shared" si="9"/>
        <v>61</v>
      </c>
      <c r="AA56" s="20">
        <f>ABS(S56-SUMPRODUCT(('05B_가정검정'!$A$5:$A$19=B56)*('05B_가정검정'!$B$5:$B$19=C56)*'05B_가정검정'!$E$5:$E$19))</f>
        <v>3.1040703468520947E-2</v>
      </c>
      <c r="AB56" s="20">
        <f t="shared" si="10"/>
        <v>4.7512035987553269E-2</v>
      </c>
    </row>
    <row r="57" spans="1:28">
      <c r="A57" s="15" t="s">
        <v>126</v>
      </c>
      <c r="B57" s="15" t="s">
        <v>122</v>
      </c>
      <c r="C57" s="15" t="s">
        <v>118</v>
      </c>
      <c r="D57" s="16">
        <v>0.37685950413223102</v>
      </c>
      <c r="E57" s="16">
        <v>0.325732899022801</v>
      </c>
      <c r="F57" s="16">
        <v>0.137704918032787</v>
      </c>
      <c r="G57" s="16">
        <v>0.24104234527687299</v>
      </c>
      <c r="H57" s="16">
        <v>0.18248886087305</v>
      </c>
      <c r="I57" s="16">
        <v>0.410112933731128</v>
      </c>
      <c r="J57" s="16">
        <v>0.73182692229075996</v>
      </c>
      <c r="K57" s="16">
        <v>0.78935177615611896</v>
      </c>
      <c r="L57" s="16">
        <v>0.90081429614965802</v>
      </c>
      <c r="M57" s="16">
        <v>0.42386831275720199</v>
      </c>
      <c r="N57" s="16">
        <v>0.369747899159664</v>
      </c>
      <c r="O57" s="16">
        <v>1</v>
      </c>
      <c r="P57" s="17">
        <f t="shared" si="0"/>
        <v>0.27899024351147833</v>
      </c>
      <c r="Q57" s="17">
        <f t="shared" si="1"/>
        <v>0.80733099819884568</v>
      </c>
      <c r="R57" s="17">
        <f t="shared" si="2"/>
        <v>0.59787207063895531</v>
      </c>
      <c r="S57" s="17">
        <f>'02_지표정의'!$C$22*P57+'02_지표정의'!$C$23*Q57+'02_지표정의'!$C$24*R57</f>
        <v>0.62835222261541057</v>
      </c>
      <c r="T57" s="5">
        <f t="shared" si="3"/>
        <v>1</v>
      </c>
      <c r="U57" s="5" t="str">
        <f t="shared" si="4"/>
        <v>특허</v>
      </c>
      <c r="V57" s="18">
        <f t="shared" si="5"/>
        <v>523</v>
      </c>
      <c r="W57" s="5">
        <f t="shared" si="6"/>
        <v>420</v>
      </c>
      <c r="X57" s="5">
        <f t="shared" si="7"/>
        <v>0</v>
      </c>
      <c r="Y57" s="5">
        <f t="shared" si="8"/>
        <v>395</v>
      </c>
      <c r="Z57" s="19">
        <f t="shared" si="9"/>
        <v>53</v>
      </c>
      <c r="AA57" s="20">
        <f>ABS(S57-SUMPRODUCT(('05B_가정검정'!$A$5:$A$19=B57)*('05B_가정검정'!$B$5:$B$19=C57)*'05B_가정검정'!$E$5:$E$19))</f>
        <v>4.1430286618252321E-2</v>
      </c>
      <c r="AB57" s="20">
        <f t="shared" si="10"/>
        <v>4.7128946397726801E-2</v>
      </c>
    </row>
    <row r="58" spans="1:28">
      <c r="A58" s="15" t="s">
        <v>126</v>
      </c>
      <c r="B58" s="15" t="s">
        <v>122</v>
      </c>
      <c r="C58" s="15" t="s">
        <v>119</v>
      </c>
      <c r="D58" s="16">
        <v>0.31098430813124101</v>
      </c>
      <c r="E58" s="16">
        <v>0.394495412844037</v>
      </c>
      <c r="F58" s="16">
        <v>0.11111111111111099</v>
      </c>
      <c r="G58" s="16">
        <v>0.26605504587155998</v>
      </c>
      <c r="H58" s="16">
        <v>0.28666646365695098</v>
      </c>
      <c r="I58" s="16">
        <v>0.29449592055319102</v>
      </c>
      <c r="J58" s="16">
        <v>0.73930795132875504</v>
      </c>
      <c r="K58" s="16">
        <v>0.75841472498612905</v>
      </c>
      <c r="L58" s="16">
        <v>0.87332045514637502</v>
      </c>
      <c r="M58" s="16">
        <v>0.687074829931973</v>
      </c>
      <c r="N58" s="16">
        <v>0.57333333333333303</v>
      </c>
      <c r="O58" s="16">
        <v>1</v>
      </c>
      <c r="P58" s="17">
        <f t="shared" si="0"/>
        <v>0.27730137702801516</v>
      </c>
      <c r="Q58" s="17">
        <f t="shared" si="1"/>
        <v>0.7903477104870863</v>
      </c>
      <c r="R58" s="17">
        <f t="shared" si="2"/>
        <v>0.75346938775510208</v>
      </c>
      <c r="S58" s="17">
        <f>'02_지표정의'!$C$22*P58+'02_지표정의'!$C$23*Q58+'02_지표정의'!$C$24*R58</f>
        <v>0.67483103083907769</v>
      </c>
      <c r="T58" s="5">
        <f t="shared" si="3"/>
        <v>0</v>
      </c>
      <c r="U58" s="5" t="str">
        <f t="shared" si="4"/>
        <v>특허</v>
      </c>
      <c r="V58" s="18">
        <f t="shared" si="5"/>
        <v>737</v>
      </c>
      <c r="W58" s="5">
        <f t="shared" si="6"/>
        <v>0</v>
      </c>
      <c r="X58" s="5">
        <f t="shared" si="7"/>
        <v>416</v>
      </c>
      <c r="Y58" s="5">
        <f t="shared" si="8"/>
        <v>536</v>
      </c>
      <c r="Z58" s="19">
        <f t="shared" si="9"/>
        <v>54</v>
      </c>
      <c r="AA58" s="20">
        <f>ABS(S58-SUMPRODUCT(('05B_가정검정'!$A$5:$A$19=B58)*('05B_가정검정'!$B$5:$B$19=C58)*'05B_가정검정'!$E$5:$E$19))</f>
        <v>3.9224842937626292E-2</v>
      </c>
      <c r="AB58" s="20">
        <f t="shared" si="10"/>
        <v>4.3442164524191695E-2</v>
      </c>
    </row>
    <row r="59" spans="1:28">
      <c r="A59" s="15" t="s">
        <v>126</v>
      </c>
      <c r="B59" s="15" t="s">
        <v>123</v>
      </c>
      <c r="C59" s="15" t="s">
        <v>117</v>
      </c>
      <c r="D59" s="16">
        <v>0.24235294117647099</v>
      </c>
      <c r="E59" s="16">
        <v>0.27237354085603099</v>
      </c>
      <c r="F59" s="16">
        <v>9.41176470588235E-2</v>
      </c>
      <c r="G59" s="16">
        <v>0.21789883268482499</v>
      </c>
      <c r="H59" s="16">
        <v>0.321856079379297</v>
      </c>
      <c r="I59" s="16">
        <v>0.21636532893095101</v>
      </c>
      <c r="J59" s="16">
        <v>0.701942931547343</v>
      </c>
      <c r="K59" s="16">
        <v>0.69789870307276902</v>
      </c>
      <c r="L59" s="16">
        <v>0.875750105101331</v>
      </c>
      <c r="M59" s="16">
        <v>0.88990825688073405</v>
      </c>
      <c r="N59" s="16">
        <v>0.90163934426229497</v>
      </c>
      <c r="O59" s="16">
        <v>1</v>
      </c>
      <c r="P59" s="17">
        <f t="shared" si="0"/>
        <v>0.22749406168106642</v>
      </c>
      <c r="Q59" s="17">
        <f t="shared" si="1"/>
        <v>0.75853057990714756</v>
      </c>
      <c r="R59" s="17">
        <f t="shared" si="2"/>
        <v>0.93051586704767641</v>
      </c>
      <c r="S59" s="17">
        <f>'02_지표정의'!$C$22*P59+'02_지표정의'!$C$23*Q59+'02_지표정의'!$C$24*R59</f>
        <v>0.71251812676111648</v>
      </c>
      <c r="T59" s="5">
        <f t="shared" si="3"/>
        <v>0</v>
      </c>
      <c r="U59" s="5" t="str">
        <f t="shared" si="4"/>
        <v>특허</v>
      </c>
      <c r="V59" s="18">
        <f t="shared" si="5"/>
        <v>853</v>
      </c>
      <c r="W59" s="5">
        <f t="shared" si="6"/>
        <v>568</v>
      </c>
      <c r="X59" s="5">
        <f t="shared" si="7"/>
        <v>528</v>
      </c>
      <c r="Y59" s="5">
        <f t="shared" si="8"/>
        <v>0</v>
      </c>
      <c r="Z59" s="19">
        <f t="shared" si="9"/>
        <v>30</v>
      </c>
      <c r="AA59" s="20">
        <f>ABS(S59-SUMPRODUCT(('05B_가정검정'!$A$5:$A$19=B59)*('05B_가정검정'!$B$5:$B$19=C59)*'05B_가정검정'!$E$5:$E$19))</f>
        <v>2.4047560151072567E-3</v>
      </c>
      <c r="AB59" s="20">
        <f t="shared" si="10"/>
        <v>4.5326749498733054E-3</v>
      </c>
    </row>
    <row r="60" spans="1:28">
      <c r="A60" s="15" t="s">
        <v>126</v>
      </c>
      <c r="B60" s="15" t="s">
        <v>123</v>
      </c>
      <c r="C60" s="15" t="s">
        <v>118</v>
      </c>
      <c r="D60" s="16">
        <v>0.32034632034631999</v>
      </c>
      <c r="E60" s="16">
        <v>0.28901734104046201</v>
      </c>
      <c r="F60" s="16">
        <v>0.127906976744186</v>
      </c>
      <c r="G60" s="16">
        <v>0.21387283236994201</v>
      </c>
      <c r="H60" s="16">
        <v>0.22084078084599801</v>
      </c>
      <c r="I60" s="16">
        <v>0.39396395791261801</v>
      </c>
      <c r="J60" s="16">
        <v>0.70888718622272695</v>
      </c>
      <c r="K60" s="16">
        <v>0.69701122335055399</v>
      </c>
      <c r="L60" s="16">
        <v>0.84807856642819601</v>
      </c>
      <c r="M60" s="16">
        <v>0.39917695473251003</v>
      </c>
      <c r="N60" s="16">
        <v>0.46218487394958002</v>
      </c>
      <c r="O60" s="16">
        <v>1</v>
      </c>
      <c r="P60" s="17">
        <f t="shared" si="0"/>
        <v>0.26099136820992097</v>
      </c>
      <c r="Q60" s="17">
        <f t="shared" si="1"/>
        <v>0.75132565866715895</v>
      </c>
      <c r="R60" s="17">
        <f t="shared" si="2"/>
        <v>0.62045394289403</v>
      </c>
      <c r="S60" s="17">
        <f>'02_지표정의'!$C$22*P60+'02_지표정의'!$C$23*Q60+'02_지표정의'!$C$24*R60</f>
        <v>0.60745370005511623</v>
      </c>
      <c r="T60" s="5">
        <f t="shared" si="3"/>
        <v>0</v>
      </c>
      <c r="U60" s="5" t="str">
        <f t="shared" si="4"/>
        <v>특허</v>
      </c>
      <c r="V60" s="18">
        <f t="shared" si="5"/>
        <v>422</v>
      </c>
      <c r="W60" s="5">
        <f t="shared" si="6"/>
        <v>343</v>
      </c>
      <c r="X60" s="5">
        <f t="shared" si="7"/>
        <v>0</v>
      </c>
      <c r="Y60" s="5">
        <f t="shared" si="8"/>
        <v>321</v>
      </c>
      <c r="Z60" s="19">
        <f t="shared" si="9"/>
        <v>54</v>
      </c>
      <c r="AA60" s="20">
        <f>ABS(S60-SUMPRODUCT(('05B_가정검정'!$A$5:$A$19=B60)*('05B_가정검정'!$B$5:$B$19=C60)*'05B_가정검정'!$E$5:$E$19))</f>
        <v>3.2154873176146515E-2</v>
      </c>
      <c r="AB60" s="20">
        <f t="shared" si="10"/>
        <v>4.7582092130625142E-2</v>
      </c>
    </row>
    <row r="61" spans="1:28">
      <c r="A61" s="15" t="s">
        <v>126</v>
      </c>
      <c r="B61" s="15" t="s">
        <v>123</v>
      </c>
      <c r="C61" s="15" t="s">
        <v>119</v>
      </c>
      <c r="D61" s="16">
        <v>0.31178707224334601</v>
      </c>
      <c r="E61" s="16">
        <v>0.41245136186770398</v>
      </c>
      <c r="F61" s="16">
        <v>0.188235294117647</v>
      </c>
      <c r="G61" s="16">
        <v>0.31128404669260701</v>
      </c>
      <c r="H61" s="16">
        <v>0.38489800322468998</v>
      </c>
      <c r="I61" s="16">
        <v>0.46421884453337597</v>
      </c>
      <c r="J61" s="16">
        <v>0.70470555337617202</v>
      </c>
      <c r="K61" s="16">
        <v>0.70563417372305204</v>
      </c>
      <c r="L61" s="16">
        <v>0.88602477556747605</v>
      </c>
      <c r="M61" s="16">
        <v>0.65986394557823103</v>
      </c>
      <c r="N61" s="16">
        <v>0.73333333333333295</v>
      </c>
      <c r="O61" s="16">
        <v>1</v>
      </c>
      <c r="P61" s="17">
        <f t="shared" si="0"/>
        <v>0.34547910377989499</v>
      </c>
      <c r="Q61" s="17">
        <f t="shared" si="1"/>
        <v>0.76545483422223326</v>
      </c>
      <c r="R61" s="17">
        <f t="shared" si="2"/>
        <v>0.79773242630385466</v>
      </c>
      <c r="S61" s="17">
        <f>'02_지표정의'!$C$22*P61+'02_지표정의'!$C$23*Q61+'02_지표정의'!$C$24*R61</f>
        <v>0.69275684536233306</v>
      </c>
      <c r="T61" s="5">
        <f t="shared" si="3"/>
        <v>1</v>
      </c>
      <c r="U61" s="5" t="str">
        <f t="shared" si="4"/>
        <v>특허</v>
      </c>
      <c r="V61" s="18">
        <f t="shared" si="5"/>
        <v>795</v>
      </c>
      <c r="W61" s="5">
        <f t="shared" si="6"/>
        <v>0</v>
      </c>
      <c r="X61" s="5">
        <f t="shared" si="7"/>
        <v>470</v>
      </c>
      <c r="Y61" s="5">
        <f t="shared" si="8"/>
        <v>574</v>
      </c>
      <c r="Z61" s="19">
        <f t="shared" si="9"/>
        <v>39</v>
      </c>
      <c r="AA61" s="20">
        <f>ABS(S61-SUMPRODUCT(('05B_가정검정'!$A$5:$A$19=B61)*('05B_가정검정'!$B$5:$B$19=C61)*'05B_가정검정'!$E$5:$E$19))</f>
        <v>7.12704803810571E-3</v>
      </c>
      <c r="AB61" s="20">
        <f t="shared" si="10"/>
        <v>1.0338112317331283E-2</v>
      </c>
    </row>
    <row r="62" spans="1:28">
      <c r="A62" s="15" t="s">
        <v>127</v>
      </c>
      <c r="B62" s="15" t="s">
        <v>116</v>
      </c>
      <c r="C62" s="15" t="s">
        <v>117</v>
      </c>
      <c r="D62" s="16">
        <v>0.242595204513399</v>
      </c>
      <c r="E62" s="16">
        <v>0.27317073170731698</v>
      </c>
      <c r="F62" s="16">
        <v>0.108374384236453</v>
      </c>
      <c r="G62" s="16">
        <v>0.224390243902439</v>
      </c>
      <c r="H62" s="16">
        <v>0.18791042574838901</v>
      </c>
      <c r="I62" s="16">
        <v>0.283779893999068</v>
      </c>
      <c r="J62" s="16">
        <v>0.68275356557015299</v>
      </c>
      <c r="K62" s="16">
        <v>0.68309900837652504</v>
      </c>
      <c r="L62" s="16">
        <v>0.84964768275411795</v>
      </c>
      <c r="M62" s="16">
        <v>0.44502617801047101</v>
      </c>
      <c r="N62" s="16">
        <v>9.8039215686274196E-3</v>
      </c>
      <c r="O62" s="16">
        <v>0.52631578947368396</v>
      </c>
      <c r="P62" s="17">
        <f t="shared" si="0"/>
        <v>0.22003681401784414</v>
      </c>
      <c r="Q62" s="17">
        <f t="shared" si="1"/>
        <v>0.73850008556693203</v>
      </c>
      <c r="R62" s="17">
        <f t="shared" si="2"/>
        <v>0.32704862968426079</v>
      </c>
      <c r="S62" s="17">
        <f>'02_지표정의'!$C$22*P62+'02_지표정의'!$C$23*Q62+'02_지표정의'!$C$24*R62</f>
        <v>0.49079942169817947</v>
      </c>
      <c r="T62" s="5">
        <f t="shared" si="3"/>
        <v>0</v>
      </c>
      <c r="U62" s="5" t="str">
        <f t="shared" si="4"/>
        <v>특허</v>
      </c>
      <c r="V62" s="18">
        <f t="shared" si="5"/>
        <v>33</v>
      </c>
      <c r="W62" s="5">
        <f t="shared" si="6"/>
        <v>27</v>
      </c>
      <c r="X62" s="5">
        <f t="shared" si="7"/>
        <v>10</v>
      </c>
      <c r="Y62" s="5">
        <f t="shared" si="8"/>
        <v>0</v>
      </c>
      <c r="Z62" s="19">
        <f t="shared" si="9"/>
        <v>3</v>
      </c>
      <c r="AA62" s="20">
        <f>ABS(S62-SUMPRODUCT(('05B_가정검정'!$A$5:$A$19=B62)*('05B_가정검정'!$B$5:$B$19=C62)*'05B_가정검정'!$E$5:$E$19))</f>
        <v>6.6604283286787802E-2</v>
      </c>
      <c r="AB62" s="20">
        <f t="shared" si="10"/>
        <v>-6.1751743714443919E-2</v>
      </c>
    </row>
    <row r="63" spans="1:28">
      <c r="A63" s="15" t="s">
        <v>127</v>
      </c>
      <c r="B63" s="15" t="s">
        <v>116</v>
      </c>
      <c r="C63" s="15" t="s">
        <v>118</v>
      </c>
      <c r="D63" s="16">
        <v>0.32830188679245298</v>
      </c>
      <c r="E63" s="16">
        <v>0.38048780487804901</v>
      </c>
      <c r="F63" s="16">
        <v>0.18719211822660101</v>
      </c>
      <c r="G63" s="16">
        <v>0.31219512195122001</v>
      </c>
      <c r="H63" s="16">
        <v>0.15889938177660401</v>
      </c>
      <c r="I63" s="16">
        <v>0.52926291856258001</v>
      </c>
      <c r="J63" s="16">
        <v>0.75182338754993705</v>
      </c>
      <c r="K63" s="16">
        <v>0.72722471616013096</v>
      </c>
      <c r="L63" s="16">
        <v>0.87004448979266302</v>
      </c>
      <c r="M63" s="16">
        <v>0.42506811989100801</v>
      </c>
      <c r="N63" s="16">
        <v>0</v>
      </c>
      <c r="O63" s="16">
        <v>1</v>
      </c>
      <c r="P63" s="17">
        <f t="shared" si="0"/>
        <v>0.31605653869791778</v>
      </c>
      <c r="Q63" s="17">
        <f t="shared" si="1"/>
        <v>0.78303086450091042</v>
      </c>
      <c r="R63" s="17">
        <f t="shared" si="2"/>
        <v>0.47502270663033602</v>
      </c>
      <c r="S63" s="17">
        <f>'02_지표정의'!$C$22*P63+'02_지표정의'!$C$23*Q63+'02_지표정의'!$C$24*R63</f>
        <v>0.58183314408561082</v>
      </c>
      <c r="T63" s="5">
        <f t="shared" si="3"/>
        <v>0</v>
      </c>
      <c r="U63" s="5" t="str">
        <f t="shared" si="4"/>
        <v>특허</v>
      </c>
      <c r="V63" s="18">
        <f t="shared" si="5"/>
        <v>327</v>
      </c>
      <c r="W63" s="5">
        <f t="shared" si="6"/>
        <v>266</v>
      </c>
      <c r="X63" s="5">
        <f t="shared" si="7"/>
        <v>0</v>
      </c>
      <c r="Y63" s="5">
        <f t="shared" si="8"/>
        <v>247</v>
      </c>
      <c r="Z63" s="19">
        <f t="shared" si="9"/>
        <v>60</v>
      </c>
      <c r="AA63" s="20">
        <f>ABS(S63-SUMPRODUCT(('05B_가정검정'!$A$5:$A$19=B63)*('05B_가정검정'!$B$5:$B$19=C63)*'05B_가정검정'!$E$5:$E$19))</f>
        <v>5.0540722383889181E-2</v>
      </c>
      <c r="AB63" s="20">
        <f t="shared" si="10"/>
        <v>5.4284111707024518E-2</v>
      </c>
    </row>
    <row r="64" spans="1:28">
      <c r="A64" s="15" t="s">
        <v>127</v>
      </c>
      <c r="B64" s="15" t="s">
        <v>116</v>
      </c>
      <c r="C64" s="15" t="s">
        <v>119</v>
      </c>
      <c r="D64" s="16">
        <v>0.26023391812865498</v>
      </c>
      <c r="E64" s="16">
        <v>0.375</v>
      </c>
      <c r="F64" s="16">
        <v>0.18446601941747601</v>
      </c>
      <c r="G64" s="16">
        <v>0.30769230769230799</v>
      </c>
      <c r="H64" s="16">
        <v>0.20517363133140401</v>
      </c>
      <c r="I64" s="16">
        <v>0.408688675858977</v>
      </c>
      <c r="J64" s="16">
        <v>0.75320956241774695</v>
      </c>
      <c r="K64" s="16">
        <v>0.72033760360674703</v>
      </c>
      <c r="L64" s="16">
        <v>0.871987460834871</v>
      </c>
      <c r="M64" s="16">
        <v>0.43601895734597201</v>
      </c>
      <c r="N64" s="16">
        <v>0</v>
      </c>
      <c r="O64" s="16">
        <v>0.52631578947368396</v>
      </c>
      <c r="P64" s="17">
        <f t="shared" si="0"/>
        <v>0.29020909207147</v>
      </c>
      <c r="Q64" s="17">
        <f t="shared" si="1"/>
        <v>0.78184487561978833</v>
      </c>
      <c r="R64" s="17">
        <f t="shared" si="2"/>
        <v>0.32077824893988532</v>
      </c>
      <c r="S64" s="17">
        <f>'02_지표정의'!$C$22*P64+'02_지표정의'!$C$23*Q64+'02_지표정의'!$C$24*R64</f>
        <v>0.52214439957215864</v>
      </c>
      <c r="T64" s="5">
        <f t="shared" si="3"/>
        <v>0</v>
      </c>
      <c r="U64" s="5" t="str">
        <f t="shared" si="4"/>
        <v>특허</v>
      </c>
      <c r="V64" s="18">
        <f t="shared" si="5"/>
        <v>104</v>
      </c>
      <c r="W64" s="5">
        <f t="shared" si="6"/>
        <v>0</v>
      </c>
      <c r="X64" s="5">
        <f t="shared" si="7"/>
        <v>18</v>
      </c>
      <c r="Y64" s="5">
        <f t="shared" si="8"/>
        <v>96</v>
      </c>
      <c r="Z64" s="19">
        <f t="shared" si="9"/>
        <v>5</v>
      </c>
      <c r="AA64" s="20">
        <f>ABS(S64-SUMPRODUCT(('05B_가정검정'!$A$5:$A$19=B64)*('05B_가정검정'!$B$5:$B$19=C64)*'05B_가정검정'!$E$5:$E$19))</f>
        <v>3.0879117170623971E-2</v>
      </c>
      <c r="AB64" s="20">
        <f t="shared" si="10"/>
        <v>-3.4308084104021419E-2</v>
      </c>
    </row>
    <row r="65" spans="1:28">
      <c r="A65" s="15" t="s">
        <v>127</v>
      </c>
      <c r="B65" s="15" t="s">
        <v>120</v>
      </c>
      <c r="C65" s="15" t="s">
        <v>117</v>
      </c>
      <c r="D65" s="16">
        <v>0.26404494382022498</v>
      </c>
      <c r="E65" s="16">
        <v>0.30976430976431002</v>
      </c>
      <c r="F65" s="16">
        <v>9.4915254237288194E-2</v>
      </c>
      <c r="G65" s="16">
        <v>0.17508417508417501</v>
      </c>
      <c r="H65" s="16">
        <v>0.33548186761694898</v>
      </c>
      <c r="I65" s="16">
        <v>0.23003468991183701</v>
      </c>
      <c r="J65" s="16">
        <v>0.71207728599772502</v>
      </c>
      <c r="K65" s="16">
        <v>0.66150648721768102</v>
      </c>
      <c r="L65" s="16">
        <v>0.818181901929664</v>
      </c>
      <c r="M65" s="16">
        <v>0.76576576576576605</v>
      </c>
      <c r="N65" s="16">
        <v>0.79032258064516103</v>
      </c>
      <c r="O65" s="16">
        <v>1</v>
      </c>
      <c r="P65" s="17">
        <f t="shared" si="0"/>
        <v>0.23488754007246404</v>
      </c>
      <c r="Q65" s="17">
        <f t="shared" si="1"/>
        <v>0.7305885583816899</v>
      </c>
      <c r="R65" s="17">
        <f t="shared" si="2"/>
        <v>0.85202944880364229</v>
      </c>
      <c r="S65" s="17">
        <f>'02_지표정의'!$C$22*P65+'02_지표정의'!$C$23*Q65+'02_지표정의'!$C$24*R65</f>
        <v>0.67395266636752804</v>
      </c>
      <c r="T65" s="5">
        <f t="shared" si="3"/>
        <v>0</v>
      </c>
      <c r="U65" s="5" t="str">
        <f t="shared" si="4"/>
        <v>특허</v>
      </c>
      <c r="V65" s="18">
        <f t="shared" si="5"/>
        <v>733</v>
      </c>
      <c r="W65" s="5">
        <f t="shared" si="6"/>
        <v>521</v>
      </c>
      <c r="X65" s="5">
        <f t="shared" si="7"/>
        <v>412</v>
      </c>
      <c r="Y65" s="5">
        <f t="shared" si="8"/>
        <v>0</v>
      </c>
      <c r="Z65" s="19">
        <f t="shared" si="9"/>
        <v>60</v>
      </c>
      <c r="AA65" s="20">
        <f>ABS(S65-SUMPRODUCT(('05B_가정검정'!$A$5:$A$19=B65)*('05B_가정검정'!$B$5:$B$19=C65)*'05B_가정검정'!$E$5:$E$19))</f>
        <v>4.5903706310406966E-2</v>
      </c>
      <c r="AB65" s="20">
        <f t="shared" si="10"/>
        <v>4.2649962942770903E-2</v>
      </c>
    </row>
    <row r="66" spans="1:28">
      <c r="A66" s="15" t="s">
        <v>127</v>
      </c>
      <c r="B66" s="15" t="s">
        <v>120</v>
      </c>
      <c r="C66" s="15" t="s">
        <v>118</v>
      </c>
      <c r="D66" s="16">
        <v>0.26546681664791899</v>
      </c>
      <c r="E66" s="16">
        <v>0.36363636363636398</v>
      </c>
      <c r="F66" s="16">
        <v>0.14237288135593201</v>
      </c>
      <c r="G66" s="16">
        <v>0.26262626262626299</v>
      </c>
      <c r="H66" s="16">
        <v>0.242133827015033</v>
      </c>
      <c r="I66" s="16">
        <v>0.44316095088711499</v>
      </c>
      <c r="J66" s="16">
        <v>0.71677345276349202</v>
      </c>
      <c r="K66" s="16">
        <v>0.659129861262579</v>
      </c>
      <c r="L66" s="16">
        <v>0.84266973928436895</v>
      </c>
      <c r="M66" s="16">
        <v>0.30245231607629403</v>
      </c>
      <c r="N66" s="16">
        <v>0.301369863013699</v>
      </c>
      <c r="O66" s="16">
        <v>0.52631578947368396</v>
      </c>
      <c r="P66" s="17">
        <f t="shared" ref="P66:P129" si="11">AVERAGE(D66:I66)</f>
        <v>0.28656618369477099</v>
      </c>
      <c r="Q66" s="17">
        <f t="shared" ref="Q66:Q129" si="12">AVERAGE(J66:L66)</f>
        <v>0.73952435110347992</v>
      </c>
      <c r="R66" s="17">
        <f t="shared" ref="R66:R129" si="13">AVERAGE(M66:O66)</f>
        <v>0.37671265618789235</v>
      </c>
      <c r="S66" s="17">
        <f>'02_지표정의'!$C$22*P66+'02_지표정의'!$C$23*Q66+'02_지표정의'!$C$24*R66</f>
        <v>0.52194862440128253</v>
      </c>
      <c r="T66" s="5">
        <f t="shared" ref="T66:T129" si="14">IF(OR(AND(B66="gemini",C66="gemma"),AND(B66="qwen3_6",C66="qwen"),AND(B66="mistral",C66="ministral")),1,0)</f>
        <v>0</v>
      </c>
      <c r="U66" s="5" t="str">
        <f t="shared" ref="U66:U129" si="15">IF(LEFT(A66,3)="PAT","특허","보고서")</f>
        <v>특허</v>
      </c>
      <c r="V66" s="18">
        <f t="shared" ref="V66:V129" si="16">COUNTIF($S$2:$S$976,"&lt;"&amp;S66)+(COUNTIF($S$2:$S$976,"="&amp;S66)+1)/2</f>
        <v>101</v>
      </c>
      <c r="W66" s="5">
        <f t="shared" ref="W66:W129" si="17">IF(C66="qwen",0,COUNTIFS($C$2:$C$976,"&lt;&gt;qwen",$S$2:$S$976,"&lt;"&amp;S66)+1)</f>
        <v>92</v>
      </c>
      <c r="X66" s="5">
        <f t="shared" ref="X66:X129" si="18">IF(C66="ministral",0,COUNTIFS($C$2:$C$976,"&lt;&gt;ministral",$S$2:$S$976,"&lt;"&amp;S66)+1)</f>
        <v>0</v>
      </c>
      <c r="Y66" s="5">
        <f t="shared" ref="Y66:Y129" si="19">IF(C66="gemma",0,COUNTIFS($C$2:$C$976,"&lt;&gt;gemma",$S$2:$S$976,"&lt;"&amp;S66)+1)</f>
        <v>93</v>
      </c>
      <c r="Z66" s="19">
        <f t="shared" ref="Z66:Z129" si="20">COUNTIFS($B$2:$B$976,B66,$C$2:$C$976,C66,$S$2:$S$976,"&lt;"&amp;S66)+1</f>
        <v>15</v>
      </c>
      <c r="AA66" s="20">
        <f>ABS(S66-SUMPRODUCT(('05B_가정검정'!$A$5:$A$19=B66)*('05B_가정검정'!$B$5:$B$19=C66)*'05B_가정검정'!$E$5:$E$19))</f>
        <v>6.8880224180345451E-2</v>
      </c>
      <c r="AB66" s="20">
        <f t="shared" ref="AB66:AB129" si="21">S66-AVERAGEIFS($S$2:$S$976,$B$2:$B$976,B66,$C$2:$C$976,C66)</f>
        <v>-5.2942151560828266E-2</v>
      </c>
    </row>
    <row r="67" spans="1:28">
      <c r="A67" s="15" t="s">
        <v>127</v>
      </c>
      <c r="B67" s="15" t="s">
        <v>120</v>
      </c>
      <c r="C67" s="15" t="s">
        <v>119</v>
      </c>
      <c r="D67" s="16">
        <v>0.28954937679769899</v>
      </c>
      <c r="E67" s="16">
        <v>0.44</v>
      </c>
      <c r="F67" s="16">
        <v>0.14093959731543601</v>
      </c>
      <c r="G67" s="16">
        <v>0.22</v>
      </c>
      <c r="H67" s="16">
        <v>0.344695896109525</v>
      </c>
      <c r="I67" s="16">
        <v>0.38557348249764301</v>
      </c>
      <c r="J67" s="16">
        <v>0.72767725202261202</v>
      </c>
      <c r="K67" s="16">
        <v>0.669797412829233</v>
      </c>
      <c r="L67" s="16">
        <v>0.84498707293131503</v>
      </c>
      <c r="M67" s="16">
        <v>0.47393364928909998</v>
      </c>
      <c r="N67" s="16">
        <v>0.41592920353982299</v>
      </c>
      <c r="O67" s="16">
        <v>1</v>
      </c>
      <c r="P67" s="17">
        <f t="shared" si="11"/>
        <v>0.3034597254533839</v>
      </c>
      <c r="Q67" s="17">
        <f t="shared" si="12"/>
        <v>0.74748724592771998</v>
      </c>
      <c r="R67" s="17">
        <f t="shared" si="13"/>
        <v>0.62995428427630762</v>
      </c>
      <c r="S67" s="17">
        <f>'02_지표정의'!$C$22*P67+'02_지표정의'!$C$23*Q67+'02_지표정의'!$C$24*R67</f>
        <v>0.61754520525485845</v>
      </c>
      <c r="T67" s="5">
        <f t="shared" si="14"/>
        <v>0</v>
      </c>
      <c r="U67" s="5" t="str">
        <f t="shared" si="15"/>
        <v>특허</v>
      </c>
      <c r="V67" s="18">
        <f t="shared" si="16"/>
        <v>477</v>
      </c>
      <c r="W67" s="5">
        <f t="shared" si="17"/>
        <v>0</v>
      </c>
      <c r="X67" s="5">
        <f t="shared" si="18"/>
        <v>210</v>
      </c>
      <c r="Y67" s="5">
        <f t="shared" si="19"/>
        <v>358</v>
      </c>
      <c r="Z67" s="19">
        <f t="shared" si="20"/>
        <v>6</v>
      </c>
      <c r="AA67" s="20">
        <f>ABS(S67-SUMPRODUCT(('05B_가정검정'!$A$5:$A$19=B67)*('05B_가정검정'!$B$5:$B$19=C67)*'05B_가정검정'!$E$5:$E$19))</f>
        <v>4.6132111226527828E-2</v>
      </c>
      <c r="AB67" s="20">
        <f t="shared" si="21"/>
        <v>-4.0877802255957163E-2</v>
      </c>
    </row>
    <row r="68" spans="1:28">
      <c r="A68" s="15" t="s">
        <v>127</v>
      </c>
      <c r="B68" s="15" t="s">
        <v>121</v>
      </c>
      <c r="C68" s="15" t="s">
        <v>117</v>
      </c>
      <c r="D68" s="16">
        <v>0.24596273291925499</v>
      </c>
      <c r="E68" s="16">
        <v>0.29383886255924202</v>
      </c>
      <c r="F68" s="16">
        <v>0.105263157894737</v>
      </c>
      <c r="G68" s="16">
        <v>0.23696682464454999</v>
      </c>
      <c r="H68" s="16">
        <v>0.279965500438981</v>
      </c>
      <c r="I68" s="16">
        <v>0.23447794432808</v>
      </c>
      <c r="J68" s="16">
        <v>0.71867351935090096</v>
      </c>
      <c r="K68" s="16">
        <v>0.73577400371255197</v>
      </c>
      <c r="L68" s="16">
        <v>0.87610797097630999</v>
      </c>
      <c r="M68" s="16">
        <v>0.90654205607476601</v>
      </c>
      <c r="N68" s="16">
        <v>0.91666666666666696</v>
      </c>
      <c r="O68" s="16">
        <v>1</v>
      </c>
      <c r="P68" s="17">
        <f t="shared" si="11"/>
        <v>0.23274583713080751</v>
      </c>
      <c r="Q68" s="17">
        <f t="shared" si="12"/>
        <v>0.77685183134658775</v>
      </c>
      <c r="R68" s="17">
        <f t="shared" si="13"/>
        <v>0.94106957424714432</v>
      </c>
      <c r="S68" s="17">
        <f>'02_지표정의'!$C$22*P68+'02_지표정의'!$C$23*Q68+'02_지표정의'!$C$24*R68</f>
        <v>0.7255068425186264</v>
      </c>
      <c r="T68" s="5">
        <f t="shared" si="14"/>
        <v>1</v>
      </c>
      <c r="U68" s="5" t="str">
        <f t="shared" si="15"/>
        <v>특허</v>
      </c>
      <c r="V68" s="18">
        <f t="shared" si="16"/>
        <v>895</v>
      </c>
      <c r="W68" s="5">
        <f t="shared" si="17"/>
        <v>601</v>
      </c>
      <c r="X68" s="5">
        <f t="shared" si="18"/>
        <v>570</v>
      </c>
      <c r="Y68" s="5">
        <f t="shared" si="19"/>
        <v>0</v>
      </c>
      <c r="Z68" s="19">
        <f t="shared" si="20"/>
        <v>30</v>
      </c>
      <c r="AA68" s="20">
        <f>ABS(S68-SUMPRODUCT(('05B_가정검정'!$A$5:$A$19=B68)*('05B_가정검정'!$B$5:$B$19=C68)*'05B_가정검정'!$E$5:$E$19))</f>
        <v>3.9252288632547483E-3</v>
      </c>
      <c r="AB68" s="20">
        <f t="shared" si="21"/>
        <v>7.8550494457454434E-3</v>
      </c>
    </row>
    <row r="69" spans="1:28">
      <c r="A69" s="15" t="s">
        <v>127</v>
      </c>
      <c r="B69" s="15" t="s">
        <v>121</v>
      </c>
      <c r="C69" s="15" t="s">
        <v>118</v>
      </c>
      <c r="D69" s="16">
        <v>0.27156549520766798</v>
      </c>
      <c r="E69" s="16">
        <v>0.38862559241706202</v>
      </c>
      <c r="F69" s="16">
        <v>0.143540669856459</v>
      </c>
      <c r="G69" s="16">
        <v>0.26540284360189598</v>
      </c>
      <c r="H69" s="16">
        <v>0.20448223266600901</v>
      </c>
      <c r="I69" s="16">
        <v>0.42418573090262801</v>
      </c>
      <c r="J69" s="16">
        <v>0.76958650414163099</v>
      </c>
      <c r="K69" s="16">
        <v>0.75380081859513903</v>
      </c>
      <c r="L69" s="16">
        <v>0.88486587313647302</v>
      </c>
      <c r="M69" s="16">
        <v>0.26430517711171703</v>
      </c>
      <c r="N69" s="16">
        <v>0.25342465753424698</v>
      </c>
      <c r="O69" s="16">
        <v>0.52631578947368396</v>
      </c>
      <c r="P69" s="17">
        <f t="shared" si="11"/>
        <v>0.28296709410862031</v>
      </c>
      <c r="Q69" s="17">
        <f t="shared" si="12"/>
        <v>0.80275106529108109</v>
      </c>
      <c r="R69" s="17">
        <f t="shared" si="13"/>
        <v>0.34801520803988267</v>
      </c>
      <c r="S69" s="17">
        <f>'02_지표정의'!$C$22*P69+'02_지표정의'!$C$23*Q69+'02_지표정의'!$C$24*R69</f>
        <v>0.53963672101666948</v>
      </c>
      <c r="T69" s="5">
        <f t="shared" si="14"/>
        <v>0</v>
      </c>
      <c r="U69" s="5" t="str">
        <f t="shared" si="15"/>
        <v>특허</v>
      </c>
      <c r="V69" s="18">
        <f t="shared" si="16"/>
        <v>166</v>
      </c>
      <c r="W69" s="5">
        <f t="shared" si="17"/>
        <v>144</v>
      </c>
      <c r="X69" s="5">
        <f t="shared" si="18"/>
        <v>0</v>
      </c>
      <c r="Y69" s="5">
        <f t="shared" si="19"/>
        <v>150</v>
      </c>
      <c r="Z69" s="19">
        <f t="shared" si="20"/>
        <v>20</v>
      </c>
      <c r="AA69" s="20">
        <f>ABS(S69-SUMPRODUCT(('05B_가정검정'!$A$5:$A$19=B69)*('05B_가정검정'!$B$5:$B$19=C69)*'05B_가정검정'!$E$5:$E$19))</f>
        <v>5.8942769150298946E-2</v>
      </c>
      <c r="AB69" s="20">
        <f t="shared" si="21"/>
        <v>-3.9762353510143789E-2</v>
      </c>
    </row>
    <row r="70" spans="1:28">
      <c r="A70" s="15" t="s">
        <v>127</v>
      </c>
      <c r="B70" s="15" t="s">
        <v>121</v>
      </c>
      <c r="C70" s="15" t="s">
        <v>119</v>
      </c>
      <c r="D70" s="16">
        <v>0.266666666666667</v>
      </c>
      <c r="E70" s="16">
        <v>0.42990654205607498</v>
      </c>
      <c r="F70" s="16">
        <v>0.179245283018868</v>
      </c>
      <c r="G70" s="16">
        <v>0.32710280373831802</v>
      </c>
      <c r="H70" s="16">
        <v>0.28056370641272699</v>
      </c>
      <c r="I70" s="16">
        <v>0.38187026935102403</v>
      </c>
      <c r="J70" s="16">
        <v>0.77444281267541204</v>
      </c>
      <c r="K70" s="16">
        <v>0.78351952228757005</v>
      </c>
      <c r="L70" s="16">
        <v>0.89886508898600503</v>
      </c>
      <c r="M70" s="16">
        <v>0.45971563981042701</v>
      </c>
      <c r="N70" s="16">
        <v>0.48672566371681403</v>
      </c>
      <c r="O70" s="16">
        <v>1</v>
      </c>
      <c r="P70" s="17">
        <f t="shared" si="11"/>
        <v>0.31089254520727982</v>
      </c>
      <c r="Q70" s="17">
        <f t="shared" si="12"/>
        <v>0.81894247464966241</v>
      </c>
      <c r="R70" s="17">
        <f t="shared" si="13"/>
        <v>0.64881376784241362</v>
      </c>
      <c r="S70" s="17">
        <f>'02_지표정의'!$C$22*P70+'02_지표정의'!$C$23*Q70+'02_지표정의'!$C$24*R70</f>
        <v>0.65778744137864886</v>
      </c>
      <c r="T70" s="5">
        <f t="shared" si="14"/>
        <v>0</v>
      </c>
      <c r="U70" s="5" t="str">
        <f t="shared" si="15"/>
        <v>특허</v>
      </c>
      <c r="V70" s="18">
        <f t="shared" si="16"/>
        <v>659</v>
      </c>
      <c r="W70" s="5">
        <f t="shared" si="17"/>
        <v>0</v>
      </c>
      <c r="X70" s="5">
        <f t="shared" si="18"/>
        <v>340</v>
      </c>
      <c r="Y70" s="5">
        <f t="shared" si="19"/>
        <v>489</v>
      </c>
      <c r="Z70" s="19">
        <f t="shared" si="20"/>
        <v>13</v>
      </c>
      <c r="AA70" s="20">
        <f>ABS(S70-SUMPRODUCT(('05B_가정검정'!$A$5:$A$19=B70)*('05B_가정검정'!$B$5:$B$19=C70)*'05B_가정검정'!$E$5:$E$19))</f>
        <v>3.4532401417204817E-2</v>
      </c>
      <c r="AB70" s="20">
        <f t="shared" si="21"/>
        <v>-3.0449534040962178E-2</v>
      </c>
    </row>
    <row r="71" spans="1:28">
      <c r="A71" s="15" t="s">
        <v>127</v>
      </c>
      <c r="B71" s="15" t="s">
        <v>122</v>
      </c>
      <c r="C71" s="15" t="s">
        <v>117</v>
      </c>
      <c r="D71" s="16">
        <v>0.231168831168831</v>
      </c>
      <c r="E71" s="16">
        <v>0.24120603015075401</v>
      </c>
      <c r="F71" s="16">
        <v>8.1218274111675107E-2</v>
      </c>
      <c r="G71" s="16">
        <v>0.231155778894472</v>
      </c>
      <c r="H71" s="16">
        <v>0.28581436636533702</v>
      </c>
      <c r="I71" s="16">
        <v>0.20831717269454</v>
      </c>
      <c r="J71" s="16">
        <v>0.67026159306283895</v>
      </c>
      <c r="K71" s="16">
        <v>0.66100618460358496</v>
      </c>
      <c r="L71" s="16">
        <v>0.80749805665209495</v>
      </c>
      <c r="M71" s="16">
        <v>0.747899159663866</v>
      </c>
      <c r="N71" s="16">
        <v>0.74242424242424199</v>
      </c>
      <c r="O71" s="16">
        <v>1</v>
      </c>
      <c r="P71" s="17">
        <f t="shared" si="11"/>
        <v>0.21314674223093488</v>
      </c>
      <c r="Q71" s="17">
        <f t="shared" si="12"/>
        <v>0.71292194477283966</v>
      </c>
      <c r="R71" s="17">
        <f t="shared" si="13"/>
        <v>0.83010780069603596</v>
      </c>
      <c r="S71" s="17">
        <f>'02_지표정의'!$C$22*P71+'02_지표정의'!$C$23*Q71+'02_지표정의'!$C$24*R71</f>
        <v>0.6539819538375774</v>
      </c>
      <c r="T71" s="5">
        <f t="shared" si="14"/>
        <v>0</v>
      </c>
      <c r="U71" s="5" t="str">
        <f t="shared" si="15"/>
        <v>특허</v>
      </c>
      <c r="V71" s="18">
        <f t="shared" si="16"/>
        <v>636</v>
      </c>
      <c r="W71" s="5">
        <f t="shared" si="17"/>
        <v>480</v>
      </c>
      <c r="X71" s="5">
        <f t="shared" si="18"/>
        <v>318</v>
      </c>
      <c r="Y71" s="5">
        <f t="shared" si="19"/>
        <v>0</v>
      </c>
      <c r="Z71" s="19">
        <f t="shared" si="20"/>
        <v>43</v>
      </c>
      <c r="AA71" s="20">
        <f>ABS(S71-SUMPRODUCT(('05B_가정검정'!$A$5:$A$19=B71)*('05B_가정검정'!$B$5:$B$19=C71)*'05B_가정검정'!$E$5:$E$19))</f>
        <v>1.4628999128898923E-2</v>
      </c>
      <c r="AB71" s="20">
        <f t="shared" si="21"/>
        <v>3.1100331647931245E-2</v>
      </c>
    </row>
    <row r="72" spans="1:28">
      <c r="A72" s="15" t="s">
        <v>127</v>
      </c>
      <c r="B72" s="15" t="s">
        <v>122</v>
      </c>
      <c r="C72" s="15" t="s">
        <v>118</v>
      </c>
      <c r="D72" s="16">
        <v>0.32825719120135399</v>
      </c>
      <c r="E72" s="16">
        <v>0.39195979899497502</v>
      </c>
      <c r="F72" s="16">
        <v>0.17258883248731</v>
      </c>
      <c r="G72" s="16">
        <v>0.30150753768844202</v>
      </c>
      <c r="H72" s="16">
        <v>0.24066025211472999</v>
      </c>
      <c r="I72" s="16">
        <v>0.42620978955239502</v>
      </c>
      <c r="J72" s="16">
        <v>0.73589484267641303</v>
      </c>
      <c r="K72" s="16">
        <v>0.695006891487852</v>
      </c>
      <c r="L72" s="16">
        <v>0.83091996053605499</v>
      </c>
      <c r="M72" s="16">
        <v>0.31335149863760198</v>
      </c>
      <c r="N72" s="16">
        <v>0.198630136986301</v>
      </c>
      <c r="O72" s="16">
        <v>0.52631578947368396</v>
      </c>
      <c r="P72" s="17">
        <f t="shared" si="11"/>
        <v>0.31019723367320101</v>
      </c>
      <c r="Q72" s="17">
        <f t="shared" si="12"/>
        <v>0.75394056490010664</v>
      </c>
      <c r="R72" s="17">
        <f t="shared" si="13"/>
        <v>0.34609914169919564</v>
      </c>
      <c r="S72" s="17">
        <f>'02_지표정의'!$C$22*P72+'02_지표정의'!$C$23*Q72+'02_지표정의'!$C$24*R72</f>
        <v>0.52244740053440664</v>
      </c>
      <c r="T72" s="5">
        <f t="shared" si="14"/>
        <v>1</v>
      </c>
      <c r="U72" s="5" t="str">
        <f t="shared" si="15"/>
        <v>특허</v>
      </c>
      <c r="V72" s="18">
        <f t="shared" si="16"/>
        <v>106</v>
      </c>
      <c r="W72" s="5">
        <f t="shared" si="17"/>
        <v>96</v>
      </c>
      <c r="X72" s="5">
        <f t="shared" si="18"/>
        <v>0</v>
      </c>
      <c r="Y72" s="5">
        <f t="shared" si="19"/>
        <v>98</v>
      </c>
      <c r="Z72" s="19">
        <f t="shared" si="20"/>
        <v>10</v>
      </c>
      <c r="AA72" s="20">
        <f>ABS(S72-SUMPRODUCT(('05B_가정검정'!$A$5:$A$19=B72)*('05B_가정검정'!$B$5:$B$19=C72)*'05B_가정검정'!$E$5:$E$19))</f>
        <v>6.4474535462751614E-2</v>
      </c>
      <c r="AB72" s="20">
        <f t="shared" si="21"/>
        <v>-5.8775875683277135E-2</v>
      </c>
    </row>
    <row r="73" spans="1:28">
      <c r="A73" s="15" t="s">
        <v>127</v>
      </c>
      <c r="B73" s="15" t="s">
        <v>122</v>
      </c>
      <c r="C73" s="15" t="s">
        <v>119</v>
      </c>
      <c r="D73" s="16">
        <v>0.29530201342281898</v>
      </c>
      <c r="E73" s="16">
        <v>0.37623762376237602</v>
      </c>
      <c r="F73" s="16">
        <v>0.21</v>
      </c>
      <c r="G73" s="16">
        <v>0.287128712871287</v>
      </c>
      <c r="H73" s="16">
        <v>0.30111380411404198</v>
      </c>
      <c r="I73" s="16">
        <v>0.38905978160687299</v>
      </c>
      <c r="J73" s="16">
        <v>0.72957861666730295</v>
      </c>
      <c r="K73" s="16">
        <v>0.66405111173824805</v>
      </c>
      <c r="L73" s="16">
        <v>0.81231600437052698</v>
      </c>
      <c r="M73" s="16">
        <v>0.50710900473933695</v>
      </c>
      <c r="N73" s="16">
        <v>0.38053097345132803</v>
      </c>
      <c r="O73" s="16">
        <v>1</v>
      </c>
      <c r="P73" s="17">
        <f t="shared" si="11"/>
        <v>0.30980698929623279</v>
      </c>
      <c r="Q73" s="17">
        <f t="shared" si="12"/>
        <v>0.73531524425869266</v>
      </c>
      <c r="R73" s="17">
        <f t="shared" si="13"/>
        <v>0.62921332606355496</v>
      </c>
      <c r="S73" s="17">
        <f>'02_지표정의'!$C$22*P73+'02_지표정의'!$C$23*Q73+'02_지표정의'!$C$24*R73</f>
        <v>0.61307792189790256</v>
      </c>
      <c r="T73" s="5">
        <f t="shared" si="14"/>
        <v>0</v>
      </c>
      <c r="U73" s="5" t="str">
        <f t="shared" si="15"/>
        <v>특허</v>
      </c>
      <c r="V73" s="18">
        <f t="shared" si="16"/>
        <v>452</v>
      </c>
      <c r="W73" s="5">
        <f t="shared" si="17"/>
        <v>0</v>
      </c>
      <c r="X73" s="5">
        <f t="shared" si="18"/>
        <v>193</v>
      </c>
      <c r="Y73" s="5">
        <f t="shared" si="19"/>
        <v>343</v>
      </c>
      <c r="Z73" s="19">
        <f t="shared" si="20"/>
        <v>18</v>
      </c>
      <c r="AA73" s="20">
        <f>ABS(S73-SUMPRODUCT(('05B_가정검정'!$A$5:$A$19=B73)*('05B_가정검정'!$B$5:$B$19=C73)*'05B_가정검정'!$E$5:$E$19))</f>
        <v>2.2528266003548847E-2</v>
      </c>
      <c r="AB73" s="20">
        <f t="shared" si="21"/>
        <v>-1.8310944416983443E-2</v>
      </c>
    </row>
    <row r="74" spans="1:28">
      <c r="A74" s="15" t="s">
        <v>127</v>
      </c>
      <c r="B74" s="15" t="s">
        <v>123</v>
      </c>
      <c r="C74" s="15" t="s">
        <v>117</v>
      </c>
      <c r="D74" s="16">
        <v>0.21380846325166999</v>
      </c>
      <c r="E74" s="16">
        <v>0.28467153284671498</v>
      </c>
      <c r="F74" s="16">
        <v>9.5588235294117599E-2</v>
      </c>
      <c r="G74" s="16">
        <v>0.226277372262774</v>
      </c>
      <c r="H74" s="16">
        <v>0.31920614861116597</v>
      </c>
      <c r="I74" s="16">
        <v>0.212570004506211</v>
      </c>
      <c r="J74" s="16">
        <v>0.72300352999857698</v>
      </c>
      <c r="K74" s="16">
        <v>0.67621061573167796</v>
      </c>
      <c r="L74" s="16">
        <v>0.831734347399401</v>
      </c>
      <c r="M74" s="16">
        <v>0.90654205607476601</v>
      </c>
      <c r="N74" s="16">
        <v>0.91666666666666696</v>
      </c>
      <c r="O74" s="16">
        <v>1</v>
      </c>
      <c r="P74" s="17">
        <f t="shared" si="11"/>
        <v>0.22535362612877563</v>
      </c>
      <c r="Q74" s="17">
        <f t="shared" si="12"/>
        <v>0.74364949770988531</v>
      </c>
      <c r="R74" s="17">
        <f t="shared" si="13"/>
        <v>0.94106957424714432</v>
      </c>
      <c r="S74" s="17">
        <f>'02_지표정의'!$C$22*P74+'02_지표정의'!$C$23*Q74+'02_지표정의'!$C$24*R74</f>
        <v>0.70908735018170399</v>
      </c>
      <c r="T74" s="5">
        <f t="shared" si="14"/>
        <v>0</v>
      </c>
      <c r="U74" s="5" t="str">
        <f t="shared" si="15"/>
        <v>특허</v>
      </c>
      <c r="V74" s="18">
        <f t="shared" si="16"/>
        <v>842</v>
      </c>
      <c r="W74" s="5">
        <f t="shared" si="17"/>
        <v>563</v>
      </c>
      <c r="X74" s="5">
        <f t="shared" si="18"/>
        <v>517</v>
      </c>
      <c r="Y74" s="5">
        <f t="shared" si="19"/>
        <v>0</v>
      </c>
      <c r="Z74" s="19">
        <f t="shared" si="20"/>
        <v>25</v>
      </c>
      <c r="AA74" s="20">
        <f>ABS(S74-SUMPRODUCT(('05B_가정검정'!$A$5:$A$19=B74)*('05B_가정검정'!$B$5:$B$19=C74)*'05B_가정검정'!$E$5:$E$19))</f>
        <v>5.8355325945197434E-3</v>
      </c>
      <c r="AB74" s="20">
        <f t="shared" si="21"/>
        <v>1.1018983704608187E-3</v>
      </c>
    </row>
    <row r="75" spans="1:28">
      <c r="A75" s="15" t="s">
        <v>127</v>
      </c>
      <c r="B75" s="15" t="s">
        <v>123</v>
      </c>
      <c r="C75" s="15" t="s">
        <v>118</v>
      </c>
      <c r="D75" s="16">
        <v>0.28094575799721799</v>
      </c>
      <c r="E75" s="16">
        <v>0.41605839416058399</v>
      </c>
      <c r="F75" s="16">
        <v>0.161764705882353</v>
      </c>
      <c r="G75" s="16">
        <v>0.29197080291970801</v>
      </c>
      <c r="H75" s="16">
        <v>0.25653712945471102</v>
      </c>
      <c r="I75" s="16">
        <v>0.444408328502572</v>
      </c>
      <c r="J75" s="16">
        <v>0.71551607061947997</v>
      </c>
      <c r="K75" s="16">
        <v>0.66454882632088597</v>
      </c>
      <c r="L75" s="16">
        <v>0.84865243221829001</v>
      </c>
      <c r="M75" s="16">
        <v>0.26430517711171703</v>
      </c>
      <c r="N75" s="16">
        <v>0.25342465753424698</v>
      </c>
      <c r="O75" s="16">
        <v>0.52631578947368396</v>
      </c>
      <c r="P75" s="17">
        <f t="shared" si="11"/>
        <v>0.30861418648619099</v>
      </c>
      <c r="Q75" s="17">
        <f t="shared" si="12"/>
        <v>0.74290577638621869</v>
      </c>
      <c r="R75" s="17">
        <f t="shared" si="13"/>
        <v>0.34801520803988267</v>
      </c>
      <c r="S75" s="17">
        <f>'02_지표정의'!$C$22*P75+'02_지표정의'!$C$23*Q75+'02_지표정의'!$C$24*R75</f>
        <v>0.51783575948499549</v>
      </c>
      <c r="T75" s="5">
        <f t="shared" si="14"/>
        <v>0</v>
      </c>
      <c r="U75" s="5" t="str">
        <f t="shared" si="15"/>
        <v>특허</v>
      </c>
      <c r="V75" s="18">
        <f t="shared" si="16"/>
        <v>88</v>
      </c>
      <c r="W75" s="5">
        <f t="shared" si="17"/>
        <v>79</v>
      </c>
      <c r="X75" s="5">
        <f t="shared" si="18"/>
        <v>0</v>
      </c>
      <c r="Y75" s="5">
        <f t="shared" si="19"/>
        <v>81</v>
      </c>
      <c r="Z75" s="19">
        <f t="shared" si="20"/>
        <v>20</v>
      </c>
      <c r="AA75" s="20">
        <f>ABS(S75-SUMPRODUCT(('05B_가정검정'!$A$5:$A$19=B75)*('05B_가정검정'!$B$5:$B$19=C75)*'05B_가정검정'!$E$5:$E$19))</f>
        <v>5.7463067393974221E-2</v>
      </c>
      <c r="AB75" s="20">
        <f t="shared" si="21"/>
        <v>-4.2035848439495593E-2</v>
      </c>
    </row>
    <row r="76" spans="1:28">
      <c r="A76" s="15" t="s">
        <v>127</v>
      </c>
      <c r="B76" s="15" t="s">
        <v>123</v>
      </c>
      <c r="C76" s="15" t="s">
        <v>119</v>
      </c>
      <c r="D76" s="16">
        <v>0.27262313860252002</v>
      </c>
      <c r="E76" s="16">
        <v>0.44043321299638999</v>
      </c>
      <c r="F76" s="16">
        <v>0.16727272727272699</v>
      </c>
      <c r="G76" s="16">
        <v>0.28880866425992802</v>
      </c>
      <c r="H76" s="16">
        <v>0.34580572461683101</v>
      </c>
      <c r="I76" s="16">
        <v>0.45025633100850798</v>
      </c>
      <c r="J76" s="16">
        <v>0.73677399485773398</v>
      </c>
      <c r="K76" s="16">
        <v>0.71333879759859697</v>
      </c>
      <c r="L76" s="16">
        <v>0.89521109679988098</v>
      </c>
      <c r="M76" s="16">
        <v>0.45971563981042701</v>
      </c>
      <c r="N76" s="16">
        <v>0.48672566371681403</v>
      </c>
      <c r="O76" s="16">
        <v>1</v>
      </c>
      <c r="P76" s="17">
        <f t="shared" si="11"/>
        <v>0.32753329979281737</v>
      </c>
      <c r="Q76" s="17">
        <f t="shared" si="12"/>
        <v>0.78177462975207079</v>
      </c>
      <c r="R76" s="17">
        <f t="shared" si="13"/>
        <v>0.64881376784241362</v>
      </c>
      <c r="S76" s="17">
        <f>'02_지표정의'!$C$22*P76+'02_지표정의'!$C$23*Q76+'02_지표정의'!$C$24*R76</f>
        <v>0.64439006209184013</v>
      </c>
      <c r="T76" s="5">
        <f t="shared" si="14"/>
        <v>1</v>
      </c>
      <c r="U76" s="5" t="str">
        <f t="shared" si="15"/>
        <v>특허</v>
      </c>
      <c r="V76" s="18">
        <f t="shared" si="16"/>
        <v>594</v>
      </c>
      <c r="W76" s="5">
        <f t="shared" si="17"/>
        <v>0</v>
      </c>
      <c r="X76" s="5">
        <f t="shared" si="18"/>
        <v>285</v>
      </c>
      <c r="Y76" s="5">
        <f t="shared" si="19"/>
        <v>444</v>
      </c>
      <c r="Z76" s="19">
        <f t="shared" si="20"/>
        <v>13</v>
      </c>
      <c r="AA76" s="20">
        <f>ABS(S76-SUMPRODUCT(('05B_가정검정'!$A$5:$A$19=B76)*('05B_가정검정'!$B$5:$B$19=C76)*'05B_가정검정'!$E$5:$E$19))</f>
        <v>4.123973523238722E-2</v>
      </c>
      <c r="AB76" s="20">
        <f t="shared" si="21"/>
        <v>-3.8028670953161647E-2</v>
      </c>
    </row>
    <row r="77" spans="1:28">
      <c r="A77" s="15" t="s">
        <v>128</v>
      </c>
      <c r="B77" s="15" t="s">
        <v>116</v>
      </c>
      <c r="C77" s="15" t="s">
        <v>117</v>
      </c>
      <c r="D77" s="16">
        <v>0.25033647375504697</v>
      </c>
      <c r="E77" s="16">
        <v>0.26337448559670801</v>
      </c>
      <c r="F77" s="16">
        <v>8.29875518672199E-2</v>
      </c>
      <c r="G77" s="16">
        <v>0.19753086419753099</v>
      </c>
      <c r="H77" s="16">
        <v>0.19160848747381101</v>
      </c>
      <c r="I77" s="16">
        <v>0.22318706529325499</v>
      </c>
      <c r="J77" s="16">
        <v>0.69339810398569002</v>
      </c>
      <c r="K77" s="16">
        <v>0.69460164241812095</v>
      </c>
      <c r="L77" s="16">
        <v>0.84623812225662998</v>
      </c>
      <c r="M77" s="16">
        <v>0.45989304812834197</v>
      </c>
      <c r="N77" s="16">
        <v>0</v>
      </c>
      <c r="O77" s="16">
        <v>0.52631578947368396</v>
      </c>
      <c r="P77" s="17">
        <f t="shared" si="11"/>
        <v>0.20150415469726199</v>
      </c>
      <c r="Q77" s="17">
        <f t="shared" si="12"/>
        <v>0.74474595622014694</v>
      </c>
      <c r="R77" s="17">
        <f t="shared" si="13"/>
        <v>0.32873627920067533</v>
      </c>
      <c r="S77" s="17">
        <f>'02_지표정의'!$C$22*P77+'02_지표정의'!$C$23*Q77+'02_지표정의'!$C$24*R77</f>
        <v>0.49049420895875495</v>
      </c>
      <c r="T77" s="5">
        <f t="shared" si="14"/>
        <v>0</v>
      </c>
      <c r="U77" s="5" t="str">
        <f t="shared" si="15"/>
        <v>특허</v>
      </c>
      <c r="V77" s="18">
        <f t="shared" si="16"/>
        <v>32</v>
      </c>
      <c r="W77" s="5">
        <f t="shared" si="17"/>
        <v>26</v>
      </c>
      <c r="X77" s="5">
        <f t="shared" si="18"/>
        <v>9</v>
      </c>
      <c r="Y77" s="5">
        <f t="shared" si="19"/>
        <v>0</v>
      </c>
      <c r="Z77" s="19">
        <f t="shared" si="20"/>
        <v>2</v>
      </c>
      <c r="AA77" s="20">
        <f>ABS(S77-SUMPRODUCT(('05B_가정검정'!$A$5:$A$19=B77)*('05B_가정검정'!$B$5:$B$19=C77)*'05B_가정검정'!$E$5:$E$19))</f>
        <v>6.6909496026212323E-2</v>
      </c>
      <c r="AB77" s="20">
        <f t="shared" si="21"/>
        <v>-6.2056956453868439E-2</v>
      </c>
    </row>
    <row r="78" spans="1:28">
      <c r="A78" s="15" t="s">
        <v>128</v>
      </c>
      <c r="B78" s="15" t="s">
        <v>116</v>
      </c>
      <c r="C78" s="15" t="s">
        <v>118</v>
      </c>
      <c r="D78" s="16">
        <v>0.28443113772455098</v>
      </c>
      <c r="E78" s="16">
        <v>0.33</v>
      </c>
      <c r="F78" s="16">
        <v>0.12121212121212099</v>
      </c>
      <c r="G78" s="16">
        <v>0.25</v>
      </c>
      <c r="H78" s="16">
        <v>0.156599122990149</v>
      </c>
      <c r="I78" s="16">
        <v>0.44040645939085699</v>
      </c>
      <c r="J78" s="16">
        <v>0.74837140780822797</v>
      </c>
      <c r="K78" s="16">
        <v>0.76537573619598198</v>
      </c>
      <c r="L78" s="16">
        <v>0.88236002439186201</v>
      </c>
      <c r="M78" s="16">
        <v>0.47266881028938901</v>
      </c>
      <c r="N78" s="16">
        <v>0</v>
      </c>
      <c r="O78" s="16">
        <v>0.95384615384615401</v>
      </c>
      <c r="P78" s="17">
        <f t="shared" si="11"/>
        <v>0.26377480688627969</v>
      </c>
      <c r="Q78" s="17">
        <f t="shared" si="12"/>
        <v>0.79870238946535732</v>
      </c>
      <c r="R78" s="17">
        <f t="shared" si="13"/>
        <v>0.47550498804518099</v>
      </c>
      <c r="S78" s="17">
        <f>'02_지표정의'!$C$22*P78+'02_지표정의'!$C$23*Q78+'02_지표정의'!$C$24*R78</f>
        <v>0.57859778245248017</v>
      </c>
      <c r="T78" s="5">
        <f t="shared" si="14"/>
        <v>0</v>
      </c>
      <c r="U78" s="5" t="str">
        <f t="shared" si="15"/>
        <v>특허</v>
      </c>
      <c r="V78" s="18">
        <f t="shared" si="16"/>
        <v>317</v>
      </c>
      <c r="W78" s="5">
        <f t="shared" si="17"/>
        <v>257</v>
      </c>
      <c r="X78" s="5">
        <f t="shared" si="18"/>
        <v>0</v>
      </c>
      <c r="Y78" s="5">
        <f t="shared" si="19"/>
        <v>242</v>
      </c>
      <c r="Z78" s="19">
        <f t="shared" si="20"/>
        <v>58</v>
      </c>
      <c r="AA78" s="20">
        <f>ABS(S78-SUMPRODUCT(('05B_가정검정'!$A$5:$A$19=B78)*('05B_가정검정'!$B$5:$B$19=C78)*'05B_가정검정'!$E$5:$E$19))</f>
        <v>4.7305360750758529E-2</v>
      </c>
      <c r="AB78" s="20">
        <f t="shared" si="21"/>
        <v>5.1048750073893867E-2</v>
      </c>
    </row>
    <row r="79" spans="1:28">
      <c r="A79" s="15" t="s">
        <v>128</v>
      </c>
      <c r="B79" s="15" t="s">
        <v>116</v>
      </c>
      <c r="C79" s="15" t="s">
        <v>119</v>
      </c>
      <c r="D79" s="16">
        <v>0.27488151658767801</v>
      </c>
      <c r="E79" s="16">
        <v>0.412903225806452</v>
      </c>
      <c r="F79" s="16">
        <v>0.15686274509803899</v>
      </c>
      <c r="G79" s="16">
        <v>0.309677419354839</v>
      </c>
      <c r="H79" s="16">
        <v>0.24178711596203301</v>
      </c>
      <c r="I79" s="16">
        <v>0.45500754859997999</v>
      </c>
      <c r="J79" s="16">
        <v>0.73837536561201</v>
      </c>
      <c r="K79" s="16">
        <v>0.72734073186946502</v>
      </c>
      <c r="L79" s="16">
        <v>0.86803244165905102</v>
      </c>
      <c r="M79" s="16">
        <v>0.54545454545454497</v>
      </c>
      <c r="N79" s="16">
        <v>0</v>
      </c>
      <c r="O79" s="16">
        <v>0.52631578947368396</v>
      </c>
      <c r="P79" s="17">
        <f t="shared" si="11"/>
        <v>0.30851992856817018</v>
      </c>
      <c r="Q79" s="17">
        <f t="shared" si="12"/>
        <v>0.77791617971350868</v>
      </c>
      <c r="R79" s="17">
        <f t="shared" si="13"/>
        <v>0.35725677830940966</v>
      </c>
      <c r="S79" s="17">
        <f>'02_지표정의'!$C$22*P79+'02_지표정의'!$C$23*Q79+'02_지표정의'!$C$24*R79</f>
        <v>0.53680613899300633</v>
      </c>
      <c r="T79" s="5">
        <f t="shared" si="14"/>
        <v>0</v>
      </c>
      <c r="U79" s="5" t="str">
        <f t="shared" si="15"/>
        <v>특허</v>
      </c>
      <c r="V79" s="18">
        <f t="shared" si="16"/>
        <v>157</v>
      </c>
      <c r="W79" s="5">
        <f t="shared" si="17"/>
        <v>0</v>
      </c>
      <c r="X79" s="5">
        <f t="shared" si="18"/>
        <v>33</v>
      </c>
      <c r="Y79" s="5">
        <f t="shared" si="19"/>
        <v>143</v>
      </c>
      <c r="Z79" s="19">
        <f t="shared" si="20"/>
        <v>14</v>
      </c>
      <c r="AA79" s="20">
        <f>ABS(S79-SUMPRODUCT(('05B_가정검정'!$A$5:$A$19=B79)*('05B_가정검정'!$B$5:$B$19=C79)*'05B_가정검정'!$E$5:$E$19))</f>
        <v>1.6217377749776274E-2</v>
      </c>
      <c r="AB79" s="20">
        <f t="shared" si="21"/>
        <v>-1.9646344683173722E-2</v>
      </c>
    </row>
    <row r="80" spans="1:28">
      <c r="A80" s="15" t="s">
        <v>128</v>
      </c>
      <c r="B80" s="15" t="s">
        <v>120</v>
      </c>
      <c r="C80" s="15" t="s">
        <v>117</v>
      </c>
      <c r="D80" s="16">
        <v>0.25683060109289602</v>
      </c>
      <c r="E80" s="16">
        <v>0.253164556962025</v>
      </c>
      <c r="F80" s="16">
        <v>6.3694267515923594E-2</v>
      </c>
      <c r="G80" s="16">
        <v>0.170886075949367</v>
      </c>
      <c r="H80" s="16">
        <v>0.342527239886392</v>
      </c>
      <c r="I80" s="16">
        <v>0.24341715745297299</v>
      </c>
      <c r="J80" s="16">
        <v>0.67751752360143003</v>
      </c>
      <c r="K80" s="16">
        <v>0.68519203049174704</v>
      </c>
      <c r="L80" s="16">
        <v>0.83335461707800895</v>
      </c>
      <c r="M80" s="16">
        <v>0.46951219512195103</v>
      </c>
      <c r="N80" s="16">
        <v>0.48936170212766</v>
      </c>
      <c r="O80" s="16">
        <v>1</v>
      </c>
      <c r="P80" s="17">
        <f t="shared" si="11"/>
        <v>0.22175331647659605</v>
      </c>
      <c r="Q80" s="17">
        <f t="shared" si="12"/>
        <v>0.73202139039039527</v>
      </c>
      <c r="R80" s="17">
        <f t="shared" si="13"/>
        <v>0.65295796574987042</v>
      </c>
      <c r="S80" s="17">
        <f>'02_지표정의'!$C$22*P80+'02_지표정의'!$C$23*Q80+'02_지표정의'!$C$24*R80</f>
        <v>0.60229557698345171</v>
      </c>
      <c r="T80" s="5">
        <f t="shared" si="14"/>
        <v>0</v>
      </c>
      <c r="U80" s="5" t="str">
        <f t="shared" si="15"/>
        <v>특허</v>
      </c>
      <c r="V80" s="18">
        <f t="shared" si="16"/>
        <v>399</v>
      </c>
      <c r="W80" s="5">
        <f t="shared" si="17"/>
        <v>323</v>
      </c>
      <c r="X80" s="5">
        <f t="shared" si="18"/>
        <v>171</v>
      </c>
      <c r="Y80" s="5">
        <f t="shared" si="19"/>
        <v>0</v>
      </c>
      <c r="Z80" s="19">
        <f t="shared" si="20"/>
        <v>8</v>
      </c>
      <c r="AA80" s="20">
        <f>ABS(S80-SUMPRODUCT(('05B_가정검정'!$A$5:$A$19=B80)*('05B_가정검정'!$B$5:$B$19=C80)*'05B_가정검정'!$E$5:$E$19))</f>
        <v>2.5753383073669367E-2</v>
      </c>
      <c r="AB80" s="20">
        <f t="shared" si="21"/>
        <v>-2.9007126441305431E-2</v>
      </c>
    </row>
    <row r="81" spans="1:28">
      <c r="A81" s="15" t="s">
        <v>128</v>
      </c>
      <c r="B81" s="15" t="s">
        <v>120</v>
      </c>
      <c r="C81" s="15" t="s">
        <v>118</v>
      </c>
      <c r="D81" s="16">
        <v>0.308895405669599</v>
      </c>
      <c r="E81" s="16">
        <v>0.34432234432234399</v>
      </c>
      <c r="F81" s="16">
        <v>0.11070110701107</v>
      </c>
      <c r="G81" s="16">
        <v>0.256410256410256</v>
      </c>
      <c r="H81" s="16">
        <v>0.34044427351796402</v>
      </c>
      <c r="I81" s="16">
        <v>0.37767531774890301</v>
      </c>
      <c r="J81" s="16">
        <v>0.72173199345198003</v>
      </c>
      <c r="K81" s="16">
        <v>0.69546304219225097</v>
      </c>
      <c r="L81" s="16">
        <v>0.83267905948361598</v>
      </c>
      <c r="M81" s="16">
        <v>0.49196141479099698</v>
      </c>
      <c r="N81" s="16">
        <v>0.29729729729729698</v>
      </c>
      <c r="O81" s="16">
        <v>0.62105263157894697</v>
      </c>
      <c r="P81" s="17">
        <f t="shared" si="11"/>
        <v>0.28974145078002261</v>
      </c>
      <c r="Q81" s="17">
        <f t="shared" si="12"/>
        <v>0.74995803170928232</v>
      </c>
      <c r="R81" s="17">
        <f t="shared" si="13"/>
        <v>0.47010378122241364</v>
      </c>
      <c r="S81" s="17">
        <f>'02_지표정의'!$C$22*P81+'02_지표정의'!$C$23*Q81+'02_지표정의'!$C$24*R81</f>
        <v>0.55996572785302634</v>
      </c>
      <c r="T81" s="5">
        <f t="shared" si="14"/>
        <v>0</v>
      </c>
      <c r="U81" s="5" t="str">
        <f t="shared" si="15"/>
        <v>특허</v>
      </c>
      <c r="V81" s="18">
        <f t="shared" si="16"/>
        <v>250</v>
      </c>
      <c r="W81" s="5">
        <f t="shared" si="17"/>
        <v>204</v>
      </c>
      <c r="X81" s="5">
        <f t="shared" si="18"/>
        <v>0</v>
      </c>
      <c r="Y81" s="5">
        <f t="shared" si="19"/>
        <v>207</v>
      </c>
      <c r="Z81" s="19">
        <f t="shared" si="20"/>
        <v>27</v>
      </c>
      <c r="AA81" s="20">
        <f>ABS(S81-SUMPRODUCT(('05B_가정검정'!$A$5:$A$19=B81)*('05B_가정검정'!$B$5:$B$19=C81)*'05B_가정검정'!$E$5:$E$19))</f>
        <v>3.0863120728601645E-2</v>
      </c>
      <c r="AB81" s="20">
        <f t="shared" si="21"/>
        <v>-1.492504810908446E-2</v>
      </c>
    </row>
    <row r="82" spans="1:28">
      <c r="A82" s="15" t="s">
        <v>128</v>
      </c>
      <c r="B82" s="15" t="s">
        <v>120</v>
      </c>
      <c r="C82" s="15" t="s">
        <v>119</v>
      </c>
      <c r="D82" s="16">
        <v>0.27530364372469601</v>
      </c>
      <c r="E82" s="16">
        <v>0.38596491228070201</v>
      </c>
      <c r="F82" s="16">
        <v>0.15044247787610601</v>
      </c>
      <c r="G82" s="16">
        <v>0.27192982456140402</v>
      </c>
      <c r="H82" s="16">
        <v>0.33606806176335802</v>
      </c>
      <c r="I82" s="16">
        <v>0.43930819048910302</v>
      </c>
      <c r="J82" s="16">
        <v>0.719515030260932</v>
      </c>
      <c r="K82" s="16">
        <v>0.69269018431614005</v>
      </c>
      <c r="L82" s="16">
        <v>0.88838909552954104</v>
      </c>
      <c r="M82" s="16">
        <v>0.59756097560975596</v>
      </c>
      <c r="N82" s="16">
        <v>0.41489361702127697</v>
      </c>
      <c r="O82" s="16">
        <v>1</v>
      </c>
      <c r="P82" s="17">
        <f t="shared" si="11"/>
        <v>0.30983618511589484</v>
      </c>
      <c r="Q82" s="17">
        <f t="shared" si="12"/>
        <v>0.76686477003553766</v>
      </c>
      <c r="R82" s="17">
        <f t="shared" si="13"/>
        <v>0.67081819754367766</v>
      </c>
      <c r="S82" s="17">
        <f>'02_지표정의'!$C$22*P82+'02_지표정의'!$C$23*Q82+'02_지표정의'!$C$24*R82</f>
        <v>0.64184275267945812</v>
      </c>
      <c r="T82" s="5">
        <f t="shared" si="14"/>
        <v>0</v>
      </c>
      <c r="U82" s="5" t="str">
        <f t="shared" si="15"/>
        <v>특허</v>
      </c>
      <c r="V82" s="18">
        <f t="shared" si="16"/>
        <v>583</v>
      </c>
      <c r="W82" s="5">
        <f t="shared" si="17"/>
        <v>0</v>
      </c>
      <c r="X82" s="5">
        <f t="shared" si="18"/>
        <v>276</v>
      </c>
      <c r="Y82" s="5">
        <f t="shared" si="19"/>
        <v>438</v>
      </c>
      <c r="Z82" s="19">
        <f t="shared" si="20"/>
        <v>16</v>
      </c>
      <c r="AA82" s="20">
        <f>ABS(S82-SUMPRODUCT(('05B_가정검정'!$A$5:$A$19=B82)*('05B_가정검정'!$B$5:$B$19=C82)*'05B_가정검정'!$E$5:$E$19))</f>
        <v>2.1834563801928164E-2</v>
      </c>
      <c r="AB82" s="20">
        <f t="shared" si="21"/>
        <v>-1.6580254831357499E-2</v>
      </c>
    </row>
    <row r="83" spans="1:28">
      <c r="A83" s="15" t="s">
        <v>128</v>
      </c>
      <c r="B83" s="15" t="s">
        <v>121</v>
      </c>
      <c r="C83" s="15" t="s">
        <v>117</v>
      </c>
      <c r="D83" s="16">
        <v>0.260657734470158</v>
      </c>
      <c r="E83" s="16">
        <v>0.3046875</v>
      </c>
      <c r="F83" s="16">
        <v>8.6614173228346497E-2</v>
      </c>
      <c r="G83" s="16">
        <v>0.1875</v>
      </c>
      <c r="H83" s="16">
        <v>0.25890340663761002</v>
      </c>
      <c r="I83" s="16">
        <v>0.20021166908961899</v>
      </c>
      <c r="J83" s="16">
        <v>0.72085917158388502</v>
      </c>
      <c r="K83" s="16">
        <v>0.76027808510139705</v>
      </c>
      <c r="L83" s="16">
        <v>0.88533596363848299</v>
      </c>
      <c r="M83" s="16">
        <v>0.59509202453987697</v>
      </c>
      <c r="N83" s="16">
        <v>0.70512820512820495</v>
      </c>
      <c r="O83" s="16">
        <v>1</v>
      </c>
      <c r="P83" s="17">
        <f t="shared" si="11"/>
        <v>0.21642908057095556</v>
      </c>
      <c r="Q83" s="17">
        <f t="shared" si="12"/>
        <v>0.78882440677458832</v>
      </c>
      <c r="R83" s="17">
        <f t="shared" si="13"/>
        <v>0.76674007655602727</v>
      </c>
      <c r="S83" s="17">
        <f>'02_지표정의'!$C$22*P83+'02_지표정의'!$C$23*Q83+'02_지표정의'!$C$24*R83</f>
        <v>0.66661582595736535</v>
      </c>
      <c r="T83" s="5">
        <f t="shared" si="14"/>
        <v>1</v>
      </c>
      <c r="U83" s="5" t="str">
        <f t="shared" si="15"/>
        <v>특허</v>
      </c>
      <c r="V83" s="18">
        <f t="shared" si="16"/>
        <v>701</v>
      </c>
      <c r="W83" s="5">
        <f t="shared" si="17"/>
        <v>506</v>
      </c>
      <c r="X83" s="5">
        <f t="shared" si="18"/>
        <v>381</v>
      </c>
      <c r="Y83" s="5">
        <f t="shared" si="19"/>
        <v>0</v>
      </c>
      <c r="Z83" s="19">
        <f t="shared" si="20"/>
        <v>2</v>
      </c>
      <c r="AA83" s="20">
        <f>ABS(S83-SUMPRODUCT(('05B_가정검정'!$A$5:$A$19=B83)*('05B_가정검정'!$B$5:$B$19=C83)*'05B_가정검정'!$E$5:$E$19))</f>
        <v>6.2816245424515804E-2</v>
      </c>
      <c r="AB83" s="20">
        <f t="shared" si="21"/>
        <v>-5.1035967115515612E-2</v>
      </c>
    </row>
    <row r="84" spans="1:28">
      <c r="A84" s="15" t="s">
        <v>128</v>
      </c>
      <c r="B84" s="15" t="s">
        <v>121</v>
      </c>
      <c r="C84" s="15" t="s">
        <v>118</v>
      </c>
      <c r="D84" s="16">
        <v>0.27613941018766802</v>
      </c>
      <c r="E84" s="16">
        <v>0.34741784037558698</v>
      </c>
      <c r="F84" s="16">
        <v>0.13270142180094799</v>
      </c>
      <c r="G84" s="16">
        <v>0.22535211267605601</v>
      </c>
      <c r="H84" s="16">
        <v>0.20807816968479301</v>
      </c>
      <c r="I84" s="16">
        <v>0.32868324128732201</v>
      </c>
      <c r="J84" s="16">
        <v>0.76923484023215405</v>
      </c>
      <c r="K84" s="16">
        <v>0.83144549821098102</v>
      </c>
      <c r="L84" s="16">
        <v>0.92899171573609096</v>
      </c>
      <c r="M84" s="16">
        <v>0.31189710610932497</v>
      </c>
      <c r="N84" s="16">
        <v>0.29054054054054101</v>
      </c>
      <c r="O84" s="16">
        <v>0.60526315789473695</v>
      </c>
      <c r="P84" s="17">
        <f t="shared" si="11"/>
        <v>0.25306203266872901</v>
      </c>
      <c r="Q84" s="17">
        <f t="shared" si="12"/>
        <v>0.84322401805974201</v>
      </c>
      <c r="R84" s="17">
        <f t="shared" si="13"/>
        <v>0.402566934848201</v>
      </c>
      <c r="S84" s="17">
        <f>'02_지표정의'!$C$22*P84+'02_지표정의'!$C$23*Q84+'02_지표정의'!$C$24*R84</f>
        <v>0.57096164185750009</v>
      </c>
      <c r="T84" s="5">
        <f t="shared" si="14"/>
        <v>0</v>
      </c>
      <c r="U84" s="5" t="str">
        <f t="shared" si="15"/>
        <v>특허</v>
      </c>
      <c r="V84" s="18">
        <f t="shared" si="16"/>
        <v>286</v>
      </c>
      <c r="W84" s="5">
        <f t="shared" si="17"/>
        <v>234</v>
      </c>
      <c r="X84" s="5">
        <f t="shared" si="18"/>
        <v>0</v>
      </c>
      <c r="Y84" s="5">
        <f t="shared" si="19"/>
        <v>224</v>
      </c>
      <c r="Z84" s="19">
        <f t="shared" si="20"/>
        <v>29</v>
      </c>
      <c r="AA84" s="20">
        <f>ABS(S84-SUMPRODUCT(('05B_가정검정'!$A$5:$A$19=B84)*('05B_가정검정'!$B$5:$B$19=C84)*'05B_가정검정'!$E$5:$E$19))</f>
        <v>2.761784830946834E-2</v>
      </c>
      <c r="AB84" s="20">
        <f t="shared" si="21"/>
        <v>-8.4374326693131829E-3</v>
      </c>
    </row>
    <row r="85" spans="1:28">
      <c r="A85" s="15" t="s">
        <v>128</v>
      </c>
      <c r="B85" s="15" t="s">
        <v>121</v>
      </c>
      <c r="C85" s="15" t="s">
        <v>119</v>
      </c>
      <c r="D85" s="16">
        <v>0.28691983122362902</v>
      </c>
      <c r="E85" s="16">
        <v>0.48809523809523803</v>
      </c>
      <c r="F85" s="16">
        <v>0.20481927710843401</v>
      </c>
      <c r="G85" s="16">
        <v>0.35714285714285698</v>
      </c>
      <c r="H85" s="16">
        <v>0.33455934001327797</v>
      </c>
      <c r="I85" s="16">
        <v>0.36334173974200401</v>
      </c>
      <c r="J85" s="16">
        <v>0.76458498781005602</v>
      </c>
      <c r="K85" s="16">
        <v>0.78445856529166802</v>
      </c>
      <c r="L85" s="16">
        <v>0.90580680072546005</v>
      </c>
      <c r="M85" s="16">
        <v>0.70802919708029199</v>
      </c>
      <c r="N85" s="16">
        <v>0.78571428571428603</v>
      </c>
      <c r="O85" s="16">
        <v>1</v>
      </c>
      <c r="P85" s="17">
        <f t="shared" si="11"/>
        <v>0.33914638055424007</v>
      </c>
      <c r="Q85" s="17">
        <f t="shared" si="12"/>
        <v>0.81828345127572799</v>
      </c>
      <c r="R85" s="17">
        <f t="shared" si="13"/>
        <v>0.8312478275981926</v>
      </c>
      <c r="S85" s="17">
        <f>'02_지표정의'!$C$22*P85+'02_지표정의'!$C$23*Q85+'02_지표정의'!$C$24*R85</f>
        <v>0.726993568844293</v>
      </c>
      <c r="T85" s="5">
        <f t="shared" si="14"/>
        <v>0</v>
      </c>
      <c r="U85" s="5" t="str">
        <f t="shared" si="15"/>
        <v>특허</v>
      </c>
      <c r="V85" s="18">
        <f t="shared" si="16"/>
        <v>899</v>
      </c>
      <c r="W85" s="5">
        <f t="shared" si="17"/>
        <v>0</v>
      </c>
      <c r="X85" s="5">
        <f t="shared" si="18"/>
        <v>574</v>
      </c>
      <c r="Y85" s="5">
        <f t="shared" si="19"/>
        <v>620</v>
      </c>
      <c r="Z85" s="19">
        <f t="shared" si="20"/>
        <v>50</v>
      </c>
      <c r="AA85" s="20">
        <f>ABS(S85-SUMPRODUCT(('05B_가정검정'!$A$5:$A$19=B85)*('05B_가정검정'!$B$5:$B$19=C85)*'05B_가정검정'!$E$5:$E$19))</f>
        <v>3.4673726048439324E-2</v>
      </c>
      <c r="AB85" s="20">
        <f t="shared" si="21"/>
        <v>3.8756593424681962E-2</v>
      </c>
    </row>
    <row r="86" spans="1:28">
      <c r="A86" s="15" t="s">
        <v>128</v>
      </c>
      <c r="B86" s="15" t="s">
        <v>122</v>
      </c>
      <c r="C86" s="15" t="s">
        <v>117</v>
      </c>
      <c r="D86" s="16">
        <v>0.25930101465614402</v>
      </c>
      <c r="E86" s="16">
        <v>0.278195488721805</v>
      </c>
      <c r="F86" s="16">
        <v>8.3333333333333301E-2</v>
      </c>
      <c r="G86" s="16">
        <v>0.19548872180451099</v>
      </c>
      <c r="H86" s="16">
        <v>0.31234433221779101</v>
      </c>
      <c r="I86" s="16">
        <v>0.25160865917897601</v>
      </c>
      <c r="J86" s="16">
        <v>0.69194242383982696</v>
      </c>
      <c r="K86" s="16">
        <v>0.649146955625299</v>
      </c>
      <c r="L86" s="16">
        <v>0.75742461840280495</v>
      </c>
      <c r="M86" s="16">
        <v>0.619631901840491</v>
      </c>
      <c r="N86" s="16">
        <v>0.70512820512820495</v>
      </c>
      <c r="O86" s="16">
        <v>1</v>
      </c>
      <c r="P86" s="17">
        <f t="shared" si="11"/>
        <v>0.23004525831876008</v>
      </c>
      <c r="Q86" s="17">
        <f t="shared" si="12"/>
        <v>0.69950466595597705</v>
      </c>
      <c r="R86" s="17">
        <f t="shared" si="13"/>
        <v>0.77492003565623202</v>
      </c>
      <c r="S86" s="17">
        <f>'02_지표정의'!$C$22*P86+'02_지표정의'!$C$23*Q86+'02_지표정의'!$C$24*R86</f>
        <v>0.6320081638236229</v>
      </c>
      <c r="T86" s="5">
        <f t="shared" si="14"/>
        <v>0</v>
      </c>
      <c r="U86" s="5" t="str">
        <f t="shared" si="15"/>
        <v>특허</v>
      </c>
      <c r="V86" s="18">
        <f t="shared" si="16"/>
        <v>539</v>
      </c>
      <c r="W86" s="5">
        <f t="shared" si="17"/>
        <v>430</v>
      </c>
      <c r="X86" s="5">
        <f t="shared" si="18"/>
        <v>242</v>
      </c>
      <c r="Y86" s="5">
        <f t="shared" si="19"/>
        <v>0</v>
      </c>
      <c r="Z86" s="19">
        <f t="shared" si="20"/>
        <v>30</v>
      </c>
      <c r="AA86" s="20">
        <f>ABS(S86-SUMPRODUCT(('05B_가정검정'!$A$5:$A$19=B86)*('05B_가정검정'!$B$5:$B$19=C86)*'05B_가정검정'!$E$5:$E$19))</f>
        <v>7.3447908850555743E-3</v>
      </c>
      <c r="AB86" s="20">
        <f t="shared" si="21"/>
        <v>9.126541633976748E-3</v>
      </c>
    </row>
    <row r="87" spans="1:28">
      <c r="A87" s="15" t="s">
        <v>128</v>
      </c>
      <c r="B87" s="15" t="s">
        <v>122</v>
      </c>
      <c r="C87" s="15" t="s">
        <v>118</v>
      </c>
      <c r="D87" s="16">
        <v>0.32019704433497498</v>
      </c>
      <c r="E87" s="16">
        <v>0.31390134529148001</v>
      </c>
      <c r="F87" s="16">
        <v>0.13574660633484201</v>
      </c>
      <c r="G87" s="16">
        <v>0.25112107623318403</v>
      </c>
      <c r="H87" s="16">
        <v>0.27682777675991099</v>
      </c>
      <c r="I87" s="16">
        <v>0.41166320665524397</v>
      </c>
      <c r="J87" s="16">
        <v>0.69312299552267798</v>
      </c>
      <c r="K87" s="16">
        <v>0.70126352283234095</v>
      </c>
      <c r="L87" s="16">
        <v>0.78965306428398496</v>
      </c>
      <c r="M87" s="16">
        <v>0.36334405144694498</v>
      </c>
      <c r="N87" s="16">
        <v>0.23648648648648701</v>
      </c>
      <c r="O87" s="16">
        <v>0.60526315789473695</v>
      </c>
      <c r="P87" s="17">
        <f t="shared" si="11"/>
        <v>0.28490950926827269</v>
      </c>
      <c r="Q87" s="17">
        <f t="shared" si="12"/>
        <v>0.72801319421300137</v>
      </c>
      <c r="R87" s="17">
        <f t="shared" si="13"/>
        <v>0.4016978986093897</v>
      </c>
      <c r="S87" s="17">
        <f>'02_지표정의'!$C$22*P87+'02_지표정의'!$C$23*Q87+'02_지표정의'!$C$24*R87</f>
        <v>0.52518210376279151</v>
      </c>
      <c r="T87" s="5">
        <f t="shared" si="14"/>
        <v>1</v>
      </c>
      <c r="U87" s="5" t="str">
        <f t="shared" si="15"/>
        <v>특허</v>
      </c>
      <c r="V87" s="18">
        <f t="shared" si="16"/>
        <v>117</v>
      </c>
      <c r="W87" s="5">
        <f t="shared" si="17"/>
        <v>106</v>
      </c>
      <c r="X87" s="5">
        <f t="shared" si="18"/>
        <v>0</v>
      </c>
      <c r="Y87" s="5">
        <f t="shared" si="19"/>
        <v>106</v>
      </c>
      <c r="Z87" s="19">
        <f t="shared" si="20"/>
        <v>13</v>
      </c>
      <c r="AA87" s="20">
        <f>ABS(S87-SUMPRODUCT(('05B_가정검정'!$A$5:$A$19=B87)*('05B_가정검정'!$B$5:$B$19=C87)*'05B_가정검정'!$E$5:$E$19))</f>
        <v>6.1739832234366743E-2</v>
      </c>
      <c r="AB87" s="20">
        <f t="shared" si="21"/>
        <v>-5.6041172454892263E-2</v>
      </c>
    </row>
    <row r="88" spans="1:28">
      <c r="A88" s="15" t="s">
        <v>128</v>
      </c>
      <c r="B88" s="15" t="s">
        <v>122</v>
      </c>
      <c r="C88" s="15" t="s">
        <v>119</v>
      </c>
      <c r="D88" s="16">
        <v>0.32432432432432401</v>
      </c>
      <c r="E88" s="16">
        <v>0.46067415730337102</v>
      </c>
      <c r="F88" s="16">
        <v>0.18181818181818199</v>
      </c>
      <c r="G88" s="16">
        <v>0.38202247191011202</v>
      </c>
      <c r="H88" s="16">
        <v>0.39257219016745398</v>
      </c>
      <c r="I88" s="16">
        <v>0.33952517856564102</v>
      </c>
      <c r="J88" s="16">
        <v>0.72003768729903606</v>
      </c>
      <c r="K88" s="16">
        <v>0.69805426424304196</v>
      </c>
      <c r="L88" s="16">
        <v>0.88107170156138503</v>
      </c>
      <c r="M88" s="16">
        <v>0.73722627737226298</v>
      </c>
      <c r="N88" s="16">
        <v>0.61428571428571399</v>
      </c>
      <c r="O88" s="16">
        <v>1</v>
      </c>
      <c r="P88" s="17">
        <f t="shared" si="11"/>
        <v>0.34682275068151397</v>
      </c>
      <c r="Q88" s="17">
        <f t="shared" si="12"/>
        <v>0.76638788436782102</v>
      </c>
      <c r="R88" s="17">
        <f t="shared" si="13"/>
        <v>0.78383733055265903</v>
      </c>
      <c r="S88" s="17">
        <f>'02_지표정의'!$C$22*P88+'02_지표정의'!$C$23*Q88+'02_지표정의'!$C$24*R88</f>
        <v>0.68858216379525294</v>
      </c>
      <c r="T88" s="5">
        <f t="shared" si="14"/>
        <v>0</v>
      </c>
      <c r="U88" s="5" t="str">
        <f t="shared" si="15"/>
        <v>특허</v>
      </c>
      <c r="V88" s="18">
        <f t="shared" si="16"/>
        <v>781</v>
      </c>
      <c r="W88" s="5">
        <f t="shared" si="17"/>
        <v>0</v>
      </c>
      <c r="X88" s="5">
        <f t="shared" si="18"/>
        <v>457</v>
      </c>
      <c r="Y88" s="5">
        <f t="shared" si="19"/>
        <v>564</v>
      </c>
      <c r="Z88" s="19">
        <f t="shared" si="20"/>
        <v>61</v>
      </c>
      <c r="AA88" s="20">
        <f>ABS(S88-SUMPRODUCT(('05B_가정검정'!$A$5:$A$19=B88)*('05B_가정검정'!$B$5:$B$19=C88)*'05B_가정검정'!$E$5:$E$19))</f>
        <v>5.2975975893801541E-2</v>
      </c>
      <c r="AB88" s="20">
        <f t="shared" si="21"/>
        <v>5.7193297480366945E-2</v>
      </c>
    </row>
    <row r="89" spans="1:28">
      <c r="A89" s="15" t="s">
        <v>128</v>
      </c>
      <c r="B89" s="15" t="s">
        <v>123</v>
      </c>
      <c r="C89" s="15" t="s">
        <v>117</v>
      </c>
      <c r="D89" s="16">
        <v>0.297734627831715</v>
      </c>
      <c r="E89" s="16">
        <v>0.304054054054054</v>
      </c>
      <c r="F89" s="16">
        <v>0.108843537414966</v>
      </c>
      <c r="G89" s="16">
        <v>0.20945945945946001</v>
      </c>
      <c r="H89" s="16">
        <v>0.32662695919801399</v>
      </c>
      <c r="I89" s="16">
        <v>0.25780922735570599</v>
      </c>
      <c r="J89" s="16">
        <v>0.72590722443485001</v>
      </c>
      <c r="K89" s="16">
        <v>0.66508311296331502</v>
      </c>
      <c r="L89" s="16">
        <v>0.82430532189066397</v>
      </c>
      <c r="M89" s="16">
        <v>0.59509202453987697</v>
      </c>
      <c r="N89" s="16">
        <v>0.70512820512820495</v>
      </c>
      <c r="O89" s="16">
        <v>1</v>
      </c>
      <c r="P89" s="17">
        <f t="shared" si="11"/>
        <v>0.2507546442189858</v>
      </c>
      <c r="Q89" s="17">
        <f t="shared" si="12"/>
        <v>0.73843188642960966</v>
      </c>
      <c r="R89" s="17">
        <f t="shared" si="13"/>
        <v>0.76674007655602727</v>
      </c>
      <c r="S89" s="17">
        <f>'02_지표정의'!$C$22*P89+'02_지표정의'!$C$23*Q89+'02_지표정의'!$C$24*R89</f>
        <v>0.6508043045317311</v>
      </c>
      <c r="T89" s="5">
        <f t="shared" si="14"/>
        <v>0</v>
      </c>
      <c r="U89" s="5" t="str">
        <f t="shared" si="15"/>
        <v>특허</v>
      </c>
      <c r="V89" s="18">
        <f t="shared" si="16"/>
        <v>622</v>
      </c>
      <c r="W89" s="5">
        <f t="shared" si="17"/>
        <v>472</v>
      </c>
      <c r="X89" s="5">
        <f t="shared" si="18"/>
        <v>308</v>
      </c>
      <c r="Y89" s="5">
        <f t="shared" si="19"/>
        <v>0</v>
      </c>
      <c r="Z89" s="19">
        <f t="shared" si="20"/>
        <v>1</v>
      </c>
      <c r="AA89" s="20">
        <f>ABS(S89-SUMPRODUCT(('05B_가정검정'!$A$5:$A$19=B89)*('05B_가정검정'!$B$5:$B$19=C89)*'05B_가정검정'!$E$5:$E$19))</f>
        <v>6.411857824449263E-2</v>
      </c>
      <c r="AB89" s="20">
        <f t="shared" si="21"/>
        <v>-5.7181147279512068E-2</v>
      </c>
    </row>
    <row r="90" spans="1:28">
      <c r="A90" s="15" t="s">
        <v>128</v>
      </c>
      <c r="B90" s="15" t="s">
        <v>123</v>
      </c>
      <c r="C90" s="15" t="s">
        <v>118</v>
      </c>
      <c r="D90" s="16">
        <v>0.28873239436619702</v>
      </c>
      <c r="E90" s="16">
        <v>0.31620553359683801</v>
      </c>
      <c r="F90" s="16">
        <v>0.127490039840638</v>
      </c>
      <c r="G90" s="16">
        <v>0.23715415019762801</v>
      </c>
      <c r="H90" s="16">
        <v>0.26089510284945799</v>
      </c>
      <c r="I90" s="16">
        <v>0.35401637802875202</v>
      </c>
      <c r="J90" s="16">
        <v>0.72189067759658498</v>
      </c>
      <c r="K90" s="16">
        <v>0.68861071057546297</v>
      </c>
      <c r="L90" s="16">
        <v>0.83959438910595396</v>
      </c>
      <c r="M90" s="16">
        <v>0.31189710610932497</v>
      </c>
      <c r="N90" s="16">
        <v>0.29054054054054101</v>
      </c>
      <c r="O90" s="16">
        <v>0.60526315789473695</v>
      </c>
      <c r="P90" s="17">
        <f t="shared" si="11"/>
        <v>0.2640822664799185</v>
      </c>
      <c r="Q90" s="17">
        <f t="shared" si="12"/>
        <v>0.75003192575933397</v>
      </c>
      <c r="R90" s="17">
        <f t="shared" si="13"/>
        <v>0.402566934848201</v>
      </c>
      <c r="S90" s="17">
        <f>'02_지표정의'!$C$22*P90+'02_지표정의'!$C$23*Q90+'02_지표정의'!$C$24*R90</f>
        <v>0.53122924708455432</v>
      </c>
      <c r="T90" s="5">
        <f t="shared" si="14"/>
        <v>0</v>
      </c>
      <c r="U90" s="5" t="str">
        <f t="shared" si="15"/>
        <v>특허</v>
      </c>
      <c r="V90" s="18">
        <f t="shared" si="16"/>
        <v>136</v>
      </c>
      <c r="W90" s="5">
        <f t="shared" si="17"/>
        <v>122</v>
      </c>
      <c r="X90" s="5">
        <f t="shared" si="18"/>
        <v>0</v>
      </c>
      <c r="Y90" s="5">
        <f t="shared" si="19"/>
        <v>123</v>
      </c>
      <c r="Z90" s="19">
        <f t="shared" si="20"/>
        <v>28</v>
      </c>
      <c r="AA90" s="20">
        <f>ABS(S90-SUMPRODUCT(('05B_가정검정'!$A$5:$A$19=B90)*('05B_가정검정'!$B$5:$B$19=C90)*'05B_가정검정'!$E$5:$E$19))</f>
        <v>4.4069579794415392E-2</v>
      </c>
      <c r="AB90" s="20">
        <f t="shared" si="21"/>
        <v>-2.8642360839936765E-2</v>
      </c>
    </row>
    <row r="91" spans="1:28">
      <c r="A91" s="15" t="s">
        <v>128</v>
      </c>
      <c r="B91" s="15" t="s">
        <v>123</v>
      </c>
      <c r="C91" s="15" t="s">
        <v>119</v>
      </c>
      <c r="D91" s="16">
        <v>0.30110159118727098</v>
      </c>
      <c r="E91" s="16">
        <v>0.43269230769230799</v>
      </c>
      <c r="F91" s="16">
        <v>0.17475728155339801</v>
      </c>
      <c r="G91" s="16">
        <v>0.355769230769231</v>
      </c>
      <c r="H91" s="16">
        <v>0.41549886707222</v>
      </c>
      <c r="I91" s="16">
        <v>0.43153913021143597</v>
      </c>
      <c r="J91" s="16">
        <v>0.73867041950491397</v>
      </c>
      <c r="K91" s="16">
        <v>0.70041037033473297</v>
      </c>
      <c r="L91" s="16">
        <v>0.88085303571164397</v>
      </c>
      <c r="M91" s="16">
        <v>0.70802919708029199</v>
      </c>
      <c r="N91" s="16">
        <v>0.78571428571428603</v>
      </c>
      <c r="O91" s="16">
        <v>1</v>
      </c>
      <c r="P91" s="17">
        <f t="shared" si="11"/>
        <v>0.35189306808097731</v>
      </c>
      <c r="Q91" s="17">
        <f t="shared" si="12"/>
        <v>0.77331127518376375</v>
      </c>
      <c r="R91" s="17">
        <f t="shared" si="13"/>
        <v>0.8312478275981926</v>
      </c>
      <c r="S91" s="17">
        <f>'02_지표정의'!$C$22*P91+'02_지표정의'!$C$23*Q91+'02_지표정의'!$C$24*R91</f>
        <v>0.70930542710825661</v>
      </c>
      <c r="T91" s="5">
        <f t="shared" si="14"/>
        <v>1</v>
      </c>
      <c r="U91" s="5" t="str">
        <f t="shared" si="15"/>
        <v>특허</v>
      </c>
      <c r="V91" s="18">
        <f t="shared" si="16"/>
        <v>844</v>
      </c>
      <c r="W91" s="5">
        <f t="shared" si="17"/>
        <v>0</v>
      </c>
      <c r="X91" s="5">
        <f t="shared" si="18"/>
        <v>519</v>
      </c>
      <c r="Y91" s="5">
        <f t="shared" si="19"/>
        <v>606</v>
      </c>
      <c r="Z91" s="19">
        <f t="shared" si="20"/>
        <v>47</v>
      </c>
      <c r="AA91" s="20">
        <f>ABS(S91-SUMPRODUCT(('05B_가정검정'!$A$5:$A$19=B91)*('05B_가정검정'!$B$5:$B$19=C91)*'05B_가정검정'!$E$5:$E$19))</f>
        <v>2.3675629784029262E-2</v>
      </c>
      <c r="AB91" s="20">
        <f t="shared" si="21"/>
        <v>2.6886694063254835E-2</v>
      </c>
    </row>
    <row r="92" spans="1:28">
      <c r="A92" s="15" t="s">
        <v>129</v>
      </c>
      <c r="B92" s="15" t="s">
        <v>116</v>
      </c>
      <c r="C92" s="15" t="s">
        <v>117</v>
      </c>
      <c r="D92" s="16">
        <v>0.225274725274725</v>
      </c>
      <c r="E92" s="16">
        <v>0.269230769230769</v>
      </c>
      <c r="F92" s="16">
        <v>8.7378640776699004E-2</v>
      </c>
      <c r="G92" s="16">
        <v>0.22115384615384601</v>
      </c>
      <c r="H92" s="16">
        <v>0.21740170082581001</v>
      </c>
      <c r="I92" s="16">
        <v>0.22371446414221999</v>
      </c>
      <c r="J92" s="16">
        <v>0.720908117567858</v>
      </c>
      <c r="K92" s="16">
        <v>0.67425024319043703</v>
      </c>
      <c r="L92" s="16">
        <v>0.84797257583970698</v>
      </c>
      <c r="M92" s="16">
        <v>0.58381502890173398</v>
      </c>
      <c r="N92" s="16">
        <v>7.5268817204301106E-2</v>
      </c>
      <c r="O92" s="16">
        <v>1</v>
      </c>
      <c r="P92" s="17">
        <f t="shared" si="11"/>
        <v>0.20735902440067813</v>
      </c>
      <c r="Q92" s="17">
        <f t="shared" si="12"/>
        <v>0.74771031219933404</v>
      </c>
      <c r="R92" s="17">
        <f t="shared" si="13"/>
        <v>0.55302794870201166</v>
      </c>
      <c r="S92" s="17">
        <f>'02_지표정의'!$C$22*P92+'02_지표정의'!$C$23*Q92+'02_지표정의'!$C$24*R92</f>
        <v>0.57150122741553999</v>
      </c>
      <c r="T92" s="5">
        <f t="shared" si="14"/>
        <v>0</v>
      </c>
      <c r="U92" s="5" t="str">
        <f t="shared" si="15"/>
        <v>특허</v>
      </c>
      <c r="V92" s="18">
        <f t="shared" si="16"/>
        <v>293</v>
      </c>
      <c r="W92" s="5">
        <f t="shared" si="17"/>
        <v>237</v>
      </c>
      <c r="X92" s="5">
        <f t="shared" si="18"/>
        <v>121</v>
      </c>
      <c r="Y92" s="5">
        <f t="shared" si="19"/>
        <v>0</v>
      </c>
      <c r="Z92" s="19">
        <f t="shared" si="20"/>
        <v>53</v>
      </c>
      <c r="AA92" s="20">
        <f>ABS(S92-SUMPRODUCT(('05B_가정검정'!$A$5:$A$19=B92)*('05B_가정검정'!$B$5:$B$19=C92)*'05B_가정검정'!$E$5:$E$19))</f>
        <v>1.4097522430572718E-2</v>
      </c>
      <c r="AB92" s="20">
        <f t="shared" si="21"/>
        <v>1.8950062002916601E-2</v>
      </c>
    </row>
    <row r="93" spans="1:28">
      <c r="A93" s="15" t="s">
        <v>129</v>
      </c>
      <c r="B93" s="15" t="s">
        <v>116</v>
      </c>
      <c r="C93" s="15" t="s">
        <v>118</v>
      </c>
      <c r="D93" s="16">
        <v>0.24874371859296501</v>
      </c>
      <c r="E93" s="16">
        <v>0.20571428571428599</v>
      </c>
      <c r="F93" s="16">
        <v>6.8965517241379296E-2</v>
      </c>
      <c r="G93" s="16">
        <v>0.188571428571429</v>
      </c>
      <c r="H93" s="16">
        <v>0.103159230733975</v>
      </c>
      <c r="I93" s="16">
        <v>0.35201140789396301</v>
      </c>
      <c r="J93" s="16">
        <v>0.72001489750953096</v>
      </c>
      <c r="K93" s="16">
        <v>0.75606081817172699</v>
      </c>
      <c r="L93" s="16">
        <v>0.88822561782128295</v>
      </c>
      <c r="M93" s="16">
        <v>0.405204460966543</v>
      </c>
      <c r="N93" s="16">
        <v>0.123287671232877</v>
      </c>
      <c r="O93" s="16">
        <v>1</v>
      </c>
      <c r="P93" s="17">
        <f t="shared" si="11"/>
        <v>0.19452759812466622</v>
      </c>
      <c r="Q93" s="17">
        <f t="shared" si="12"/>
        <v>0.78810044450084693</v>
      </c>
      <c r="R93" s="17">
        <f t="shared" si="13"/>
        <v>0.50949737739980672</v>
      </c>
      <c r="S93" s="17">
        <f>'02_지표정의'!$C$22*P93+'02_지표정의'!$C$23*Q93+'02_지표정의'!$C$24*R93</f>
        <v>0.57187480174024674</v>
      </c>
      <c r="T93" s="5">
        <f t="shared" si="14"/>
        <v>0</v>
      </c>
      <c r="U93" s="5" t="str">
        <f t="shared" si="15"/>
        <v>특허</v>
      </c>
      <c r="V93" s="18">
        <f t="shared" si="16"/>
        <v>295</v>
      </c>
      <c r="W93" s="5">
        <f t="shared" si="17"/>
        <v>238</v>
      </c>
      <c r="X93" s="5">
        <f t="shared" si="18"/>
        <v>0</v>
      </c>
      <c r="Y93" s="5">
        <f t="shared" si="19"/>
        <v>230</v>
      </c>
      <c r="Z93" s="19">
        <f t="shared" si="20"/>
        <v>57</v>
      </c>
      <c r="AA93" s="20">
        <f>ABS(S93-SUMPRODUCT(('05B_가정검정'!$A$5:$A$19=B93)*('05B_가정검정'!$B$5:$B$19=C93)*'05B_가정검정'!$E$5:$E$19))</f>
        <v>4.0582380038525101E-2</v>
      </c>
      <c r="AB93" s="20">
        <f t="shared" si="21"/>
        <v>4.4325769361660439E-2</v>
      </c>
    </row>
    <row r="94" spans="1:28">
      <c r="A94" s="15" t="s">
        <v>129</v>
      </c>
      <c r="B94" s="15" t="s">
        <v>116</v>
      </c>
      <c r="C94" s="15" t="s">
        <v>119</v>
      </c>
      <c r="D94" s="16">
        <v>0.34980988593155898</v>
      </c>
      <c r="E94" s="16">
        <v>0.42758620689655202</v>
      </c>
      <c r="F94" s="16">
        <v>0.16783216783216801</v>
      </c>
      <c r="G94" s="16">
        <v>0.37241379310344802</v>
      </c>
      <c r="H94" s="16">
        <v>0.31916039063761498</v>
      </c>
      <c r="I94" s="16">
        <v>0.44705932248484498</v>
      </c>
      <c r="J94" s="16">
        <v>0.73309348024488097</v>
      </c>
      <c r="K94" s="16">
        <v>0.71285182088104804</v>
      </c>
      <c r="L94" s="16">
        <v>0.86351904822151004</v>
      </c>
      <c r="M94" s="16">
        <v>0.49132947976878599</v>
      </c>
      <c r="N94" s="16">
        <v>0.204301075268817</v>
      </c>
      <c r="O94" s="16">
        <v>1</v>
      </c>
      <c r="P94" s="17">
        <f t="shared" si="11"/>
        <v>0.34731029448103118</v>
      </c>
      <c r="Q94" s="17">
        <f t="shared" si="12"/>
        <v>0.76982144978247968</v>
      </c>
      <c r="R94" s="17">
        <f t="shared" si="13"/>
        <v>0.56521018501253428</v>
      </c>
      <c r="S94" s="17">
        <f>'02_지표정의'!$C$22*P94+'02_지표정의'!$C$23*Q94+'02_지표정의'!$C$24*R94</f>
        <v>0.61370527605270908</v>
      </c>
      <c r="T94" s="5">
        <f t="shared" si="14"/>
        <v>0</v>
      </c>
      <c r="U94" s="5" t="str">
        <f t="shared" si="15"/>
        <v>특허</v>
      </c>
      <c r="V94" s="18">
        <f t="shared" si="16"/>
        <v>455</v>
      </c>
      <c r="W94" s="5">
        <f t="shared" si="17"/>
        <v>0</v>
      </c>
      <c r="X94" s="5">
        <f t="shared" si="18"/>
        <v>195</v>
      </c>
      <c r="Y94" s="5">
        <f t="shared" si="19"/>
        <v>345</v>
      </c>
      <c r="Z94" s="19">
        <f t="shared" si="20"/>
        <v>60</v>
      </c>
      <c r="AA94" s="20">
        <f>ABS(S94-SUMPRODUCT(('05B_가정검정'!$A$5:$A$19=B94)*('05B_가정검정'!$B$5:$B$19=C94)*'05B_가정검정'!$E$5:$E$19))</f>
        <v>6.0681759309926475E-2</v>
      </c>
      <c r="AB94" s="20">
        <f t="shared" si="21"/>
        <v>5.7252792376529027E-2</v>
      </c>
    </row>
    <row r="95" spans="1:28">
      <c r="A95" s="15" t="s">
        <v>129</v>
      </c>
      <c r="B95" s="15" t="s">
        <v>120</v>
      </c>
      <c r="C95" s="15" t="s">
        <v>117</v>
      </c>
      <c r="D95" s="16">
        <v>0.29139072847682101</v>
      </c>
      <c r="E95" s="16">
        <v>0.395759717314488</v>
      </c>
      <c r="F95" s="16">
        <v>0.17081850533807799</v>
      </c>
      <c r="G95" s="16">
        <v>0.26148409893992902</v>
      </c>
      <c r="H95" s="16">
        <v>0.37367754157306399</v>
      </c>
      <c r="I95" s="16">
        <v>0.29186807555707001</v>
      </c>
      <c r="J95" s="16">
        <v>0.706907919359966</v>
      </c>
      <c r="K95" s="16">
        <v>0.64368591854986201</v>
      </c>
      <c r="L95" s="16">
        <v>0.84345827255086803</v>
      </c>
      <c r="M95" s="16">
        <v>0.64900662251655605</v>
      </c>
      <c r="N95" s="16">
        <v>0.65277777777777801</v>
      </c>
      <c r="O95" s="16">
        <v>1</v>
      </c>
      <c r="P95" s="17">
        <f t="shared" si="11"/>
        <v>0.297499777866575</v>
      </c>
      <c r="Q95" s="17">
        <f t="shared" si="12"/>
        <v>0.73135070348689879</v>
      </c>
      <c r="R95" s="17">
        <f t="shared" si="13"/>
        <v>0.76726146676477802</v>
      </c>
      <c r="S95" s="17">
        <f>'02_지표정의'!$C$22*P95+'02_지표정의'!$C$23*Q95+'02_지표정의'!$C$24*R95</f>
        <v>0.65714928551009177</v>
      </c>
      <c r="T95" s="5">
        <f t="shared" si="14"/>
        <v>0</v>
      </c>
      <c r="U95" s="5" t="str">
        <f t="shared" si="15"/>
        <v>특허</v>
      </c>
      <c r="V95" s="18">
        <f t="shared" si="16"/>
        <v>655</v>
      </c>
      <c r="W95" s="5">
        <f t="shared" si="17"/>
        <v>488</v>
      </c>
      <c r="X95" s="5">
        <f t="shared" si="18"/>
        <v>336</v>
      </c>
      <c r="Y95" s="5">
        <f t="shared" si="19"/>
        <v>0</v>
      </c>
      <c r="Z95" s="19">
        <f t="shared" si="20"/>
        <v>53</v>
      </c>
      <c r="AA95" s="20">
        <f>ABS(S95-SUMPRODUCT(('05B_가정검정'!$A$5:$A$19=B95)*('05B_가정검정'!$B$5:$B$19=C95)*'05B_가정검정'!$E$5:$E$19))</f>
        <v>2.9100325452970699E-2</v>
      </c>
      <c r="AB95" s="20">
        <f t="shared" si="21"/>
        <v>2.5846582085334635E-2</v>
      </c>
    </row>
    <row r="96" spans="1:28">
      <c r="A96" s="15" t="s">
        <v>129</v>
      </c>
      <c r="B96" s="15" t="s">
        <v>120</v>
      </c>
      <c r="C96" s="15" t="s">
        <v>118</v>
      </c>
      <c r="D96" s="16">
        <v>0.28799999999999998</v>
      </c>
      <c r="E96" s="16">
        <v>0.21176470588235299</v>
      </c>
      <c r="F96" s="16">
        <v>6.6193853427895993E-2</v>
      </c>
      <c r="G96" s="16">
        <v>0.16941176470588201</v>
      </c>
      <c r="H96" s="16">
        <v>0.178245333344834</v>
      </c>
      <c r="I96" s="16">
        <v>0.35817745269537099</v>
      </c>
      <c r="J96" s="16">
        <v>0.70267542983901199</v>
      </c>
      <c r="K96" s="16">
        <v>0.70421552909462504</v>
      </c>
      <c r="L96" s="16">
        <v>0.84788581377713601</v>
      </c>
      <c r="M96" s="16">
        <v>0.39776951672862498</v>
      </c>
      <c r="N96" s="16">
        <v>0.40410958904109601</v>
      </c>
      <c r="O96" s="16">
        <v>1</v>
      </c>
      <c r="P96" s="17">
        <f t="shared" si="11"/>
        <v>0.21196551834272268</v>
      </c>
      <c r="Q96" s="17">
        <f t="shared" si="12"/>
        <v>0.75159225757025772</v>
      </c>
      <c r="R96" s="17">
        <f t="shared" si="13"/>
        <v>0.60062636858990703</v>
      </c>
      <c r="S96" s="17">
        <f>'02_지표정의'!$C$22*P96+'02_지표정의'!$C$23*Q96+'02_지표정의'!$C$24*R96</f>
        <v>0.59082884858162799</v>
      </c>
      <c r="T96" s="5">
        <f t="shared" si="14"/>
        <v>0</v>
      </c>
      <c r="U96" s="5" t="str">
        <f t="shared" si="15"/>
        <v>특허</v>
      </c>
      <c r="V96" s="18">
        <f t="shared" si="16"/>
        <v>353</v>
      </c>
      <c r="W96" s="5">
        <f t="shared" si="17"/>
        <v>286</v>
      </c>
      <c r="X96" s="5">
        <f t="shared" si="18"/>
        <v>0</v>
      </c>
      <c r="Y96" s="5">
        <f t="shared" si="19"/>
        <v>270</v>
      </c>
      <c r="Z96" s="19">
        <f t="shared" si="20"/>
        <v>33</v>
      </c>
      <c r="AA96" s="20">
        <f>ABS(S96-SUMPRODUCT(('05B_가정검정'!$A$5:$A$19=B96)*('05B_가정검정'!$B$5:$B$19=C96)*'05B_가정검정'!$E$5:$E$19))</f>
        <v>0</v>
      </c>
      <c r="AB96" s="20">
        <f t="shared" si="21"/>
        <v>1.5938072619517185E-2</v>
      </c>
    </row>
    <row r="97" spans="1:28">
      <c r="A97" s="15" t="s">
        <v>129</v>
      </c>
      <c r="B97" s="15" t="s">
        <v>120</v>
      </c>
      <c r="C97" s="15" t="s">
        <v>119</v>
      </c>
      <c r="D97" s="16">
        <v>0.28304093567251498</v>
      </c>
      <c r="E97" s="16">
        <v>0.43636363636363601</v>
      </c>
      <c r="F97" s="16">
        <v>0.16513761467889901</v>
      </c>
      <c r="G97" s="16">
        <v>0.29090909090909101</v>
      </c>
      <c r="H97" s="16">
        <v>0.31462794466018701</v>
      </c>
      <c r="I97" s="16">
        <v>0.40885882556473002</v>
      </c>
      <c r="J97" s="16">
        <v>0.73105813353406401</v>
      </c>
      <c r="K97" s="16">
        <v>0.65327083496987803</v>
      </c>
      <c r="L97" s="16">
        <v>0.85118291673701796</v>
      </c>
      <c r="M97" s="16">
        <v>0.76576576576576605</v>
      </c>
      <c r="N97" s="16">
        <v>0.79032258064516103</v>
      </c>
      <c r="O97" s="16">
        <v>1</v>
      </c>
      <c r="P97" s="17">
        <f t="shared" si="11"/>
        <v>0.31648967464150968</v>
      </c>
      <c r="Q97" s="17">
        <f t="shared" si="12"/>
        <v>0.74517062841365334</v>
      </c>
      <c r="R97" s="17">
        <f t="shared" si="13"/>
        <v>0.85202944880364229</v>
      </c>
      <c r="S97" s="17">
        <f>'02_지표정의'!$C$22*P97+'02_지표정의'!$C$23*Q97+'02_지표정의'!$C$24*R97</f>
        <v>0.69683502479572068</v>
      </c>
      <c r="T97" s="5">
        <f t="shared" si="14"/>
        <v>0</v>
      </c>
      <c r="U97" s="5" t="str">
        <f t="shared" si="15"/>
        <v>특허</v>
      </c>
      <c r="V97" s="18">
        <f t="shared" si="16"/>
        <v>814</v>
      </c>
      <c r="W97" s="5">
        <f t="shared" si="17"/>
        <v>0</v>
      </c>
      <c r="X97" s="5">
        <f t="shared" si="18"/>
        <v>489</v>
      </c>
      <c r="Y97" s="5">
        <f t="shared" si="19"/>
        <v>587</v>
      </c>
      <c r="Z97" s="19">
        <f t="shared" si="20"/>
        <v>56</v>
      </c>
      <c r="AA97" s="20">
        <f>ABS(S97-SUMPRODUCT(('05B_가정검정'!$A$5:$A$19=B97)*('05B_가정검정'!$B$5:$B$19=C97)*'05B_가정검정'!$E$5:$E$19))</f>
        <v>3.31577083143344E-2</v>
      </c>
      <c r="AB97" s="20">
        <f t="shared" si="21"/>
        <v>3.8412017284905065E-2</v>
      </c>
    </row>
    <row r="98" spans="1:28">
      <c r="A98" s="15" t="s">
        <v>129</v>
      </c>
      <c r="B98" s="15" t="s">
        <v>121</v>
      </c>
      <c r="C98" s="15" t="s">
        <v>117</v>
      </c>
      <c r="D98" s="16">
        <v>0.26270136307310998</v>
      </c>
      <c r="E98" s="16">
        <v>0.32863849765258202</v>
      </c>
      <c r="F98" s="16">
        <v>9.4786729857819899E-2</v>
      </c>
      <c r="G98" s="16">
        <v>0.215962441314554</v>
      </c>
      <c r="H98" s="16">
        <v>0.29560647621800201</v>
      </c>
      <c r="I98" s="16">
        <v>0.203735664083461</v>
      </c>
      <c r="J98" s="16">
        <v>0.74884955492479999</v>
      </c>
      <c r="K98" s="16">
        <v>0.75949530264098197</v>
      </c>
      <c r="L98" s="16">
        <v>0.89308371047506396</v>
      </c>
      <c r="M98" s="16">
        <v>0.64238410596026496</v>
      </c>
      <c r="N98" s="16">
        <v>0.76388888888888895</v>
      </c>
      <c r="O98" s="16">
        <v>1</v>
      </c>
      <c r="P98" s="17">
        <f t="shared" si="11"/>
        <v>0.23357186203325483</v>
      </c>
      <c r="Q98" s="17">
        <f t="shared" si="12"/>
        <v>0.80047618934694864</v>
      </c>
      <c r="R98" s="17">
        <f t="shared" si="13"/>
        <v>0.80209099828305119</v>
      </c>
      <c r="S98" s="17">
        <f>'02_지표정의'!$C$22*P98+'02_지표정의'!$C$23*Q98+'02_지표정의'!$C$24*R98</f>
        <v>0.68766050701184578</v>
      </c>
      <c r="T98" s="5">
        <f t="shared" si="14"/>
        <v>1</v>
      </c>
      <c r="U98" s="5" t="str">
        <f t="shared" si="15"/>
        <v>특허</v>
      </c>
      <c r="V98" s="18">
        <f t="shared" si="16"/>
        <v>778</v>
      </c>
      <c r="W98" s="5">
        <f t="shared" si="17"/>
        <v>541</v>
      </c>
      <c r="X98" s="5">
        <f t="shared" si="18"/>
        <v>454</v>
      </c>
      <c r="Y98" s="5">
        <f t="shared" si="19"/>
        <v>0</v>
      </c>
      <c r="Z98" s="19">
        <f t="shared" si="20"/>
        <v>11</v>
      </c>
      <c r="AA98" s="20">
        <f>ABS(S98-SUMPRODUCT(('05B_가정검정'!$A$5:$A$19=B98)*('05B_가정검정'!$B$5:$B$19=C98)*'05B_가정검정'!$E$5:$E$19))</f>
        <v>4.1771564370035374E-2</v>
      </c>
      <c r="AB98" s="20">
        <f t="shared" si="21"/>
        <v>-2.9991286061035183E-2</v>
      </c>
    </row>
    <row r="99" spans="1:28">
      <c r="A99" s="15" t="s">
        <v>129</v>
      </c>
      <c r="B99" s="15" t="s">
        <v>121</v>
      </c>
      <c r="C99" s="15" t="s">
        <v>118</v>
      </c>
      <c r="D99" s="16">
        <v>0.22857142857142901</v>
      </c>
      <c r="E99" s="16">
        <v>0.18591549295774701</v>
      </c>
      <c r="F99" s="16">
        <v>6.2322946175637398E-2</v>
      </c>
      <c r="G99" s="16">
        <v>0.157746478873239</v>
      </c>
      <c r="H99" s="16">
        <v>0.138739758543416</v>
      </c>
      <c r="I99" s="16">
        <v>0.25107640415847199</v>
      </c>
      <c r="J99" s="16">
        <v>0.70954622558528102</v>
      </c>
      <c r="K99" s="16">
        <v>0.80684232222406305</v>
      </c>
      <c r="L99" s="16">
        <v>0.90962887320080199</v>
      </c>
      <c r="M99" s="16">
        <v>0.36059479553903401</v>
      </c>
      <c r="N99" s="16">
        <v>0.37671232876712302</v>
      </c>
      <c r="O99" s="16">
        <v>1</v>
      </c>
      <c r="P99" s="17">
        <f t="shared" si="11"/>
        <v>0.17072875154665676</v>
      </c>
      <c r="Q99" s="17">
        <f t="shared" si="12"/>
        <v>0.80867247367004869</v>
      </c>
      <c r="R99" s="17">
        <f t="shared" si="13"/>
        <v>0.57910237476871906</v>
      </c>
      <c r="S99" s="17">
        <f>'02_지표정의'!$C$22*P99+'02_지표정의'!$C$23*Q99+'02_지표정의'!$C$24*R99</f>
        <v>0.60073419462990496</v>
      </c>
      <c r="T99" s="5">
        <f t="shared" si="14"/>
        <v>0</v>
      </c>
      <c r="U99" s="5" t="str">
        <f t="shared" si="15"/>
        <v>특허</v>
      </c>
      <c r="V99" s="18">
        <f t="shared" si="16"/>
        <v>394</v>
      </c>
      <c r="W99" s="5">
        <f t="shared" si="17"/>
        <v>319</v>
      </c>
      <c r="X99" s="5">
        <f t="shared" si="18"/>
        <v>0</v>
      </c>
      <c r="Y99" s="5">
        <f t="shared" si="19"/>
        <v>301</v>
      </c>
      <c r="Z99" s="19">
        <f t="shared" si="20"/>
        <v>34</v>
      </c>
      <c r="AA99" s="20">
        <f>ABS(S99-SUMPRODUCT(('05B_가정검정'!$A$5:$A$19=B99)*('05B_가정검정'!$B$5:$B$19=C99)*'05B_가정검정'!$E$5:$E$19))</f>
        <v>2.1547044629365297E-3</v>
      </c>
      <c r="AB99" s="20">
        <f t="shared" si="21"/>
        <v>2.1335120103091687E-2</v>
      </c>
    </row>
    <row r="100" spans="1:28">
      <c r="A100" s="15" t="s">
        <v>129</v>
      </c>
      <c r="B100" s="15" t="s">
        <v>121</v>
      </c>
      <c r="C100" s="15" t="s">
        <v>119</v>
      </c>
      <c r="D100" s="16">
        <v>0.29421487603305801</v>
      </c>
      <c r="E100" s="16">
        <v>0.52</v>
      </c>
      <c r="F100" s="16">
        <v>0.21621621621621601</v>
      </c>
      <c r="G100" s="16">
        <v>0.413333333333333</v>
      </c>
      <c r="H100" s="16">
        <v>0.411532264816935</v>
      </c>
      <c r="I100" s="16">
        <v>0.40627274332721902</v>
      </c>
      <c r="J100" s="16">
        <v>0.76013121171026299</v>
      </c>
      <c r="K100" s="16">
        <v>0.72656522279827795</v>
      </c>
      <c r="L100" s="16">
        <v>0.85407804476574101</v>
      </c>
      <c r="M100" s="16">
        <v>0.90654205607476601</v>
      </c>
      <c r="N100" s="16">
        <v>0.91666666666666696</v>
      </c>
      <c r="O100" s="16">
        <v>1</v>
      </c>
      <c r="P100" s="17">
        <f t="shared" si="11"/>
        <v>0.3769282389544602</v>
      </c>
      <c r="Q100" s="17">
        <f t="shared" si="12"/>
        <v>0.78025815975809409</v>
      </c>
      <c r="R100" s="17">
        <f t="shared" si="13"/>
        <v>0.94106957424714432</v>
      </c>
      <c r="S100" s="17">
        <f>'02_지표정의'!$C$22*P100+'02_지표정의'!$C$23*Q100+'02_지표정의'!$C$24*R100</f>
        <v>0.75587617066853485</v>
      </c>
      <c r="T100" s="5">
        <f t="shared" si="14"/>
        <v>0</v>
      </c>
      <c r="U100" s="5" t="str">
        <f t="shared" si="15"/>
        <v>특허</v>
      </c>
      <c r="V100" s="18">
        <f t="shared" si="16"/>
        <v>960</v>
      </c>
      <c r="W100" s="5">
        <f t="shared" si="17"/>
        <v>0</v>
      </c>
      <c r="X100" s="5">
        <f t="shared" si="18"/>
        <v>635</v>
      </c>
      <c r="Y100" s="5">
        <f t="shared" si="19"/>
        <v>636</v>
      </c>
      <c r="Z100" s="19">
        <f t="shared" si="20"/>
        <v>55</v>
      </c>
      <c r="AA100" s="20">
        <f>ABS(S100-SUMPRODUCT(('05B_가정검정'!$A$5:$A$19=B100)*('05B_가정검정'!$B$5:$B$19=C100)*'05B_가정검정'!$E$5:$E$19))</f>
        <v>6.3556327872681173E-2</v>
      </c>
      <c r="AB100" s="20">
        <f t="shared" si="21"/>
        <v>6.7639195248923811E-2</v>
      </c>
    </row>
    <row r="101" spans="1:28">
      <c r="A101" s="15" t="s">
        <v>129</v>
      </c>
      <c r="B101" s="15" t="s">
        <v>122</v>
      </c>
      <c r="C101" s="15" t="s">
        <v>117</v>
      </c>
      <c r="D101" s="16">
        <v>0.28571428571428598</v>
      </c>
      <c r="E101" s="16">
        <v>0.37398373983739802</v>
      </c>
      <c r="F101" s="16">
        <v>0.114754098360656</v>
      </c>
      <c r="G101" s="16">
        <v>0.219512195121951</v>
      </c>
      <c r="H101" s="16">
        <v>0.290776706589844</v>
      </c>
      <c r="I101" s="16">
        <v>0.26454818361264598</v>
      </c>
      <c r="J101" s="16">
        <v>0.71811058474120604</v>
      </c>
      <c r="K101" s="16">
        <v>0.66480202228187601</v>
      </c>
      <c r="L101" s="16">
        <v>0.85706213126091102</v>
      </c>
      <c r="M101" s="16">
        <v>0.69536423841059603</v>
      </c>
      <c r="N101" s="16">
        <v>0.59722222222222199</v>
      </c>
      <c r="O101" s="16">
        <v>1</v>
      </c>
      <c r="P101" s="17">
        <f t="shared" si="11"/>
        <v>0.25821486820613015</v>
      </c>
      <c r="Q101" s="17">
        <f t="shared" si="12"/>
        <v>0.74665824609466436</v>
      </c>
      <c r="R101" s="17">
        <f t="shared" si="13"/>
        <v>0.76419548687760608</v>
      </c>
      <c r="S101" s="17">
        <f>'02_지표정의'!$C$22*P101+'02_지표정의'!$C$23*Q101+'02_지표정의'!$C$24*R101</f>
        <v>0.65510760479098717</v>
      </c>
      <c r="T101" s="5">
        <f t="shared" si="14"/>
        <v>0</v>
      </c>
      <c r="U101" s="5" t="str">
        <f t="shared" si="15"/>
        <v>특허</v>
      </c>
      <c r="V101" s="18">
        <f t="shared" si="16"/>
        <v>646</v>
      </c>
      <c r="W101" s="5">
        <f t="shared" si="17"/>
        <v>486</v>
      </c>
      <c r="X101" s="5">
        <f t="shared" si="18"/>
        <v>328</v>
      </c>
      <c r="Y101" s="5">
        <f t="shared" si="19"/>
        <v>0</v>
      </c>
      <c r="Z101" s="19">
        <f t="shared" si="20"/>
        <v>48</v>
      </c>
      <c r="AA101" s="20">
        <f>ABS(S101-SUMPRODUCT(('05B_가정검정'!$A$5:$A$19=B101)*('05B_가정검정'!$B$5:$B$19=C101)*'05B_가정검정'!$E$5:$E$19))</f>
        <v>1.5754650082308697E-2</v>
      </c>
      <c r="AB101" s="20">
        <f t="shared" si="21"/>
        <v>3.2225982601341019E-2</v>
      </c>
    </row>
    <row r="102" spans="1:28">
      <c r="A102" s="15" t="s">
        <v>129</v>
      </c>
      <c r="B102" s="15" t="s">
        <v>122</v>
      </c>
      <c r="C102" s="15" t="s">
        <v>118</v>
      </c>
      <c r="D102" s="16">
        <v>0.31964483906770302</v>
      </c>
      <c r="E102" s="16">
        <v>0.24226804123711301</v>
      </c>
      <c r="F102" s="16">
        <v>9.8445595854922296E-2</v>
      </c>
      <c r="G102" s="16">
        <v>0.180412371134021</v>
      </c>
      <c r="H102" s="16">
        <v>0.15972348815245899</v>
      </c>
      <c r="I102" s="16">
        <v>0.34761680448562299</v>
      </c>
      <c r="J102" s="16">
        <v>0.72198679193846804</v>
      </c>
      <c r="K102" s="16">
        <v>0.73633308121791297</v>
      </c>
      <c r="L102" s="16">
        <v>0.853649786176641</v>
      </c>
      <c r="M102" s="16">
        <v>0.39033457249070602</v>
      </c>
      <c r="N102" s="16">
        <v>0.38356164383561597</v>
      </c>
      <c r="O102" s="16">
        <v>1</v>
      </c>
      <c r="P102" s="17">
        <f t="shared" si="11"/>
        <v>0.2246851899886402</v>
      </c>
      <c r="Q102" s="17">
        <f t="shared" si="12"/>
        <v>0.77065655311100734</v>
      </c>
      <c r="R102" s="17">
        <f t="shared" si="13"/>
        <v>0.59129873877544059</v>
      </c>
      <c r="S102" s="17">
        <f>'02_지표정의'!$C$22*P102+'02_지표정의'!$C$23*Q102+'02_지표정의'!$C$24*R102</f>
        <v>0.59868704546908547</v>
      </c>
      <c r="T102" s="5">
        <f t="shared" si="14"/>
        <v>1</v>
      </c>
      <c r="U102" s="5" t="str">
        <f t="shared" si="15"/>
        <v>특허</v>
      </c>
      <c r="V102" s="18">
        <f t="shared" si="16"/>
        <v>387</v>
      </c>
      <c r="W102" s="5">
        <f t="shared" si="17"/>
        <v>313</v>
      </c>
      <c r="X102" s="5">
        <f t="shared" si="18"/>
        <v>0</v>
      </c>
      <c r="Y102" s="5">
        <f t="shared" si="19"/>
        <v>296</v>
      </c>
      <c r="Z102" s="19">
        <f t="shared" si="20"/>
        <v>45</v>
      </c>
      <c r="AA102" s="20">
        <f>ABS(S102-SUMPRODUCT(('05B_가정검정'!$A$5:$A$19=B102)*('05B_가정검정'!$B$5:$B$19=C102)*'05B_가정검정'!$E$5:$E$19))</f>
        <v>1.1765109471927215E-2</v>
      </c>
      <c r="AB102" s="20">
        <f t="shared" si="21"/>
        <v>1.7463769251401695E-2</v>
      </c>
    </row>
    <row r="103" spans="1:28">
      <c r="A103" s="15" t="s">
        <v>129</v>
      </c>
      <c r="B103" s="15" t="s">
        <v>122</v>
      </c>
      <c r="C103" s="15" t="s">
        <v>119</v>
      </c>
      <c r="D103" s="16">
        <v>0.38985736925515102</v>
      </c>
      <c r="E103" s="16">
        <v>0.45901639344262302</v>
      </c>
      <c r="F103" s="16">
        <v>0.187845303867403</v>
      </c>
      <c r="G103" s="16">
        <v>0.32786885245901598</v>
      </c>
      <c r="H103" s="16">
        <v>0.39758408710313298</v>
      </c>
      <c r="I103" s="16">
        <v>0.34691759003321299</v>
      </c>
      <c r="J103" s="16">
        <v>0.73555283335628796</v>
      </c>
      <c r="K103" s="16">
        <v>0.66142961989063698</v>
      </c>
      <c r="L103" s="16">
        <v>0.84531589670601004</v>
      </c>
      <c r="M103" s="16">
        <v>0.747899159663866</v>
      </c>
      <c r="N103" s="16">
        <v>0.74242424242424199</v>
      </c>
      <c r="O103" s="16">
        <v>1</v>
      </c>
      <c r="P103" s="17">
        <f t="shared" si="11"/>
        <v>0.3515149326934231</v>
      </c>
      <c r="Q103" s="17">
        <f t="shared" si="12"/>
        <v>0.74743278331764496</v>
      </c>
      <c r="R103" s="17">
        <f t="shared" si="13"/>
        <v>0.83010780069603596</v>
      </c>
      <c r="S103" s="17">
        <f>'02_지표정의'!$C$22*P103+'02_지표정의'!$C$23*Q103+'02_지표정의'!$C$24*R103</f>
        <v>0.69718546927523739</v>
      </c>
      <c r="T103" s="5">
        <f t="shared" si="14"/>
        <v>0</v>
      </c>
      <c r="U103" s="5" t="str">
        <f t="shared" si="15"/>
        <v>특허</v>
      </c>
      <c r="V103" s="18">
        <f t="shared" si="16"/>
        <v>816</v>
      </c>
      <c r="W103" s="5">
        <f t="shared" si="17"/>
        <v>0</v>
      </c>
      <c r="X103" s="5">
        <f t="shared" si="18"/>
        <v>491</v>
      </c>
      <c r="Y103" s="5">
        <f t="shared" si="19"/>
        <v>589</v>
      </c>
      <c r="Z103" s="19">
        <f t="shared" si="20"/>
        <v>63</v>
      </c>
      <c r="AA103" s="20">
        <f>ABS(S103-SUMPRODUCT(('05B_가정검정'!$A$5:$A$19=B103)*('05B_가정검정'!$B$5:$B$19=C103)*'05B_가정검정'!$E$5:$E$19))</f>
        <v>6.1579281373785988E-2</v>
      </c>
      <c r="AB103" s="20">
        <f t="shared" si="21"/>
        <v>6.5796602960351391E-2</v>
      </c>
    </row>
    <row r="104" spans="1:28">
      <c r="A104" s="15" t="s">
        <v>129</v>
      </c>
      <c r="B104" s="15" t="s">
        <v>123</v>
      </c>
      <c r="C104" s="15" t="s">
        <v>117</v>
      </c>
      <c r="D104" s="16">
        <v>0.28992072480181202</v>
      </c>
      <c r="E104" s="16">
        <v>0.38174273858921198</v>
      </c>
      <c r="F104" s="16">
        <v>0.15062761506276201</v>
      </c>
      <c r="G104" s="16">
        <v>0.27385892116182597</v>
      </c>
      <c r="H104" s="16">
        <v>0.34385293452267801</v>
      </c>
      <c r="I104" s="16">
        <v>0.28775383450606901</v>
      </c>
      <c r="J104" s="16">
        <v>0.72914983399474498</v>
      </c>
      <c r="K104" s="16">
        <v>0.79028611967916396</v>
      </c>
      <c r="L104" s="16">
        <v>0.90116919695616304</v>
      </c>
      <c r="M104" s="16">
        <v>0.64238410596026496</v>
      </c>
      <c r="N104" s="16">
        <v>0.76388888888888895</v>
      </c>
      <c r="O104" s="16">
        <v>1</v>
      </c>
      <c r="P104" s="17">
        <f t="shared" si="11"/>
        <v>0.28795946144072654</v>
      </c>
      <c r="Q104" s="17">
        <f t="shared" si="12"/>
        <v>0.80686838354335733</v>
      </c>
      <c r="R104" s="17">
        <f t="shared" si="13"/>
        <v>0.80209099828305119</v>
      </c>
      <c r="S104" s="17">
        <f>'02_지표정의'!$C$22*P104+'02_지표정의'!$C$23*Q104+'02_지표정의'!$C$24*R104</f>
        <v>0.70141451428172408</v>
      </c>
      <c r="T104" s="5">
        <f t="shared" si="14"/>
        <v>0</v>
      </c>
      <c r="U104" s="5" t="str">
        <f t="shared" si="15"/>
        <v>특허</v>
      </c>
      <c r="V104" s="18">
        <f t="shared" si="16"/>
        <v>826</v>
      </c>
      <c r="W104" s="5">
        <f t="shared" si="17"/>
        <v>556</v>
      </c>
      <c r="X104" s="5">
        <f t="shared" si="18"/>
        <v>501</v>
      </c>
      <c r="Y104" s="5">
        <f t="shared" si="19"/>
        <v>0</v>
      </c>
      <c r="Z104" s="19">
        <f t="shared" si="20"/>
        <v>22</v>
      </c>
      <c r="AA104" s="20">
        <f>ABS(S104-SUMPRODUCT(('05B_가정검정'!$A$5:$A$19=B104)*('05B_가정검정'!$B$5:$B$19=C104)*'05B_가정검정'!$E$5:$E$19))</f>
        <v>1.3508368494499656E-2</v>
      </c>
      <c r="AB104" s="20">
        <f t="shared" si="21"/>
        <v>-6.5709375295190942E-3</v>
      </c>
    </row>
    <row r="105" spans="1:28">
      <c r="A105" s="15" t="s">
        <v>129</v>
      </c>
      <c r="B105" s="15" t="s">
        <v>123</v>
      </c>
      <c r="C105" s="15" t="s">
        <v>118</v>
      </c>
      <c r="D105" s="16">
        <v>0.25867507886435298</v>
      </c>
      <c r="E105" s="16">
        <v>0.19321148825065301</v>
      </c>
      <c r="F105" s="16">
        <v>7.8740157480315001E-2</v>
      </c>
      <c r="G105" s="16">
        <v>0.15665796344647501</v>
      </c>
      <c r="H105" s="16">
        <v>0.16097987484080301</v>
      </c>
      <c r="I105" s="16">
        <v>0.25550530650612302</v>
      </c>
      <c r="J105" s="16">
        <v>0.71528267996512596</v>
      </c>
      <c r="K105" s="16">
        <v>0.76846328271911302</v>
      </c>
      <c r="L105" s="16">
        <v>0.88537144238448395</v>
      </c>
      <c r="M105" s="16">
        <v>0.36059479553903401</v>
      </c>
      <c r="N105" s="16">
        <v>0.37671232876712302</v>
      </c>
      <c r="O105" s="16">
        <v>1</v>
      </c>
      <c r="P105" s="17">
        <f t="shared" si="11"/>
        <v>0.18396164489812036</v>
      </c>
      <c r="Q105" s="17">
        <f t="shared" si="12"/>
        <v>0.78970580168957427</v>
      </c>
      <c r="R105" s="17">
        <f t="shared" si="13"/>
        <v>0.57910237476871906</v>
      </c>
      <c r="S105" s="17">
        <f>'02_지표정의'!$C$22*P105+'02_지표정의'!$C$23*Q105+'02_지표정의'!$C$24*R105</f>
        <v>0.59484577090898416</v>
      </c>
      <c r="T105" s="5">
        <f t="shared" si="14"/>
        <v>0</v>
      </c>
      <c r="U105" s="5" t="str">
        <f t="shared" si="15"/>
        <v>특허</v>
      </c>
      <c r="V105" s="18">
        <f t="shared" si="16"/>
        <v>366</v>
      </c>
      <c r="W105" s="5">
        <f t="shared" si="17"/>
        <v>295</v>
      </c>
      <c r="X105" s="5">
        <f t="shared" si="18"/>
        <v>0</v>
      </c>
      <c r="Y105" s="5">
        <f t="shared" si="19"/>
        <v>281</v>
      </c>
      <c r="Z105" s="19">
        <f t="shared" si="20"/>
        <v>44</v>
      </c>
      <c r="AA105" s="20">
        <f>ABS(S105-SUMPRODUCT(('05B_가정검정'!$A$5:$A$19=B105)*('05B_가정검정'!$B$5:$B$19=C105)*'05B_가정검정'!$E$5:$E$19))</f>
        <v>1.9546944030014446E-2</v>
      </c>
      <c r="AB105" s="20">
        <f t="shared" si="21"/>
        <v>3.4974162984493073E-2</v>
      </c>
    </row>
    <row r="106" spans="1:28">
      <c r="A106" s="15" t="s">
        <v>129</v>
      </c>
      <c r="B106" s="15" t="s">
        <v>123</v>
      </c>
      <c r="C106" s="15" t="s">
        <v>119</v>
      </c>
      <c r="D106" s="16">
        <v>0.34067547723935399</v>
      </c>
      <c r="E106" s="16">
        <v>0.51685393258427004</v>
      </c>
      <c r="F106" s="16">
        <v>0.23863636363636401</v>
      </c>
      <c r="G106" s="16">
        <v>0.39325842696629199</v>
      </c>
      <c r="H106" s="16">
        <v>0.47188151082458901</v>
      </c>
      <c r="I106" s="16">
        <v>0.48837571117102102</v>
      </c>
      <c r="J106" s="16">
        <v>0.798273732977552</v>
      </c>
      <c r="K106" s="16">
        <v>0.77600611308521705</v>
      </c>
      <c r="L106" s="16">
        <v>0.87375587843009495</v>
      </c>
      <c r="M106" s="16">
        <v>0.90654205607476601</v>
      </c>
      <c r="N106" s="16">
        <v>0.91666666666666696</v>
      </c>
      <c r="O106" s="16">
        <v>1</v>
      </c>
      <c r="P106" s="17">
        <f t="shared" si="11"/>
        <v>0.40828023707031508</v>
      </c>
      <c r="Q106" s="17">
        <f t="shared" si="12"/>
        <v>0.81601190816428792</v>
      </c>
      <c r="R106" s="17">
        <f t="shared" si="13"/>
        <v>0.94106957424714432</v>
      </c>
      <c r="S106" s="17">
        <f>'02_지표정의'!$C$22*P106+'02_지표정의'!$C$23*Q106+'02_지표정의'!$C$24*R106</f>
        <v>0.77823575707449311</v>
      </c>
      <c r="T106" s="5">
        <f t="shared" si="14"/>
        <v>1</v>
      </c>
      <c r="U106" s="5" t="str">
        <f t="shared" si="15"/>
        <v>특허</v>
      </c>
      <c r="V106" s="18">
        <f t="shared" si="16"/>
        <v>974</v>
      </c>
      <c r="W106" s="5">
        <f t="shared" si="17"/>
        <v>0</v>
      </c>
      <c r="X106" s="5">
        <f t="shared" si="18"/>
        <v>649</v>
      </c>
      <c r="Y106" s="5">
        <f t="shared" si="19"/>
        <v>649</v>
      </c>
      <c r="Z106" s="19">
        <f t="shared" si="20"/>
        <v>65</v>
      </c>
      <c r="AA106" s="20">
        <f>ABS(S106-SUMPRODUCT(('05B_가정검정'!$A$5:$A$19=B106)*('05B_가정검정'!$B$5:$B$19=C106)*'05B_가정검정'!$E$5:$E$19))</f>
        <v>9.2605959750265754E-2</v>
      </c>
      <c r="AB106" s="20">
        <f t="shared" si="21"/>
        <v>9.5817024029491327E-2</v>
      </c>
    </row>
    <row r="107" spans="1:28">
      <c r="A107" s="15" t="s">
        <v>130</v>
      </c>
      <c r="B107" s="15" t="s">
        <v>116</v>
      </c>
      <c r="C107" s="15" t="s">
        <v>117</v>
      </c>
      <c r="D107" s="16">
        <v>0.22312925170067999</v>
      </c>
      <c r="E107" s="16">
        <v>0.30434782608695699</v>
      </c>
      <c r="F107" s="16">
        <v>9.6491228070175503E-2</v>
      </c>
      <c r="G107" s="16">
        <v>0.24347826086956501</v>
      </c>
      <c r="H107" s="16">
        <v>0.18374984135799899</v>
      </c>
      <c r="I107" s="16">
        <v>0.35532245965402398</v>
      </c>
      <c r="J107" s="16">
        <v>0.67909727598662595</v>
      </c>
      <c r="K107" s="16">
        <v>0.67990936021369697</v>
      </c>
      <c r="L107" s="16">
        <v>0.85858538299542997</v>
      </c>
      <c r="M107" s="16">
        <v>0.45989304812834197</v>
      </c>
      <c r="N107" s="16">
        <v>0</v>
      </c>
      <c r="O107" s="16">
        <v>0.52631578947368396</v>
      </c>
      <c r="P107" s="17">
        <f t="shared" si="11"/>
        <v>0.23441981128990008</v>
      </c>
      <c r="Q107" s="17">
        <f t="shared" si="12"/>
        <v>0.7391973397319177</v>
      </c>
      <c r="R107" s="17">
        <f t="shared" si="13"/>
        <v>0.32873627920067533</v>
      </c>
      <c r="S107" s="17">
        <f>'02_지표정의'!$C$22*P107+'02_지표정의'!$C$23*Q107+'02_지표정의'!$C$24*R107</f>
        <v>0.49458046285757939</v>
      </c>
      <c r="T107" s="5">
        <f t="shared" si="14"/>
        <v>0</v>
      </c>
      <c r="U107" s="5" t="str">
        <f t="shared" si="15"/>
        <v>특허</v>
      </c>
      <c r="V107" s="18">
        <f t="shared" si="16"/>
        <v>37</v>
      </c>
      <c r="W107" s="5">
        <f t="shared" si="17"/>
        <v>31</v>
      </c>
      <c r="X107" s="5">
        <f t="shared" si="18"/>
        <v>11</v>
      </c>
      <c r="Y107" s="5">
        <f t="shared" si="19"/>
        <v>0</v>
      </c>
      <c r="Z107" s="19">
        <f t="shared" si="20"/>
        <v>4</v>
      </c>
      <c r="AA107" s="20">
        <f>ABS(S107-SUMPRODUCT(('05B_가정검정'!$A$5:$A$19=B107)*('05B_가정검정'!$B$5:$B$19=C107)*'05B_가정검정'!$E$5:$E$19))</f>
        <v>6.2823242127387879E-2</v>
      </c>
      <c r="AB107" s="20">
        <f t="shared" si="21"/>
        <v>-5.7970702555043996E-2</v>
      </c>
    </row>
    <row r="108" spans="1:28">
      <c r="A108" s="15" t="s">
        <v>130</v>
      </c>
      <c r="B108" s="15" t="s">
        <v>116</v>
      </c>
      <c r="C108" s="15" t="s">
        <v>118</v>
      </c>
      <c r="D108" s="16">
        <v>0.29237947122861602</v>
      </c>
      <c r="E108" s="16">
        <v>0.26111111111111102</v>
      </c>
      <c r="F108" s="16">
        <v>0.13966480446927401</v>
      </c>
      <c r="G108" s="16">
        <v>0.25</v>
      </c>
      <c r="H108" s="16">
        <v>0.137604027059054</v>
      </c>
      <c r="I108" s="16">
        <v>0.57073899489253499</v>
      </c>
      <c r="J108" s="16">
        <v>0.72197012047588005</v>
      </c>
      <c r="K108" s="16">
        <v>0.72160716922510104</v>
      </c>
      <c r="L108" s="16">
        <v>0.86039090419446695</v>
      </c>
      <c r="M108" s="16">
        <v>0.44329896907216498</v>
      </c>
      <c r="N108" s="16">
        <v>0</v>
      </c>
      <c r="O108" s="16">
        <v>0.52631578947368396</v>
      </c>
      <c r="P108" s="17">
        <f t="shared" si="11"/>
        <v>0.27524973479343168</v>
      </c>
      <c r="Q108" s="17">
        <f t="shared" si="12"/>
        <v>0.76798939796514931</v>
      </c>
      <c r="R108" s="17">
        <f t="shared" si="13"/>
        <v>0.32320491951528302</v>
      </c>
      <c r="S108" s="17">
        <f>'02_지표정의'!$C$22*P108+'02_지표정의'!$C$23*Q108+'02_지표정의'!$C$24*R108</f>
        <v>0.51376689787335261</v>
      </c>
      <c r="T108" s="5">
        <f t="shared" si="14"/>
        <v>0</v>
      </c>
      <c r="U108" s="5" t="str">
        <f t="shared" si="15"/>
        <v>특허</v>
      </c>
      <c r="V108" s="18">
        <f t="shared" si="16"/>
        <v>77</v>
      </c>
      <c r="W108" s="5">
        <f t="shared" si="17"/>
        <v>69</v>
      </c>
      <c r="X108" s="5">
        <f t="shared" si="18"/>
        <v>0</v>
      </c>
      <c r="Y108" s="5">
        <f t="shared" si="19"/>
        <v>70</v>
      </c>
      <c r="Z108" s="19">
        <f t="shared" si="20"/>
        <v>28</v>
      </c>
      <c r="AA108" s="20">
        <f>ABS(S108-SUMPRODUCT(('05B_가정검정'!$A$5:$A$19=B108)*('05B_가정검정'!$B$5:$B$19=C108)*'05B_가정검정'!$E$5:$E$19))</f>
        <v>1.7525523828369027E-2</v>
      </c>
      <c r="AB108" s="20">
        <f t="shared" si="21"/>
        <v>-1.378213450523369E-2</v>
      </c>
    </row>
    <row r="109" spans="1:28">
      <c r="A109" s="15" t="s">
        <v>130</v>
      </c>
      <c r="B109" s="15" t="s">
        <v>116</v>
      </c>
      <c r="C109" s="15" t="s">
        <v>119</v>
      </c>
      <c r="D109" s="16">
        <v>0.253846153846154</v>
      </c>
      <c r="E109" s="16">
        <v>0.46783625730994199</v>
      </c>
      <c r="F109" s="16">
        <v>0.177514792899408</v>
      </c>
      <c r="G109" s="16">
        <v>0.38596491228070201</v>
      </c>
      <c r="H109" s="16">
        <v>0.29046620090529301</v>
      </c>
      <c r="I109" s="16">
        <v>0.47034879182461198</v>
      </c>
      <c r="J109" s="16">
        <v>0.75847495217983296</v>
      </c>
      <c r="K109" s="16">
        <v>0.63415962230286504</v>
      </c>
      <c r="L109" s="16">
        <v>0.81800366709089201</v>
      </c>
      <c r="M109" s="16">
        <v>0.45454545454545497</v>
      </c>
      <c r="N109" s="16">
        <v>0.01</v>
      </c>
      <c r="O109" s="16">
        <v>0.52631578947368396</v>
      </c>
      <c r="P109" s="17">
        <f t="shared" si="11"/>
        <v>0.34099618484435185</v>
      </c>
      <c r="Q109" s="17">
        <f t="shared" si="12"/>
        <v>0.73687941385786326</v>
      </c>
      <c r="R109" s="17">
        <f t="shared" si="13"/>
        <v>0.33028708133971296</v>
      </c>
      <c r="S109" s="17">
        <f>'02_지표정의'!$C$22*P109+'02_지표정의'!$C$23*Q109+'02_지표정의'!$C$24*R109</f>
        <v>0.5153954516738084</v>
      </c>
      <c r="T109" s="5">
        <f t="shared" si="14"/>
        <v>0</v>
      </c>
      <c r="U109" s="5" t="str">
        <f t="shared" si="15"/>
        <v>특허</v>
      </c>
      <c r="V109" s="18">
        <f t="shared" si="16"/>
        <v>80</v>
      </c>
      <c r="W109" s="5">
        <f t="shared" si="17"/>
        <v>0</v>
      </c>
      <c r="X109" s="5">
        <f t="shared" si="18"/>
        <v>16</v>
      </c>
      <c r="Y109" s="5">
        <f t="shared" si="19"/>
        <v>73</v>
      </c>
      <c r="Z109" s="19">
        <f t="shared" si="20"/>
        <v>4</v>
      </c>
      <c r="AA109" s="20">
        <f>ABS(S109-SUMPRODUCT(('05B_가정검정'!$A$5:$A$19=B109)*('05B_가정검정'!$B$5:$B$19=C109)*'05B_가정검정'!$E$5:$E$19))</f>
        <v>3.7628065068974204E-2</v>
      </c>
      <c r="AB109" s="20">
        <f t="shared" si="21"/>
        <v>-4.1057032002371652E-2</v>
      </c>
    </row>
    <row r="110" spans="1:28">
      <c r="A110" s="15" t="s">
        <v>130</v>
      </c>
      <c r="B110" s="15" t="s">
        <v>120</v>
      </c>
      <c r="C110" s="15" t="s">
        <v>117</v>
      </c>
      <c r="D110" s="16">
        <v>0.233009708737864</v>
      </c>
      <c r="E110" s="16">
        <v>0.30726256983240202</v>
      </c>
      <c r="F110" s="16">
        <v>7.8651685393258397E-2</v>
      </c>
      <c r="G110" s="16">
        <v>0.212290502793296</v>
      </c>
      <c r="H110" s="16">
        <v>0.323176513174597</v>
      </c>
      <c r="I110" s="16">
        <v>0.33058950731212899</v>
      </c>
      <c r="J110" s="16">
        <v>0.67389693670333095</v>
      </c>
      <c r="K110" s="16">
        <v>0.69307928526776597</v>
      </c>
      <c r="L110" s="16">
        <v>0.84059211394130295</v>
      </c>
      <c r="M110" s="16">
        <v>0.527272727272727</v>
      </c>
      <c r="N110" s="16">
        <v>0.36585365853658502</v>
      </c>
      <c r="O110" s="16">
        <v>1</v>
      </c>
      <c r="P110" s="17">
        <f t="shared" si="11"/>
        <v>0.24749674787392439</v>
      </c>
      <c r="Q110" s="17">
        <f t="shared" si="12"/>
        <v>0.73585611197079992</v>
      </c>
      <c r="R110" s="17">
        <f t="shared" si="13"/>
        <v>0.63104212860310405</v>
      </c>
      <c r="S110" s="17">
        <f>'02_지표정의'!$C$22*P110+'02_지표정의'!$C$23*Q110+'02_지표정의'!$C$24*R110</f>
        <v>0.60149934497273128</v>
      </c>
      <c r="T110" s="5">
        <f t="shared" si="14"/>
        <v>0</v>
      </c>
      <c r="U110" s="5" t="str">
        <f t="shared" si="15"/>
        <v>특허</v>
      </c>
      <c r="V110" s="18">
        <f t="shared" si="16"/>
        <v>397</v>
      </c>
      <c r="W110" s="5">
        <f t="shared" si="17"/>
        <v>322</v>
      </c>
      <c r="X110" s="5">
        <f t="shared" si="18"/>
        <v>169</v>
      </c>
      <c r="Y110" s="5">
        <f t="shared" si="19"/>
        <v>0</v>
      </c>
      <c r="Z110" s="19">
        <f t="shared" si="20"/>
        <v>7</v>
      </c>
      <c r="AA110" s="20">
        <f>ABS(S110-SUMPRODUCT(('05B_가정검정'!$A$5:$A$19=B110)*('05B_가정검정'!$B$5:$B$19=C110)*'05B_가정검정'!$E$5:$E$19))</f>
        <v>2.6549615084389799E-2</v>
      </c>
      <c r="AB110" s="20">
        <f t="shared" si="21"/>
        <v>-2.9803358452025863E-2</v>
      </c>
    </row>
    <row r="111" spans="1:28">
      <c r="A111" s="15" t="s">
        <v>130</v>
      </c>
      <c r="B111" s="15" t="s">
        <v>120</v>
      </c>
      <c r="C111" s="15" t="s">
        <v>118</v>
      </c>
      <c r="D111" s="16">
        <v>0.28818443804034599</v>
      </c>
      <c r="E111" s="16">
        <v>0.36065573770491799</v>
      </c>
      <c r="F111" s="16">
        <v>0.131687242798354</v>
      </c>
      <c r="G111" s="16">
        <v>0.23770491803278701</v>
      </c>
      <c r="H111" s="16">
        <v>0.25200792643352898</v>
      </c>
      <c r="I111" s="16">
        <v>0.56424709898409997</v>
      </c>
      <c r="J111" s="16">
        <v>0.72552051868009104</v>
      </c>
      <c r="K111" s="16">
        <v>0.71512161892734305</v>
      </c>
      <c r="L111" s="16">
        <v>0.83531074044723197</v>
      </c>
      <c r="M111" s="16">
        <v>0.47422680412371099</v>
      </c>
      <c r="N111" s="16">
        <v>0.58518518518518503</v>
      </c>
      <c r="O111" s="16">
        <v>1</v>
      </c>
      <c r="P111" s="17">
        <f t="shared" si="11"/>
        <v>0.30574789366567234</v>
      </c>
      <c r="Q111" s="17">
        <f t="shared" si="12"/>
        <v>0.75865095935155535</v>
      </c>
      <c r="R111" s="17">
        <f t="shared" si="13"/>
        <v>0.68647066310296534</v>
      </c>
      <c r="S111" s="17">
        <f>'02_지표정의'!$C$22*P111+'02_지표정의'!$C$23*Q111+'02_지표정의'!$C$24*R111</f>
        <v>0.6428072425273722</v>
      </c>
      <c r="T111" s="5">
        <f t="shared" si="14"/>
        <v>0</v>
      </c>
      <c r="U111" s="5" t="str">
        <f t="shared" si="15"/>
        <v>특허</v>
      </c>
      <c r="V111" s="18">
        <f t="shared" si="16"/>
        <v>586</v>
      </c>
      <c r="W111" s="5">
        <f t="shared" si="17"/>
        <v>455</v>
      </c>
      <c r="X111" s="5">
        <f t="shared" si="18"/>
        <v>0</v>
      </c>
      <c r="Y111" s="5">
        <f t="shared" si="19"/>
        <v>439</v>
      </c>
      <c r="Z111" s="19">
        <f t="shared" si="20"/>
        <v>63</v>
      </c>
      <c r="AA111" s="20">
        <f>ABS(S111-SUMPRODUCT(('05B_가정검정'!$A$5:$A$19=B111)*('05B_가정검정'!$B$5:$B$19=C111)*'05B_가정검정'!$E$5:$E$19))</f>
        <v>5.1978393945744217E-2</v>
      </c>
      <c r="AB111" s="20">
        <f t="shared" si="21"/>
        <v>6.7916466565261402E-2</v>
      </c>
    </row>
    <row r="112" spans="1:28">
      <c r="A112" s="15" t="s">
        <v>130</v>
      </c>
      <c r="B112" s="15" t="s">
        <v>120</v>
      </c>
      <c r="C112" s="15" t="s">
        <v>119</v>
      </c>
      <c r="D112" s="16">
        <v>0.23093681917211301</v>
      </c>
      <c r="E112" s="16">
        <v>0.40802675585284298</v>
      </c>
      <c r="F112" s="16">
        <v>0.114478114478115</v>
      </c>
      <c r="G112" s="16">
        <v>0.26086956521739102</v>
      </c>
      <c r="H112" s="16">
        <v>0.20913758127006499</v>
      </c>
      <c r="I112" s="16">
        <v>0.53527743127465299</v>
      </c>
      <c r="J112" s="16">
        <v>0.72383824785059403</v>
      </c>
      <c r="K112" s="16">
        <v>0.66008020785407695</v>
      </c>
      <c r="L112" s="16">
        <v>0.867030739298838</v>
      </c>
      <c r="M112" s="16">
        <v>0.66428571428571404</v>
      </c>
      <c r="N112" s="16">
        <v>0.59756097560975596</v>
      </c>
      <c r="O112" s="16">
        <v>1</v>
      </c>
      <c r="P112" s="17">
        <f t="shared" si="11"/>
        <v>0.29312104454419668</v>
      </c>
      <c r="Q112" s="17">
        <f t="shared" si="12"/>
        <v>0.75031639833450292</v>
      </c>
      <c r="R112" s="17">
        <f t="shared" si="13"/>
        <v>0.7539488966318233</v>
      </c>
      <c r="S112" s="17">
        <f>'02_지표정의'!$C$22*P112+'02_지표정의'!$C$23*Q112+'02_지표정의'!$C$24*R112</f>
        <v>0.66014870198050379</v>
      </c>
      <c r="T112" s="5">
        <f t="shared" si="14"/>
        <v>0</v>
      </c>
      <c r="U112" s="5" t="str">
        <f t="shared" si="15"/>
        <v>특허</v>
      </c>
      <c r="V112" s="18">
        <f t="shared" si="16"/>
        <v>672</v>
      </c>
      <c r="W112" s="5">
        <f t="shared" si="17"/>
        <v>0</v>
      </c>
      <c r="X112" s="5">
        <f t="shared" si="18"/>
        <v>353</v>
      </c>
      <c r="Y112" s="5">
        <f t="shared" si="19"/>
        <v>496</v>
      </c>
      <c r="Z112" s="19">
        <f t="shared" si="20"/>
        <v>30</v>
      </c>
      <c r="AA112" s="20">
        <f>ABS(S112-SUMPRODUCT(('05B_가정검정'!$A$5:$A$19=B112)*('05B_가정검정'!$B$5:$B$19=C112)*'05B_가정검정'!$E$5:$E$19))</f>
        <v>3.5286145008824876E-3</v>
      </c>
      <c r="AB112" s="20">
        <f t="shared" si="21"/>
        <v>1.7256944696881771E-3</v>
      </c>
    </row>
    <row r="113" spans="1:28">
      <c r="A113" s="15" t="s">
        <v>130</v>
      </c>
      <c r="B113" s="15" t="s">
        <v>121</v>
      </c>
      <c r="C113" s="15" t="s">
        <v>117</v>
      </c>
      <c r="D113" s="16">
        <v>0.241463414634146</v>
      </c>
      <c r="E113" s="16">
        <v>0.36653386454183301</v>
      </c>
      <c r="F113" s="16">
        <v>0.11244979919678701</v>
      </c>
      <c r="G113" s="16">
        <v>0.23107569721115501</v>
      </c>
      <c r="H113" s="16">
        <v>0.26392895052106002</v>
      </c>
      <c r="I113" s="16">
        <v>0.33872912889262702</v>
      </c>
      <c r="J113" s="16">
        <v>0.72080960288861895</v>
      </c>
      <c r="K113" s="16">
        <v>0.78354438538265803</v>
      </c>
      <c r="L113" s="16">
        <v>0.89546873682026196</v>
      </c>
      <c r="M113" s="16">
        <v>0.587878787878788</v>
      </c>
      <c r="N113" s="16">
        <v>0.69620253164557</v>
      </c>
      <c r="O113" s="16">
        <v>1</v>
      </c>
      <c r="P113" s="17">
        <f t="shared" si="11"/>
        <v>0.25903014249960138</v>
      </c>
      <c r="Q113" s="17">
        <f t="shared" si="12"/>
        <v>0.79994090836384624</v>
      </c>
      <c r="R113" s="17">
        <f t="shared" si="13"/>
        <v>0.76136043984145274</v>
      </c>
      <c r="S113" s="17">
        <f>'02_지표정의'!$C$22*P113+'02_지표정의'!$C$23*Q113+'02_지표정의'!$C$24*R113</f>
        <v>0.67825559120815959</v>
      </c>
      <c r="T113" s="5">
        <f t="shared" si="14"/>
        <v>1</v>
      </c>
      <c r="U113" s="5" t="str">
        <f t="shared" si="15"/>
        <v>특허</v>
      </c>
      <c r="V113" s="18">
        <f t="shared" si="16"/>
        <v>751</v>
      </c>
      <c r="W113" s="5">
        <f t="shared" si="17"/>
        <v>529</v>
      </c>
      <c r="X113" s="5">
        <f t="shared" si="18"/>
        <v>429</v>
      </c>
      <c r="Y113" s="5">
        <f t="shared" si="19"/>
        <v>0</v>
      </c>
      <c r="Z113" s="19">
        <f t="shared" si="20"/>
        <v>7</v>
      </c>
      <c r="AA113" s="20">
        <f>ABS(S113-SUMPRODUCT(('05B_가정검정'!$A$5:$A$19=B113)*('05B_가정검정'!$B$5:$B$19=C113)*'05B_가정검정'!$E$5:$E$19))</f>
        <v>5.1176480173721561E-2</v>
      </c>
      <c r="AB113" s="20">
        <f t="shared" si="21"/>
        <v>-3.939620186472137E-2</v>
      </c>
    </row>
    <row r="114" spans="1:28">
      <c r="A114" s="15" t="s">
        <v>130</v>
      </c>
      <c r="B114" s="15" t="s">
        <v>121</v>
      </c>
      <c r="C114" s="15" t="s">
        <v>118</v>
      </c>
      <c r="D114" s="16">
        <v>0.31043956043956</v>
      </c>
      <c r="E114" s="16">
        <v>0.28346456692913402</v>
      </c>
      <c r="F114" s="16">
        <v>0.10026385224274401</v>
      </c>
      <c r="G114" s="16">
        <v>0.20472440944881901</v>
      </c>
      <c r="H114" s="16">
        <v>0.182690609979831</v>
      </c>
      <c r="I114" s="16">
        <v>0.49442626736540901</v>
      </c>
      <c r="J114" s="16">
        <v>0.73781435152364006</v>
      </c>
      <c r="K114" s="16">
        <v>0.81703722014103797</v>
      </c>
      <c r="L114" s="16">
        <v>0.91168647635051903</v>
      </c>
      <c r="M114" s="16">
        <v>0.33333333333333298</v>
      </c>
      <c r="N114" s="16">
        <v>0.407407407407407</v>
      </c>
      <c r="O114" s="16">
        <v>1</v>
      </c>
      <c r="P114" s="17">
        <f t="shared" si="11"/>
        <v>0.26266821106758281</v>
      </c>
      <c r="Q114" s="17">
        <f t="shared" si="12"/>
        <v>0.82217934933839898</v>
      </c>
      <c r="R114" s="17">
        <f t="shared" si="13"/>
        <v>0.58024691358024671</v>
      </c>
      <c r="S114" s="17">
        <f>'02_지표정의'!$C$22*P114+'02_지표정의'!$C$23*Q114+'02_지표정의'!$C$24*R114</f>
        <v>0.62560076916888252</v>
      </c>
      <c r="T114" s="5">
        <f t="shared" si="14"/>
        <v>0</v>
      </c>
      <c r="U114" s="5" t="str">
        <f t="shared" si="15"/>
        <v>특허</v>
      </c>
      <c r="V114" s="18">
        <f t="shared" si="16"/>
        <v>510</v>
      </c>
      <c r="W114" s="5">
        <f t="shared" si="17"/>
        <v>412</v>
      </c>
      <c r="X114" s="5">
        <f t="shared" si="18"/>
        <v>0</v>
      </c>
      <c r="Y114" s="5">
        <f t="shared" si="19"/>
        <v>384</v>
      </c>
      <c r="Z114" s="19">
        <f t="shared" si="20"/>
        <v>54</v>
      </c>
      <c r="AA114" s="20">
        <f>ABS(S114-SUMPRODUCT(('05B_가정검정'!$A$5:$A$19=B114)*('05B_가정검정'!$B$5:$B$19=C114)*'05B_가정검정'!$E$5:$E$19))</f>
        <v>2.7021279001914089E-2</v>
      </c>
      <c r="AB114" s="20">
        <f t="shared" si="21"/>
        <v>4.6201694642069246E-2</v>
      </c>
    </row>
    <row r="115" spans="1:28">
      <c r="A115" s="15" t="s">
        <v>130</v>
      </c>
      <c r="B115" s="15" t="s">
        <v>121</v>
      </c>
      <c r="C115" s="15" t="s">
        <v>119</v>
      </c>
      <c r="D115" s="16">
        <v>0.28429752066115699</v>
      </c>
      <c r="E115" s="16">
        <v>0.55208333333333304</v>
      </c>
      <c r="F115" s="16">
        <v>0.2</v>
      </c>
      <c r="G115" s="16">
        <v>0.34375</v>
      </c>
      <c r="H115" s="16">
        <v>0.41789532329414902</v>
      </c>
      <c r="I115" s="16">
        <v>0.45023504841287199</v>
      </c>
      <c r="J115" s="16">
        <v>0.79068053794793203</v>
      </c>
      <c r="K115" s="16">
        <v>0.78671761549457397</v>
      </c>
      <c r="L115" s="16">
        <v>0.89807621548007899</v>
      </c>
      <c r="M115" s="16">
        <v>0.90654205607476601</v>
      </c>
      <c r="N115" s="16">
        <v>0.91666666666666696</v>
      </c>
      <c r="O115" s="16">
        <v>1</v>
      </c>
      <c r="P115" s="17">
        <f t="shared" si="11"/>
        <v>0.3747102042835852</v>
      </c>
      <c r="Q115" s="17">
        <f t="shared" si="12"/>
        <v>0.825158122974195</v>
      </c>
      <c r="R115" s="17">
        <f t="shared" si="13"/>
        <v>0.94106957424714432</v>
      </c>
      <c r="S115" s="17">
        <f>'02_지표정의'!$C$22*P115+'02_지표정의'!$C$23*Q115+'02_지표정의'!$C$24*R115</f>
        <v>0.77563754718160527</v>
      </c>
      <c r="T115" s="5">
        <f t="shared" si="14"/>
        <v>0</v>
      </c>
      <c r="U115" s="5" t="str">
        <f t="shared" si="15"/>
        <v>특허</v>
      </c>
      <c r="V115" s="18">
        <f t="shared" si="16"/>
        <v>973</v>
      </c>
      <c r="W115" s="5">
        <f t="shared" si="17"/>
        <v>0</v>
      </c>
      <c r="X115" s="5">
        <f t="shared" si="18"/>
        <v>648</v>
      </c>
      <c r="Y115" s="5">
        <f t="shared" si="19"/>
        <v>648</v>
      </c>
      <c r="Z115" s="19">
        <f t="shared" si="20"/>
        <v>64</v>
      </c>
      <c r="AA115" s="20">
        <f>ABS(S115-SUMPRODUCT(('05B_가정검정'!$A$5:$A$19=B115)*('05B_가정검정'!$B$5:$B$19=C115)*'05B_가정검정'!$E$5:$E$19))</f>
        <v>8.331770438575159E-2</v>
      </c>
      <c r="AB115" s="20">
        <f t="shared" si="21"/>
        <v>8.7400571761994228E-2</v>
      </c>
    </row>
    <row r="116" spans="1:28">
      <c r="A116" s="15" t="s">
        <v>130</v>
      </c>
      <c r="B116" s="15" t="s">
        <v>122</v>
      </c>
      <c r="C116" s="15" t="s">
        <v>117</v>
      </c>
      <c r="D116" s="16">
        <v>0.26030368763557499</v>
      </c>
      <c r="E116" s="16">
        <v>0.32624113475177302</v>
      </c>
      <c r="F116" s="16">
        <v>0.1</v>
      </c>
      <c r="G116" s="16">
        <v>0.25531914893617003</v>
      </c>
      <c r="H116" s="16">
        <v>0.34554057067938898</v>
      </c>
      <c r="I116" s="16">
        <v>0.34856315553871398</v>
      </c>
      <c r="J116" s="16">
        <v>0.718924592042682</v>
      </c>
      <c r="K116" s="16">
        <v>0.70486500964224796</v>
      </c>
      <c r="L116" s="16">
        <v>0.83344545147254701</v>
      </c>
      <c r="M116" s="16">
        <v>0.61212121212121196</v>
      </c>
      <c r="N116" s="16">
        <v>0.632911392405063</v>
      </c>
      <c r="O116" s="16">
        <v>1</v>
      </c>
      <c r="P116" s="17">
        <f t="shared" si="11"/>
        <v>0.27266128292360348</v>
      </c>
      <c r="Q116" s="17">
        <f t="shared" si="12"/>
        <v>0.75241168438582573</v>
      </c>
      <c r="R116" s="17">
        <f t="shared" si="13"/>
        <v>0.74834420150875836</v>
      </c>
      <c r="S116" s="17">
        <f>'02_지표정의'!$C$22*P116+'02_지표정의'!$C$23*Q116+'02_지표정의'!$C$24*R116</f>
        <v>0.65503798508640765</v>
      </c>
      <c r="T116" s="5">
        <f t="shared" si="14"/>
        <v>0</v>
      </c>
      <c r="U116" s="5" t="str">
        <f t="shared" si="15"/>
        <v>특허</v>
      </c>
      <c r="V116" s="18">
        <f t="shared" si="16"/>
        <v>645</v>
      </c>
      <c r="W116" s="5">
        <f t="shared" si="17"/>
        <v>485</v>
      </c>
      <c r="X116" s="5">
        <f t="shared" si="18"/>
        <v>327</v>
      </c>
      <c r="Y116" s="5">
        <f t="shared" si="19"/>
        <v>0</v>
      </c>
      <c r="Z116" s="19">
        <f t="shared" si="20"/>
        <v>47</v>
      </c>
      <c r="AA116" s="20">
        <f>ABS(S116-SUMPRODUCT(('05B_가정검정'!$A$5:$A$19=B116)*('05B_가정검정'!$B$5:$B$19=C116)*'05B_가정검정'!$E$5:$E$19))</f>
        <v>1.568503037772917E-2</v>
      </c>
      <c r="AB116" s="20">
        <f t="shared" si="21"/>
        <v>3.2156362896761492E-2</v>
      </c>
    </row>
    <row r="117" spans="1:28">
      <c r="A117" s="15" t="s">
        <v>130</v>
      </c>
      <c r="B117" s="15" t="s">
        <v>122</v>
      </c>
      <c r="C117" s="15" t="s">
        <v>118</v>
      </c>
      <c r="D117" s="16">
        <v>0.33734939759036098</v>
      </c>
      <c r="E117" s="16">
        <v>0.39320388349514601</v>
      </c>
      <c r="F117" s="16">
        <v>0.151219512195122</v>
      </c>
      <c r="G117" s="16">
        <v>0.25728155339805803</v>
      </c>
      <c r="H117" s="16">
        <v>0.246345847845861</v>
      </c>
      <c r="I117" s="16">
        <v>0.49293526501025797</v>
      </c>
      <c r="J117" s="16">
        <v>0.72813144987295697</v>
      </c>
      <c r="K117" s="16">
        <v>0.71999241016287396</v>
      </c>
      <c r="L117" s="16">
        <v>0.84484964054672096</v>
      </c>
      <c r="M117" s="16">
        <v>0.40893470790378</v>
      </c>
      <c r="N117" s="16">
        <v>0.35555555555555601</v>
      </c>
      <c r="O117" s="16">
        <v>1</v>
      </c>
      <c r="P117" s="17">
        <f t="shared" si="11"/>
        <v>0.31305590992246762</v>
      </c>
      <c r="Q117" s="17">
        <f t="shared" si="12"/>
        <v>0.76432450019418396</v>
      </c>
      <c r="R117" s="17">
        <f t="shared" si="13"/>
        <v>0.58816342115311204</v>
      </c>
      <c r="S117" s="17">
        <f>'02_지표정의'!$C$22*P117+'02_지표정의'!$C$23*Q117+'02_지표정의'!$C$24*R117</f>
        <v>0.61241440447546558</v>
      </c>
      <c r="T117" s="5">
        <f t="shared" si="14"/>
        <v>1</v>
      </c>
      <c r="U117" s="5" t="str">
        <f t="shared" si="15"/>
        <v>특허</v>
      </c>
      <c r="V117" s="18">
        <f t="shared" si="16"/>
        <v>449</v>
      </c>
      <c r="W117" s="5">
        <f t="shared" si="17"/>
        <v>366</v>
      </c>
      <c r="X117" s="5">
        <f t="shared" si="18"/>
        <v>0</v>
      </c>
      <c r="Y117" s="5">
        <f t="shared" si="19"/>
        <v>341</v>
      </c>
      <c r="Z117" s="19">
        <f t="shared" si="20"/>
        <v>48</v>
      </c>
      <c r="AA117" s="20">
        <f>ABS(S117-SUMPRODUCT(('05B_가정검정'!$A$5:$A$19=B117)*('05B_가정검정'!$B$5:$B$19=C117)*'05B_가정검정'!$E$5:$E$19))</f>
        <v>2.5492468478307329E-2</v>
      </c>
      <c r="AB117" s="20">
        <f t="shared" si="21"/>
        <v>3.1191128257781808E-2</v>
      </c>
    </row>
    <row r="118" spans="1:28">
      <c r="A118" s="15" t="s">
        <v>130</v>
      </c>
      <c r="B118" s="15" t="s">
        <v>122</v>
      </c>
      <c r="C118" s="15" t="s">
        <v>119</v>
      </c>
      <c r="D118" s="16">
        <v>0.308345120226308</v>
      </c>
      <c r="E118" s="16">
        <v>0.457399103139013</v>
      </c>
      <c r="F118" s="16">
        <v>0.144796380090498</v>
      </c>
      <c r="G118" s="16">
        <v>0.34977578475336302</v>
      </c>
      <c r="H118" s="16">
        <v>0.32151092573614298</v>
      </c>
      <c r="I118" s="16">
        <v>0.50019037712825698</v>
      </c>
      <c r="J118" s="16">
        <v>0.74099337810169097</v>
      </c>
      <c r="K118" s="16">
        <v>0.62519833192613306</v>
      </c>
      <c r="L118" s="16">
        <v>0.84506571845579304</v>
      </c>
      <c r="M118" s="16">
        <v>0.65925925925925899</v>
      </c>
      <c r="N118" s="16">
        <v>0.66216216216216195</v>
      </c>
      <c r="O118" s="16">
        <v>1</v>
      </c>
      <c r="P118" s="17">
        <f t="shared" si="11"/>
        <v>0.34700294851226365</v>
      </c>
      <c r="Q118" s="17">
        <f t="shared" si="12"/>
        <v>0.73708580949453906</v>
      </c>
      <c r="R118" s="17">
        <f t="shared" si="13"/>
        <v>0.77380714047380694</v>
      </c>
      <c r="S118" s="17">
        <f>'02_지표정의'!$C$22*P118+'02_지표정의'!$C$23*Q118+'02_지표정의'!$C$24*R118</f>
        <v>0.67192170314082778</v>
      </c>
      <c r="T118" s="5">
        <f t="shared" si="14"/>
        <v>0</v>
      </c>
      <c r="U118" s="5" t="str">
        <f t="shared" si="15"/>
        <v>특허</v>
      </c>
      <c r="V118" s="18">
        <f t="shared" si="16"/>
        <v>726</v>
      </c>
      <c r="W118" s="5">
        <f t="shared" si="17"/>
        <v>0</v>
      </c>
      <c r="X118" s="5">
        <f t="shared" si="18"/>
        <v>405</v>
      </c>
      <c r="Y118" s="5">
        <f t="shared" si="19"/>
        <v>530</v>
      </c>
      <c r="Z118" s="19">
        <f t="shared" si="20"/>
        <v>52</v>
      </c>
      <c r="AA118" s="20">
        <f>ABS(S118-SUMPRODUCT(('05B_가정검정'!$A$5:$A$19=B118)*('05B_가정검정'!$B$5:$B$19=C118)*'05B_가정검정'!$E$5:$E$19))</f>
        <v>3.6315515239376372E-2</v>
      </c>
      <c r="AB118" s="20">
        <f t="shared" si="21"/>
        <v>4.0532836825941776E-2</v>
      </c>
    </row>
    <row r="119" spans="1:28">
      <c r="A119" s="15" t="s">
        <v>130</v>
      </c>
      <c r="B119" s="15" t="s">
        <v>123</v>
      </c>
      <c r="C119" s="15" t="s">
        <v>117</v>
      </c>
      <c r="D119" s="16">
        <v>0.237179487179487</v>
      </c>
      <c r="E119" s="16">
        <v>0.323024054982818</v>
      </c>
      <c r="F119" s="16">
        <v>0.110726643598616</v>
      </c>
      <c r="G119" s="16">
        <v>0.247422680412371</v>
      </c>
      <c r="H119" s="16">
        <v>0.31877047683662801</v>
      </c>
      <c r="I119" s="16">
        <v>0.30880241619248799</v>
      </c>
      <c r="J119" s="16">
        <v>0.71517311282830598</v>
      </c>
      <c r="K119" s="16">
        <v>0.69578034113500697</v>
      </c>
      <c r="L119" s="16">
        <v>0.83098005279113496</v>
      </c>
      <c r="M119" s="16">
        <v>0.587878787878788</v>
      </c>
      <c r="N119" s="16">
        <v>0.69620253164557</v>
      </c>
      <c r="O119" s="16">
        <v>1</v>
      </c>
      <c r="P119" s="17">
        <f t="shared" si="11"/>
        <v>0.2576542932004014</v>
      </c>
      <c r="Q119" s="17">
        <f t="shared" si="12"/>
        <v>0.74731116891814919</v>
      </c>
      <c r="R119" s="17">
        <f t="shared" si="13"/>
        <v>0.76136043984145274</v>
      </c>
      <c r="S119" s="17">
        <f>'02_지표정의'!$C$22*P119+'02_지표정의'!$C$23*Q119+'02_지표정의'!$C$24*R119</f>
        <v>0.6542970385977559</v>
      </c>
      <c r="T119" s="5">
        <f t="shared" si="14"/>
        <v>0</v>
      </c>
      <c r="U119" s="5" t="str">
        <f t="shared" si="15"/>
        <v>특허</v>
      </c>
      <c r="V119" s="18">
        <f t="shared" si="16"/>
        <v>639</v>
      </c>
      <c r="W119" s="5">
        <f t="shared" si="17"/>
        <v>482</v>
      </c>
      <c r="X119" s="5">
        <f t="shared" si="18"/>
        <v>321</v>
      </c>
      <c r="Y119" s="5">
        <f t="shared" si="19"/>
        <v>0</v>
      </c>
      <c r="Z119" s="19">
        <f t="shared" si="20"/>
        <v>2</v>
      </c>
      <c r="AA119" s="20">
        <f>ABS(S119-SUMPRODUCT(('05B_가정검정'!$A$5:$A$19=B119)*('05B_가정검정'!$B$5:$B$19=C119)*'05B_가정검정'!$E$5:$E$19))</f>
        <v>6.0625844178467836E-2</v>
      </c>
      <c r="AB119" s="20">
        <f t="shared" si="21"/>
        <v>-5.3688413213487274E-2</v>
      </c>
    </row>
    <row r="120" spans="1:28">
      <c r="A120" s="15" t="s">
        <v>130</v>
      </c>
      <c r="B120" s="15" t="s">
        <v>123</v>
      </c>
      <c r="C120" s="15" t="s">
        <v>118</v>
      </c>
      <c r="D120" s="16">
        <v>0.291469194312796</v>
      </c>
      <c r="E120" s="16">
        <v>0.33254156769596199</v>
      </c>
      <c r="F120" s="16">
        <v>0.119331742243437</v>
      </c>
      <c r="G120" s="16">
        <v>0.237529691211401</v>
      </c>
      <c r="H120" s="16">
        <v>0.23550603215695101</v>
      </c>
      <c r="I120" s="16">
        <v>0.53141653881185702</v>
      </c>
      <c r="J120" s="16">
        <v>0.72257231935506805</v>
      </c>
      <c r="K120" s="16">
        <v>0.72598533905158702</v>
      </c>
      <c r="L120" s="16">
        <v>0.85772780346596</v>
      </c>
      <c r="M120" s="16">
        <v>0.33333333333333298</v>
      </c>
      <c r="N120" s="16">
        <v>0.407407407407407</v>
      </c>
      <c r="O120" s="16">
        <v>1</v>
      </c>
      <c r="P120" s="17">
        <f t="shared" si="11"/>
        <v>0.29129912773873401</v>
      </c>
      <c r="Q120" s="17">
        <f t="shared" si="12"/>
        <v>0.76876182062420506</v>
      </c>
      <c r="R120" s="17">
        <f t="shared" si="13"/>
        <v>0.58024691358024671</v>
      </c>
      <c r="S120" s="17">
        <f>'02_지표정의'!$C$22*P120+'02_지표정의'!$C$23*Q120+'02_지표정의'!$C$24*R120</f>
        <v>0.60728906458172549</v>
      </c>
      <c r="T120" s="5">
        <f t="shared" si="14"/>
        <v>0</v>
      </c>
      <c r="U120" s="5" t="str">
        <f t="shared" si="15"/>
        <v>특허</v>
      </c>
      <c r="V120" s="18">
        <f t="shared" si="16"/>
        <v>419</v>
      </c>
      <c r="W120" s="5">
        <f t="shared" si="17"/>
        <v>340</v>
      </c>
      <c r="X120" s="5">
        <f t="shared" si="18"/>
        <v>0</v>
      </c>
      <c r="Y120" s="5">
        <f t="shared" si="19"/>
        <v>319</v>
      </c>
      <c r="Z120" s="19">
        <f t="shared" si="20"/>
        <v>53</v>
      </c>
      <c r="AA120" s="20">
        <f>ABS(S120-SUMPRODUCT(('05B_가정검정'!$A$5:$A$19=B120)*('05B_가정검정'!$B$5:$B$19=C120)*'05B_가정검정'!$E$5:$E$19))</f>
        <v>3.1990237702755775E-2</v>
      </c>
      <c r="AB120" s="20">
        <f t="shared" si="21"/>
        <v>4.7417456657234403E-2</v>
      </c>
    </row>
    <row r="121" spans="1:28">
      <c r="A121" s="15" t="s">
        <v>130</v>
      </c>
      <c r="B121" s="15" t="s">
        <v>123</v>
      </c>
      <c r="C121" s="15" t="s">
        <v>119</v>
      </c>
      <c r="D121" s="16">
        <v>0.26352288488210801</v>
      </c>
      <c r="E121" s="16">
        <v>0.45689655172413801</v>
      </c>
      <c r="F121" s="16">
        <v>0.15652173913043499</v>
      </c>
      <c r="G121" s="16">
        <v>0.34482758620689702</v>
      </c>
      <c r="H121" s="16">
        <v>0.39163356793050502</v>
      </c>
      <c r="I121" s="16">
        <v>0.43838438176837702</v>
      </c>
      <c r="J121" s="16">
        <v>0.73189281766721304</v>
      </c>
      <c r="K121" s="16">
        <v>0.640217817620927</v>
      </c>
      <c r="L121" s="16">
        <v>0.87544708106194802</v>
      </c>
      <c r="M121" s="16">
        <v>0.90654205607476601</v>
      </c>
      <c r="N121" s="16">
        <v>0.91666666666666696</v>
      </c>
      <c r="O121" s="16">
        <v>1</v>
      </c>
      <c r="P121" s="17">
        <f t="shared" si="11"/>
        <v>0.34196445194040997</v>
      </c>
      <c r="Q121" s="17">
        <f t="shared" si="12"/>
        <v>0.74918590545002939</v>
      </c>
      <c r="R121" s="17">
        <f t="shared" si="13"/>
        <v>0.94106957424714432</v>
      </c>
      <c r="S121" s="17">
        <f>'02_지표정의'!$C$22*P121+'02_지표정의'!$C$23*Q121+'02_지표정의'!$C$24*R121</f>
        <v>0.73490089882709575</v>
      </c>
      <c r="T121" s="5">
        <f t="shared" si="14"/>
        <v>1</v>
      </c>
      <c r="U121" s="5" t="str">
        <f t="shared" si="15"/>
        <v>특허</v>
      </c>
      <c r="V121" s="18">
        <f t="shared" si="16"/>
        <v>916</v>
      </c>
      <c r="W121" s="5">
        <f t="shared" si="17"/>
        <v>0</v>
      </c>
      <c r="X121" s="5">
        <f t="shared" si="18"/>
        <v>591</v>
      </c>
      <c r="Y121" s="5">
        <f t="shared" si="19"/>
        <v>621</v>
      </c>
      <c r="Z121" s="19">
        <f t="shared" si="20"/>
        <v>51</v>
      </c>
      <c r="AA121" s="20">
        <f>ABS(S121-SUMPRODUCT(('05B_가정검정'!$A$5:$A$19=B121)*('05B_가정검정'!$B$5:$B$19=C121)*'05B_가정검정'!$E$5:$E$19))</f>
        <v>4.9271101502868397E-2</v>
      </c>
      <c r="AB121" s="20">
        <f t="shared" si="21"/>
        <v>5.248216578209397E-2</v>
      </c>
    </row>
    <row r="122" spans="1:28">
      <c r="A122" s="15" t="s">
        <v>131</v>
      </c>
      <c r="B122" s="15" t="s">
        <v>116</v>
      </c>
      <c r="C122" s="15" t="s">
        <v>117</v>
      </c>
      <c r="D122" s="16">
        <v>0.23196605374823201</v>
      </c>
      <c r="E122" s="16">
        <v>0.26785714285714302</v>
      </c>
      <c r="F122" s="16">
        <v>9.00900900900901E-2</v>
      </c>
      <c r="G122" s="16">
        <v>0.23214285714285701</v>
      </c>
      <c r="H122" s="16">
        <v>0.22388499929567199</v>
      </c>
      <c r="I122" s="16">
        <v>0.20558491194379</v>
      </c>
      <c r="J122" s="16">
        <v>0.71167282124991205</v>
      </c>
      <c r="K122" s="16">
        <v>0.63432456450303398</v>
      </c>
      <c r="L122" s="16">
        <v>0.810015634646164</v>
      </c>
      <c r="M122" s="16">
        <v>0.497076023391813</v>
      </c>
      <c r="N122" s="16">
        <v>0.20652173913043501</v>
      </c>
      <c r="O122" s="16">
        <v>1</v>
      </c>
      <c r="P122" s="17">
        <f t="shared" si="11"/>
        <v>0.20858767584629734</v>
      </c>
      <c r="Q122" s="17">
        <f t="shared" si="12"/>
        <v>0.71867100679970342</v>
      </c>
      <c r="R122" s="17">
        <f t="shared" si="13"/>
        <v>0.56786592084074938</v>
      </c>
      <c r="S122" s="17">
        <f>'02_지표정의'!$C$22*P122+'02_지표정의'!$C$23*Q122+'02_지표정의'!$C$24*R122</f>
        <v>0.5638725605233883</v>
      </c>
      <c r="T122" s="5">
        <f t="shared" si="14"/>
        <v>0</v>
      </c>
      <c r="U122" s="5" t="str">
        <f t="shared" si="15"/>
        <v>특허</v>
      </c>
      <c r="V122" s="18">
        <f t="shared" si="16"/>
        <v>264</v>
      </c>
      <c r="W122" s="5">
        <f t="shared" si="17"/>
        <v>215</v>
      </c>
      <c r="X122" s="5">
        <f t="shared" si="18"/>
        <v>99</v>
      </c>
      <c r="Y122" s="5">
        <f t="shared" si="19"/>
        <v>0</v>
      </c>
      <c r="Z122" s="19">
        <f t="shared" si="20"/>
        <v>41</v>
      </c>
      <c r="AA122" s="20">
        <f>ABS(S122-SUMPRODUCT(('05B_가정검정'!$A$5:$A$19=B122)*('05B_가정검정'!$B$5:$B$19=C122)*'05B_가정검정'!$E$5:$E$19))</f>
        <v>6.4688555384210256E-3</v>
      </c>
      <c r="AB122" s="20">
        <f t="shared" si="21"/>
        <v>1.1321395110764909E-2</v>
      </c>
    </row>
    <row r="123" spans="1:28">
      <c r="A123" s="15" t="s">
        <v>131</v>
      </c>
      <c r="B123" s="15" t="s">
        <v>116</v>
      </c>
      <c r="C123" s="15" t="s">
        <v>118</v>
      </c>
      <c r="D123" s="16">
        <v>0.339563862928349</v>
      </c>
      <c r="E123" s="16">
        <v>0.3125</v>
      </c>
      <c r="F123" s="16">
        <v>0.133858267716535</v>
      </c>
      <c r="G123" s="16">
        <v>0.2421875</v>
      </c>
      <c r="H123" s="16">
        <v>0.159934731509456</v>
      </c>
      <c r="I123" s="16">
        <v>0.36956469105601097</v>
      </c>
      <c r="J123" s="16">
        <v>0.68966158095919805</v>
      </c>
      <c r="K123" s="16">
        <v>0.69208283693373196</v>
      </c>
      <c r="L123" s="16">
        <v>0.83243050284340003</v>
      </c>
      <c r="M123" s="16">
        <v>0.371428571428571</v>
      </c>
      <c r="N123" s="16">
        <v>0</v>
      </c>
      <c r="O123" s="16">
        <v>0.52631578947368396</v>
      </c>
      <c r="P123" s="17">
        <f t="shared" si="11"/>
        <v>0.25960150886839184</v>
      </c>
      <c r="Q123" s="17">
        <f t="shared" si="12"/>
        <v>0.73805830691210994</v>
      </c>
      <c r="R123" s="17">
        <f t="shared" si="13"/>
        <v>0.29924812030075165</v>
      </c>
      <c r="S123" s="17">
        <f>'02_지표정의'!$C$22*P123+'02_지표정의'!$C$23*Q123+'02_지표정의'!$C$24*R123</f>
        <v>0.48878338198939092</v>
      </c>
      <c r="T123" s="5">
        <f t="shared" si="14"/>
        <v>0</v>
      </c>
      <c r="U123" s="5" t="str">
        <f t="shared" si="15"/>
        <v>특허</v>
      </c>
      <c r="V123" s="18">
        <f t="shared" si="16"/>
        <v>29</v>
      </c>
      <c r="W123" s="5">
        <f t="shared" si="17"/>
        <v>23</v>
      </c>
      <c r="X123" s="5">
        <f t="shared" si="18"/>
        <v>0</v>
      </c>
      <c r="Y123" s="5">
        <f t="shared" si="19"/>
        <v>27</v>
      </c>
      <c r="Z123" s="19">
        <f t="shared" si="20"/>
        <v>15</v>
      </c>
      <c r="AA123" s="20">
        <f>ABS(S123-SUMPRODUCT(('05B_가정검정'!$A$5:$A$19=B123)*('05B_가정검정'!$B$5:$B$19=C123)*'05B_가정검정'!$E$5:$E$19))</f>
        <v>4.2509039712330721E-2</v>
      </c>
      <c r="AB123" s="20">
        <f t="shared" si="21"/>
        <v>-3.8765650389195383E-2</v>
      </c>
    </row>
    <row r="124" spans="1:28">
      <c r="A124" s="15" t="s">
        <v>131</v>
      </c>
      <c r="B124" s="15" t="s">
        <v>116</v>
      </c>
      <c r="C124" s="15" t="s">
        <v>119</v>
      </c>
      <c r="D124" s="16">
        <v>0.29984544049459</v>
      </c>
      <c r="E124" s="16">
        <v>0.36893203883495101</v>
      </c>
      <c r="F124" s="16">
        <v>0.14705882352941199</v>
      </c>
      <c r="G124" s="16">
        <v>0.28155339805825202</v>
      </c>
      <c r="H124" s="16">
        <v>0.24878842835782</v>
      </c>
      <c r="I124" s="16">
        <v>0.32620317599846999</v>
      </c>
      <c r="J124" s="16">
        <v>0.72326358254017797</v>
      </c>
      <c r="K124" s="16">
        <v>0.62941044523969603</v>
      </c>
      <c r="L124" s="16">
        <v>0.84426300045067304</v>
      </c>
      <c r="M124" s="16">
        <v>0.461988304093567</v>
      </c>
      <c r="N124" s="16">
        <v>0</v>
      </c>
      <c r="O124" s="16">
        <v>1</v>
      </c>
      <c r="P124" s="17">
        <f t="shared" si="11"/>
        <v>0.27873021754558253</v>
      </c>
      <c r="Q124" s="17">
        <f t="shared" si="12"/>
        <v>0.73231234274351564</v>
      </c>
      <c r="R124" s="17">
        <f t="shared" si="13"/>
        <v>0.48732943469785567</v>
      </c>
      <c r="S124" s="17">
        <f>'02_지표정의'!$C$22*P124+'02_지표정의'!$C$23*Q124+'02_지표정의'!$C$24*R124</f>
        <v>0.55585189988794803</v>
      </c>
      <c r="T124" s="5">
        <f t="shared" si="14"/>
        <v>0</v>
      </c>
      <c r="U124" s="5" t="str">
        <f t="shared" si="15"/>
        <v>특허</v>
      </c>
      <c r="V124" s="18">
        <f t="shared" si="16"/>
        <v>236</v>
      </c>
      <c r="W124" s="5">
        <f t="shared" si="17"/>
        <v>0</v>
      </c>
      <c r="X124" s="5">
        <f t="shared" si="18"/>
        <v>83</v>
      </c>
      <c r="Y124" s="5">
        <f t="shared" si="19"/>
        <v>197</v>
      </c>
      <c r="Z124" s="19">
        <f t="shared" si="20"/>
        <v>36</v>
      </c>
      <c r="AA124" s="20">
        <f>ABS(S124-SUMPRODUCT(('05B_가정검정'!$A$5:$A$19=B124)*('05B_가정검정'!$B$5:$B$19=C124)*'05B_가정검정'!$E$5:$E$19))</f>
        <v>2.8283831451654251E-3</v>
      </c>
      <c r="AB124" s="20">
        <f t="shared" si="21"/>
        <v>-6.0058378823202307E-4</v>
      </c>
    </row>
    <row r="125" spans="1:28">
      <c r="A125" s="15" t="s">
        <v>131</v>
      </c>
      <c r="B125" s="15" t="s">
        <v>120</v>
      </c>
      <c r="C125" s="15" t="s">
        <v>117</v>
      </c>
      <c r="D125" s="16">
        <v>0.22350674373795801</v>
      </c>
      <c r="E125" s="16">
        <v>0.25396825396825401</v>
      </c>
      <c r="F125" s="16">
        <v>8.3067092651757199E-2</v>
      </c>
      <c r="G125" s="16">
        <v>0.17142857142857201</v>
      </c>
      <c r="H125" s="16">
        <v>0.31706866126640099</v>
      </c>
      <c r="I125" s="16">
        <v>0.15465413526844299</v>
      </c>
      <c r="J125" s="16">
        <v>0.68210264940613097</v>
      </c>
      <c r="K125" s="16">
        <v>0.62729905391296104</v>
      </c>
      <c r="L125" s="16">
        <v>0.83249008078451603</v>
      </c>
      <c r="M125" s="16">
        <v>0.66428571428571404</v>
      </c>
      <c r="N125" s="16">
        <v>0.59756097560975596</v>
      </c>
      <c r="O125" s="16">
        <v>1</v>
      </c>
      <c r="P125" s="17">
        <f t="shared" si="11"/>
        <v>0.20061557638689753</v>
      </c>
      <c r="Q125" s="17">
        <f t="shared" si="12"/>
        <v>0.71396392803453601</v>
      </c>
      <c r="R125" s="17">
        <f t="shared" si="13"/>
        <v>0.7539488966318233</v>
      </c>
      <c r="S125" s="17">
        <f>'02_지표정의'!$C$22*P125+'02_지표정의'!$C$23*Q125+'02_지표정의'!$C$24*R125</f>
        <v>0.62528899671405891</v>
      </c>
      <c r="T125" s="5">
        <f t="shared" si="14"/>
        <v>0</v>
      </c>
      <c r="U125" s="5" t="str">
        <f t="shared" si="15"/>
        <v>특허</v>
      </c>
      <c r="V125" s="18">
        <f t="shared" si="16"/>
        <v>509</v>
      </c>
      <c r="W125" s="5">
        <f t="shared" si="17"/>
        <v>411</v>
      </c>
      <c r="X125" s="5">
        <f t="shared" si="18"/>
        <v>224</v>
      </c>
      <c r="Y125" s="5">
        <f t="shared" si="19"/>
        <v>0</v>
      </c>
      <c r="Z125" s="19">
        <f t="shared" si="20"/>
        <v>31</v>
      </c>
      <c r="AA125" s="20">
        <f>ABS(S125-SUMPRODUCT(('05B_가정검정'!$A$5:$A$19=B125)*('05B_가정검정'!$B$5:$B$19=C125)*'05B_가정검정'!$E$5:$E$19))</f>
        <v>2.7599633430621662E-3</v>
      </c>
      <c r="AB125" s="20">
        <f t="shared" si="21"/>
        <v>-6.01370671069823E-3</v>
      </c>
    </row>
    <row r="126" spans="1:28">
      <c r="A126" s="15" t="s">
        <v>131</v>
      </c>
      <c r="B126" s="15" t="s">
        <v>120</v>
      </c>
      <c r="C126" s="15" t="s">
        <v>118</v>
      </c>
      <c r="D126" s="16">
        <v>0.30215827338129497</v>
      </c>
      <c r="E126" s="16">
        <v>0.39193083573486998</v>
      </c>
      <c r="F126" s="16">
        <v>0.12753623188405799</v>
      </c>
      <c r="G126" s="16">
        <v>0.24207492795389099</v>
      </c>
      <c r="H126" s="16">
        <v>0.28861932584368799</v>
      </c>
      <c r="I126" s="16">
        <v>0.344438751299526</v>
      </c>
      <c r="J126" s="16">
        <v>0.72246165324407796</v>
      </c>
      <c r="K126" s="16">
        <v>0.68634547171451699</v>
      </c>
      <c r="L126" s="16">
        <v>0.83853373623770899</v>
      </c>
      <c r="M126" s="16">
        <v>0.35844155844155801</v>
      </c>
      <c r="N126" s="16">
        <v>0.20858895705521499</v>
      </c>
      <c r="O126" s="16">
        <v>0.52631578947368396</v>
      </c>
      <c r="P126" s="17">
        <f t="shared" si="11"/>
        <v>0.28279305768288798</v>
      </c>
      <c r="Q126" s="17">
        <f t="shared" si="12"/>
        <v>0.74911362039876794</v>
      </c>
      <c r="R126" s="17">
        <f t="shared" si="13"/>
        <v>0.36444876832348561</v>
      </c>
      <c r="S126" s="17">
        <f>'02_지표정의'!$C$22*P126+'02_지표정의'!$C$23*Q126+'02_지표정의'!$C$24*R126</f>
        <v>0.52121680962924311</v>
      </c>
      <c r="T126" s="5">
        <f t="shared" si="14"/>
        <v>0</v>
      </c>
      <c r="U126" s="5" t="str">
        <f t="shared" si="15"/>
        <v>특허</v>
      </c>
      <c r="V126" s="18">
        <f t="shared" si="16"/>
        <v>97</v>
      </c>
      <c r="W126" s="5">
        <f t="shared" si="17"/>
        <v>88</v>
      </c>
      <c r="X126" s="5">
        <f t="shared" si="18"/>
        <v>0</v>
      </c>
      <c r="Y126" s="5">
        <f t="shared" si="19"/>
        <v>89</v>
      </c>
      <c r="Z126" s="19">
        <f t="shared" si="20"/>
        <v>13</v>
      </c>
      <c r="AA126" s="20">
        <f>ABS(S126-SUMPRODUCT(('05B_가정검정'!$A$5:$A$19=B126)*('05B_가정검정'!$B$5:$B$19=C126)*'05B_가정검정'!$E$5:$E$19))</f>
        <v>6.961203895238488E-2</v>
      </c>
      <c r="AB126" s="20">
        <f t="shared" si="21"/>
        <v>-5.3673966332867695E-2</v>
      </c>
    </row>
    <row r="127" spans="1:28">
      <c r="A127" s="15" t="s">
        <v>131</v>
      </c>
      <c r="B127" s="15" t="s">
        <v>120</v>
      </c>
      <c r="C127" s="15" t="s">
        <v>119</v>
      </c>
      <c r="D127" s="16">
        <v>0.31492842535787302</v>
      </c>
      <c r="E127" s="16">
        <v>0.49831649831649799</v>
      </c>
      <c r="F127" s="16">
        <v>0.18305084745762701</v>
      </c>
      <c r="G127" s="16">
        <v>0.32323232323232298</v>
      </c>
      <c r="H127" s="16">
        <v>0.370012056132419</v>
      </c>
      <c r="I127" s="16">
        <v>0.44171433441636299</v>
      </c>
      <c r="J127" s="16">
        <v>0.73050512165814696</v>
      </c>
      <c r="K127" s="16">
        <v>0.61951637457215902</v>
      </c>
      <c r="L127" s="16">
        <v>0.82205029515168504</v>
      </c>
      <c r="M127" s="16">
        <v>0.8</v>
      </c>
      <c r="N127" s="16">
        <v>0.82926829268292701</v>
      </c>
      <c r="O127" s="16">
        <v>1</v>
      </c>
      <c r="P127" s="17">
        <f t="shared" si="11"/>
        <v>0.35520908081885044</v>
      </c>
      <c r="Q127" s="17">
        <f t="shared" si="12"/>
        <v>0.7240239304606636</v>
      </c>
      <c r="R127" s="17">
        <f t="shared" si="13"/>
        <v>0.87642276422764231</v>
      </c>
      <c r="S127" s="17">
        <f>'02_지표정의'!$C$22*P127+'02_지표정의'!$C$23*Q127+'02_지표정의'!$C$24*R127</f>
        <v>0.70360055235074359</v>
      </c>
      <c r="T127" s="5">
        <f t="shared" si="14"/>
        <v>0</v>
      </c>
      <c r="U127" s="5" t="str">
        <f t="shared" si="15"/>
        <v>특허</v>
      </c>
      <c r="V127" s="18">
        <f t="shared" si="16"/>
        <v>832</v>
      </c>
      <c r="W127" s="5">
        <f t="shared" si="17"/>
        <v>0</v>
      </c>
      <c r="X127" s="5">
        <f t="shared" si="18"/>
        <v>507</v>
      </c>
      <c r="Y127" s="5">
        <f t="shared" si="19"/>
        <v>601</v>
      </c>
      <c r="Z127" s="19">
        <f t="shared" si="20"/>
        <v>60</v>
      </c>
      <c r="AA127" s="20">
        <f>ABS(S127-SUMPRODUCT(('05B_가정검정'!$A$5:$A$19=B127)*('05B_가정검정'!$B$5:$B$19=C127)*'05B_가정검정'!$E$5:$E$19))</f>
        <v>3.992323586935731E-2</v>
      </c>
      <c r="AB127" s="20">
        <f t="shared" si="21"/>
        <v>4.5177544839927974E-2</v>
      </c>
    </row>
    <row r="128" spans="1:28">
      <c r="A128" s="15" t="s">
        <v>131</v>
      </c>
      <c r="B128" s="15" t="s">
        <v>121</v>
      </c>
      <c r="C128" s="15" t="s">
        <v>117</v>
      </c>
      <c r="D128" s="16">
        <v>0.25870646766169197</v>
      </c>
      <c r="E128" s="16">
        <v>0.27983539094650201</v>
      </c>
      <c r="F128" s="16">
        <v>9.1286307053941904E-2</v>
      </c>
      <c r="G128" s="16">
        <v>0.21399176954732499</v>
      </c>
      <c r="H128" s="16">
        <v>0.29936470072653099</v>
      </c>
      <c r="I128" s="16">
        <v>0.15112547290051601</v>
      </c>
      <c r="J128" s="16">
        <v>0.74614506443212103</v>
      </c>
      <c r="K128" s="16">
        <v>0.79674212440605696</v>
      </c>
      <c r="L128" s="16">
        <v>0.908289646464703</v>
      </c>
      <c r="M128" s="16">
        <v>0.90654205607476601</v>
      </c>
      <c r="N128" s="16">
        <v>0.91666666666666696</v>
      </c>
      <c r="O128" s="16">
        <v>1</v>
      </c>
      <c r="P128" s="17">
        <f t="shared" si="11"/>
        <v>0.21571835147275134</v>
      </c>
      <c r="Q128" s="17">
        <f t="shared" si="12"/>
        <v>0.81705894510096033</v>
      </c>
      <c r="R128" s="17">
        <f t="shared" si="13"/>
        <v>0.94106957424714432</v>
      </c>
      <c r="S128" s="17">
        <f>'02_지표정의'!$C$22*P128+'02_지표정의'!$C$23*Q128+'02_지표정의'!$C$24*R128</f>
        <v>0.74019454657648287</v>
      </c>
      <c r="T128" s="5">
        <f t="shared" si="14"/>
        <v>1</v>
      </c>
      <c r="U128" s="5" t="str">
        <f t="shared" si="15"/>
        <v>특허</v>
      </c>
      <c r="V128" s="18">
        <f t="shared" si="16"/>
        <v>924</v>
      </c>
      <c r="W128" s="5">
        <f t="shared" si="17"/>
        <v>627</v>
      </c>
      <c r="X128" s="5">
        <f t="shared" si="18"/>
        <v>599</v>
      </c>
      <c r="Y128" s="5">
        <f t="shared" si="19"/>
        <v>0</v>
      </c>
      <c r="Z128" s="19">
        <f t="shared" si="20"/>
        <v>46</v>
      </c>
      <c r="AA128" s="20">
        <f>ABS(S128-SUMPRODUCT(('05B_가정검정'!$A$5:$A$19=B128)*('05B_가정검정'!$B$5:$B$19=C128)*'05B_가정검정'!$E$5:$E$19))</f>
        <v>1.0762475194601717E-2</v>
      </c>
      <c r="AB128" s="20">
        <f t="shared" si="21"/>
        <v>2.2542753503601909E-2</v>
      </c>
    </row>
    <row r="129" spans="1:28">
      <c r="A129" s="15" t="s">
        <v>131</v>
      </c>
      <c r="B129" s="15" t="s">
        <v>121</v>
      </c>
      <c r="C129" s="15" t="s">
        <v>118</v>
      </c>
      <c r="D129" s="16">
        <v>0.28416779431664402</v>
      </c>
      <c r="E129" s="16">
        <v>0.33454545454545498</v>
      </c>
      <c r="F129" s="16">
        <v>0.10989010989011</v>
      </c>
      <c r="G129" s="16">
        <v>0.21090909090909099</v>
      </c>
      <c r="H129" s="16">
        <v>0.20623221596631999</v>
      </c>
      <c r="I129" s="16">
        <v>0.258341429920941</v>
      </c>
      <c r="J129" s="16">
        <v>0.75943397795562595</v>
      </c>
      <c r="K129" s="16">
        <v>0.74269150203411305</v>
      </c>
      <c r="L129" s="16">
        <v>0.87671188788380905</v>
      </c>
      <c r="M129" s="16">
        <v>0.25194805194805198</v>
      </c>
      <c r="N129" s="16">
        <v>0.22699386503067501</v>
      </c>
      <c r="O129" s="16">
        <v>0.52631578947368396</v>
      </c>
      <c r="P129" s="17">
        <f t="shared" si="11"/>
        <v>0.23401434925809347</v>
      </c>
      <c r="Q129" s="17">
        <f t="shared" si="12"/>
        <v>0.79294578929118265</v>
      </c>
      <c r="R129" s="17">
        <f t="shared" si="13"/>
        <v>0.33508590215080369</v>
      </c>
      <c r="S129" s="17">
        <f>'02_지표정의'!$C$22*P129+'02_지표정의'!$C$23*Q129+'02_지표정의'!$C$24*R129</f>
        <v>0.52090854078543214</v>
      </c>
      <c r="T129" s="5">
        <f t="shared" si="14"/>
        <v>0</v>
      </c>
      <c r="U129" s="5" t="str">
        <f t="shared" si="15"/>
        <v>특허</v>
      </c>
      <c r="V129" s="18">
        <f t="shared" si="16"/>
        <v>94</v>
      </c>
      <c r="W129" s="5">
        <f t="shared" si="17"/>
        <v>85</v>
      </c>
      <c r="X129" s="5">
        <f t="shared" si="18"/>
        <v>0</v>
      </c>
      <c r="Y129" s="5">
        <f t="shared" si="19"/>
        <v>86</v>
      </c>
      <c r="Z129" s="19">
        <f t="shared" si="20"/>
        <v>6</v>
      </c>
      <c r="AA129" s="20">
        <f>ABS(S129-SUMPRODUCT(('05B_가정검정'!$A$5:$A$19=B129)*('05B_가정검정'!$B$5:$B$19=C129)*'05B_가정검정'!$E$5:$E$19))</f>
        <v>7.7670949381536292E-2</v>
      </c>
      <c r="AB129" s="20">
        <f t="shared" si="21"/>
        <v>-5.8490533741381134E-2</v>
      </c>
    </row>
    <row r="130" spans="1:28">
      <c r="A130" s="15" t="s">
        <v>131</v>
      </c>
      <c r="B130" s="15" t="s">
        <v>121</v>
      </c>
      <c r="C130" s="15" t="s">
        <v>119</v>
      </c>
      <c r="D130" s="16">
        <v>0.33602150537634401</v>
      </c>
      <c r="E130" s="16">
        <v>0.39111111111111102</v>
      </c>
      <c r="F130" s="16">
        <v>0.10762331838564999</v>
      </c>
      <c r="G130" s="16">
        <v>0.266666666666667</v>
      </c>
      <c r="H130" s="16">
        <v>0.33545248761242002</v>
      </c>
      <c r="I130" s="16">
        <v>0.31542961602541503</v>
      </c>
      <c r="J130" s="16">
        <v>0.77413347239830899</v>
      </c>
      <c r="K130" s="16">
        <v>0.75091822032503597</v>
      </c>
      <c r="L130" s="16">
        <v>0.86771719399165803</v>
      </c>
      <c r="M130" s="16">
        <v>0.70289855072463803</v>
      </c>
      <c r="N130" s="16">
        <v>0.67901234567901203</v>
      </c>
      <c r="O130" s="16">
        <v>1</v>
      </c>
      <c r="P130" s="17">
        <f t="shared" ref="P130:P193" si="22">AVERAGE(D130:I130)</f>
        <v>0.29205078419626784</v>
      </c>
      <c r="Q130" s="17">
        <f t="shared" ref="Q130:Q193" si="23">AVERAGE(J130:L130)</f>
        <v>0.79758962890500096</v>
      </c>
      <c r="R130" s="17">
        <f t="shared" ref="R130:R193" si="24">AVERAGE(M130:O130)</f>
        <v>0.79397029880121661</v>
      </c>
      <c r="S130" s="17">
        <f>'02_지표정의'!$C$22*P130+'02_지표정의'!$C$23*Q130+'02_지표정의'!$C$24*R130</f>
        <v>0.69521509442692975</v>
      </c>
      <c r="T130" s="5">
        <f t="shared" ref="T130:T193" si="25">IF(OR(AND(B130="gemini",C130="gemma"),AND(B130="qwen3_6",C130="qwen"),AND(B130="mistral",C130="ministral")),1,0)</f>
        <v>0</v>
      </c>
      <c r="U130" s="5" t="str">
        <f t="shared" ref="U130:U193" si="26">IF(LEFT(A130,3)="PAT","특허","보고서")</f>
        <v>특허</v>
      </c>
      <c r="V130" s="18">
        <f t="shared" ref="V130:V193" si="27">COUNTIF($S$2:$S$976,"&lt;"&amp;S130)+(COUNTIF($S$2:$S$976,"="&amp;S130)+1)/2</f>
        <v>806</v>
      </c>
      <c r="W130" s="5">
        <f t="shared" ref="W130:W193" si="28">IF(C130="qwen",0,COUNTIFS($C$2:$C$976,"&lt;&gt;qwen",$S$2:$S$976,"&lt;"&amp;S130)+1)</f>
        <v>0</v>
      </c>
      <c r="X130" s="5">
        <f t="shared" ref="X130:X193" si="29">IF(C130="ministral",0,COUNTIFS($C$2:$C$976,"&lt;&gt;ministral",$S$2:$S$976,"&lt;"&amp;S130)+1)</f>
        <v>481</v>
      </c>
      <c r="Y130" s="5">
        <f t="shared" ref="Y130:Y193" si="30">IF(C130="gemma",0,COUNTIFS($C$2:$C$976,"&lt;&gt;gemma",$S$2:$S$976,"&lt;"&amp;S130)+1)</f>
        <v>581</v>
      </c>
      <c r="Z130" s="19">
        <f t="shared" ref="Z130:Z193" si="31">COUNTIFS($B$2:$B$976,B130,$C$2:$C$976,C130,$S$2:$S$976,"&lt;"&amp;S130)+1</f>
        <v>37</v>
      </c>
      <c r="AA130" s="20">
        <f>ABS(S130-SUMPRODUCT(('05B_가정검정'!$A$5:$A$19=B130)*('05B_가정검정'!$B$5:$B$19=C130)*'05B_가정검정'!$E$5:$E$19))</f>
        <v>2.8952516310760679E-3</v>
      </c>
      <c r="AB130" s="20">
        <f t="shared" ref="AB130:AB193" si="32">S130-AVERAGEIFS($S$2:$S$976,$B$2:$B$976,B130,$C$2:$C$976,C130)</f>
        <v>6.978119007318706E-3</v>
      </c>
    </row>
    <row r="131" spans="1:28">
      <c r="A131" s="15" t="s">
        <v>131</v>
      </c>
      <c r="B131" s="15" t="s">
        <v>122</v>
      </c>
      <c r="C131" s="15" t="s">
        <v>117</v>
      </c>
      <c r="D131" s="16">
        <v>0.275609756097561</v>
      </c>
      <c r="E131" s="16">
        <v>0.28975265017667901</v>
      </c>
      <c r="F131" s="16">
        <v>8.5409252669039204E-2</v>
      </c>
      <c r="G131" s="16">
        <v>0.190812720848057</v>
      </c>
      <c r="H131" s="16">
        <v>0.32121159686591699</v>
      </c>
      <c r="I131" s="16">
        <v>0.17543931483116601</v>
      </c>
      <c r="J131" s="16">
        <v>0.70228311652551301</v>
      </c>
      <c r="K131" s="16">
        <v>0.669000817667876</v>
      </c>
      <c r="L131" s="16">
        <v>0.85782425065316403</v>
      </c>
      <c r="M131" s="16">
        <v>0.747899159663866</v>
      </c>
      <c r="N131" s="16">
        <v>0.74242424242424199</v>
      </c>
      <c r="O131" s="16">
        <v>1</v>
      </c>
      <c r="P131" s="17">
        <f t="shared" si="22"/>
        <v>0.22303921524806983</v>
      </c>
      <c r="Q131" s="17">
        <f t="shared" si="23"/>
        <v>0.74303606161551761</v>
      </c>
      <c r="R131" s="17">
        <f t="shared" si="24"/>
        <v>0.83010780069603596</v>
      </c>
      <c r="S131" s="17">
        <f>'02_지표정의'!$C$22*P131+'02_지표정의'!$C$23*Q131+'02_지표정의'!$C$24*R131</f>
        <v>0.66951180102020946</v>
      </c>
      <c r="T131" s="5">
        <f t="shared" si="25"/>
        <v>0</v>
      </c>
      <c r="U131" s="5" t="str">
        <f t="shared" si="26"/>
        <v>특허</v>
      </c>
      <c r="V131" s="18">
        <f t="shared" si="27"/>
        <v>713</v>
      </c>
      <c r="W131" s="5">
        <f t="shared" si="28"/>
        <v>511</v>
      </c>
      <c r="X131" s="5">
        <f t="shared" si="29"/>
        <v>393</v>
      </c>
      <c r="Y131" s="5">
        <f t="shared" si="30"/>
        <v>0</v>
      </c>
      <c r="Z131" s="19">
        <f t="shared" si="31"/>
        <v>59</v>
      </c>
      <c r="AA131" s="20">
        <f>ABS(S131-SUMPRODUCT(('05B_가정검정'!$A$5:$A$19=B131)*('05B_가정검정'!$B$5:$B$19=C131)*'05B_가정검정'!$E$5:$E$19))</f>
        <v>3.0158846311530985E-2</v>
      </c>
      <c r="AB131" s="20">
        <f t="shared" si="32"/>
        <v>4.6630178830563307E-2</v>
      </c>
    </row>
    <row r="132" spans="1:28">
      <c r="A132" s="15" t="s">
        <v>131</v>
      </c>
      <c r="B132" s="15" t="s">
        <v>122</v>
      </c>
      <c r="C132" s="15" t="s">
        <v>118</v>
      </c>
      <c r="D132" s="16">
        <v>0.38145695364238402</v>
      </c>
      <c r="E132" s="16">
        <v>0.419047619047619</v>
      </c>
      <c r="F132" s="16">
        <v>0.153354632587859</v>
      </c>
      <c r="G132" s="16">
        <v>0.22857142857142901</v>
      </c>
      <c r="H132" s="16">
        <v>0.24711100344346801</v>
      </c>
      <c r="I132" s="16">
        <v>0.37101658138989202</v>
      </c>
      <c r="J132" s="16">
        <v>0.73093014244908805</v>
      </c>
      <c r="K132" s="16">
        <v>0.71553604124722403</v>
      </c>
      <c r="L132" s="16">
        <v>0.84019294888650997</v>
      </c>
      <c r="M132" s="16">
        <v>0.29350649350649399</v>
      </c>
      <c r="N132" s="16">
        <v>0.20245398773006101</v>
      </c>
      <c r="O132" s="16">
        <v>0.52631578947368396</v>
      </c>
      <c r="P132" s="17">
        <f t="shared" si="22"/>
        <v>0.30009303644710855</v>
      </c>
      <c r="Q132" s="17">
        <f t="shared" si="23"/>
        <v>0.76221971086094065</v>
      </c>
      <c r="R132" s="17">
        <f t="shared" si="24"/>
        <v>0.34075875690341295</v>
      </c>
      <c r="S132" s="17">
        <f>'02_지표정의'!$C$22*P132+'02_지표정의'!$C$23*Q132+'02_지표정의'!$C$24*R132</f>
        <v>0.52228304209303955</v>
      </c>
      <c r="T132" s="5">
        <f t="shared" si="25"/>
        <v>1</v>
      </c>
      <c r="U132" s="5" t="str">
        <f t="shared" si="26"/>
        <v>특허</v>
      </c>
      <c r="V132" s="18">
        <f t="shared" si="27"/>
        <v>105</v>
      </c>
      <c r="W132" s="5">
        <f t="shared" si="28"/>
        <v>95</v>
      </c>
      <c r="X132" s="5">
        <f t="shared" si="29"/>
        <v>0</v>
      </c>
      <c r="Y132" s="5">
        <f t="shared" si="30"/>
        <v>97</v>
      </c>
      <c r="Z132" s="19">
        <f t="shared" si="31"/>
        <v>9</v>
      </c>
      <c r="AA132" s="20">
        <f>ABS(S132-SUMPRODUCT(('05B_가정검정'!$A$5:$A$19=B132)*('05B_가정검정'!$B$5:$B$19=C132)*'05B_가정검정'!$E$5:$E$19))</f>
        <v>6.4638893904118699E-2</v>
      </c>
      <c r="AB132" s="20">
        <f t="shared" si="32"/>
        <v>-5.894023412464422E-2</v>
      </c>
    </row>
    <row r="133" spans="1:28">
      <c r="A133" s="15" t="s">
        <v>131</v>
      </c>
      <c r="B133" s="15" t="s">
        <v>122</v>
      </c>
      <c r="C133" s="15" t="s">
        <v>119</v>
      </c>
      <c r="D133" s="16">
        <v>0.30526315789473701</v>
      </c>
      <c r="E133" s="16">
        <v>0.43773584905660401</v>
      </c>
      <c r="F133" s="16">
        <v>0.144486692015209</v>
      </c>
      <c r="G133" s="16">
        <v>0.24150943396226399</v>
      </c>
      <c r="H133" s="16">
        <v>0.328519845928676</v>
      </c>
      <c r="I133" s="16">
        <v>0.29432710436487097</v>
      </c>
      <c r="J133" s="16">
        <v>0.72351814812360504</v>
      </c>
      <c r="K133" s="16">
        <v>0.63916601289466402</v>
      </c>
      <c r="L133" s="16">
        <v>0.84472550962875204</v>
      </c>
      <c r="M133" s="16">
        <v>0.57246376811594202</v>
      </c>
      <c r="N133" s="16">
        <v>0.530864197530864</v>
      </c>
      <c r="O133" s="16">
        <v>1</v>
      </c>
      <c r="P133" s="17">
        <f t="shared" si="22"/>
        <v>0.29197368053706013</v>
      </c>
      <c r="Q133" s="17">
        <f t="shared" si="23"/>
        <v>0.73580322354900707</v>
      </c>
      <c r="R133" s="17">
        <f t="shared" si="24"/>
        <v>0.70110932188226871</v>
      </c>
      <c r="S133" s="17">
        <f>'02_지표정의'!$C$22*P133+'02_지표정의'!$C$23*Q133+'02_지표정의'!$C$24*R133</f>
        <v>0.63489444936325934</v>
      </c>
      <c r="T133" s="5">
        <f t="shared" si="25"/>
        <v>0</v>
      </c>
      <c r="U133" s="5" t="str">
        <f t="shared" si="26"/>
        <v>특허</v>
      </c>
      <c r="V133" s="18">
        <f t="shared" si="27"/>
        <v>554</v>
      </c>
      <c r="W133" s="5">
        <f t="shared" si="28"/>
        <v>0</v>
      </c>
      <c r="X133" s="5">
        <f t="shared" si="29"/>
        <v>256</v>
      </c>
      <c r="Y133" s="5">
        <f t="shared" si="30"/>
        <v>418</v>
      </c>
      <c r="Z133" s="19">
        <f t="shared" si="31"/>
        <v>32</v>
      </c>
      <c r="AA133" s="20">
        <f>ABS(S133-SUMPRODUCT(('05B_가정검정'!$A$5:$A$19=B133)*('05B_가정검정'!$B$5:$B$19=C133)*'05B_가정검정'!$E$5:$E$19))</f>
        <v>7.1173853819206379E-4</v>
      </c>
      <c r="AB133" s="20">
        <f t="shared" si="32"/>
        <v>3.5055830483733397E-3</v>
      </c>
    </row>
    <row r="134" spans="1:28">
      <c r="A134" s="15" t="s">
        <v>131</v>
      </c>
      <c r="B134" s="15" t="s">
        <v>123</v>
      </c>
      <c r="C134" s="15" t="s">
        <v>117</v>
      </c>
      <c r="D134" s="16">
        <v>0.25536723163841801</v>
      </c>
      <c r="E134" s="16">
        <v>0.31095406360423999</v>
      </c>
      <c r="F134" s="16">
        <v>9.9644128113879002E-2</v>
      </c>
      <c r="G134" s="16">
        <v>0.23321554770318001</v>
      </c>
      <c r="H134" s="16">
        <v>0.35114218326643099</v>
      </c>
      <c r="I134" s="16">
        <v>0.149709853249929</v>
      </c>
      <c r="J134" s="16">
        <v>0.68877151465407505</v>
      </c>
      <c r="K134" s="16">
        <v>0.67771638229598596</v>
      </c>
      <c r="L134" s="16">
        <v>0.86910149418331895</v>
      </c>
      <c r="M134" s="16">
        <v>0.90654205607476601</v>
      </c>
      <c r="N134" s="16">
        <v>0.91666666666666696</v>
      </c>
      <c r="O134" s="16">
        <v>1</v>
      </c>
      <c r="P134" s="17">
        <f t="shared" si="22"/>
        <v>0.23333883459601282</v>
      </c>
      <c r="Q134" s="17">
        <f t="shared" si="23"/>
        <v>0.74519646371112669</v>
      </c>
      <c r="R134" s="17">
        <f t="shared" si="24"/>
        <v>0.94106957424714432</v>
      </c>
      <c r="S134" s="17">
        <f>'02_지표정의'!$C$22*P134+'02_지표정의'!$C$23*Q134+'02_지표정의'!$C$24*R134</f>
        <v>0.71138052657571005</v>
      </c>
      <c r="T134" s="5">
        <f t="shared" si="25"/>
        <v>0</v>
      </c>
      <c r="U134" s="5" t="str">
        <f t="shared" si="26"/>
        <v>특허</v>
      </c>
      <c r="V134" s="18">
        <f t="shared" si="27"/>
        <v>849</v>
      </c>
      <c r="W134" s="5">
        <f t="shared" si="28"/>
        <v>564</v>
      </c>
      <c r="X134" s="5">
        <f t="shared" si="29"/>
        <v>524</v>
      </c>
      <c r="Y134" s="5">
        <f t="shared" si="30"/>
        <v>0</v>
      </c>
      <c r="Z134" s="19">
        <f t="shared" si="31"/>
        <v>26</v>
      </c>
      <c r="AA134" s="20">
        <f>ABS(S134-SUMPRODUCT(('05B_가정검정'!$A$5:$A$19=B134)*('05B_가정검정'!$B$5:$B$19=C134)*'05B_가정검정'!$E$5:$E$19))</f>
        <v>3.5423562005136855E-3</v>
      </c>
      <c r="AB134" s="20">
        <f t="shared" si="32"/>
        <v>3.3950747644668766E-3</v>
      </c>
    </row>
    <row r="135" spans="1:28">
      <c r="A135" s="15" t="s">
        <v>131</v>
      </c>
      <c r="B135" s="15" t="s">
        <v>123</v>
      </c>
      <c r="C135" s="15" t="s">
        <v>118</v>
      </c>
      <c r="D135" s="16">
        <v>0.32195121951219502</v>
      </c>
      <c r="E135" s="16">
        <v>0.41269841269841301</v>
      </c>
      <c r="F135" s="16">
        <v>0.14057507987220499</v>
      </c>
      <c r="G135" s="16">
        <v>0.27936507936507898</v>
      </c>
      <c r="H135" s="16">
        <v>0.26393577087304299</v>
      </c>
      <c r="I135" s="16">
        <v>0.333494701031184</v>
      </c>
      <c r="J135" s="16">
        <v>0.72564172973617902</v>
      </c>
      <c r="K135" s="16">
        <v>0.72867209073828698</v>
      </c>
      <c r="L135" s="16">
        <v>0.84566719174299498</v>
      </c>
      <c r="M135" s="16">
        <v>0.25194805194805198</v>
      </c>
      <c r="N135" s="16">
        <v>0.22699386503067501</v>
      </c>
      <c r="O135" s="16">
        <v>0.52631578947368396</v>
      </c>
      <c r="P135" s="17">
        <f t="shared" si="22"/>
        <v>0.29200337722535313</v>
      </c>
      <c r="Q135" s="17">
        <f t="shared" si="23"/>
        <v>0.7666603374058204</v>
      </c>
      <c r="R135" s="17">
        <f t="shared" si="24"/>
        <v>0.33508590215080369</v>
      </c>
      <c r="S135" s="17">
        <f>'02_지표정의'!$C$22*P135+'02_지표정의'!$C$23*Q135+'02_지표정의'!$C$24*R135</f>
        <v>0.52067789303047107</v>
      </c>
      <c r="T135" s="5">
        <f t="shared" si="25"/>
        <v>0</v>
      </c>
      <c r="U135" s="5" t="str">
        <f t="shared" si="26"/>
        <v>특허</v>
      </c>
      <c r="V135" s="18">
        <f t="shared" si="27"/>
        <v>93</v>
      </c>
      <c r="W135" s="5">
        <f t="shared" si="28"/>
        <v>84</v>
      </c>
      <c r="X135" s="5">
        <f t="shared" si="29"/>
        <v>0</v>
      </c>
      <c r="Y135" s="5">
        <f t="shared" si="30"/>
        <v>85</v>
      </c>
      <c r="Z135" s="19">
        <f t="shared" si="31"/>
        <v>22</v>
      </c>
      <c r="AA135" s="20">
        <f>ABS(S135-SUMPRODUCT(('05B_가정검정'!$A$5:$A$19=B135)*('05B_가정검정'!$B$5:$B$19=C135)*'05B_가정검정'!$E$5:$E$19))</f>
        <v>5.4620933848498643E-2</v>
      </c>
      <c r="AB135" s="20">
        <f t="shared" si="32"/>
        <v>-3.9193714894020015E-2</v>
      </c>
    </row>
    <row r="136" spans="1:28">
      <c r="A136" s="15" t="s">
        <v>131</v>
      </c>
      <c r="B136" s="15" t="s">
        <v>123</v>
      </c>
      <c r="C136" s="15" t="s">
        <v>119</v>
      </c>
      <c r="D136" s="16">
        <v>0.322424242424242</v>
      </c>
      <c r="E136" s="16">
        <v>0.51320754716981098</v>
      </c>
      <c r="F136" s="16">
        <v>0.20532319391635001</v>
      </c>
      <c r="G136" s="16">
        <v>0.286792452830189</v>
      </c>
      <c r="H136" s="16">
        <v>0.40535366778003901</v>
      </c>
      <c r="I136" s="16">
        <v>0.42664693096470402</v>
      </c>
      <c r="J136" s="16">
        <v>0.71421183171244695</v>
      </c>
      <c r="K136" s="16">
        <v>0.65826075468184198</v>
      </c>
      <c r="L136" s="16">
        <v>0.86475583256154198</v>
      </c>
      <c r="M136" s="16">
        <v>0.70289855072463803</v>
      </c>
      <c r="N136" s="16">
        <v>0.67901234567901203</v>
      </c>
      <c r="O136" s="16">
        <v>1</v>
      </c>
      <c r="P136" s="17">
        <f t="shared" si="22"/>
        <v>0.35995800584755583</v>
      </c>
      <c r="Q136" s="17">
        <f t="shared" si="23"/>
        <v>0.74574280631861034</v>
      </c>
      <c r="R136" s="17">
        <f t="shared" si="24"/>
        <v>0.79397029880121661</v>
      </c>
      <c r="S136" s="17">
        <f>'02_지표정의'!$C$22*P136+'02_지표정의'!$C$23*Q136+'02_지표정의'!$C$24*R136</f>
        <v>0.68546546859331159</v>
      </c>
      <c r="T136" s="5">
        <f t="shared" si="25"/>
        <v>1</v>
      </c>
      <c r="U136" s="5" t="str">
        <f t="shared" si="26"/>
        <v>특허</v>
      </c>
      <c r="V136" s="18">
        <f t="shared" si="27"/>
        <v>771</v>
      </c>
      <c r="W136" s="5">
        <f t="shared" si="28"/>
        <v>0</v>
      </c>
      <c r="X136" s="5">
        <f t="shared" si="29"/>
        <v>447</v>
      </c>
      <c r="Y136" s="5">
        <f t="shared" si="30"/>
        <v>556</v>
      </c>
      <c r="Z136" s="19">
        <f t="shared" si="31"/>
        <v>32</v>
      </c>
      <c r="AA136" s="20">
        <f>ABS(S136-SUMPRODUCT(('05B_가정검정'!$A$5:$A$19=B136)*('05B_가정검정'!$B$5:$B$19=C136)*'05B_가정검정'!$E$5:$E$19))</f>
        <v>1.6432873091576372E-4</v>
      </c>
      <c r="AB136" s="20">
        <f t="shared" si="32"/>
        <v>3.0467355483098091E-3</v>
      </c>
    </row>
    <row r="137" spans="1:28">
      <c r="A137" s="15" t="s">
        <v>132</v>
      </c>
      <c r="B137" s="15" t="s">
        <v>116</v>
      </c>
      <c r="C137" s="15" t="s">
        <v>117</v>
      </c>
      <c r="D137" s="16">
        <v>0.218181818181818</v>
      </c>
      <c r="E137" s="16">
        <v>0.30357142857142899</v>
      </c>
      <c r="F137" s="16">
        <v>0.117117117117117</v>
      </c>
      <c r="G137" s="16">
        <v>0.28571428571428598</v>
      </c>
      <c r="H137" s="16">
        <v>0.216413965527639</v>
      </c>
      <c r="I137" s="16">
        <v>0.21206134866059201</v>
      </c>
      <c r="J137" s="16">
        <v>0.702837914863923</v>
      </c>
      <c r="K137" s="16">
        <v>0.62384670164218703</v>
      </c>
      <c r="L137" s="16">
        <v>0.78489630411453604</v>
      </c>
      <c r="M137" s="16">
        <v>0.56291390728476798</v>
      </c>
      <c r="N137" s="16">
        <v>0.23170731707317099</v>
      </c>
      <c r="O137" s="16">
        <v>1</v>
      </c>
      <c r="P137" s="17">
        <f t="shared" si="22"/>
        <v>0.2255099939621468</v>
      </c>
      <c r="Q137" s="17">
        <f t="shared" si="23"/>
        <v>0.70386030687354861</v>
      </c>
      <c r="R137" s="17">
        <f t="shared" si="24"/>
        <v>0.59820707478597968</v>
      </c>
      <c r="S137" s="17">
        <f>'02_지표정의'!$C$22*P137+'02_지표정의'!$C$23*Q137+'02_지표정의'!$C$24*R137</f>
        <v>0.57121161306061918</v>
      </c>
      <c r="T137" s="5">
        <f t="shared" si="25"/>
        <v>0</v>
      </c>
      <c r="U137" s="5" t="str">
        <f t="shared" si="26"/>
        <v>특허</v>
      </c>
      <c r="V137" s="18">
        <f t="shared" si="27"/>
        <v>287</v>
      </c>
      <c r="W137" s="5">
        <f t="shared" si="28"/>
        <v>235</v>
      </c>
      <c r="X137" s="5">
        <f t="shared" si="29"/>
        <v>115</v>
      </c>
      <c r="Y137" s="5">
        <f t="shared" si="30"/>
        <v>0</v>
      </c>
      <c r="Z137" s="19">
        <f t="shared" si="31"/>
        <v>51</v>
      </c>
      <c r="AA137" s="20">
        <f>ABS(S137-SUMPRODUCT(('05B_가정검정'!$A$5:$A$19=B137)*('05B_가정검정'!$B$5:$B$19=C137)*'05B_가정검정'!$E$5:$E$19))</f>
        <v>1.3807908075651909E-2</v>
      </c>
      <c r="AB137" s="20">
        <f t="shared" si="32"/>
        <v>1.8660447647995793E-2</v>
      </c>
    </row>
    <row r="138" spans="1:28">
      <c r="A138" s="15" t="s">
        <v>132</v>
      </c>
      <c r="B138" s="15" t="s">
        <v>116</v>
      </c>
      <c r="C138" s="15" t="s">
        <v>118</v>
      </c>
      <c r="D138" s="16">
        <v>0.24111282843894899</v>
      </c>
      <c r="E138" s="16">
        <v>0.30914826498422698</v>
      </c>
      <c r="F138" s="16">
        <v>0.14603174603174601</v>
      </c>
      <c r="G138" s="16">
        <v>0.24605678233438499</v>
      </c>
      <c r="H138" s="16">
        <v>0.14736076649723301</v>
      </c>
      <c r="I138" s="16">
        <v>0.24028842378965201</v>
      </c>
      <c r="J138" s="16">
        <v>0.69755950660867105</v>
      </c>
      <c r="K138" s="16">
        <v>0.64018064276529296</v>
      </c>
      <c r="L138" s="16">
        <v>0.78709604006074596</v>
      </c>
      <c r="M138" s="16">
        <v>0.44855967078189302</v>
      </c>
      <c r="N138" s="16">
        <v>2.5210084033613502E-2</v>
      </c>
      <c r="O138" s="16">
        <v>1</v>
      </c>
      <c r="P138" s="17">
        <f t="shared" si="22"/>
        <v>0.22166646867936535</v>
      </c>
      <c r="Q138" s="17">
        <f t="shared" si="23"/>
        <v>0.70827872981156992</v>
      </c>
      <c r="R138" s="17">
        <f t="shared" si="24"/>
        <v>0.49125658493850216</v>
      </c>
      <c r="S138" s="17">
        <f>'02_지표정의'!$C$22*P138+'02_지표정의'!$C$23*Q138+'02_지표정의'!$C$24*R138</f>
        <v>0.53499852687955529</v>
      </c>
      <c r="T138" s="5">
        <f t="shared" si="25"/>
        <v>0</v>
      </c>
      <c r="U138" s="5" t="str">
        <f t="shared" si="26"/>
        <v>특허</v>
      </c>
      <c r="V138" s="18">
        <f t="shared" si="27"/>
        <v>154</v>
      </c>
      <c r="W138" s="5">
        <f t="shared" si="28"/>
        <v>136</v>
      </c>
      <c r="X138" s="5">
        <f t="shared" si="29"/>
        <v>0</v>
      </c>
      <c r="Y138" s="5">
        <f t="shared" si="30"/>
        <v>140</v>
      </c>
      <c r="Z138" s="19">
        <f t="shared" si="31"/>
        <v>35</v>
      </c>
      <c r="AA138" s="20">
        <f>ABS(S138-SUMPRODUCT(('05B_가정검정'!$A$5:$A$19=B138)*('05B_가정검정'!$B$5:$B$19=C138)*'05B_가정검정'!$E$5:$E$19))</f>
        <v>3.7061051778336518E-3</v>
      </c>
      <c r="AB138" s="20">
        <f t="shared" si="32"/>
        <v>7.4494945009689895E-3</v>
      </c>
    </row>
    <row r="139" spans="1:28">
      <c r="A139" s="15" t="s">
        <v>132</v>
      </c>
      <c r="B139" s="15" t="s">
        <v>116</v>
      </c>
      <c r="C139" s="15" t="s">
        <v>119</v>
      </c>
      <c r="D139" s="16">
        <v>0.27526132404181203</v>
      </c>
      <c r="E139" s="16">
        <v>0.48979591836734698</v>
      </c>
      <c r="F139" s="16">
        <v>0.268041237113402</v>
      </c>
      <c r="G139" s="16">
        <v>0.37755102040816302</v>
      </c>
      <c r="H139" s="16">
        <v>0.25339006068408398</v>
      </c>
      <c r="I139" s="16">
        <v>0.38607955036246</v>
      </c>
      <c r="J139" s="16">
        <v>0.71856117169197298</v>
      </c>
      <c r="K139" s="16">
        <v>0.55780804120342897</v>
      </c>
      <c r="L139" s="16">
        <v>0.79309502084784</v>
      </c>
      <c r="M139" s="16">
        <v>0.56291390728476798</v>
      </c>
      <c r="N139" s="16">
        <v>0.23170731707317099</v>
      </c>
      <c r="O139" s="16">
        <v>1</v>
      </c>
      <c r="P139" s="17">
        <f t="shared" si="22"/>
        <v>0.3416865184962114</v>
      </c>
      <c r="Q139" s="17">
        <f t="shared" si="23"/>
        <v>0.68982141124774732</v>
      </c>
      <c r="R139" s="17">
        <f t="shared" si="24"/>
        <v>0.59820707478597968</v>
      </c>
      <c r="S139" s="17">
        <f>'02_지표정의'!$C$22*P139+'02_지표정의'!$C$23*Q139+'02_지표정의'!$C$24*R139</f>
        <v>0.58812941493582149</v>
      </c>
      <c r="T139" s="5">
        <f t="shared" si="25"/>
        <v>0</v>
      </c>
      <c r="U139" s="5" t="str">
        <f t="shared" si="26"/>
        <v>특허</v>
      </c>
      <c r="V139" s="18">
        <f t="shared" si="27"/>
        <v>345</v>
      </c>
      <c r="W139" s="5">
        <f t="shared" si="28"/>
        <v>0</v>
      </c>
      <c r="X139" s="5">
        <f t="shared" si="29"/>
        <v>147</v>
      </c>
      <c r="Y139" s="5">
        <f t="shared" si="30"/>
        <v>262</v>
      </c>
      <c r="Z139" s="19">
        <f t="shared" si="31"/>
        <v>53</v>
      </c>
      <c r="AA139" s="20">
        <f>ABS(S139-SUMPRODUCT(('05B_가정검정'!$A$5:$A$19=B139)*('05B_가정검정'!$B$5:$B$19=C139)*'05B_가정검정'!$E$5:$E$19))</f>
        <v>3.5105898193038887E-2</v>
      </c>
      <c r="AB139" s="20">
        <f t="shared" si="32"/>
        <v>3.1676931259641439E-2</v>
      </c>
    </row>
    <row r="140" spans="1:28">
      <c r="A140" s="15" t="s">
        <v>132</v>
      </c>
      <c r="B140" s="15" t="s">
        <v>120</v>
      </c>
      <c r="C140" s="15" t="s">
        <v>117</v>
      </c>
      <c r="D140" s="16">
        <v>0.20332355816226799</v>
      </c>
      <c r="E140" s="16">
        <v>0.25559105431309898</v>
      </c>
      <c r="F140" s="16">
        <v>8.3601286173633396E-2</v>
      </c>
      <c r="G140" s="16">
        <v>0.18530351437699699</v>
      </c>
      <c r="H140" s="16">
        <v>0.29494130811483799</v>
      </c>
      <c r="I140" s="16">
        <v>0.18825697865330501</v>
      </c>
      <c r="J140" s="16">
        <v>0.68117084309168896</v>
      </c>
      <c r="K140" s="16">
        <v>0.63916998293865002</v>
      </c>
      <c r="L140" s="16">
        <v>0.83003189092602203</v>
      </c>
      <c r="M140" s="16">
        <v>0.70247933884297498</v>
      </c>
      <c r="N140" s="16">
        <v>0.73134328358209</v>
      </c>
      <c r="O140" s="16">
        <v>1</v>
      </c>
      <c r="P140" s="17">
        <f t="shared" si="22"/>
        <v>0.20183628329902339</v>
      </c>
      <c r="Q140" s="17">
        <f t="shared" si="23"/>
        <v>0.71679090565212034</v>
      </c>
      <c r="R140" s="17">
        <f t="shared" si="24"/>
        <v>0.81127420747502166</v>
      </c>
      <c r="S140" s="17">
        <f>'02_지표정의'!$C$22*P140+'02_지표정의'!$C$23*Q140+'02_지표정의'!$C$24*R140</f>
        <v>0.6468691368195163</v>
      </c>
      <c r="T140" s="5">
        <f t="shared" si="25"/>
        <v>0</v>
      </c>
      <c r="U140" s="5" t="str">
        <f t="shared" si="26"/>
        <v>특허</v>
      </c>
      <c r="V140" s="18">
        <f t="shared" si="27"/>
        <v>603</v>
      </c>
      <c r="W140" s="5">
        <f t="shared" si="28"/>
        <v>463</v>
      </c>
      <c r="X140" s="5">
        <f t="shared" si="29"/>
        <v>292</v>
      </c>
      <c r="Y140" s="5">
        <f t="shared" si="30"/>
        <v>0</v>
      </c>
      <c r="Z140" s="19">
        <f t="shared" si="31"/>
        <v>51</v>
      </c>
      <c r="AA140" s="20">
        <f>ABS(S140-SUMPRODUCT(('05B_가정검정'!$A$5:$A$19=B140)*('05B_가정검정'!$B$5:$B$19=C140)*'05B_가정검정'!$E$5:$E$19))</f>
        <v>1.8820176762395224E-2</v>
      </c>
      <c r="AB140" s="20">
        <f t="shared" si="32"/>
        <v>1.556643339475916E-2</v>
      </c>
    </row>
    <row r="141" spans="1:28">
      <c r="A141" s="15" t="s">
        <v>132</v>
      </c>
      <c r="B141" s="15" t="s">
        <v>120</v>
      </c>
      <c r="C141" s="15" t="s">
        <v>118</v>
      </c>
      <c r="D141" s="16">
        <v>0.192079207920792</v>
      </c>
      <c r="E141" s="16">
        <v>0.34482758620689702</v>
      </c>
      <c r="F141" s="16">
        <v>0.16336633663366301</v>
      </c>
      <c r="G141" s="16">
        <v>0.231527093596059</v>
      </c>
      <c r="H141" s="16">
        <v>0.20644176566389799</v>
      </c>
      <c r="I141" s="16">
        <v>0.22091097181292901</v>
      </c>
      <c r="J141" s="16">
        <v>0.69816992095987795</v>
      </c>
      <c r="K141" s="16">
        <v>0.63045915957218901</v>
      </c>
      <c r="L141" s="16">
        <v>0.82362378734524899</v>
      </c>
      <c r="M141" s="16">
        <v>0.41975308641975301</v>
      </c>
      <c r="N141" s="16">
        <v>0.35294117647058798</v>
      </c>
      <c r="O141" s="16">
        <v>1</v>
      </c>
      <c r="P141" s="17">
        <f t="shared" si="22"/>
        <v>0.22652549363903965</v>
      </c>
      <c r="Q141" s="17">
        <f t="shared" si="23"/>
        <v>0.71741762262577202</v>
      </c>
      <c r="R141" s="17">
        <f t="shared" si="24"/>
        <v>0.59089808763011364</v>
      </c>
      <c r="S141" s="17">
        <f>'02_지표정의'!$C$22*P141+'02_지표정의'!$C$23*Q141+'02_지표정의'!$C$24*R141</f>
        <v>0.57495735957994509</v>
      </c>
      <c r="T141" s="5">
        <f t="shared" si="25"/>
        <v>0</v>
      </c>
      <c r="U141" s="5" t="str">
        <f t="shared" si="26"/>
        <v>특허</v>
      </c>
      <c r="V141" s="18">
        <f t="shared" si="27"/>
        <v>306</v>
      </c>
      <c r="W141" s="5">
        <f t="shared" si="28"/>
        <v>247</v>
      </c>
      <c r="X141" s="5">
        <f t="shared" si="29"/>
        <v>0</v>
      </c>
      <c r="Y141" s="5">
        <f t="shared" si="30"/>
        <v>236</v>
      </c>
      <c r="Z141" s="19">
        <f t="shared" si="31"/>
        <v>31</v>
      </c>
      <c r="AA141" s="20">
        <f>ABS(S141-SUMPRODUCT(('05B_가정검정'!$A$5:$A$19=B141)*('05B_가정검정'!$B$5:$B$19=C141)*'05B_가정검정'!$E$5:$E$19))</f>
        <v>1.5871489001682892E-2</v>
      </c>
      <c r="AB141" s="20">
        <f t="shared" si="32"/>
        <v>6.6583617834292674E-5</v>
      </c>
    </row>
    <row r="142" spans="1:28">
      <c r="A142" s="15" t="s">
        <v>132</v>
      </c>
      <c r="B142" s="15" t="s">
        <v>120</v>
      </c>
      <c r="C142" s="15" t="s">
        <v>119</v>
      </c>
      <c r="D142" s="16">
        <v>0.22411953041622201</v>
      </c>
      <c r="E142" s="16">
        <v>0.49824561403508799</v>
      </c>
      <c r="F142" s="16">
        <v>0.25441696113074203</v>
      </c>
      <c r="G142" s="16">
        <v>0.336842105263158</v>
      </c>
      <c r="H142" s="16">
        <v>0.312359043443385</v>
      </c>
      <c r="I142" s="16">
        <v>0.38554568995614702</v>
      </c>
      <c r="J142" s="16">
        <v>0.724893182802131</v>
      </c>
      <c r="K142" s="16">
        <v>0.58976490755376598</v>
      </c>
      <c r="L142" s="16">
        <v>0.81830624087956505</v>
      </c>
      <c r="M142" s="16">
        <v>0.70247933884297498</v>
      </c>
      <c r="N142" s="16">
        <v>0.73134328358209</v>
      </c>
      <c r="O142" s="16">
        <v>1</v>
      </c>
      <c r="P142" s="17">
        <f t="shared" si="22"/>
        <v>0.33525482404079038</v>
      </c>
      <c r="Q142" s="17">
        <f t="shared" si="23"/>
        <v>0.71098811041182064</v>
      </c>
      <c r="R142" s="17">
        <f t="shared" si="24"/>
        <v>0.81127420747502166</v>
      </c>
      <c r="S142" s="17">
        <f>'02_지표정의'!$C$22*P142+'02_지표정의'!$C$23*Q142+'02_지표정의'!$C$24*R142</f>
        <v>0.67094158710973484</v>
      </c>
      <c r="T142" s="5">
        <f t="shared" si="25"/>
        <v>0</v>
      </c>
      <c r="U142" s="5" t="str">
        <f t="shared" si="26"/>
        <v>특허</v>
      </c>
      <c r="V142" s="18">
        <f t="shared" si="27"/>
        <v>721</v>
      </c>
      <c r="W142" s="5">
        <f t="shared" si="28"/>
        <v>0</v>
      </c>
      <c r="X142" s="5">
        <f t="shared" si="29"/>
        <v>400</v>
      </c>
      <c r="Y142" s="5">
        <f t="shared" si="30"/>
        <v>527</v>
      </c>
      <c r="Z142" s="19">
        <f t="shared" si="31"/>
        <v>38</v>
      </c>
      <c r="AA142" s="20">
        <f>ABS(S142-SUMPRODUCT(('05B_가정검정'!$A$5:$A$19=B142)*('05B_가정검정'!$B$5:$B$19=C142)*'05B_가정검정'!$E$5:$E$19))</f>
        <v>7.264270628348557E-3</v>
      </c>
      <c r="AB142" s="20">
        <f t="shared" si="32"/>
        <v>1.2518579598919222E-2</v>
      </c>
    </row>
    <row r="143" spans="1:28">
      <c r="A143" s="15" t="s">
        <v>132</v>
      </c>
      <c r="B143" s="15" t="s">
        <v>121</v>
      </c>
      <c r="C143" s="15" t="s">
        <v>117</v>
      </c>
      <c r="D143" s="16">
        <v>0.227330779054917</v>
      </c>
      <c r="E143" s="16">
        <v>0.296296296296296</v>
      </c>
      <c r="F143" s="16">
        <v>0.116182572614108</v>
      </c>
      <c r="G143" s="16">
        <v>0.23868312757201701</v>
      </c>
      <c r="H143" s="16">
        <v>0.32916551208688999</v>
      </c>
      <c r="I143" s="16">
        <v>0.14198326099392</v>
      </c>
      <c r="J143" s="16">
        <v>0.74198557619058403</v>
      </c>
      <c r="K143" s="16">
        <v>0.752846425322373</v>
      </c>
      <c r="L143" s="16">
        <v>0.87229912365221396</v>
      </c>
      <c r="M143" s="16">
        <v>0.90654205607476601</v>
      </c>
      <c r="N143" s="16">
        <v>0.91666666666666696</v>
      </c>
      <c r="O143" s="16">
        <v>1</v>
      </c>
      <c r="P143" s="17">
        <f t="shared" si="22"/>
        <v>0.22494025810302468</v>
      </c>
      <c r="Q143" s="17">
        <f t="shared" si="23"/>
        <v>0.78904370838839044</v>
      </c>
      <c r="R143" s="17">
        <f t="shared" si="24"/>
        <v>0.94106957424714432</v>
      </c>
      <c r="S143" s="17">
        <f>'02_지표정의'!$C$22*P143+'02_지표정의'!$C$23*Q143+'02_지표정의'!$C$24*R143</f>
        <v>0.72943207138188115</v>
      </c>
      <c r="T143" s="5">
        <f t="shared" si="25"/>
        <v>1</v>
      </c>
      <c r="U143" s="5" t="str">
        <f t="shared" si="26"/>
        <v>특허</v>
      </c>
      <c r="V143" s="18">
        <f t="shared" si="27"/>
        <v>901</v>
      </c>
      <c r="W143" s="5">
        <f t="shared" si="28"/>
        <v>606</v>
      </c>
      <c r="X143" s="5">
        <f t="shared" si="29"/>
        <v>576</v>
      </c>
      <c r="Y143" s="5">
        <f t="shared" si="30"/>
        <v>0</v>
      </c>
      <c r="Z143" s="19">
        <f t="shared" si="31"/>
        <v>33</v>
      </c>
      <c r="AA143" s="20">
        <f>ABS(S143-SUMPRODUCT(('05B_가정검정'!$A$5:$A$19=B143)*('05B_가정검정'!$B$5:$B$19=C143)*'05B_가정검정'!$E$5:$E$19))</f>
        <v>0</v>
      </c>
      <c r="AB143" s="20">
        <f t="shared" si="32"/>
        <v>1.1780278309000192E-2</v>
      </c>
    </row>
    <row r="144" spans="1:28">
      <c r="A144" s="15" t="s">
        <v>132</v>
      </c>
      <c r="B144" s="15" t="s">
        <v>121</v>
      </c>
      <c r="C144" s="15" t="s">
        <v>118</v>
      </c>
      <c r="D144" s="16">
        <v>0.212987012987013</v>
      </c>
      <c r="E144" s="16">
        <v>0.28571428571428598</v>
      </c>
      <c r="F144" s="16">
        <v>0.119760479041916</v>
      </c>
      <c r="G144" s="16">
        <v>0.22023809523809501</v>
      </c>
      <c r="H144" s="16">
        <v>0.20815228504443301</v>
      </c>
      <c r="I144" s="16">
        <v>0.19637181572215701</v>
      </c>
      <c r="J144" s="16">
        <v>0.73834660424510101</v>
      </c>
      <c r="K144" s="16">
        <v>0.74188566447025694</v>
      </c>
      <c r="L144" s="16">
        <v>0.87296576645373503</v>
      </c>
      <c r="M144" s="16">
        <v>0.39917695473251003</v>
      </c>
      <c r="N144" s="16">
        <v>0.46218487394958002</v>
      </c>
      <c r="O144" s="16">
        <v>1</v>
      </c>
      <c r="P144" s="17">
        <f t="shared" si="22"/>
        <v>0.20720399562465</v>
      </c>
      <c r="Q144" s="17">
        <f t="shared" si="23"/>
        <v>0.78439934505636433</v>
      </c>
      <c r="R144" s="17">
        <f t="shared" si="24"/>
        <v>0.62045394289403</v>
      </c>
      <c r="S144" s="17">
        <f>'02_지표정의'!$C$22*P144+'02_지표정의'!$C$23*Q144+'02_지표정의'!$C$24*R144</f>
        <v>0.61157938441320436</v>
      </c>
      <c r="T144" s="5">
        <f t="shared" si="25"/>
        <v>0</v>
      </c>
      <c r="U144" s="5" t="str">
        <f t="shared" si="26"/>
        <v>특허</v>
      </c>
      <c r="V144" s="18">
        <f t="shared" si="27"/>
        <v>441</v>
      </c>
      <c r="W144" s="5">
        <f t="shared" si="28"/>
        <v>358</v>
      </c>
      <c r="X144" s="5">
        <f t="shared" si="29"/>
        <v>0</v>
      </c>
      <c r="Y144" s="5">
        <f t="shared" si="30"/>
        <v>337</v>
      </c>
      <c r="Z144" s="19">
        <f t="shared" si="31"/>
        <v>43</v>
      </c>
      <c r="AA144" s="20">
        <f>ABS(S144-SUMPRODUCT(('05B_가정검정'!$A$5:$A$19=B144)*('05B_가정검정'!$B$5:$B$19=C144)*'05B_가정검정'!$E$5:$E$19))</f>
        <v>1.2999894246235932E-2</v>
      </c>
      <c r="AB144" s="20">
        <f t="shared" si="32"/>
        <v>3.218030988639109E-2</v>
      </c>
    </row>
    <row r="145" spans="1:28">
      <c r="A145" s="15" t="s">
        <v>132</v>
      </c>
      <c r="B145" s="15" t="s">
        <v>121</v>
      </c>
      <c r="C145" s="15" t="s">
        <v>119</v>
      </c>
      <c r="D145" s="16">
        <v>0.27833572453371602</v>
      </c>
      <c r="E145" s="16">
        <v>0.49302325581395401</v>
      </c>
      <c r="F145" s="16">
        <v>0.244131455399061</v>
      </c>
      <c r="G145" s="16">
        <v>0.372093023255814</v>
      </c>
      <c r="H145" s="16">
        <v>0.392402417401643</v>
      </c>
      <c r="I145" s="16">
        <v>0.32705968839028698</v>
      </c>
      <c r="J145" s="16">
        <v>0.76624111080240798</v>
      </c>
      <c r="K145" s="16">
        <v>0.71022166924748997</v>
      </c>
      <c r="L145" s="16">
        <v>0.85399025646662396</v>
      </c>
      <c r="M145" s="16">
        <v>0.90654205607476601</v>
      </c>
      <c r="N145" s="16">
        <v>0.91666666666666696</v>
      </c>
      <c r="O145" s="16">
        <v>1</v>
      </c>
      <c r="P145" s="17">
        <f t="shared" si="22"/>
        <v>0.3511742607990791</v>
      </c>
      <c r="Q145" s="17">
        <f t="shared" si="23"/>
        <v>0.77681767883884056</v>
      </c>
      <c r="R145" s="17">
        <f t="shared" si="24"/>
        <v>0.94106957424714432</v>
      </c>
      <c r="S145" s="17">
        <f>'02_지표정의'!$C$22*P145+'02_지표정의'!$C$23*Q145+'02_지표정의'!$C$24*R145</f>
        <v>0.74917715862379453</v>
      </c>
      <c r="T145" s="5">
        <f t="shared" si="25"/>
        <v>0</v>
      </c>
      <c r="U145" s="5" t="str">
        <f t="shared" si="26"/>
        <v>특허</v>
      </c>
      <c r="V145" s="18">
        <f t="shared" si="27"/>
        <v>952</v>
      </c>
      <c r="W145" s="5">
        <f t="shared" si="28"/>
        <v>0</v>
      </c>
      <c r="X145" s="5">
        <f t="shared" si="29"/>
        <v>627</v>
      </c>
      <c r="Y145" s="5">
        <f t="shared" si="30"/>
        <v>631</v>
      </c>
      <c r="Z145" s="19">
        <f t="shared" si="31"/>
        <v>53</v>
      </c>
      <c r="AA145" s="20">
        <f>ABS(S145-SUMPRODUCT(('05B_가정검정'!$A$5:$A$19=B145)*('05B_가정검정'!$B$5:$B$19=C145)*'05B_가정검정'!$E$5:$E$19))</f>
        <v>5.6857315827940846E-2</v>
      </c>
      <c r="AB145" s="20">
        <f t="shared" si="32"/>
        <v>6.0940183204183485E-2</v>
      </c>
    </row>
    <row r="146" spans="1:28">
      <c r="A146" s="15" t="s">
        <v>132</v>
      </c>
      <c r="B146" s="15" t="s">
        <v>122</v>
      </c>
      <c r="C146" s="15" t="s">
        <v>117</v>
      </c>
      <c r="D146" s="16">
        <v>0.257062146892655</v>
      </c>
      <c r="E146" s="16">
        <v>0.32286995515695099</v>
      </c>
      <c r="F146" s="16">
        <v>0.108597285067873</v>
      </c>
      <c r="G146" s="16">
        <v>0.224215246636771</v>
      </c>
      <c r="H146" s="16">
        <v>0.26159346482113299</v>
      </c>
      <c r="I146" s="16">
        <v>0.22196799470186401</v>
      </c>
      <c r="J146" s="16">
        <v>0.68828133628543098</v>
      </c>
      <c r="K146" s="16">
        <v>0.65234493473367305</v>
      </c>
      <c r="L146" s="16">
        <v>0.81144976857474904</v>
      </c>
      <c r="M146" s="16">
        <v>0.747899159663866</v>
      </c>
      <c r="N146" s="16">
        <v>0.74242424242424199</v>
      </c>
      <c r="O146" s="16">
        <v>1</v>
      </c>
      <c r="P146" s="17">
        <f t="shared" si="22"/>
        <v>0.2327176822128745</v>
      </c>
      <c r="Q146" s="17">
        <f t="shared" si="23"/>
        <v>0.71735867986461754</v>
      </c>
      <c r="R146" s="17">
        <f t="shared" si="24"/>
        <v>0.83010780069603596</v>
      </c>
      <c r="S146" s="17">
        <f>'02_지표정의'!$C$22*P146+'02_지표정의'!$C$23*Q146+'02_지표정의'!$C$24*R146</f>
        <v>0.65989267262526541</v>
      </c>
      <c r="T146" s="5">
        <f t="shared" si="25"/>
        <v>0</v>
      </c>
      <c r="U146" s="5" t="str">
        <f t="shared" si="26"/>
        <v>특허</v>
      </c>
      <c r="V146" s="18">
        <f t="shared" si="27"/>
        <v>670</v>
      </c>
      <c r="W146" s="5">
        <f t="shared" si="28"/>
        <v>495</v>
      </c>
      <c r="X146" s="5">
        <f t="shared" si="29"/>
        <v>351</v>
      </c>
      <c r="Y146" s="5">
        <f t="shared" si="30"/>
        <v>0</v>
      </c>
      <c r="Z146" s="19">
        <f t="shared" si="31"/>
        <v>53</v>
      </c>
      <c r="AA146" s="20">
        <f>ABS(S146-SUMPRODUCT(('05B_가정검정'!$A$5:$A$19=B146)*('05B_가정검정'!$B$5:$B$19=C146)*'05B_가정검정'!$E$5:$E$19))</f>
        <v>2.053971791658693E-2</v>
      </c>
      <c r="AB146" s="20">
        <f t="shared" si="32"/>
        <v>3.7011050435619253E-2</v>
      </c>
    </row>
    <row r="147" spans="1:28">
      <c r="A147" s="15" t="s">
        <v>132</v>
      </c>
      <c r="B147" s="15" t="s">
        <v>122</v>
      </c>
      <c r="C147" s="15" t="s">
        <v>118</v>
      </c>
      <c r="D147" s="16">
        <v>0.29640287769784202</v>
      </c>
      <c r="E147" s="16">
        <v>0.284810126582279</v>
      </c>
      <c r="F147" s="16">
        <v>0.146496815286624</v>
      </c>
      <c r="G147" s="16">
        <v>0.253164556962025</v>
      </c>
      <c r="H147" s="16">
        <v>0.17542062232532399</v>
      </c>
      <c r="I147" s="16">
        <v>0.26244138794691202</v>
      </c>
      <c r="J147" s="16">
        <v>0.72455896842442702</v>
      </c>
      <c r="K147" s="16">
        <v>0.64418042110823803</v>
      </c>
      <c r="L147" s="16">
        <v>0.81779625181666704</v>
      </c>
      <c r="M147" s="16">
        <v>0.42386831275720199</v>
      </c>
      <c r="N147" s="16">
        <v>0.369747899159664</v>
      </c>
      <c r="O147" s="16">
        <v>1</v>
      </c>
      <c r="P147" s="17">
        <f t="shared" si="22"/>
        <v>0.23645606446683434</v>
      </c>
      <c r="Q147" s="17">
        <f t="shared" si="23"/>
        <v>0.72884521378311062</v>
      </c>
      <c r="R147" s="17">
        <f t="shared" si="24"/>
        <v>0.59787207063895531</v>
      </c>
      <c r="S147" s="17">
        <f>'02_지표정의'!$C$22*P147+'02_지표정의'!$C$23*Q147+'02_지표정의'!$C$24*R147</f>
        <v>0.58452678381940104</v>
      </c>
      <c r="T147" s="5">
        <f t="shared" si="25"/>
        <v>1</v>
      </c>
      <c r="U147" s="5" t="str">
        <f t="shared" si="26"/>
        <v>특허</v>
      </c>
      <c r="V147" s="18">
        <f t="shared" si="27"/>
        <v>335</v>
      </c>
      <c r="W147" s="5">
        <f t="shared" si="28"/>
        <v>274</v>
      </c>
      <c r="X147" s="5">
        <f t="shared" si="29"/>
        <v>0</v>
      </c>
      <c r="Y147" s="5">
        <f t="shared" si="30"/>
        <v>253</v>
      </c>
      <c r="Z147" s="19">
        <f t="shared" si="31"/>
        <v>32</v>
      </c>
      <c r="AA147" s="20">
        <f>ABS(S147-SUMPRODUCT(('05B_가정검정'!$A$5:$A$19=B147)*('05B_가정검정'!$B$5:$B$19=C147)*'05B_가정검정'!$E$5:$E$19))</f>
        <v>2.3951521777572093E-3</v>
      </c>
      <c r="AB147" s="20">
        <f t="shared" si="32"/>
        <v>3.3035076017172704E-3</v>
      </c>
    </row>
    <row r="148" spans="1:28">
      <c r="A148" s="15" t="s">
        <v>132</v>
      </c>
      <c r="B148" s="15" t="s">
        <v>122</v>
      </c>
      <c r="C148" s="15" t="s">
        <v>119</v>
      </c>
      <c r="D148" s="16">
        <v>0.26688102893890697</v>
      </c>
      <c r="E148" s="16">
        <v>0.46153846153846201</v>
      </c>
      <c r="F148" s="16">
        <v>0.20725388601036299</v>
      </c>
      <c r="G148" s="16">
        <v>0.31794871794871798</v>
      </c>
      <c r="H148" s="16">
        <v>0.29411649703339199</v>
      </c>
      <c r="I148" s="16">
        <v>0.34524453268048</v>
      </c>
      <c r="J148" s="16">
        <v>0.71761351330619305</v>
      </c>
      <c r="K148" s="16">
        <v>0.59082902617164901</v>
      </c>
      <c r="L148" s="16">
        <v>0.77263867026591404</v>
      </c>
      <c r="M148" s="16">
        <v>0.747899159663866</v>
      </c>
      <c r="N148" s="16">
        <v>0.74242424242424199</v>
      </c>
      <c r="O148" s="16">
        <v>1</v>
      </c>
      <c r="P148" s="17">
        <f t="shared" si="22"/>
        <v>0.315497187358387</v>
      </c>
      <c r="Q148" s="17">
        <f t="shared" si="23"/>
        <v>0.693693736581252</v>
      </c>
      <c r="R148" s="17">
        <f t="shared" si="24"/>
        <v>0.83010780069603596</v>
      </c>
      <c r="S148" s="17">
        <f>'02_지표정의'!$C$22*P148+'02_지표정의'!$C$23*Q148+'02_지표정의'!$C$24*R148</f>
        <v>0.66579934917685335</v>
      </c>
      <c r="T148" s="5">
        <f t="shared" si="25"/>
        <v>0</v>
      </c>
      <c r="U148" s="5" t="str">
        <f t="shared" si="26"/>
        <v>특허</v>
      </c>
      <c r="V148" s="18">
        <f t="shared" si="27"/>
        <v>697</v>
      </c>
      <c r="W148" s="5">
        <f t="shared" si="28"/>
        <v>0</v>
      </c>
      <c r="X148" s="5">
        <f t="shared" si="29"/>
        <v>377</v>
      </c>
      <c r="Y148" s="5">
        <f t="shared" si="30"/>
        <v>512</v>
      </c>
      <c r="Z148" s="19">
        <f t="shared" si="31"/>
        <v>48</v>
      </c>
      <c r="AA148" s="20">
        <f>ABS(S148-SUMPRODUCT(('05B_가정검정'!$A$5:$A$19=B148)*('05B_가정검정'!$B$5:$B$19=C148)*'05B_가정검정'!$E$5:$E$19))</f>
        <v>3.0193161275401947E-2</v>
      </c>
      <c r="AB148" s="20">
        <f t="shared" si="32"/>
        <v>3.4410482861967351E-2</v>
      </c>
    </row>
    <row r="149" spans="1:28">
      <c r="A149" s="15" t="s">
        <v>132</v>
      </c>
      <c r="B149" s="15" t="s">
        <v>123</v>
      </c>
      <c r="C149" s="15" t="s">
        <v>117</v>
      </c>
      <c r="D149" s="16">
        <v>0.23474178403755899</v>
      </c>
      <c r="E149" s="16">
        <v>0.33212996389891702</v>
      </c>
      <c r="F149" s="16">
        <v>0.123636363636364</v>
      </c>
      <c r="G149" s="16">
        <v>0.25992779783393499</v>
      </c>
      <c r="H149" s="16">
        <v>0.34960295526354601</v>
      </c>
      <c r="I149" s="16">
        <v>0.157245293769049</v>
      </c>
      <c r="J149" s="16">
        <v>0.69543618013172104</v>
      </c>
      <c r="K149" s="16">
        <v>0.66641195207958803</v>
      </c>
      <c r="L149" s="16">
        <v>0.86291258384645397</v>
      </c>
      <c r="M149" s="16">
        <v>0.90654205607476601</v>
      </c>
      <c r="N149" s="16">
        <v>0.91666666666666696</v>
      </c>
      <c r="O149" s="16">
        <v>1</v>
      </c>
      <c r="P149" s="17">
        <f t="shared" si="22"/>
        <v>0.24288069307322832</v>
      </c>
      <c r="Q149" s="17">
        <f t="shared" si="23"/>
        <v>0.74158690535258776</v>
      </c>
      <c r="R149" s="17">
        <f t="shared" si="24"/>
        <v>0.94106957424714432</v>
      </c>
      <c r="S149" s="17">
        <f>'02_지표정의'!$C$22*P149+'02_지표정의'!$C$23*Q149+'02_지표정의'!$C$24*R149</f>
        <v>0.71166459700981055</v>
      </c>
      <c r="T149" s="5">
        <f t="shared" si="25"/>
        <v>0</v>
      </c>
      <c r="U149" s="5" t="str">
        <f t="shared" si="26"/>
        <v>특허</v>
      </c>
      <c r="V149" s="18">
        <f t="shared" si="27"/>
        <v>850</v>
      </c>
      <c r="W149" s="5">
        <f t="shared" si="28"/>
        <v>565</v>
      </c>
      <c r="X149" s="5">
        <f t="shared" si="29"/>
        <v>525</v>
      </c>
      <c r="Y149" s="5">
        <f t="shared" si="30"/>
        <v>0</v>
      </c>
      <c r="Z149" s="19">
        <f t="shared" si="31"/>
        <v>27</v>
      </c>
      <c r="AA149" s="20">
        <f>ABS(S149-SUMPRODUCT(('05B_가정검정'!$A$5:$A$19=B149)*('05B_가정검정'!$B$5:$B$19=C149)*'05B_가정검정'!$E$5:$E$19))</f>
        <v>3.2582857664131826E-3</v>
      </c>
      <c r="AB149" s="20">
        <f t="shared" si="32"/>
        <v>3.6791451985673795E-3</v>
      </c>
    </row>
    <row r="150" spans="1:28">
      <c r="A150" s="15" t="s">
        <v>132</v>
      </c>
      <c r="B150" s="15" t="s">
        <v>123</v>
      </c>
      <c r="C150" s="15" t="s">
        <v>118</v>
      </c>
      <c r="D150" s="16">
        <v>0.21692491060786701</v>
      </c>
      <c r="E150" s="16">
        <v>0.33513513513513499</v>
      </c>
      <c r="F150" s="16">
        <v>0.17934782608695701</v>
      </c>
      <c r="G150" s="16">
        <v>0.27027027027027001</v>
      </c>
      <c r="H150" s="16">
        <v>0.22717869433835799</v>
      </c>
      <c r="I150" s="16">
        <v>0.217652220035955</v>
      </c>
      <c r="J150" s="16">
        <v>0.69426627994861401</v>
      </c>
      <c r="K150" s="16">
        <v>0.62016923175597205</v>
      </c>
      <c r="L150" s="16">
        <v>0.82899265196389205</v>
      </c>
      <c r="M150" s="16">
        <v>0.39917695473251003</v>
      </c>
      <c r="N150" s="16">
        <v>0.46218487394958002</v>
      </c>
      <c r="O150" s="16">
        <v>1</v>
      </c>
      <c r="P150" s="17">
        <f t="shared" si="22"/>
        <v>0.24108484274575701</v>
      </c>
      <c r="Q150" s="17">
        <f t="shared" si="23"/>
        <v>0.71447605455615937</v>
      </c>
      <c r="R150" s="17">
        <f t="shared" si="24"/>
        <v>0.62045394289403</v>
      </c>
      <c r="S150" s="17">
        <f>'02_지표정의'!$C$22*P150+'02_지표정의'!$C$23*Q150+'02_지표정의'!$C$24*R150</f>
        <v>0.58689007311233365</v>
      </c>
      <c r="T150" s="5">
        <f t="shared" si="25"/>
        <v>0</v>
      </c>
      <c r="U150" s="5" t="str">
        <f t="shared" si="26"/>
        <v>특허</v>
      </c>
      <c r="V150" s="18">
        <f t="shared" si="27"/>
        <v>340</v>
      </c>
      <c r="W150" s="5">
        <f t="shared" si="28"/>
        <v>278</v>
      </c>
      <c r="X150" s="5">
        <f t="shared" si="29"/>
        <v>0</v>
      </c>
      <c r="Y150" s="5">
        <f t="shared" si="30"/>
        <v>257</v>
      </c>
      <c r="Z150" s="19">
        <f t="shared" si="31"/>
        <v>40</v>
      </c>
      <c r="AA150" s="20">
        <f>ABS(S150-SUMPRODUCT(('05B_가정검정'!$A$5:$A$19=B150)*('05B_가정검정'!$B$5:$B$19=C150)*'05B_가정검정'!$E$5:$E$19))</f>
        <v>1.1591246233363939E-2</v>
      </c>
      <c r="AB150" s="20">
        <f t="shared" si="32"/>
        <v>2.7018465187842566E-2</v>
      </c>
    </row>
    <row r="151" spans="1:28">
      <c r="A151" s="15" t="s">
        <v>132</v>
      </c>
      <c r="B151" s="15" t="s">
        <v>123</v>
      </c>
      <c r="C151" s="15" t="s">
        <v>119</v>
      </c>
      <c r="D151" s="16">
        <v>0.32637075718015701</v>
      </c>
      <c r="E151" s="16">
        <v>0.57831325301204795</v>
      </c>
      <c r="F151" s="16">
        <v>0.26720647773279399</v>
      </c>
      <c r="G151" s="16">
        <v>0.36144578313253001</v>
      </c>
      <c r="H151" s="16">
        <v>0.45068104756465399</v>
      </c>
      <c r="I151" s="16">
        <v>0.43536901041695802</v>
      </c>
      <c r="J151" s="16">
        <v>0.72978029252903498</v>
      </c>
      <c r="K151" s="16">
        <v>0.63044667303893598</v>
      </c>
      <c r="L151" s="16">
        <v>0.85525113141683395</v>
      </c>
      <c r="M151" s="16">
        <v>0.90654205607476601</v>
      </c>
      <c r="N151" s="16">
        <v>0.91666666666666696</v>
      </c>
      <c r="O151" s="16">
        <v>1</v>
      </c>
      <c r="P151" s="17">
        <f t="shared" si="22"/>
        <v>0.40323105483985683</v>
      </c>
      <c r="Q151" s="17">
        <f t="shared" si="23"/>
        <v>0.73849269899493486</v>
      </c>
      <c r="R151" s="17">
        <f t="shared" si="24"/>
        <v>0.94106957424714432</v>
      </c>
      <c r="S151" s="17">
        <f>'02_지표정의'!$C$22*P151+'02_지표정의'!$C$23*Q151+'02_지표정의'!$C$24*R151</f>
        <v>0.74234227650219253</v>
      </c>
      <c r="T151" s="5">
        <f t="shared" si="25"/>
        <v>1</v>
      </c>
      <c r="U151" s="5" t="str">
        <f t="shared" si="26"/>
        <v>특허</v>
      </c>
      <c r="V151" s="18">
        <f t="shared" si="27"/>
        <v>932</v>
      </c>
      <c r="W151" s="5">
        <f t="shared" si="28"/>
        <v>0</v>
      </c>
      <c r="X151" s="5">
        <f t="shared" si="29"/>
        <v>607</v>
      </c>
      <c r="Y151" s="5">
        <f t="shared" si="30"/>
        <v>625</v>
      </c>
      <c r="Z151" s="19">
        <f t="shared" si="31"/>
        <v>54</v>
      </c>
      <c r="AA151" s="20">
        <f>ABS(S151-SUMPRODUCT(('05B_가정검정'!$A$5:$A$19=B151)*('05B_가정검정'!$B$5:$B$19=C151)*'05B_가정검정'!$E$5:$E$19))</f>
        <v>5.671247917796518E-2</v>
      </c>
      <c r="AB151" s="20">
        <f t="shared" si="32"/>
        <v>5.9923543457190753E-2</v>
      </c>
    </row>
    <row r="152" spans="1:28">
      <c r="A152" s="15" t="s">
        <v>133</v>
      </c>
      <c r="B152" s="15" t="s">
        <v>116</v>
      </c>
      <c r="C152" s="15" t="s">
        <v>117</v>
      </c>
      <c r="D152" s="16">
        <v>0.232984293193717</v>
      </c>
      <c r="E152" s="16">
        <v>0.37305699481865301</v>
      </c>
      <c r="F152" s="16">
        <v>0.15706806282722499</v>
      </c>
      <c r="G152" s="16">
        <v>0.352331606217617</v>
      </c>
      <c r="H152" s="16">
        <v>0.223597675560508</v>
      </c>
      <c r="I152" s="16">
        <v>0.227727745630802</v>
      </c>
      <c r="J152" s="16">
        <v>0.70635002339858399</v>
      </c>
      <c r="K152" s="16">
        <v>0.69847395699765302</v>
      </c>
      <c r="L152" s="16">
        <v>0.85260937737001397</v>
      </c>
      <c r="M152" s="16">
        <v>0.41463414634146301</v>
      </c>
      <c r="N152" s="16">
        <v>9.1743119266054496E-3</v>
      </c>
      <c r="O152" s="16">
        <v>0.52631578947368396</v>
      </c>
      <c r="P152" s="17">
        <f t="shared" si="22"/>
        <v>0.26112772970808701</v>
      </c>
      <c r="Q152" s="17">
        <f t="shared" si="23"/>
        <v>0.7524777859220837</v>
      </c>
      <c r="R152" s="17">
        <f t="shared" si="24"/>
        <v>0.31670808258058414</v>
      </c>
      <c r="S152" s="17">
        <f>'02_지표정의'!$C$22*P152+'02_지표정의'!$C$23*Q152+'02_지표정의'!$C$24*R152</f>
        <v>0.50168837850975956</v>
      </c>
      <c r="T152" s="5">
        <f t="shared" si="25"/>
        <v>0</v>
      </c>
      <c r="U152" s="5" t="str">
        <f t="shared" si="26"/>
        <v>특허</v>
      </c>
      <c r="V152" s="18">
        <f t="shared" si="27"/>
        <v>47</v>
      </c>
      <c r="W152" s="5">
        <f t="shared" si="28"/>
        <v>41</v>
      </c>
      <c r="X152" s="5">
        <f t="shared" si="29"/>
        <v>12</v>
      </c>
      <c r="Y152" s="5">
        <f t="shared" si="30"/>
        <v>0</v>
      </c>
      <c r="Z152" s="19">
        <f t="shared" si="31"/>
        <v>5</v>
      </c>
      <c r="AA152" s="20">
        <f>ABS(S152-SUMPRODUCT(('05B_가정검정'!$A$5:$A$19=B152)*('05B_가정검정'!$B$5:$B$19=C152)*'05B_가정검정'!$E$5:$E$19))</f>
        <v>5.5715326475207716E-2</v>
      </c>
      <c r="AB152" s="20">
        <f t="shared" si="32"/>
        <v>-5.0862786902863832E-2</v>
      </c>
    </row>
    <row r="153" spans="1:28">
      <c r="A153" s="15" t="s">
        <v>133</v>
      </c>
      <c r="B153" s="15" t="s">
        <v>116</v>
      </c>
      <c r="C153" s="15" t="s">
        <v>118</v>
      </c>
      <c r="D153" s="16">
        <v>0.31472081218274101</v>
      </c>
      <c r="E153" s="16">
        <v>0.35983263598326398</v>
      </c>
      <c r="F153" s="16">
        <v>0.21097046413502099</v>
      </c>
      <c r="G153" s="16">
        <v>0.30962343096234302</v>
      </c>
      <c r="H153" s="16">
        <v>0.17732861320291399</v>
      </c>
      <c r="I153" s="16">
        <v>0.37920098518155398</v>
      </c>
      <c r="J153" s="16">
        <v>0.74000892428119802</v>
      </c>
      <c r="K153" s="16">
        <v>0.69380068335843603</v>
      </c>
      <c r="L153" s="16">
        <v>0.84728665797829295</v>
      </c>
      <c r="M153" s="16">
        <v>0.436213991769547</v>
      </c>
      <c r="N153" s="16">
        <v>0</v>
      </c>
      <c r="O153" s="16">
        <v>0.52631578947368396</v>
      </c>
      <c r="P153" s="17">
        <f t="shared" si="22"/>
        <v>0.29194615694130616</v>
      </c>
      <c r="Q153" s="17">
        <f t="shared" si="23"/>
        <v>0.76036542187264233</v>
      </c>
      <c r="R153" s="17">
        <f t="shared" si="24"/>
        <v>0.3208432604144103</v>
      </c>
      <c r="S153" s="17">
        <f>'02_지표정의'!$C$22*P153+'02_지표정의'!$C$23*Q153+'02_지표정의'!$C$24*R153</f>
        <v>0.51284881237599389</v>
      </c>
      <c r="T153" s="5">
        <f t="shared" si="25"/>
        <v>0</v>
      </c>
      <c r="U153" s="5" t="str">
        <f t="shared" si="26"/>
        <v>특허</v>
      </c>
      <c r="V153" s="18">
        <f t="shared" si="27"/>
        <v>74</v>
      </c>
      <c r="W153" s="5">
        <f t="shared" si="28"/>
        <v>66</v>
      </c>
      <c r="X153" s="5">
        <f t="shared" si="29"/>
        <v>0</v>
      </c>
      <c r="Y153" s="5">
        <f t="shared" si="30"/>
        <v>67</v>
      </c>
      <c r="Z153" s="19">
        <f t="shared" si="31"/>
        <v>27</v>
      </c>
      <c r="AA153" s="20">
        <f>ABS(S153-SUMPRODUCT(('05B_가정검정'!$A$5:$A$19=B153)*('05B_가정검정'!$B$5:$B$19=C153)*'05B_가정검정'!$E$5:$E$19))</f>
        <v>1.844360932572775E-2</v>
      </c>
      <c r="AB153" s="20">
        <f t="shared" si="32"/>
        <v>-1.4700220002592412E-2</v>
      </c>
    </row>
    <row r="154" spans="1:28">
      <c r="A154" s="15" t="s">
        <v>133</v>
      </c>
      <c r="B154" s="15" t="s">
        <v>116</v>
      </c>
      <c r="C154" s="15" t="s">
        <v>119</v>
      </c>
      <c r="D154" s="16">
        <v>0.26856240126382303</v>
      </c>
      <c r="E154" s="16">
        <v>0.54237288135593198</v>
      </c>
      <c r="F154" s="16">
        <v>0.35428571428571398</v>
      </c>
      <c r="G154" s="16">
        <v>0.418079096045198</v>
      </c>
      <c r="H154" s="16">
        <v>0.27743763316149</v>
      </c>
      <c r="I154" s="16">
        <v>0.49187379375370599</v>
      </c>
      <c r="J154" s="16">
        <v>0.74415892409173101</v>
      </c>
      <c r="K154" s="16">
        <v>0.68904926040001102</v>
      </c>
      <c r="L154" s="16">
        <v>0.85872218831965796</v>
      </c>
      <c r="M154" s="16">
        <v>0.361990950226244</v>
      </c>
      <c r="N154" s="16">
        <v>0</v>
      </c>
      <c r="O154" s="16">
        <v>0.52631578947368396</v>
      </c>
      <c r="P154" s="17">
        <f t="shared" si="22"/>
        <v>0.39210191997764388</v>
      </c>
      <c r="Q154" s="17">
        <f t="shared" si="23"/>
        <v>0.76397679093713322</v>
      </c>
      <c r="R154" s="17">
        <f t="shared" si="24"/>
        <v>0.29610224656664269</v>
      </c>
      <c r="S154" s="17">
        <f>'02_지표정의'!$C$22*P154+'02_지표정의'!$C$23*Q154+'02_지표정의'!$C$24*R154</f>
        <v>0.52584572621556369</v>
      </c>
      <c r="T154" s="5">
        <f t="shared" si="25"/>
        <v>0</v>
      </c>
      <c r="U154" s="5" t="str">
        <f t="shared" si="26"/>
        <v>특허</v>
      </c>
      <c r="V154" s="18">
        <f t="shared" si="27"/>
        <v>121</v>
      </c>
      <c r="W154" s="5">
        <f t="shared" si="28"/>
        <v>0</v>
      </c>
      <c r="X154" s="5">
        <f t="shared" si="29"/>
        <v>24</v>
      </c>
      <c r="Y154" s="5">
        <f t="shared" si="30"/>
        <v>109</v>
      </c>
      <c r="Z154" s="19">
        <f t="shared" si="31"/>
        <v>7</v>
      </c>
      <c r="AA154" s="20">
        <f>ABS(S154-SUMPRODUCT(('05B_가정검정'!$A$5:$A$19=B154)*('05B_가정검정'!$B$5:$B$19=C154)*'05B_가정검정'!$E$5:$E$19))</f>
        <v>2.7177790527218915E-2</v>
      </c>
      <c r="AB154" s="20">
        <f t="shared" si="32"/>
        <v>-3.0606757460616363E-2</v>
      </c>
    </row>
    <row r="155" spans="1:28">
      <c r="A155" s="15" t="s">
        <v>133</v>
      </c>
      <c r="B155" s="15" t="s">
        <v>120</v>
      </c>
      <c r="C155" s="15" t="s">
        <v>117</v>
      </c>
      <c r="D155" s="16">
        <v>0.265060240963855</v>
      </c>
      <c r="E155" s="16">
        <v>0.36428571428571399</v>
      </c>
      <c r="F155" s="16">
        <v>0.15107913669064801</v>
      </c>
      <c r="G155" s="16">
        <v>0.27857142857142903</v>
      </c>
      <c r="H155" s="16">
        <v>0.31688468515590301</v>
      </c>
      <c r="I155" s="16">
        <v>0.24284467697447201</v>
      </c>
      <c r="J155" s="16">
        <v>0.71189287247544997</v>
      </c>
      <c r="K155" s="16">
        <v>0.65818551089631905</v>
      </c>
      <c r="L155" s="16">
        <v>0.85818743925543095</v>
      </c>
      <c r="M155" s="16">
        <v>0.56707317073170704</v>
      </c>
      <c r="N155" s="16">
        <v>0.52127659574468099</v>
      </c>
      <c r="O155" s="16">
        <v>1</v>
      </c>
      <c r="P155" s="17">
        <f t="shared" si="22"/>
        <v>0.26978764710700354</v>
      </c>
      <c r="Q155" s="17">
        <f t="shared" si="23"/>
        <v>0.74275527420906651</v>
      </c>
      <c r="R155" s="17">
        <f t="shared" si="24"/>
        <v>0.69611658882546268</v>
      </c>
      <c r="S155" s="17">
        <f>'02_지표정의'!$C$22*P155+'02_지표정의'!$C$23*Q155+'02_지표정의'!$C$24*R155</f>
        <v>0.63183820890439257</v>
      </c>
      <c r="T155" s="5">
        <f t="shared" si="25"/>
        <v>0</v>
      </c>
      <c r="U155" s="5" t="str">
        <f t="shared" si="26"/>
        <v>특허</v>
      </c>
      <c r="V155" s="18">
        <f t="shared" si="27"/>
        <v>538</v>
      </c>
      <c r="W155" s="5">
        <f t="shared" si="28"/>
        <v>429</v>
      </c>
      <c r="X155" s="5">
        <f t="shared" si="29"/>
        <v>241</v>
      </c>
      <c r="Y155" s="5">
        <f t="shared" si="30"/>
        <v>0</v>
      </c>
      <c r="Z155" s="19">
        <f t="shared" si="31"/>
        <v>37</v>
      </c>
      <c r="AA155" s="20">
        <f>ABS(S155-SUMPRODUCT(('05B_가정검정'!$A$5:$A$19=B155)*('05B_가정검정'!$B$5:$B$19=C155)*'05B_가정검정'!$E$5:$E$19))</f>
        <v>3.789248847271498E-3</v>
      </c>
      <c r="AB155" s="20">
        <f t="shared" si="32"/>
        <v>5.3550547963543416E-4</v>
      </c>
    </row>
    <row r="156" spans="1:28">
      <c r="A156" s="15" t="s">
        <v>133</v>
      </c>
      <c r="B156" s="15" t="s">
        <v>120</v>
      </c>
      <c r="C156" s="15" t="s">
        <v>118</v>
      </c>
      <c r="D156" s="16">
        <v>0.24671385237613799</v>
      </c>
      <c r="E156" s="16">
        <v>0.33742331288343602</v>
      </c>
      <c r="F156" s="16">
        <v>0.17283950617284</v>
      </c>
      <c r="G156" s="16">
        <v>0.28220858895705497</v>
      </c>
      <c r="H156" s="16">
        <v>0.236522757655791</v>
      </c>
      <c r="I156" s="16">
        <v>0.298522647320631</v>
      </c>
      <c r="J156" s="16">
        <v>0.70100414018995905</v>
      </c>
      <c r="K156" s="16">
        <v>0.62281410863948605</v>
      </c>
      <c r="L156" s="16">
        <v>0.81648415061579704</v>
      </c>
      <c r="M156" s="16">
        <v>0.563786008230453</v>
      </c>
      <c r="N156" s="16">
        <v>0.504201680672269</v>
      </c>
      <c r="O156" s="16">
        <v>1</v>
      </c>
      <c r="P156" s="17">
        <f t="shared" si="22"/>
        <v>0.26237177756098179</v>
      </c>
      <c r="Q156" s="17">
        <f t="shared" si="23"/>
        <v>0.71343413314841408</v>
      </c>
      <c r="R156" s="17">
        <f t="shared" si="24"/>
        <v>0.6893292296342407</v>
      </c>
      <c r="S156" s="17">
        <f>'02_지표정의'!$C$22*P156+'02_지표정의'!$C$23*Q156+'02_지표정의'!$C$24*R156</f>
        <v>0.61478494580096688</v>
      </c>
      <c r="T156" s="5">
        <f t="shared" si="25"/>
        <v>0</v>
      </c>
      <c r="U156" s="5" t="str">
        <f t="shared" si="26"/>
        <v>특허</v>
      </c>
      <c r="V156" s="18">
        <f t="shared" si="27"/>
        <v>460</v>
      </c>
      <c r="W156" s="5">
        <f t="shared" si="28"/>
        <v>375</v>
      </c>
      <c r="X156" s="5">
        <f t="shared" si="29"/>
        <v>0</v>
      </c>
      <c r="Y156" s="5">
        <f t="shared" si="30"/>
        <v>349</v>
      </c>
      <c r="Z156" s="19">
        <f t="shared" si="31"/>
        <v>47</v>
      </c>
      <c r="AA156" s="20">
        <f>ABS(S156-SUMPRODUCT(('05B_가정검정'!$A$5:$A$19=B156)*('05B_가정검정'!$B$5:$B$19=C156)*'05B_가정검정'!$E$5:$E$19))</f>
        <v>2.395609721933889E-2</v>
      </c>
      <c r="AB156" s="20">
        <f t="shared" si="32"/>
        <v>3.9894169838856075E-2</v>
      </c>
    </row>
    <row r="157" spans="1:28">
      <c r="A157" s="15" t="s">
        <v>133</v>
      </c>
      <c r="B157" s="15" t="s">
        <v>120</v>
      </c>
      <c r="C157" s="15" t="s">
        <v>119</v>
      </c>
      <c r="D157" s="16">
        <v>0.26188166828322001</v>
      </c>
      <c r="E157" s="16">
        <v>0.52272727272727304</v>
      </c>
      <c r="F157" s="16">
        <v>0.32824427480916002</v>
      </c>
      <c r="G157" s="16">
        <v>0.40151515151515199</v>
      </c>
      <c r="H157" s="16">
        <v>0.30301805409050803</v>
      </c>
      <c r="I157" s="16">
        <v>0.45055904687741299</v>
      </c>
      <c r="J157" s="16">
        <v>0.71430918928763099</v>
      </c>
      <c r="K157" s="16">
        <v>0.64627490485387395</v>
      </c>
      <c r="L157" s="16">
        <v>0.85074940708434799</v>
      </c>
      <c r="M157" s="16">
        <v>0.579185520361991</v>
      </c>
      <c r="N157" s="16">
        <v>0.60169491525423702</v>
      </c>
      <c r="O157" s="16">
        <v>1</v>
      </c>
      <c r="P157" s="17">
        <f t="shared" si="22"/>
        <v>0.37799091138378776</v>
      </c>
      <c r="Q157" s="17">
        <f t="shared" si="23"/>
        <v>0.73711116707528435</v>
      </c>
      <c r="R157" s="17">
        <f t="shared" si="24"/>
        <v>0.72696014520540941</v>
      </c>
      <c r="S157" s="17">
        <f>'02_지표정의'!$C$22*P157+'02_지표정의'!$C$23*Q157+'02_지표정의'!$C$24*R157</f>
        <v>0.66173425828252885</v>
      </c>
      <c r="T157" s="5">
        <f t="shared" si="25"/>
        <v>0</v>
      </c>
      <c r="U157" s="5" t="str">
        <f t="shared" si="26"/>
        <v>특허</v>
      </c>
      <c r="V157" s="18">
        <f t="shared" si="27"/>
        <v>682</v>
      </c>
      <c r="W157" s="5">
        <f t="shared" si="28"/>
        <v>0</v>
      </c>
      <c r="X157" s="5">
        <f t="shared" si="29"/>
        <v>363</v>
      </c>
      <c r="Y157" s="5">
        <f t="shared" si="30"/>
        <v>505</v>
      </c>
      <c r="Z157" s="19">
        <f t="shared" si="31"/>
        <v>32</v>
      </c>
      <c r="AA157" s="20">
        <f>ABS(S157-SUMPRODUCT(('05B_가정검정'!$A$5:$A$19=B157)*('05B_가정검정'!$B$5:$B$19=C157)*'05B_가정검정'!$E$5:$E$19))</f>
        <v>1.943058198857428E-3</v>
      </c>
      <c r="AB157" s="20">
        <f t="shared" si="32"/>
        <v>3.3112507717132367E-3</v>
      </c>
    </row>
    <row r="158" spans="1:28">
      <c r="A158" s="15" t="s">
        <v>133</v>
      </c>
      <c r="B158" s="15" t="s">
        <v>121</v>
      </c>
      <c r="C158" s="15" t="s">
        <v>117</v>
      </c>
      <c r="D158" s="16">
        <v>0.26442307692307698</v>
      </c>
      <c r="E158" s="16">
        <v>0.45026178010471202</v>
      </c>
      <c r="F158" s="16">
        <v>0.20105820105820099</v>
      </c>
      <c r="G158" s="16">
        <v>0.39790575916230397</v>
      </c>
      <c r="H158" s="16">
        <v>0.29558195974478702</v>
      </c>
      <c r="I158" s="16">
        <v>0.21821577503249001</v>
      </c>
      <c r="J158" s="16">
        <v>0.75022897849806003</v>
      </c>
      <c r="K158" s="16">
        <v>0.72762086930369696</v>
      </c>
      <c r="L158" s="16">
        <v>0.86947493509444596</v>
      </c>
      <c r="M158" s="16">
        <v>0.90654205607476601</v>
      </c>
      <c r="N158" s="16">
        <v>0.91666666666666696</v>
      </c>
      <c r="O158" s="16">
        <v>1</v>
      </c>
      <c r="P158" s="17">
        <f t="shared" si="22"/>
        <v>0.30457442533759521</v>
      </c>
      <c r="Q158" s="17">
        <f t="shared" si="23"/>
        <v>0.78244159429873428</v>
      </c>
      <c r="R158" s="17">
        <f t="shared" si="24"/>
        <v>0.94106957424714432</v>
      </c>
      <c r="S158" s="17">
        <f>'02_지표정의'!$C$22*P158+'02_지표정의'!$C$23*Q158+'02_지표정의'!$C$24*R158</f>
        <v>0.74238795348844999</v>
      </c>
      <c r="T158" s="5">
        <f t="shared" si="25"/>
        <v>1</v>
      </c>
      <c r="U158" s="5" t="str">
        <f t="shared" si="26"/>
        <v>특허</v>
      </c>
      <c r="V158" s="18">
        <f t="shared" si="27"/>
        <v>933</v>
      </c>
      <c r="W158" s="5">
        <f t="shared" si="28"/>
        <v>633</v>
      </c>
      <c r="X158" s="5">
        <f t="shared" si="29"/>
        <v>608</v>
      </c>
      <c r="Y158" s="5">
        <f t="shared" si="30"/>
        <v>0</v>
      </c>
      <c r="Z158" s="19">
        <f t="shared" si="31"/>
        <v>51</v>
      </c>
      <c r="AA158" s="20">
        <f>ABS(S158-SUMPRODUCT(('05B_가정검정'!$A$5:$A$19=B158)*('05B_가정검정'!$B$5:$B$19=C158)*'05B_가정검정'!$E$5:$E$19))</f>
        <v>1.2955882106568839E-2</v>
      </c>
      <c r="AB158" s="20">
        <f t="shared" si="32"/>
        <v>2.4736160415569031E-2</v>
      </c>
    </row>
    <row r="159" spans="1:28">
      <c r="A159" s="15" t="s">
        <v>133</v>
      </c>
      <c r="B159" s="15" t="s">
        <v>121</v>
      </c>
      <c r="C159" s="15" t="s">
        <v>118</v>
      </c>
      <c r="D159" s="16">
        <v>0.27921092564491701</v>
      </c>
      <c r="E159" s="16">
        <v>0.329113924050633</v>
      </c>
      <c r="F159" s="16">
        <v>0.16170212765957501</v>
      </c>
      <c r="G159" s="16">
        <v>0.28691983122362902</v>
      </c>
      <c r="H159" s="16">
        <v>0.20220629850911101</v>
      </c>
      <c r="I159" s="16">
        <v>0.29855139110252799</v>
      </c>
      <c r="J159" s="16">
        <v>0.75072143540610503</v>
      </c>
      <c r="K159" s="16">
        <v>0.72496374587780099</v>
      </c>
      <c r="L159" s="16">
        <v>0.86767431543683204</v>
      </c>
      <c r="M159" s="16">
        <v>0.39917695473251003</v>
      </c>
      <c r="N159" s="16">
        <v>0.46218487394958002</v>
      </c>
      <c r="O159" s="16">
        <v>1</v>
      </c>
      <c r="P159" s="17">
        <f t="shared" si="22"/>
        <v>0.25961741636506552</v>
      </c>
      <c r="Q159" s="17">
        <f t="shared" si="23"/>
        <v>0.78111983224024595</v>
      </c>
      <c r="R159" s="17">
        <f t="shared" si="24"/>
        <v>0.62045394289403</v>
      </c>
      <c r="S159" s="17">
        <f>'02_지표정의'!$C$22*P159+'02_지표정의'!$C$23*Q159+'02_지표정의'!$C$24*R159</f>
        <v>0.62058628779403424</v>
      </c>
      <c r="T159" s="5">
        <f t="shared" si="25"/>
        <v>0</v>
      </c>
      <c r="U159" s="5" t="str">
        <f t="shared" si="26"/>
        <v>특허</v>
      </c>
      <c r="V159" s="18">
        <f t="shared" si="27"/>
        <v>490</v>
      </c>
      <c r="W159" s="5">
        <f t="shared" si="28"/>
        <v>395</v>
      </c>
      <c r="X159" s="5">
        <f t="shared" si="29"/>
        <v>0</v>
      </c>
      <c r="Y159" s="5">
        <f t="shared" si="30"/>
        <v>369</v>
      </c>
      <c r="Z159" s="19">
        <f t="shared" si="31"/>
        <v>50</v>
      </c>
      <c r="AA159" s="20">
        <f>ABS(S159-SUMPRODUCT(('05B_가정검정'!$A$5:$A$19=B159)*('05B_가정검정'!$B$5:$B$19=C159)*'05B_가정검정'!$E$5:$E$19))</f>
        <v>2.2006797627065811E-2</v>
      </c>
      <c r="AB159" s="20">
        <f t="shared" si="32"/>
        <v>4.1187213267220968E-2</v>
      </c>
    </row>
    <row r="160" spans="1:28">
      <c r="A160" s="15" t="s">
        <v>133</v>
      </c>
      <c r="B160" s="15" t="s">
        <v>121</v>
      </c>
      <c r="C160" s="15" t="s">
        <v>119</v>
      </c>
      <c r="D160" s="16">
        <v>0.30527817403709001</v>
      </c>
      <c r="E160" s="16">
        <v>0.46857142857142903</v>
      </c>
      <c r="F160" s="16">
        <v>0.26589595375722602</v>
      </c>
      <c r="G160" s="16">
        <v>0.41142857142857098</v>
      </c>
      <c r="H160" s="16">
        <v>0.36033968967622199</v>
      </c>
      <c r="I160" s="16">
        <v>0.41087974911616498</v>
      </c>
      <c r="J160" s="16">
        <v>0.78142771132560596</v>
      </c>
      <c r="K160" s="16">
        <v>0.76264321562235704</v>
      </c>
      <c r="L160" s="16">
        <v>0.88685559285812099</v>
      </c>
      <c r="M160" s="16">
        <v>0.43891402714932098</v>
      </c>
      <c r="N160" s="16">
        <v>0.46610169491525399</v>
      </c>
      <c r="O160" s="16">
        <v>1</v>
      </c>
      <c r="P160" s="17">
        <f t="shared" si="22"/>
        <v>0.37039892776445055</v>
      </c>
      <c r="Q160" s="17">
        <f t="shared" si="23"/>
        <v>0.81030883993536129</v>
      </c>
      <c r="R160" s="17">
        <f t="shared" si="24"/>
        <v>0.63500524068819164</v>
      </c>
      <c r="S160" s="17">
        <f>'02_지표정의'!$C$22*P160+'02_지표정의'!$C$23*Q160+'02_지표정의'!$C$24*R160</f>
        <v>0.66097059776466982</v>
      </c>
      <c r="T160" s="5">
        <f t="shared" si="25"/>
        <v>0</v>
      </c>
      <c r="U160" s="5" t="str">
        <f t="shared" si="26"/>
        <v>특허</v>
      </c>
      <c r="V160" s="18">
        <f t="shared" si="27"/>
        <v>677</v>
      </c>
      <c r="W160" s="5">
        <f t="shared" si="28"/>
        <v>0</v>
      </c>
      <c r="X160" s="5">
        <f t="shared" si="29"/>
        <v>358</v>
      </c>
      <c r="Y160" s="5">
        <f t="shared" si="30"/>
        <v>500</v>
      </c>
      <c r="Z160" s="19">
        <f t="shared" si="31"/>
        <v>17</v>
      </c>
      <c r="AA160" s="20">
        <f>ABS(S160-SUMPRODUCT(('05B_가정검정'!$A$5:$A$19=B160)*('05B_가정검정'!$B$5:$B$19=C160)*'05B_가정검정'!$E$5:$E$19))</f>
        <v>3.1349245031183859E-2</v>
      </c>
      <c r="AB160" s="20">
        <f t="shared" si="32"/>
        <v>-2.7266377654941221E-2</v>
      </c>
    </row>
    <row r="161" spans="1:28">
      <c r="A161" s="15" t="s">
        <v>133</v>
      </c>
      <c r="B161" s="15" t="s">
        <v>122</v>
      </c>
      <c r="C161" s="15" t="s">
        <v>117</v>
      </c>
      <c r="D161" s="16">
        <v>0.25063938618925802</v>
      </c>
      <c r="E161" s="16">
        <v>0.39</v>
      </c>
      <c r="F161" s="16">
        <v>0.18181818181818199</v>
      </c>
      <c r="G161" s="16">
        <v>0.34</v>
      </c>
      <c r="H161" s="16">
        <v>0.26058974249467198</v>
      </c>
      <c r="I161" s="16">
        <v>0.16431880081278999</v>
      </c>
      <c r="J161" s="16">
        <v>0.71627166510165596</v>
      </c>
      <c r="K161" s="16">
        <v>0.652786464786831</v>
      </c>
      <c r="L161" s="16">
        <v>0.83498896899361896</v>
      </c>
      <c r="M161" s="16">
        <v>0.65925925925925899</v>
      </c>
      <c r="N161" s="16">
        <v>0.66216216216216195</v>
      </c>
      <c r="O161" s="16">
        <v>1</v>
      </c>
      <c r="P161" s="17">
        <f t="shared" si="22"/>
        <v>0.26456101855248365</v>
      </c>
      <c r="Q161" s="17">
        <f t="shared" si="23"/>
        <v>0.73468236629403538</v>
      </c>
      <c r="R161" s="17">
        <f t="shared" si="24"/>
        <v>0.77380714047380694</v>
      </c>
      <c r="S161" s="17">
        <f>'02_지표정의'!$C$22*P161+'02_지표정의'!$C$23*Q161+'02_지표정의'!$C$24*R161</f>
        <v>0.65435176770864512</v>
      </c>
      <c r="T161" s="5">
        <f t="shared" si="25"/>
        <v>0</v>
      </c>
      <c r="U161" s="5" t="str">
        <f t="shared" si="26"/>
        <v>특허</v>
      </c>
      <c r="V161" s="18">
        <f t="shared" si="27"/>
        <v>640</v>
      </c>
      <c r="W161" s="5">
        <f t="shared" si="28"/>
        <v>483</v>
      </c>
      <c r="X161" s="5">
        <f t="shared" si="29"/>
        <v>322</v>
      </c>
      <c r="Y161" s="5">
        <f t="shared" si="30"/>
        <v>0</v>
      </c>
      <c r="Z161" s="19">
        <f t="shared" si="31"/>
        <v>45</v>
      </c>
      <c r="AA161" s="20">
        <f>ABS(S161-SUMPRODUCT(('05B_가정검정'!$A$5:$A$19=B161)*('05B_가정검정'!$B$5:$B$19=C161)*'05B_가정검정'!$E$5:$E$19))</f>
        <v>1.4998812999966638E-2</v>
      </c>
      <c r="AB161" s="20">
        <f t="shared" si="32"/>
        <v>3.147014551899896E-2</v>
      </c>
    </row>
    <row r="162" spans="1:28">
      <c r="A162" s="15" t="s">
        <v>133</v>
      </c>
      <c r="B162" s="15" t="s">
        <v>122</v>
      </c>
      <c r="C162" s="15" t="s">
        <v>118</v>
      </c>
      <c r="D162" s="16">
        <v>0.377668308702791</v>
      </c>
      <c r="E162" s="16">
        <v>0.34959349593495898</v>
      </c>
      <c r="F162" s="16">
        <v>0.19672131147541</v>
      </c>
      <c r="G162" s="16">
        <v>0.30081300813008099</v>
      </c>
      <c r="H162" s="16">
        <v>0.213411983911169</v>
      </c>
      <c r="I162" s="16">
        <v>0.33407872104818598</v>
      </c>
      <c r="J162" s="16">
        <v>0.74554180012999305</v>
      </c>
      <c r="K162" s="16">
        <v>0.76128276829102504</v>
      </c>
      <c r="L162" s="16">
        <v>0.88596795934911499</v>
      </c>
      <c r="M162" s="16">
        <v>0.44444444444444398</v>
      </c>
      <c r="N162" s="16">
        <v>0.33613445378151302</v>
      </c>
      <c r="O162" s="16">
        <v>1</v>
      </c>
      <c r="P162" s="17">
        <f t="shared" si="22"/>
        <v>0.29538113820043266</v>
      </c>
      <c r="Q162" s="17">
        <f t="shared" si="23"/>
        <v>0.79759750925671113</v>
      </c>
      <c r="R162" s="17">
        <f t="shared" si="24"/>
        <v>0.59352629940865231</v>
      </c>
      <c r="S162" s="17">
        <f>'02_지표정의'!$C$22*P162+'02_지표정의'!$C$23*Q162+'02_지표정의'!$C$24*R162</f>
        <v>0.62572931159863487</v>
      </c>
      <c r="T162" s="5">
        <f t="shared" si="25"/>
        <v>1</v>
      </c>
      <c r="U162" s="5" t="str">
        <f t="shared" si="26"/>
        <v>특허</v>
      </c>
      <c r="V162" s="18">
        <f t="shared" si="27"/>
        <v>511</v>
      </c>
      <c r="W162" s="5">
        <f t="shared" si="28"/>
        <v>413</v>
      </c>
      <c r="X162" s="5">
        <f t="shared" si="29"/>
        <v>0</v>
      </c>
      <c r="Y162" s="5">
        <f t="shared" si="30"/>
        <v>385</v>
      </c>
      <c r="Z162" s="19">
        <f t="shared" si="31"/>
        <v>52</v>
      </c>
      <c r="AA162" s="20">
        <f>ABS(S162-SUMPRODUCT(('05B_가정검정'!$A$5:$A$19=B162)*('05B_가정검정'!$B$5:$B$19=C162)*'05B_가정검정'!$E$5:$E$19))</f>
        <v>3.8807375601476624E-2</v>
      </c>
      <c r="AB162" s="20">
        <f t="shared" si="32"/>
        <v>4.4506035380951103E-2</v>
      </c>
    </row>
    <row r="163" spans="1:28">
      <c r="A163" s="15" t="s">
        <v>133</v>
      </c>
      <c r="B163" s="15" t="s">
        <v>122</v>
      </c>
      <c r="C163" s="15" t="s">
        <v>119</v>
      </c>
      <c r="D163" s="16">
        <v>0.27035330261136697</v>
      </c>
      <c r="E163" s="16">
        <v>0.5</v>
      </c>
      <c r="F163" s="16">
        <v>0.30769230769230799</v>
      </c>
      <c r="G163" s="16">
        <v>0.45652173913043498</v>
      </c>
      <c r="H163" s="16">
        <v>0.31457701009086603</v>
      </c>
      <c r="I163" s="16">
        <v>0.331986557048769</v>
      </c>
      <c r="J163" s="16">
        <v>0.74785024866960803</v>
      </c>
      <c r="K163" s="16">
        <v>0.67390418433500898</v>
      </c>
      <c r="L163" s="16">
        <v>0.855555102598621</v>
      </c>
      <c r="M163" s="16">
        <v>0.46606334841628999</v>
      </c>
      <c r="N163" s="16">
        <v>0.42372881355932202</v>
      </c>
      <c r="O163" s="16">
        <v>1</v>
      </c>
      <c r="P163" s="17">
        <f t="shared" si="22"/>
        <v>0.3635218194289575</v>
      </c>
      <c r="Q163" s="17">
        <f t="shared" si="23"/>
        <v>0.75910317853441267</v>
      </c>
      <c r="R163" s="17">
        <f t="shared" si="24"/>
        <v>0.62993072065853728</v>
      </c>
      <c r="S163" s="17">
        <f>'02_지표정의'!$C$22*P163+'02_지표정의'!$C$23*Q163+'02_지표정의'!$C$24*R163</f>
        <v>0.63477654645676518</v>
      </c>
      <c r="T163" s="5">
        <f t="shared" si="25"/>
        <v>0</v>
      </c>
      <c r="U163" s="5" t="str">
        <f t="shared" si="26"/>
        <v>특허</v>
      </c>
      <c r="V163" s="18">
        <f t="shared" si="27"/>
        <v>553</v>
      </c>
      <c r="W163" s="5">
        <f t="shared" si="28"/>
        <v>0</v>
      </c>
      <c r="X163" s="5">
        <f t="shared" si="29"/>
        <v>255</v>
      </c>
      <c r="Y163" s="5">
        <f t="shared" si="30"/>
        <v>417</v>
      </c>
      <c r="Z163" s="19">
        <f t="shared" si="31"/>
        <v>31</v>
      </c>
      <c r="AA163" s="20">
        <f>ABS(S163-SUMPRODUCT(('05B_가정검정'!$A$5:$A$19=B163)*('05B_가정검정'!$B$5:$B$19=C163)*'05B_가정검정'!$E$5:$E$19))</f>
        <v>8.2964144468622436E-4</v>
      </c>
      <c r="AB163" s="20">
        <f t="shared" si="32"/>
        <v>3.3876801418791791E-3</v>
      </c>
    </row>
    <row r="164" spans="1:28">
      <c r="A164" s="15" t="s">
        <v>133</v>
      </c>
      <c r="B164" s="15" t="s">
        <v>123</v>
      </c>
      <c r="C164" s="15" t="s">
        <v>117</v>
      </c>
      <c r="D164" s="16">
        <v>0.255458515283843</v>
      </c>
      <c r="E164" s="16">
        <v>0.39301310043668097</v>
      </c>
      <c r="F164" s="16">
        <v>0.167400881057269</v>
      </c>
      <c r="G164" s="16">
        <v>0.32314410480349298</v>
      </c>
      <c r="H164" s="16">
        <v>0.34872417887338902</v>
      </c>
      <c r="I164" s="16">
        <v>0.217918005736181</v>
      </c>
      <c r="J164" s="16">
        <v>0.69637348462175397</v>
      </c>
      <c r="K164" s="16">
        <v>0.65636082857149602</v>
      </c>
      <c r="L164" s="16">
        <v>0.85810513598521398</v>
      </c>
      <c r="M164" s="16">
        <v>0.90654205607476601</v>
      </c>
      <c r="N164" s="16">
        <v>0.91666666666666696</v>
      </c>
      <c r="O164" s="16">
        <v>1</v>
      </c>
      <c r="P164" s="17">
        <f t="shared" si="22"/>
        <v>0.28427646436514264</v>
      </c>
      <c r="Q164" s="17">
        <f t="shared" si="23"/>
        <v>0.73694648305948796</v>
      </c>
      <c r="R164" s="17">
        <f t="shared" si="24"/>
        <v>0.94106957424714432</v>
      </c>
      <c r="S164" s="17">
        <f>'02_지표정의'!$C$22*P164+'02_지표정의'!$C$23*Q164+'02_지표정의'!$C$24*R164</f>
        <v>0.71785556123629868</v>
      </c>
      <c r="T164" s="5">
        <f t="shared" si="25"/>
        <v>0</v>
      </c>
      <c r="U164" s="5" t="str">
        <f t="shared" si="26"/>
        <v>특허</v>
      </c>
      <c r="V164" s="18">
        <f t="shared" si="27"/>
        <v>870</v>
      </c>
      <c r="W164" s="5">
        <f t="shared" si="28"/>
        <v>579</v>
      </c>
      <c r="X164" s="5">
        <f t="shared" si="29"/>
        <v>545</v>
      </c>
      <c r="Y164" s="5">
        <f t="shared" si="30"/>
        <v>0</v>
      </c>
      <c r="Z164" s="19">
        <f t="shared" si="31"/>
        <v>37</v>
      </c>
      <c r="AA164" s="20">
        <f>ABS(S164-SUMPRODUCT(('05B_가정검정'!$A$5:$A$19=B164)*('05B_가정검정'!$B$5:$B$19=C164)*'05B_가정검정'!$E$5:$E$19))</f>
        <v>2.9326784600749445E-3</v>
      </c>
      <c r="AB164" s="20">
        <f t="shared" si="32"/>
        <v>9.8701094250555066E-3</v>
      </c>
    </row>
    <row r="165" spans="1:28">
      <c r="A165" s="15" t="s">
        <v>133</v>
      </c>
      <c r="B165" s="15" t="s">
        <v>123</v>
      </c>
      <c r="C165" s="15" t="s">
        <v>118</v>
      </c>
      <c r="D165" s="16">
        <v>0.261103633916555</v>
      </c>
      <c r="E165" s="16">
        <v>0.34181818181818202</v>
      </c>
      <c r="F165" s="16">
        <v>0.175824175824176</v>
      </c>
      <c r="G165" s="16">
        <v>0.29090909090909101</v>
      </c>
      <c r="H165" s="16">
        <v>0.228945871210229</v>
      </c>
      <c r="I165" s="16">
        <v>0.33076761230289298</v>
      </c>
      <c r="J165" s="16">
        <v>0.68818469343220501</v>
      </c>
      <c r="K165" s="16">
        <v>0.60241364511623396</v>
      </c>
      <c r="L165" s="16">
        <v>0.80233308054652497</v>
      </c>
      <c r="M165" s="16">
        <v>0.39917695473251003</v>
      </c>
      <c r="N165" s="16">
        <v>0.46218487394958002</v>
      </c>
      <c r="O165" s="16">
        <v>1</v>
      </c>
      <c r="P165" s="17">
        <f t="shared" si="22"/>
        <v>0.27156142766352098</v>
      </c>
      <c r="Q165" s="17">
        <f t="shared" si="23"/>
        <v>0.69764380636498802</v>
      </c>
      <c r="R165" s="17">
        <f t="shared" si="24"/>
        <v>0.62045394289403</v>
      </c>
      <c r="S165" s="17">
        <f>'02_지표정의'!$C$22*P165+'02_지표정의'!$C$23*Q165+'02_지표정의'!$C$24*R165</f>
        <v>0.58541087840985928</v>
      </c>
      <c r="T165" s="5">
        <f t="shared" si="25"/>
        <v>0</v>
      </c>
      <c r="U165" s="5" t="str">
        <f t="shared" si="26"/>
        <v>특허</v>
      </c>
      <c r="V165" s="18">
        <f t="shared" si="27"/>
        <v>338</v>
      </c>
      <c r="W165" s="5">
        <f t="shared" si="28"/>
        <v>276</v>
      </c>
      <c r="X165" s="5">
        <f t="shared" si="29"/>
        <v>0</v>
      </c>
      <c r="Y165" s="5">
        <f t="shared" si="30"/>
        <v>255</v>
      </c>
      <c r="Z165" s="19">
        <f t="shared" si="31"/>
        <v>38</v>
      </c>
      <c r="AA165" s="20">
        <f>ABS(S165-SUMPRODUCT(('05B_가정검정'!$A$5:$A$19=B165)*('05B_가정검정'!$B$5:$B$19=C165)*'05B_가정검정'!$E$5:$E$19))</f>
        <v>1.0112051530889565E-2</v>
      </c>
      <c r="AB165" s="20">
        <f t="shared" si="32"/>
        <v>2.5539270485368193E-2</v>
      </c>
    </row>
    <row r="166" spans="1:28">
      <c r="A166" s="15" t="s">
        <v>133</v>
      </c>
      <c r="B166" s="15" t="s">
        <v>123</v>
      </c>
      <c r="C166" s="15" t="s">
        <v>119</v>
      </c>
      <c r="D166" s="16">
        <v>0.27770700636942702</v>
      </c>
      <c r="E166" s="16">
        <v>0.55399061032863905</v>
      </c>
      <c r="F166" s="16">
        <v>0.28436018957345999</v>
      </c>
      <c r="G166" s="16">
        <v>0.42253521126760601</v>
      </c>
      <c r="H166" s="16">
        <v>0.426330901009977</v>
      </c>
      <c r="I166" s="16">
        <v>0.44435372902818898</v>
      </c>
      <c r="J166" s="16">
        <v>0.69056942315132397</v>
      </c>
      <c r="K166" s="16">
        <v>0.65017896815999399</v>
      </c>
      <c r="L166" s="16">
        <v>0.85867025103268402</v>
      </c>
      <c r="M166" s="16">
        <v>0.43891402714932098</v>
      </c>
      <c r="N166" s="16">
        <v>0.46610169491525399</v>
      </c>
      <c r="O166" s="16">
        <v>1</v>
      </c>
      <c r="P166" s="17">
        <f t="shared" si="22"/>
        <v>0.40154627459621633</v>
      </c>
      <c r="Q166" s="17">
        <f t="shared" si="23"/>
        <v>0.73313954744800069</v>
      </c>
      <c r="R166" s="17">
        <f t="shared" si="24"/>
        <v>0.63500524068819164</v>
      </c>
      <c r="S166" s="17">
        <f>'02_지표정의'!$C$22*P166+'02_지표정의'!$C$23*Q166+'02_지표정의'!$C$24*R166</f>
        <v>0.63247388551171069</v>
      </c>
      <c r="T166" s="5">
        <f t="shared" si="25"/>
        <v>1</v>
      </c>
      <c r="U166" s="5" t="str">
        <f t="shared" si="26"/>
        <v>특허</v>
      </c>
      <c r="V166" s="18">
        <f t="shared" si="27"/>
        <v>542</v>
      </c>
      <c r="W166" s="5">
        <f t="shared" si="28"/>
        <v>0</v>
      </c>
      <c r="X166" s="5">
        <f t="shared" si="29"/>
        <v>245</v>
      </c>
      <c r="Y166" s="5">
        <f t="shared" si="30"/>
        <v>408</v>
      </c>
      <c r="Z166" s="19">
        <f t="shared" si="31"/>
        <v>5</v>
      </c>
      <c r="AA166" s="20">
        <f>ABS(S166-SUMPRODUCT(('05B_가정검정'!$A$5:$A$19=B166)*('05B_가정검정'!$B$5:$B$19=C166)*'05B_가정검정'!$E$5:$E$19))</f>
        <v>5.3155911812516665E-2</v>
      </c>
      <c r="AB166" s="20">
        <f t="shared" si="32"/>
        <v>-4.9944847533291092E-2</v>
      </c>
    </row>
    <row r="167" spans="1:28">
      <c r="A167" s="15" t="s">
        <v>134</v>
      </c>
      <c r="B167" s="15" t="s">
        <v>116</v>
      </c>
      <c r="C167" s="15" t="s">
        <v>117</v>
      </c>
      <c r="D167" s="16">
        <v>0.219584569732938</v>
      </c>
      <c r="E167" s="16">
        <v>0.31182795698924698</v>
      </c>
      <c r="F167" s="16">
        <v>0.141304347826087</v>
      </c>
      <c r="G167" s="16">
        <v>0.27956989247311798</v>
      </c>
      <c r="H167" s="16">
        <v>0.23345030244048201</v>
      </c>
      <c r="I167" s="16">
        <v>0.275523023490648</v>
      </c>
      <c r="J167" s="16">
        <v>0.72395372046567796</v>
      </c>
      <c r="K167" s="16">
        <v>0.68253315083638599</v>
      </c>
      <c r="L167" s="16">
        <v>0.84510401913720301</v>
      </c>
      <c r="M167" s="16">
        <v>0.56291390728476798</v>
      </c>
      <c r="N167" s="16">
        <v>0.23170731707317099</v>
      </c>
      <c r="O167" s="16">
        <v>1</v>
      </c>
      <c r="P167" s="17">
        <f t="shared" si="22"/>
        <v>0.24354334882541998</v>
      </c>
      <c r="Q167" s="17">
        <f t="shared" si="23"/>
        <v>0.75053029681308903</v>
      </c>
      <c r="R167" s="17">
        <f t="shared" si="24"/>
        <v>0.59820707478597968</v>
      </c>
      <c r="S167" s="17">
        <f>'02_지표정의'!$C$22*P167+'02_지표정의'!$C$23*Q167+'02_지표정의'!$C$24*R167</f>
        <v>0.5958197795060669</v>
      </c>
      <c r="T167" s="5">
        <f t="shared" si="25"/>
        <v>0</v>
      </c>
      <c r="U167" s="5" t="str">
        <f t="shared" si="26"/>
        <v>특허</v>
      </c>
      <c r="V167" s="18">
        <f t="shared" si="27"/>
        <v>375</v>
      </c>
      <c r="W167" s="5">
        <f t="shared" si="28"/>
        <v>303</v>
      </c>
      <c r="X167" s="5">
        <f t="shared" si="29"/>
        <v>159</v>
      </c>
      <c r="Y167" s="5">
        <f t="shared" si="30"/>
        <v>0</v>
      </c>
      <c r="Z167" s="19">
        <f t="shared" si="31"/>
        <v>64</v>
      </c>
      <c r="AA167" s="20">
        <f>ABS(S167-SUMPRODUCT(('05B_가정검정'!$A$5:$A$19=B167)*('05B_가정검정'!$B$5:$B$19=C167)*'05B_가정검정'!$E$5:$E$19))</f>
        <v>3.841607452109963E-2</v>
      </c>
      <c r="AB167" s="20">
        <f t="shared" si="32"/>
        <v>4.3268614093443514E-2</v>
      </c>
    </row>
    <row r="168" spans="1:28">
      <c r="A168" s="15" t="s">
        <v>134</v>
      </c>
      <c r="B168" s="15" t="s">
        <v>116</v>
      </c>
      <c r="C168" s="15" t="s">
        <v>118</v>
      </c>
      <c r="D168" s="16">
        <v>0.30707070707070699</v>
      </c>
      <c r="E168" s="16">
        <v>0.26720647773279399</v>
      </c>
      <c r="F168" s="16">
        <v>0.114285714285714</v>
      </c>
      <c r="G168" s="16">
        <v>0.20242914979757101</v>
      </c>
      <c r="H168" s="16">
        <v>0.184408598857383</v>
      </c>
      <c r="I168" s="16">
        <v>0.35724853253775901</v>
      </c>
      <c r="J168" s="16">
        <v>0.74910511512726097</v>
      </c>
      <c r="K168" s="16">
        <v>0.72146032267578197</v>
      </c>
      <c r="L168" s="16">
        <v>0.86125271627437405</v>
      </c>
      <c r="M168" s="16">
        <v>0.42857142857142899</v>
      </c>
      <c r="N168" s="16">
        <v>2.6548672566371698E-2</v>
      </c>
      <c r="O168" s="16">
        <v>1</v>
      </c>
      <c r="P168" s="17">
        <f t="shared" si="22"/>
        <v>0.23877486338032131</v>
      </c>
      <c r="Q168" s="17">
        <f t="shared" si="23"/>
        <v>0.77727271802580555</v>
      </c>
      <c r="R168" s="17">
        <f t="shared" si="24"/>
        <v>0.48504003371260024</v>
      </c>
      <c r="S168" s="17">
        <f>'02_지표정의'!$C$22*P168+'02_지표정의'!$C$23*Q168+'02_지표정의'!$C$24*R168</f>
        <v>0.56729170758708691</v>
      </c>
      <c r="T168" s="5">
        <f t="shared" si="25"/>
        <v>0</v>
      </c>
      <c r="U168" s="5" t="str">
        <f t="shared" si="26"/>
        <v>특허</v>
      </c>
      <c r="V168" s="18">
        <f t="shared" si="27"/>
        <v>274</v>
      </c>
      <c r="W168" s="5">
        <f t="shared" si="28"/>
        <v>222</v>
      </c>
      <c r="X168" s="5">
        <f t="shared" si="29"/>
        <v>0</v>
      </c>
      <c r="Y168" s="5">
        <f t="shared" si="30"/>
        <v>219</v>
      </c>
      <c r="Z168" s="19">
        <f t="shared" si="31"/>
        <v>55</v>
      </c>
      <c r="AA168" s="20">
        <f>ABS(S168-SUMPRODUCT(('05B_가정검정'!$A$5:$A$19=B168)*('05B_가정검정'!$B$5:$B$19=C168)*'05B_가정검정'!$E$5:$E$19))</f>
        <v>3.5999285885365273E-2</v>
      </c>
      <c r="AB168" s="20">
        <f t="shared" si="32"/>
        <v>3.9742675208500611E-2</v>
      </c>
    </row>
    <row r="169" spans="1:28">
      <c r="A169" s="15" t="s">
        <v>134</v>
      </c>
      <c r="B169" s="15" t="s">
        <v>116</v>
      </c>
      <c r="C169" s="15" t="s">
        <v>119</v>
      </c>
      <c r="D169" s="16">
        <v>0.28089887640449401</v>
      </c>
      <c r="E169" s="16">
        <v>0.48484848484848497</v>
      </c>
      <c r="F169" s="16">
        <v>0.27692307692307699</v>
      </c>
      <c r="G169" s="16">
        <v>0.42424242424242398</v>
      </c>
      <c r="H169" s="16">
        <v>0.31585515171820699</v>
      </c>
      <c r="I169" s="16">
        <v>0.50626302824497604</v>
      </c>
      <c r="J169" s="16">
        <v>0.76936041957849999</v>
      </c>
      <c r="K169" s="16">
        <v>0.70475236120180895</v>
      </c>
      <c r="L169" s="16">
        <v>0.85069351174539198</v>
      </c>
      <c r="M169" s="16">
        <v>0.56291390728476798</v>
      </c>
      <c r="N169" s="16">
        <v>0.23170731707317099</v>
      </c>
      <c r="O169" s="16">
        <v>1</v>
      </c>
      <c r="P169" s="17">
        <f t="shared" si="22"/>
        <v>0.3815051737302772</v>
      </c>
      <c r="Q169" s="17">
        <f t="shared" si="23"/>
        <v>0.77493543084190042</v>
      </c>
      <c r="R169" s="17">
        <f t="shared" si="24"/>
        <v>0.59820707478597968</v>
      </c>
      <c r="S169" s="17">
        <f>'02_지표정의'!$C$22*P169+'02_지표정의'!$C$23*Q169+'02_지표정의'!$C$24*R169</f>
        <v>0.63439445480000356</v>
      </c>
      <c r="T169" s="5">
        <f t="shared" si="25"/>
        <v>0</v>
      </c>
      <c r="U169" s="5" t="str">
        <f t="shared" si="26"/>
        <v>특허</v>
      </c>
      <c r="V169" s="18">
        <f t="shared" si="27"/>
        <v>550</v>
      </c>
      <c r="W169" s="5">
        <f t="shared" si="28"/>
        <v>0</v>
      </c>
      <c r="X169" s="5">
        <f t="shared" si="29"/>
        <v>253</v>
      </c>
      <c r="Y169" s="5">
        <f t="shared" si="30"/>
        <v>415</v>
      </c>
      <c r="Z169" s="19">
        <f t="shared" si="31"/>
        <v>65</v>
      </c>
      <c r="AA169" s="20">
        <f>ABS(S169-SUMPRODUCT(('05B_가정검정'!$A$5:$A$19=B169)*('05B_가정검정'!$B$5:$B$19=C169)*'05B_가정검정'!$E$5:$E$19))</f>
        <v>8.1370938057220954E-2</v>
      </c>
      <c r="AB169" s="20">
        <f t="shared" si="32"/>
        <v>7.7941971123823506E-2</v>
      </c>
    </row>
    <row r="170" spans="1:28">
      <c r="A170" s="15" t="s">
        <v>134</v>
      </c>
      <c r="B170" s="15" t="s">
        <v>120</v>
      </c>
      <c r="C170" s="15" t="s">
        <v>117</v>
      </c>
      <c r="D170" s="16">
        <v>0.252611585944919</v>
      </c>
      <c r="E170" s="16">
        <v>0.28571428571428598</v>
      </c>
      <c r="F170" s="16">
        <v>0.100719424460432</v>
      </c>
      <c r="G170" s="16">
        <v>0.214285714285714</v>
      </c>
      <c r="H170" s="16">
        <v>0.29774725060989798</v>
      </c>
      <c r="I170" s="16">
        <v>0.31040858804101701</v>
      </c>
      <c r="J170" s="16">
        <v>0.69766075961895602</v>
      </c>
      <c r="K170" s="16">
        <v>0.69787219002878798</v>
      </c>
      <c r="L170" s="16">
        <v>0.86355442559317197</v>
      </c>
      <c r="M170" s="16">
        <v>0.56707317073170704</v>
      </c>
      <c r="N170" s="16">
        <v>0.52127659574468099</v>
      </c>
      <c r="O170" s="16">
        <v>1</v>
      </c>
      <c r="P170" s="17">
        <f t="shared" si="22"/>
        <v>0.24358114150937768</v>
      </c>
      <c r="Q170" s="17">
        <f t="shared" si="23"/>
        <v>0.75302912508030528</v>
      </c>
      <c r="R170" s="17">
        <f t="shared" si="24"/>
        <v>0.69611658882546268</v>
      </c>
      <c r="S170" s="17">
        <f>'02_지표정의'!$C$22*P170+'02_지표정의'!$C$23*Q170+'02_지표정의'!$C$24*R170</f>
        <v>0.63122014067692489</v>
      </c>
      <c r="T170" s="5">
        <f t="shared" si="25"/>
        <v>0</v>
      </c>
      <c r="U170" s="5" t="str">
        <f t="shared" si="26"/>
        <v>특허</v>
      </c>
      <c r="V170" s="18">
        <f t="shared" si="27"/>
        <v>532</v>
      </c>
      <c r="W170" s="5">
        <f t="shared" si="28"/>
        <v>426</v>
      </c>
      <c r="X170" s="5">
        <f t="shared" si="29"/>
        <v>237</v>
      </c>
      <c r="Y170" s="5">
        <f t="shared" si="30"/>
        <v>0</v>
      </c>
      <c r="Z170" s="19">
        <f t="shared" si="31"/>
        <v>36</v>
      </c>
      <c r="AA170" s="20">
        <f>ABS(S170-SUMPRODUCT(('05B_가정검정'!$A$5:$A$19=B170)*('05B_가정검정'!$B$5:$B$19=C170)*'05B_가정검정'!$E$5:$E$19))</f>
        <v>3.171180619803815E-3</v>
      </c>
      <c r="AB170" s="20">
        <f t="shared" si="32"/>
        <v>-8.2562747832248817E-5</v>
      </c>
    </row>
    <row r="171" spans="1:28">
      <c r="A171" s="15" t="s">
        <v>134</v>
      </c>
      <c r="B171" s="15" t="s">
        <v>120</v>
      </c>
      <c r="C171" s="15" t="s">
        <v>118</v>
      </c>
      <c r="D171" s="16">
        <v>0.258581235697941</v>
      </c>
      <c r="E171" s="16">
        <v>0.28152492668621698</v>
      </c>
      <c r="F171" s="16">
        <v>0.106194690265487</v>
      </c>
      <c r="G171" s="16">
        <v>0.22287390029325499</v>
      </c>
      <c r="H171" s="16">
        <v>0.20367204377722101</v>
      </c>
      <c r="I171" s="16">
        <v>0.38121503708364002</v>
      </c>
      <c r="J171" s="16">
        <v>0.72700103783742398</v>
      </c>
      <c r="K171" s="16">
        <v>0.68257107943362705</v>
      </c>
      <c r="L171" s="16">
        <v>0.857444749744952</v>
      </c>
      <c r="M171" s="16">
        <v>0.51948051948051899</v>
      </c>
      <c r="N171" s="16">
        <v>0.53097345132743401</v>
      </c>
      <c r="O171" s="16">
        <v>1</v>
      </c>
      <c r="P171" s="17">
        <f t="shared" si="22"/>
        <v>0.2423436389672935</v>
      </c>
      <c r="Q171" s="17">
        <f t="shared" si="23"/>
        <v>0.75567228900533434</v>
      </c>
      <c r="R171" s="17">
        <f t="shared" si="24"/>
        <v>0.68348465693598437</v>
      </c>
      <c r="S171" s="17">
        <f>'02_지표정의'!$C$22*P171+'02_지표정의'!$C$23*Q171+'02_지표정의'!$C$24*R171</f>
        <v>0.6277408877734536</v>
      </c>
      <c r="T171" s="5">
        <f t="shared" si="25"/>
        <v>0</v>
      </c>
      <c r="U171" s="5" t="str">
        <f t="shared" si="26"/>
        <v>특허</v>
      </c>
      <c r="V171" s="18">
        <f t="shared" si="27"/>
        <v>520</v>
      </c>
      <c r="W171" s="5">
        <f t="shared" si="28"/>
        <v>418</v>
      </c>
      <c r="X171" s="5">
        <f t="shared" si="29"/>
        <v>0</v>
      </c>
      <c r="Y171" s="5">
        <f t="shared" si="30"/>
        <v>393</v>
      </c>
      <c r="Z171" s="19">
        <f t="shared" si="31"/>
        <v>57</v>
      </c>
      <c r="AA171" s="20">
        <f>ABS(S171-SUMPRODUCT(('05B_가정검정'!$A$5:$A$19=B171)*('05B_가정검정'!$B$5:$B$19=C171)*'05B_가정검정'!$E$5:$E$19))</f>
        <v>3.6912039191825619E-2</v>
      </c>
      <c r="AB171" s="20">
        <f t="shared" si="32"/>
        <v>5.2850111811342804E-2</v>
      </c>
    </row>
    <row r="172" spans="1:28">
      <c r="A172" s="15" t="s">
        <v>134</v>
      </c>
      <c r="B172" s="15" t="s">
        <v>120</v>
      </c>
      <c r="C172" s="15" t="s">
        <v>119</v>
      </c>
      <c r="D172" s="16">
        <v>0.256297918948521</v>
      </c>
      <c r="E172" s="16">
        <v>0.38053097345132703</v>
      </c>
      <c r="F172" s="16">
        <v>0.160714285714286</v>
      </c>
      <c r="G172" s="16">
        <v>0.30973451327433599</v>
      </c>
      <c r="H172" s="16">
        <v>0.227479557397025</v>
      </c>
      <c r="I172" s="16">
        <v>0.54268036271322795</v>
      </c>
      <c r="J172" s="16">
        <v>0.72436505035244703</v>
      </c>
      <c r="K172" s="16">
        <v>0.69160471523226597</v>
      </c>
      <c r="L172" s="16">
        <v>0.88051616638447205</v>
      </c>
      <c r="M172" s="16">
        <v>0.56707317073170704</v>
      </c>
      <c r="N172" s="16">
        <v>0.52127659574468099</v>
      </c>
      <c r="O172" s="16">
        <v>1</v>
      </c>
      <c r="P172" s="17">
        <f t="shared" si="22"/>
        <v>0.31290626858312048</v>
      </c>
      <c r="Q172" s="17">
        <f t="shared" si="23"/>
        <v>0.76549531065639498</v>
      </c>
      <c r="R172" s="17">
        <f t="shared" si="24"/>
        <v>0.69611658882546268</v>
      </c>
      <c r="S172" s="17">
        <f>'02_지표정의'!$C$22*P172+'02_지표정의'!$C$23*Q172+'02_지표정의'!$C$24*R172</f>
        <v>0.65069494960091379</v>
      </c>
      <c r="T172" s="5">
        <f t="shared" si="25"/>
        <v>0</v>
      </c>
      <c r="U172" s="5" t="str">
        <f t="shared" si="26"/>
        <v>특허</v>
      </c>
      <c r="V172" s="18">
        <f t="shared" si="27"/>
        <v>621</v>
      </c>
      <c r="W172" s="5">
        <f t="shared" si="28"/>
        <v>0</v>
      </c>
      <c r="X172" s="5">
        <f t="shared" si="29"/>
        <v>307</v>
      </c>
      <c r="Y172" s="5">
        <f t="shared" si="30"/>
        <v>464</v>
      </c>
      <c r="Z172" s="19">
        <f t="shared" si="31"/>
        <v>23</v>
      </c>
      <c r="AA172" s="20">
        <f>ABS(S172-SUMPRODUCT(('05B_가정검정'!$A$5:$A$19=B172)*('05B_가정검정'!$B$5:$B$19=C172)*'05B_가정검정'!$E$5:$E$19))</f>
        <v>1.2982366880472496E-2</v>
      </c>
      <c r="AB172" s="20">
        <f t="shared" si="32"/>
        <v>-7.7280579099018309E-3</v>
      </c>
    </row>
    <row r="173" spans="1:28">
      <c r="A173" s="15" t="s">
        <v>134</v>
      </c>
      <c r="B173" s="15" t="s">
        <v>121</v>
      </c>
      <c r="C173" s="15" t="s">
        <v>117</v>
      </c>
      <c r="D173" s="16">
        <v>0.25608194622279101</v>
      </c>
      <c r="E173" s="16">
        <v>0.34825870646766199</v>
      </c>
      <c r="F173" s="16">
        <v>0.120603015075377</v>
      </c>
      <c r="G173" s="16">
        <v>0.238805970149254</v>
      </c>
      <c r="H173" s="16">
        <v>0.32910926475902502</v>
      </c>
      <c r="I173" s="16">
        <v>0.294871194991986</v>
      </c>
      <c r="J173" s="16">
        <v>0.74564680433375397</v>
      </c>
      <c r="K173" s="16">
        <v>0.84529563693261101</v>
      </c>
      <c r="L173" s="16">
        <v>0.93280741731413397</v>
      </c>
      <c r="M173" s="16">
        <v>0.88990825688073405</v>
      </c>
      <c r="N173" s="16">
        <v>0.90163934426229497</v>
      </c>
      <c r="O173" s="16">
        <v>1</v>
      </c>
      <c r="P173" s="17">
        <f t="shared" si="22"/>
        <v>0.26462168294434918</v>
      </c>
      <c r="Q173" s="17">
        <f t="shared" si="23"/>
        <v>0.84124995286016624</v>
      </c>
      <c r="R173" s="17">
        <f t="shared" si="24"/>
        <v>0.93051586704767641</v>
      </c>
      <c r="S173" s="17">
        <f>'02_지표정의'!$C$22*P173+'02_지표정의'!$C$23*Q173+'02_지표정의'!$C$24*R173</f>
        <v>0.75716736884263147</v>
      </c>
      <c r="T173" s="5">
        <f t="shared" si="25"/>
        <v>1</v>
      </c>
      <c r="U173" s="5" t="str">
        <f t="shared" si="26"/>
        <v>특허</v>
      </c>
      <c r="V173" s="18">
        <f t="shared" si="27"/>
        <v>962</v>
      </c>
      <c r="W173" s="5">
        <f t="shared" si="28"/>
        <v>650</v>
      </c>
      <c r="X173" s="5">
        <f t="shared" si="29"/>
        <v>637</v>
      </c>
      <c r="Y173" s="5">
        <f t="shared" si="30"/>
        <v>0</v>
      </c>
      <c r="Z173" s="19">
        <f t="shared" si="31"/>
        <v>65</v>
      </c>
      <c r="AA173" s="20">
        <f>ABS(S173-SUMPRODUCT(('05B_가정검정'!$A$5:$A$19=B173)*('05B_가정검정'!$B$5:$B$19=C173)*'05B_가정검정'!$E$5:$E$19))</f>
        <v>2.7735297460750319E-2</v>
      </c>
      <c r="AB173" s="20">
        <f t="shared" si="32"/>
        <v>3.9515575769750511E-2</v>
      </c>
    </row>
    <row r="174" spans="1:28">
      <c r="A174" s="15" t="s">
        <v>134</v>
      </c>
      <c r="B174" s="15" t="s">
        <v>121</v>
      </c>
      <c r="C174" s="15" t="s">
        <v>118</v>
      </c>
      <c r="D174" s="16">
        <v>0.25249169435216001</v>
      </c>
      <c r="E174" s="16">
        <v>0.25954198473282403</v>
      </c>
      <c r="F174" s="16">
        <v>0.107692307692308</v>
      </c>
      <c r="G174" s="16">
        <v>0.19847328244274801</v>
      </c>
      <c r="H174" s="16">
        <v>0.23121355063742299</v>
      </c>
      <c r="I174" s="16">
        <v>0.33767210133929998</v>
      </c>
      <c r="J174" s="16">
        <v>0.75676273611369105</v>
      </c>
      <c r="K174" s="16">
        <v>0.80767045653564695</v>
      </c>
      <c r="L174" s="16">
        <v>0.91392682049392904</v>
      </c>
      <c r="M174" s="16">
        <v>0.41991341991342002</v>
      </c>
      <c r="N174" s="16">
        <v>0.48672566371681403</v>
      </c>
      <c r="O174" s="16">
        <v>1</v>
      </c>
      <c r="P174" s="17">
        <f t="shared" si="22"/>
        <v>0.23118082019946051</v>
      </c>
      <c r="Q174" s="17">
        <f t="shared" si="23"/>
        <v>0.82612000438108912</v>
      </c>
      <c r="R174" s="17">
        <f t="shared" si="24"/>
        <v>0.63554636121007801</v>
      </c>
      <c r="S174" s="17">
        <f>'02_지표정의'!$C$22*P174+'02_지표정의'!$C$23*Q174+'02_지표정의'!$C$24*R174</f>
        <v>0.64043139243490954</v>
      </c>
      <c r="T174" s="5">
        <f t="shared" si="25"/>
        <v>0</v>
      </c>
      <c r="U174" s="5" t="str">
        <f t="shared" si="26"/>
        <v>특허</v>
      </c>
      <c r="V174" s="18">
        <f t="shared" si="27"/>
        <v>577</v>
      </c>
      <c r="W174" s="5">
        <f t="shared" si="28"/>
        <v>448</v>
      </c>
      <c r="X174" s="5">
        <f t="shared" si="29"/>
        <v>0</v>
      </c>
      <c r="Y174" s="5">
        <f t="shared" si="30"/>
        <v>434</v>
      </c>
      <c r="Z174" s="19">
        <f t="shared" si="31"/>
        <v>61</v>
      </c>
      <c r="AA174" s="20">
        <f>ABS(S174-SUMPRODUCT(('05B_가정검정'!$A$5:$A$19=B174)*('05B_가정검정'!$B$5:$B$19=C174)*'05B_가정검정'!$E$5:$E$19))</f>
        <v>4.185190226794111E-2</v>
      </c>
      <c r="AB174" s="20">
        <f t="shared" si="32"/>
        <v>6.1032317908096267E-2</v>
      </c>
    </row>
    <row r="175" spans="1:28">
      <c r="A175" s="15" t="s">
        <v>134</v>
      </c>
      <c r="B175" s="15" t="s">
        <v>121</v>
      </c>
      <c r="C175" s="15" t="s">
        <v>119</v>
      </c>
      <c r="D175" s="16">
        <v>0.29017160686427501</v>
      </c>
      <c r="E175" s="16">
        <v>0.51700680272108901</v>
      </c>
      <c r="F175" s="16">
        <v>0.26206896551724101</v>
      </c>
      <c r="G175" s="16">
        <v>0.39455782312925203</v>
      </c>
      <c r="H175" s="16">
        <v>0.43109527646158502</v>
      </c>
      <c r="I175" s="16">
        <v>0.54277989995799203</v>
      </c>
      <c r="J175" s="16">
        <v>0.79373008188114202</v>
      </c>
      <c r="K175" s="16">
        <v>0.796393704563508</v>
      </c>
      <c r="L175" s="16">
        <v>0.89192140837512202</v>
      </c>
      <c r="M175" s="16">
        <v>0.90654205607476601</v>
      </c>
      <c r="N175" s="16">
        <v>0.91666666666666696</v>
      </c>
      <c r="O175" s="16">
        <v>1</v>
      </c>
      <c r="P175" s="17">
        <f t="shared" si="22"/>
        <v>0.40628006244190562</v>
      </c>
      <c r="Q175" s="17">
        <f t="shared" si="23"/>
        <v>0.82734839827325735</v>
      </c>
      <c r="R175" s="17">
        <f t="shared" si="24"/>
        <v>0.94106957424714432</v>
      </c>
      <c r="S175" s="17">
        <f>'02_지표정의'!$C$22*P175+'02_지표정의'!$C$23*Q175+'02_지표정의'!$C$24*R175</f>
        <v>0.78293714269784742</v>
      </c>
      <c r="T175" s="5">
        <f t="shared" si="25"/>
        <v>0</v>
      </c>
      <c r="U175" s="5" t="str">
        <f t="shared" si="26"/>
        <v>특허</v>
      </c>
      <c r="V175" s="18">
        <f t="shared" si="27"/>
        <v>975</v>
      </c>
      <c r="W175" s="5">
        <f t="shared" si="28"/>
        <v>0</v>
      </c>
      <c r="X175" s="5">
        <f t="shared" si="29"/>
        <v>650</v>
      </c>
      <c r="Y175" s="5">
        <f t="shared" si="30"/>
        <v>650</v>
      </c>
      <c r="Z175" s="19">
        <f t="shared" si="31"/>
        <v>65</v>
      </c>
      <c r="AA175" s="20">
        <f>ABS(S175-SUMPRODUCT(('05B_가정검정'!$A$5:$A$19=B175)*('05B_가정검정'!$B$5:$B$19=C175)*'05B_가정검정'!$E$5:$E$19))</f>
        <v>9.0617299901993742E-2</v>
      </c>
      <c r="AB175" s="20">
        <f t="shared" si="32"/>
        <v>9.470016727823638E-2</v>
      </c>
    </row>
    <row r="176" spans="1:28">
      <c r="A176" s="15" t="s">
        <v>134</v>
      </c>
      <c r="B176" s="15" t="s">
        <v>122</v>
      </c>
      <c r="C176" s="15" t="s">
        <v>117</v>
      </c>
      <c r="D176" s="16">
        <v>0.255639097744361</v>
      </c>
      <c r="E176" s="16">
        <v>0.34482758620689702</v>
      </c>
      <c r="F176" s="16">
        <v>0.12935323383084599</v>
      </c>
      <c r="G176" s="16">
        <v>0.29556650246305399</v>
      </c>
      <c r="H176" s="16">
        <v>0.36726940859462998</v>
      </c>
      <c r="I176" s="16">
        <v>0.300702978530001</v>
      </c>
      <c r="J176" s="16">
        <v>0.69095625607963596</v>
      </c>
      <c r="K176" s="16">
        <v>0.68557498117006099</v>
      </c>
      <c r="L176" s="16">
        <v>0.85808973679635703</v>
      </c>
      <c r="M176" s="16">
        <v>0.52046783625730997</v>
      </c>
      <c r="N176" s="16">
        <v>0.56976744186046502</v>
      </c>
      <c r="O176" s="16">
        <v>1</v>
      </c>
      <c r="P176" s="17">
        <f t="shared" si="22"/>
        <v>0.28222646789496481</v>
      </c>
      <c r="Q176" s="17">
        <f t="shared" si="23"/>
        <v>0.74487365801535133</v>
      </c>
      <c r="R176" s="17">
        <f t="shared" si="24"/>
        <v>0.696745092705925</v>
      </c>
      <c r="S176" s="17">
        <f>'02_지표정의'!$C$22*P176+'02_지표정의'!$C$23*Q176+'02_지표정의'!$C$24*R176</f>
        <v>0.63549922213297483</v>
      </c>
      <c r="T176" s="5">
        <f t="shared" si="25"/>
        <v>0</v>
      </c>
      <c r="U176" s="5" t="str">
        <f t="shared" si="26"/>
        <v>특허</v>
      </c>
      <c r="V176" s="18">
        <f t="shared" si="27"/>
        <v>559</v>
      </c>
      <c r="W176" s="5">
        <f t="shared" si="28"/>
        <v>438</v>
      </c>
      <c r="X176" s="5">
        <f t="shared" si="29"/>
        <v>259</v>
      </c>
      <c r="Y176" s="5">
        <f t="shared" si="30"/>
        <v>0</v>
      </c>
      <c r="Z176" s="19">
        <f t="shared" si="31"/>
        <v>31</v>
      </c>
      <c r="AA176" s="20">
        <f>ABS(S176-SUMPRODUCT(('05B_가정검정'!$A$5:$A$19=B176)*('05B_가정검정'!$B$5:$B$19=C176)*'05B_가정검정'!$E$5:$E$19))</f>
        <v>3.85373257570365E-3</v>
      </c>
      <c r="AB176" s="20">
        <f t="shared" si="32"/>
        <v>1.2617599943328672E-2</v>
      </c>
    </row>
    <row r="177" spans="1:28">
      <c r="A177" s="15" t="s">
        <v>134</v>
      </c>
      <c r="B177" s="15" t="s">
        <v>122</v>
      </c>
      <c r="C177" s="15" t="s">
        <v>118</v>
      </c>
      <c r="D177" s="16">
        <v>0.28432956381260099</v>
      </c>
      <c r="E177" s="16">
        <v>0.30303030303030298</v>
      </c>
      <c r="F177" s="16">
        <v>0.13740458015267201</v>
      </c>
      <c r="G177" s="16">
        <v>0.21969696969697</v>
      </c>
      <c r="H177" s="16">
        <v>0.266491867541991</v>
      </c>
      <c r="I177" s="16">
        <v>0.34970129992062798</v>
      </c>
      <c r="J177" s="16">
        <v>0.70617385193876003</v>
      </c>
      <c r="K177" s="16">
        <v>0.68494864282322399</v>
      </c>
      <c r="L177" s="16">
        <v>0.86842491565270996</v>
      </c>
      <c r="M177" s="16">
        <v>0.42424242424242398</v>
      </c>
      <c r="N177" s="16">
        <v>0.33628318584070799</v>
      </c>
      <c r="O177" s="16">
        <v>1</v>
      </c>
      <c r="P177" s="17">
        <f t="shared" si="22"/>
        <v>0.26010909735919413</v>
      </c>
      <c r="Q177" s="17">
        <f t="shared" si="23"/>
        <v>0.75318247013823125</v>
      </c>
      <c r="R177" s="17">
        <f t="shared" si="24"/>
        <v>0.5868418700277106</v>
      </c>
      <c r="S177" s="17">
        <f>'02_지표정의'!$C$22*P177+'02_지표정의'!$C$23*Q177+'02_지표정의'!$C$24*R177</f>
        <v>0.59634858554374159</v>
      </c>
      <c r="T177" s="5">
        <f t="shared" si="25"/>
        <v>1</v>
      </c>
      <c r="U177" s="5" t="str">
        <f t="shared" si="26"/>
        <v>특허</v>
      </c>
      <c r="V177" s="18">
        <f t="shared" si="27"/>
        <v>379</v>
      </c>
      <c r="W177" s="5">
        <f t="shared" si="28"/>
        <v>306</v>
      </c>
      <c r="X177" s="5">
        <f t="shared" si="29"/>
        <v>0</v>
      </c>
      <c r="Y177" s="5">
        <f t="shared" si="30"/>
        <v>290</v>
      </c>
      <c r="Z177" s="19">
        <f t="shared" si="31"/>
        <v>41</v>
      </c>
      <c r="AA177" s="20">
        <f>ABS(S177-SUMPRODUCT(('05B_가정검정'!$A$5:$A$19=B177)*('05B_가정검정'!$B$5:$B$19=C177)*'05B_가정검정'!$E$5:$E$19))</f>
        <v>9.4266495465833433E-3</v>
      </c>
      <c r="AB177" s="20">
        <f t="shared" si="32"/>
        <v>1.5125309326057823E-2</v>
      </c>
    </row>
    <row r="178" spans="1:28">
      <c r="A178" s="15" t="s">
        <v>134</v>
      </c>
      <c r="B178" s="15" t="s">
        <v>122</v>
      </c>
      <c r="C178" s="15" t="s">
        <v>119</v>
      </c>
      <c r="D178" s="16">
        <v>0.28267477203647401</v>
      </c>
      <c r="E178" s="16">
        <v>0.51006711409395999</v>
      </c>
      <c r="F178" s="16">
        <v>0.20408163265306101</v>
      </c>
      <c r="G178" s="16">
        <v>0.41610738255033602</v>
      </c>
      <c r="H178" s="16">
        <v>0.38421884454153798</v>
      </c>
      <c r="I178" s="16">
        <v>0.561116691103976</v>
      </c>
      <c r="J178" s="16">
        <v>0.72681339347193796</v>
      </c>
      <c r="K178" s="16">
        <v>0.68453891302362602</v>
      </c>
      <c r="L178" s="16">
        <v>0.87553590180785301</v>
      </c>
      <c r="M178" s="16">
        <v>0.52046783625730997</v>
      </c>
      <c r="N178" s="16">
        <v>0.56976744186046502</v>
      </c>
      <c r="O178" s="16">
        <v>1</v>
      </c>
      <c r="P178" s="17">
        <f t="shared" si="22"/>
        <v>0.39304440616322417</v>
      </c>
      <c r="Q178" s="17">
        <f t="shared" si="23"/>
        <v>0.76229606943447237</v>
      </c>
      <c r="R178" s="17">
        <f t="shared" si="24"/>
        <v>0.696745092705925</v>
      </c>
      <c r="S178" s="17">
        <f>'02_지표정의'!$C$22*P178+'02_지표정의'!$C$23*Q178+'02_지표정의'!$C$24*R178</f>
        <v>0.66550289492523118</v>
      </c>
      <c r="T178" s="5">
        <f t="shared" si="25"/>
        <v>0</v>
      </c>
      <c r="U178" s="5" t="str">
        <f t="shared" si="26"/>
        <v>특허</v>
      </c>
      <c r="V178" s="18">
        <f t="shared" si="27"/>
        <v>695</v>
      </c>
      <c r="W178" s="5">
        <f t="shared" si="28"/>
        <v>0</v>
      </c>
      <c r="X178" s="5">
        <f t="shared" si="29"/>
        <v>375</v>
      </c>
      <c r="Y178" s="5">
        <f t="shared" si="30"/>
        <v>511</v>
      </c>
      <c r="Z178" s="19">
        <f t="shared" si="31"/>
        <v>47</v>
      </c>
      <c r="AA178" s="20">
        <f>ABS(S178-SUMPRODUCT(('05B_가정검정'!$A$5:$A$19=B178)*('05B_가정검정'!$B$5:$B$19=C178)*'05B_가정검정'!$E$5:$E$19))</f>
        <v>2.9896707023779778E-2</v>
      </c>
      <c r="AB178" s="20">
        <f t="shared" si="32"/>
        <v>3.4114028610345182E-2</v>
      </c>
    </row>
    <row r="179" spans="1:28">
      <c r="A179" s="15" t="s">
        <v>134</v>
      </c>
      <c r="B179" s="15" t="s">
        <v>123</v>
      </c>
      <c r="C179" s="15" t="s">
        <v>117</v>
      </c>
      <c r="D179" s="16">
        <v>0.22864019253911</v>
      </c>
      <c r="E179" s="16">
        <v>0.35820895522388102</v>
      </c>
      <c r="F179" s="16">
        <v>0.15075376884422101</v>
      </c>
      <c r="G179" s="16">
        <v>0.29850746268656703</v>
      </c>
      <c r="H179" s="16">
        <v>0.36924818255979303</v>
      </c>
      <c r="I179" s="16">
        <v>0.27376546979819399</v>
      </c>
      <c r="J179" s="16">
        <v>0.70724181224884497</v>
      </c>
      <c r="K179" s="16">
        <v>0.70152012398906405</v>
      </c>
      <c r="L179" s="16">
        <v>0.875164207814906</v>
      </c>
      <c r="M179" s="16">
        <v>0.88990825688073405</v>
      </c>
      <c r="N179" s="16">
        <v>0.90163934426229497</v>
      </c>
      <c r="O179" s="16">
        <v>1</v>
      </c>
      <c r="P179" s="17">
        <f t="shared" si="22"/>
        <v>0.2798540052752943</v>
      </c>
      <c r="Q179" s="17">
        <f t="shared" si="23"/>
        <v>0.76130871468427175</v>
      </c>
      <c r="R179" s="17">
        <f t="shared" si="24"/>
        <v>0.93051586704767641</v>
      </c>
      <c r="S179" s="17">
        <f>'02_지표정의'!$C$22*P179+'02_지표정의'!$C$23*Q179+'02_지표정의'!$C$24*R179</f>
        <v>0.7242402761296679</v>
      </c>
      <c r="T179" s="5">
        <f t="shared" si="25"/>
        <v>0</v>
      </c>
      <c r="U179" s="5" t="str">
        <f t="shared" si="26"/>
        <v>특허</v>
      </c>
      <c r="V179" s="18">
        <f t="shared" si="27"/>
        <v>892</v>
      </c>
      <c r="W179" s="5">
        <f t="shared" si="28"/>
        <v>598</v>
      </c>
      <c r="X179" s="5">
        <f t="shared" si="29"/>
        <v>567</v>
      </c>
      <c r="Y179" s="5">
        <f t="shared" si="30"/>
        <v>0</v>
      </c>
      <c r="Z179" s="19">
        <f t="shared" si="31"/>
        <v>49</v>
      </c>
      <c r="AA179" s="20">
        <f>ABS(S179-SUMPRODUCT(('05B_가정검정'!$A$5:$A$19=B179)*('05B_가정검정'!$B$5:$B$19=C179)*'05B_가정검정'!$E$5:$E$19))</f>
        <v>9.31739335344417E-3</v>
      </c>
      <c r="AB179" s="20">
        <f t="shared" si="32"/>
        <v>1.6254824318424732E-2</v>
      </c>
    </row>
    <row r="180" spans="1:28">
      <c r="A180" s="15" t="s">
        <v>134</v>
      </c>
      <c r="B180" s="15" t="s">
        <v>123</v>
      </c>
      <c r="C180" s="15" t="s">
        <v>118</v>
      </c>
      <c r="D180" s="16">
        <v>0.248466257668712</v>
      </c>
      <c r="E180" s="16">
        <v>0.29007633587786302</v>
      </c>
      <c r="F180" s="16">
        <v>0.15384615384615399</v>
      </c>
      <c r="G180" s="16">
        <v>0.25954198473282403</v>
      </c>
      <c r="H180" s="16">
        <v>0.248283674439637</v>
      </c>
      <c r="I180" s="16">
        <v>0.33841383302359401</v>
      </c>
      <c r="J180" s="16">
        <v>0.70770385131550195</v>
      </c>
      <c r="K180" s="16">
        <v>0.67476063578871204</v>
      </c>
      <c r="L180" s="16">
        <v>0.86850249255040901</v>
      </c>
      <c r="M180" s="16">
        <v>0.41991341991342002</v>
      </c>
      <c r="N180" s="16">
        <v>0.48672566371681403</v>
      </c>
      <c r="O180" s="16">
        <v>1</v>
      </c>
      <c r="P180" s="17">
        <f t="shared" si="22"/>
        <v>0.25643803993146402</v>
      </c>
      <c r="Q180" s="17">
        <f t="shared" si="23"/>
        <v>0.75032232655154107</v>
      </c>
      <c r="R180" s="17">
        <f t="shared" si="24"/>
        <v>0.63554636121007801</v>
      </c>
      <c r="S180" s="17">
        <f>'02_지표정의'!$C$22*P180+'02_지표정의'!$C$23*Q180+'02_지표정의'!$C$24*R180</f>
        <v>0.61137388135801352</v>
      </c>
      <c r="T180" s="5">
        <f t="shared" si="25"/>
        <v>0</v>
      </c>
      <c r="U180" s="5" t="str">
        <f t="shared" si="26"/>
        <v>특허</v>
      </c>
      <c r="V180" s="18">
        <f t="shared" si="27"/>
        <v>437</v>
      </c>
      <c r="W180" s="5">
        <f t="shared" si="28"/>
        <v>355</v>
      </c>
      <c r="X180" s="5">
        <f t="shared" si="29"/>
        <v>0</v>
      </c>
      <c r="Y180" s="5">
        <f t="shared" si="30"/>
        <v>333</v>
      </c>
      <c r="Z180" s="19">
        <f t="shared" si="31"/>
        <v>56</v>
      </c>
      <c r="AA180" s="20">
        <f>ABS(S180-SUMPRODUCT(('05B_가정검정'!$A$5:$A$19=B180)*('05B_가정검정'!$B$5:$B$19=C180)*'05B_가정검정'!$E$5:$E$19))</f>
        <v>3.60750544790438E-2</v>
      </c>
      <c r="AB180" s="20">
        <f t="shared" si="32"/>
        <v>5.1502273433522427E-2</v>
      </c>
    </row>
    <row r="181" spans="1:28">
      <c r="A181" s="15" t="s">
        <v>134</v>
      </c>
      <c r="B181" s="15" t="s">
        <v>123</v>
      </c>
      <c r="C181" s="15" t="s">
        <v>119</v>
      </c>
      <c r="D181" s="16">
        <v>0.27206946454413899</v>
      </c>
      <c r="E181" s="16">
        <v>0.55782312925170097</v>
      </c>
      <c r="F181" s="16">
        <v>0.28965517241379302</v>
      </c>
      <c r="G181" s="16">
        <v>0.46258503401360501</v>
      </c>
      <c r="H181" s="16">
        <v>0.46114399192040501</v>
      </c>
      <c r="I181" s="16">
        <v>0.50868418072414201</v>
      </c>
      <c r="J181" s="16">
        <v>0.73314446853347603</v>
      </c>
      <c r="K181" s="16">
        <v>0.69090635149551105</v>
      </c>
      <c r="L181" s="16">
        <v>0.89560493422265097</v>
      </c>
      <c r="M181" s="16">
        <v>0.90654205607476601</v>
      </c>
      <c r="N181" s="16">
        <v>0.91666666666666696</v>
      </c>
      <c r="O181" s="16">
        <v>1</v>
      </c>
      <c r="P181" s="17">
        <f t="shared" si="22"/>
        <v>0.42532682881129746</v>
      </c>
      <c r="Q181" s="17">
        <f t="shared" si="23"/>
        <v>0.77321858475054606</v>
      </c>
      <c r="R181" s="17">
        <f t="shared" si="24"/>
        <v>0.94106957424714432</v>
      </c>
      <c r="S181" s="17">
        <f>'02_지표정의'!$C$22*P181+'02_지표정의'!$C$23*Q181+'02_지표정의'!$C$24*R181</f>
        <v>0.7623880798865057</v>
      </c>
      <c r="T181" s="5">
        <f t="shared" si="25"/>
        <v>1</v>
      </c>
      <c r="U181" s="5" t="str">
        <f t="shared" si="26"/>
        <v>특허</v>
      </c>
      <c r="V181" s="18">
        <f t="shared" si="27"/>
        <v>968</v>
      </c>
      <c r="W181" s="5">
        <f t="shared" si="28"/>
        <v>0</v>
      </c>
      <c r="X181" s="5">
        <f t="shared" si="29"/>
        <v>643</v>
      </c>
      <c r="Y181" s="5">
        <f t="shared" si="30"/>
        <v>643</v>
      </c>
      <c r="Z181" s="19">
        <f t="shared" si="31"/>
        <v>63</v>
      </c>
      <c r="AA181" s="20">
        <f>ABS(S181-SUMPRODUCT(('05B_가정검정'!$A$5:$A$19=B181)*('05B_가정검정'!$B$5:$B$19=C181)*'05B_가정검정'!$E$5:$E$19))</f>
        <v>7.6758282562278346E-2</v>
      </c>
      <c r="AB181" s="20">
        <f t="shared" si="32"/>
        <v>7.9969346841503919E-2</v>
      </c>
    </row>
    <row r="182" spans="1:28">
      <c r="A182" s="15" t="s">
        <v>135</v>
      </c>
      <c r="B182" s="15" t="s">
        <v>116</v>
      </c>
      <c r="C182" s="15" t="s">
        <v>117</v>
      </c>
      <c r="D182" s="16">
        <v>0.26404494382022498</v>
      </c>
      <c r="E182" s="16">
        <v>0.33136094674556199</v>
      </c>
      <c r="F182" s="16">
        <v>0.13173652694610799</v>
      </c>
      <c r="G182" s="16">
        <v>0.29585798816568099</v>
      </c>
      <c r="H182" s="16">
        <v>0.21743757907557901</v>
      </c>
      <c r="I182" s="16">
        <v>0.21787839263401099</v>
      </c>
      <c r="J182" s="16">
        <v>0.66972573663264401</v>
      </c>
      <c r="K182" s="16">
        <v>0.582256430659988</v>
      </c>
      <c r="L182" s="16">
        <v>0.73196901001796999</v>
      </c>
      <c r="M182" s="16">
        <v>0.56291390728476798</v>
      </c>
      <c r="N182" s="16">
        <v>0.23170731707317099</v>
      </c>
      <c r="O182" s="16">
        <v>1</v>
      </c>
      <c r="P182" s="17">
        <f t="shared" si="22"/>
        <v>0.24305272956452764</v>
      </c>
      <c r="Q182" s="17">
        <f t="shared" si="23"/>
        <v>0.661317059103534</v>
      </c>
      <c r="R182" s="17">
        <f t="shared" si="24"/>
        <v>0.59820707478597968</v>
      </c>
      <c r="S182" s="17">
        <f>'02_지표정의'!$C$22*P182+'02_지표정의'!$C$23*Q182+'02_지표정의'!$C$24*R182</f>
        <v>0.55557569868458878</v>
      </c>
      <c r="T182" s="5">
        <f t="shared" si="25"/>
        <v>0</v>
      </c>
      <c r="U182" s="5" t="str">
        <f t="shared" si="26"/>
        <v>특허</v>
      </c>
      <c r="V182" s="18">
        <f t="shared" si="27"/>
        <v>233</v>
      </c>
      <c r="W182" s="5">
        <f t="shared" si="28"/>
        <v>191</v>
      </c>
      <c r="X182" s="5">
        <f t="shared" si="29"/>
        <v>80</v>
      </c>
      <c r="Y182" s="5">
        <f t="shared" si="30"/>
        <v>0</v>
      </c>
      <c r="Z182" s="19">
        <f t="shared" si="31"/>
        <v>31</v>
      </c>
      <c r="AA182" s="20">
        <f>ABS(S182-SUMPRODUCT(('05B_가정검정'!$A$5:$A$19=B182)*('05B_가정검정'!$B$5:$B$19=C182)*'05B_가정검정'!$E$5:$E$19))</f>
        <v>1.828006300378493E-3</v>
      </c>
      <c r="AB182" s="20">
        <f t="shared" si="32"/>
        <v>3.0245332719653906E-3</v>
      </c>
    </row>
    <row r="183" spans="1:28">
      <c r="A183" s="15" t="s">
        <v>135</v>
      </c>
      <c r="B183" s="15" t="s">
        <v>116</v>
      </c>
      <c r="C183" s="15" t="s">
        <v>118</v>
      </c>
      <c r="D183" s="16">
        <v>0.31034482758620702</v>
      </c>
      <c r="E183" s="16">
        <v>0.33043478260869602</v>
      </c>
      <c r="F183" s="16">
        <v>0.13157894736842099</v>
      </c>
      <c r="G183" s="16">
        <v>0.25217391304347803</v>
      </c>
      <c r="H183" s="16">
        <v>0.16915100558226401</v>
      </c>
      <c r="I183" s="16">
        <v>0.280891148311122</v>
      </c>
      <c r="J183" s="16">
        <v>0.66756321259837004</v>
      </c>
      <c r="K183" s="16">
        <v>0.66188704136250798</v>
      </c>
      <c r="L183" s="16">
        <v>0.76382398904728299</v>
      </c>
      <c r="M183" s="16">
        <v>0.45228215767634899</v>
      </c>
      <c r="N183" s="16">
        <v>2.54237288135594E-2</v>
      </c>
      <c r="O183" s="16">
        <v>1</v>
      </c>
      <c r="P183" s="17">
        <f t="shared" si="22"/>
        <v>0.24576243741669804</v>
      </c>
      <c r="Q183" s="17">
        <f t="shared" si="23"/>
        <v>0.69775808100272041</v>
      </c>
      <c r="R183" s="17">
        <f t="shared" si="24"/>
        <v>0.49256862882996949</v>
      </c>
      <c r="S183" s="17">
        <f>'02_지표정의'!$C$22*P183+'02_지표정의'!$C$23*Q183+'02_지표정의'!$C$24*R183</f>
        <v>0.53554264402505314</v>
      </c>
      <c r="T183" s="5">
        <f t="shared" si="25"/>
        <v>0</v>
      </c>
      <c r="U183" s="5" t="str">
        <f t="shared" si="26"/>
        <v>특허</v>
      </c>
      <c r="V183" s="18">
        <f t="shared" si="27"/>
        <v>155</v>
      </c>
      <c r="W183" s="5">
        <f t="shared" si="28"/>
        <v>137</v>
      </c>
      <c r="X183" s="5">
        <f t="shared" si="29"/>
        <v>0</v>
      </c>
      <c r="Y183" s="5">
        <f t="shared" si="30"/>
        <v>141</v>
      </c>
      <c r="Z183" s="19">
        <f t="shared" si="31"/>
        <v>36</v>
      </c>
      <c r="AA183" s="20">
        <f>ABS(S183-SUMPRODUCT(('05B_가정검정'!$A$5:$A$19=B183)*('05B_가정검정'!$B$5:$B$19=C183)*'05B_가정검정'!$E$5:$E$19))</f>
        <v>4.2502223233314984E-3</v>
      </c>
      <c r="AB183" s="20">
        <f t="shared" si="32"/>
        <v>7.9936116464668361E-3</v>
      </c>
    </row>
    <row r="184" spans="1:28">
      <c r="A184" s="15" t="s">
        <v>135</v>
      </c>
      <c r="B184" s="15" t="s">
        <v>116</v>
      </c>
      <c r="C184" s="15" t="s">
        <v>119</v>
      </c>
      <c r="D184" s="16">
        <v>0.32367972742759799</v>
      </c>
      <c r="E184" s="16">
        <v>0.39344262295082</v>
      </c>
      <c r="F184" s="16">
        <v>0.232044198895028</v>
      </c>
      <c r="G184" s="16">
        <v>0.30601092896174897</v>
      </c>
      <c r="H184" s="16">
        <v>0.26020550909074303</v>
      </c>
      <c r="I184" s="16">
        <v>0.46625565524708401</v>
      </c>
      <c r="J184" s="16">
        <v>0.68538503869470402</v>
      </c>
      <c r="K184" s="16">
        <v>0.61089016522427697</v>
      </c>
      <c r="L184" s="16">
        <v>0.79489821591671606</v>
      </c>
      <c r="M184" s="16">
        <v>0.48344370860927199</v>
      </c>
      <c r="N184" s="16">
        <v>0</v>
      </c>
      <c r="O184" s="16">
        <v>1</v>
      </c>
      <c r="P184" s="17">
        <f t="shared" si="22"/>
        <v>0.33027310709550367</v>
      </c>
      <c r="Q184" s="17">
        <f t="shared" si="23"/>
        <v>0.69705780661189898</v>
      </c>
      <c r="R184" s="17">
        <f t="shared" si="24"/>
        <v>0.49448123620309065</v>
      </c>
      <c r="S184" s="17">
        <f>'02_지표정의'!$C$22*P184+'02_지표정의'!$C$23*Q184+'02_지표정의'!$C$24*R184</f>
        <v>0.55279906706553694</v>
      </c>
      <c r="T184" s="5">
        <f t="shared" si="25"/>
        <v>0</v>
      </c>
      <c r="U184" s="5" t="str">
        <f t="shared" si="26"/>
        <v>특허</v>
      </c>
      <c r="V184" s="18">
        <f t="shared" si="27"/>
        <v>217</v>
      </c>
      <c r="W184" s="5">
        <f t="shared" si="28"/>
        <v>0</v>
      </c>
      <c r="X184" s="5">
        <f t="shared" si="29"/>
        <v>68</v>
      </c>
      <c r="Y184" s="5">
        <f t="shared" si="30"/>
        <v>187</v>
      </c>
      <c r="Z184" s="19">
        <f t="shared" si="31"/>
        <v>32</v>
      </c>
      <c r="AA184" s="20">
        <f>ABS(S184-SUMPRODUCT(('05B_가정검정'!$A$5:$A$19=B184)*('05B_가정검정'!$B$5:$B$19=C184)*'05B_가정검정'!$E$5:$E$19))</f>
        <v>2.2444967724566389E-4</v>
      </c>
      <c r="AB184" s="20">
        <f t="shared" si="32"/>
        <v>-3.6534166106431121E-3</v>
      </c>
    </row>
    <row r="185" spans="1:28">
      <c r="A185" s="15" t="s">
        <v>135</v>
      </c>
      <c r="B185" s="15" t="s">
        <v>120</v>
      </c>
      <c r="C185" s="15" t="s">
        <v>117</v>
      </c>
      <c r="D185" s="16">
        <v>0.26885880077369401</v>
      </c>
      <c r="E185" s="16">
        <v>0.29390681003584201</v>
      </c>
      <c r="F185" s="16">
        <v>0.115523465703971</v>
      </c>
      <c r="G185" s="16">
        <v>0.21505376344086</v>
      </c>
      <c r="H185" s="16">
        <v>0.334182237846953</v>
      </c>
      <c r="I185" s="16">
        <v>0.22743326984041001</v>
      </c>
      <c r="J185" s="16">
        <v>0.67125171935761097</v>
      </c>
      <c r="K185" s="16">
        <v>0.67645364390448404</v>
      </c>
      <c r="L185" s="16">
        <v>0.82616199039699501</v>
      </c>
      <c r="M185" s="16">
        <v>0.56707317073170704</v>
      </c>
      <c r="N185" s="16">
        <v>0.52127659574468099</v>
      </c>
      <c r="O185" s="16">
        <v>1</v>
      </c>
      <c r="P185" s="17">
        <f t="shared" si="22"/>
        <v>0.24249305794028833</v>
      </c>
      <c r="Q185" s="17">
        <f t="shared" si="23"/>
        <v>0.72462245121969671</v>
      </c>
      <c r="R185" s="17">
        <f t="shared" si="24"/>
        <v>0.69611658882546268</v>
      </c>
      <c r="S185" s="17">
        <f>'02_지표정의'!$C$22*P185+'02_지표정의'!$C$23*Q185+'02_지표정의'!$C$24*R185</f>
        <v>0.61821952072583319</v>
      </c>
      <c r="T185" s="5">
        <f t="shared" si="25"/>
        <v>0</v>
      </c>
      <c r="U185" s="5" t="str">
        <f t="shared" si="26"/>
        <v>특허</v>
      </c>
      <c r="V185" s="18">
        <f t="shared" si="27"/>
        <v>481</v>
      </c>
      <c r="W185" s="5">
        <f t="shared" si="28"/>
        <v>389</v>
      </c>
      <c r="X185" s="5">
        <f t="shared" si="29"/>
        <v>212</v>
      </c>
      <c r="Y185" s="5">
        <f t="shared" si="30"/>
        <v>0</v>
      </c>
      <c r="Z185" s="19">
        <f t="shared" si="31"/>
        <v>27</v>
      </c>
      <c r="AA185" s="20">
        <f>ABS(S185-SUMPRODUCT(('05B_가정검정'!$A$5:$A$19=B185)*('05B_가정검정'!$B$5:$B$19=C185)*'05B_가정검정'!$E$5:$E$19))</f>
        <v>9.8294393312878814E-3</v>
      </c>
      <c r="AB185" s="20">
        <f t="shared" si="32"/>
        <v>-1.3083182698923945E-2</v>
      </c>
    </row>
    <row r="186" spans="1:28">
      <c r="A186" s="15" t="s">
        <v>135</v>
      </c>
      <c r="B186" s="15" t="s">
        <v>120</v>
      </c>
      <c r="C186" s="15" t="s">
        <v>118</v>
      </c>
      <c r="D186" s="16">
        <v>0.28603104212860297</v>
      </c>
      <c r="E186" s="16">
        <v>0.36470588235294099</v>
      </c>
      <c r="F186" s="16">
        <v>0.14201183431952699</v>
      </c>
      <c r="G186" s="16">
        <v>0.252941176470588</v>
      </c>
      <c r="H186" s="16">
        <v>0.28769788379132599</v>
      </c>
      <c r="I186" s="16">
        <v>0.31854163930805202</v>
      </c>
      <c r="J186" s="16">
        <v>0.69579261373472701</v>
      </c>
      <c r="K186" s="16">
        <v>0.67059664872243796</v>
      </c>
      <c r="L186" s="16">
        <v>0.83631272454676597</v>
      </c>
      <c r="M186" s="16">
        <v>0.55186721991701304</v>
      </c>
      <c r="N186" s="16">
        <v>0.50847457627118597</v>
      </c>
      <c r="O186" s="16">
        <v>1</v>
      </c>
      <c r="P186" s="17">
        <f t="shared" si="22"/>
        <v>0.27532157639517285</v>
      </c>
      <c r="Q186" s="17">
        <f t="shared" si="23"/>
        <v>0.73423399566797698</v>
      </c>
      <c r="R186" s="17">
        <f t="shared" si="24"/>
        <v>0.68678059872939967</v>
      </c>
      <c r="S186" s="17">
        <f>'02_지표정의'!$C$22*P186+'02_지표정의'!$C$23*Q186+'02_지표정의'!$C$24*R186</f>
        <v>0.62584282288491411</v>
      </c>
      <c r="T186" s="5">
        <f t="shared" si="25"/>
        <v>0</v>
      </c>
      <c r="U186" s="5" t="str">
        <f t="shared" si="26"/>
        <v>특허</v>
      </c>
      <c r="V186" s="18">
        <f t="shared" si="27"/>
        <v>513</v>
      </c>
      <c r="W186" s="5">
        <f t="shared" si="28"/>
        <v>415</v>
      </c>
      <c r="X186" s="5">
        <f t="shared" si="29"/>
        <v>0</v>
      </c>
      <c r="Y186" s="5">
        <f t="shared" si="30"/>
        <v>386</v>
      </c>
      <c r="Z186" s="19">
        <f t="shared" si="31"/>
        <v>54</v>
      </c>
      <c r="AA186" s="20">
        <f>ABS(S186-SUMPRODUCT(('05B_가정검정'!$A$5:$A$19=B186)*('05B_가정검정'!$B$5:$B$19=C186)*'05B_가정검정'!$E$5:$E$19))</f>
        <v>3.5013974303286122E-2</v>
      </c>
      <c r="AB186" s="20">
        <f t="shared" si="32"/>
        <v>5.0952046922803307E-2</v>
      </c>
    </row>
    <row r="187" spans="1:28">
      <c r="A187" s="15" t="s">
        <v>135</v>
      </c>
      <c r="B187" s="15" t="s">
        <v>120</v>
      </c>
      <c r="C187" s="15" t="s">
        <v>119</v>
      </c>
      <c r="D187" s="16">
        <v>0.316831683168317</v>
      </c>
      <c r="E187" s="16">
        <v>0.573378839590444</v>
      </c>
      <c r="F187" s="16">
        <v>0.213058419243986</v>
      </c>
      <c r="G187" s="16">
        <v>0.36177474402730397</v>
      </c>
      <c r="H187" s="16">
        <v>0.38098687689160399</v>
      </c>
      <c r="I187" s="16">
        <v>0.54658530372274094</v>
      </c>
      <c r="J187" s="16">
        <v>0.71281934886807796</v>
      </c>
      <c r="K187" s="16">
        <v>0.66750678686744203</v>
      </c>
      <c r="L187" s="16">
        <v>0.84572353034574999</v>
      </c>
      <c r="M187" s="16">
        <v>0.69512195121951204</v>
      </c>
      <c r="N187" s="16">
        <v>0.73404255319148903</v>
      </c>
      <c r="O187" s="16">
        <v>1</v>
      </c>
      <c r="P187" s="17">
        <f t="shared" si="22"/>
        <v>0.39876931110739933</v>
      </c>
      <c r="Q187" s="17">
        <f t="shared" si="23"/>
        <v>0.74201655536042332</v>
      </c>
      <c r="R187" s="17">
        <f t="shared" si="24"/>
        <v>0.80972150147033373</v>
      </c>
      <c r="S187" s="17">
        <f>'02_지표정의'!$C$22*P187+'02_지표정의'!$C$23*Q187+'02_지표정의'!$C$24*R187</f>
        <v>0.69706383764828717</v>
      </c>
      <c r="T187" s="5">
        <f t="shared" si="25"/>
        <v>0</v>
      </c>
      <c r="U187" s="5" t="str">
        <f t="shared" si="26"/>
        <v>특허</v>
      </c>
      <c r="V187" s="18">
        <f t="shared" si="27"/>
        <v>815</v>
      </c>
      <c r="W187" s="5">
        <f t="shared" si="28"/>
        <v>0</v>
      </c>
      <c r="X187" s="5">
        <f t="shared" si="29"/>
        <v>490</v>
      </c>
      <c r="Y187" s="5">
        <f t="shared" si="30"/>
        <v>588</v>
      </c>
      <c r="Z187" s="19">
        <f t="shared" si="31"/>
        <v>57</v>
      </c>
      <c r="AA187" s="20">
        <f>ABS(S187-SUMPRODUCT(('05B_가정검정'!$A$5:$A$19=B187)*('05B_가정검정'!$B$5:$B$19=C187)*'05B_가정검정'!$E$5:$E$19))</f>
        <v>3.3386521166900884E-2</v>
      </c>
      <c r="AB187" s="20">
        <f t="shared" si="32"/>
        <v>3.8640830137471549E-2</v>
      </c>
    </row>
    <row r="188" spans="1:28">
      <c r="A188" s="15" t="s">
        <v>135</v>
      </c>
      <c r="B188" s="15" t="s">
        <v>121</v>
      </c>
      <c r="C188" s="15" t="s">
        <v>117</v>
      </c>
      <c r="D188" s="16">
        <v>0.25806451612903197</v>
      </c>
      <c r="E188" s="16">
        <v>0.3125</v>
      </c>
      <c r="F188" s="16">
        <v>0.115789473684211</v>
      </c>
      <c r="G188" s="16">
        <v>0.27083333333333298</v>
      </c>
      <c r="H188" s="16">
        <v>0.28450001838046801</v>
      </c>
      <c r="I188" s="16">
        <v>0.208646886790706</v>
      </c>
      <c r="J188" s="16">
        <v>0.73875387757644595</v>
      </c>
      <c r="K188" s="16">
        <v>0.74190195761884103</v>
      </c>
      <c r="L188" s="16">
        <v>0.87728708378249798</v>
      </c>
      <c r="M188" s="16">
        <v>0.90654205607476601</v>
      </c>
      <c r="N188" s="16">
        <v>0.91666666666666696</v>
      </c>
      <c r="O188" s="16">
        <v>1</v>
      </c>
      <c r="P188" s="17">
        <f t="shared" si="22"/>
        <v>0.24172237138629168</v>
      </c>
      <c r="Q188" s="17">
        <f t="shared" si="23"/>
        <v>0.78598097299259495</v>
      </c>
      <c r="R188" s="17">
        <f t="shared" si="24"/>
        <v>0.94106957424714432</v>
      </c>
      <c r="S188" s="17">
        <f>'02_지표정의'!$C$22*P188+'02_지표정의'!$C$23*Q188+'02_지표정의'!$C$24*R188</f>
        <v>0.73141026311042656</v>
      </c>
      <c r="T188" s="5">
        <f t="shared" si="25"/>
        <v>1</v>
      </c>
      <c r="U188" s="5" t="str">
        <f t="shared" si="26"/>
        <v>특허</v>
      </c>
      <c r="V188" s="18">
        <f t="shared" si="27"/>
        <v>905</v>
      </c>
      <c r="W188" s="5">
        <f t="shared" si="28"/>
        <v>610</v>
      </c>
      <c r="X188" s="5">
        <f t="shared" si="29"/>
        <v>580</v>
      </c>
      <c r="Y188" s="5">
        <f t="shared" si="30"/>
        <v>0</v>
      </c>
      <c r="Z188" s="19">
        <f t="shared" si="31"/>
        <v>35</v>
      </c>
      <c r="AA188" s="20">
        <f>ABS(S188-SUMPRODUCT(('05B_가정검정'!$A$5:$A$19=B188)*('05B_가정검정'!$B$5:$B$19=C188)*'05B_가정검정'!$E$5:$E$19))</f>
        <v>1.9781917285454087E-3</v>
      </c>
      <c r="AB188" s="20">
        <f t="shared" si="32"/>
        <v>1.37584700375456E-2</v>
      </c>
    </row>
    <row r="189" spans="1:28">
      <c r="A189" s="15" t="s">
        <v>135</v>
      </c>
      <c r="B189" s="15" t="s">
        <v>121</v>
      </c>
      <c r="C189" s="15" t="s">
        <v>118</v>
      </c>
      <c r="D189" s="16">
        <v>0.28926905132192898</v>
      </c>
      <c r="E189" s="16">
        <v>0.37154150197628499</v>
      </c>
      <c r="F189" s="16">
        <v>0.127490039840637</v>
      </c>
      <c r="G189" s="16">
        <v>0.25296442687747001</v>
      </c>
      <c r="H189" s="16">
        <v>0.21389890697375299</v>
      </c>
      <c r="I189" s="16">
        <v>0.28016632085528098</v>
      </c>
      <c r="J189" s="16">
        <v>0.74936383518334504</v>
      </c>
      <c r="K189" s="16">
        <v>0.75959728734175402</v>
      </c>
      <c r="L189" s="16">
        <v>0.90055324366835499</v>
      </c>
      <c r="M189" s="16">
        <v>0.402489626556017</v>
      </c>
      <c r="N189" s="16">
        <v>0.46610169491525399</v>
      </c>
      <c r="O189" s="16">
        <v>1</v>
      </c>
      <c r="P189" s="17">
        <f t="shared" si="22"/>
        <v>0.25588837464089248</v>
      </c>
      <c r="Q189" s="17">
        <f t="shared" si="23"/>
        <v>0.80317145539781798</v>
      </c>
      <c r="R189" s="17">
        <f t="shared" si="24"/>
        <v>0.62286377382375702</v>
      </c>
      <c r="S189" s="17">
        <f>'02_지표정의'!$C$22*P189+'02_지표정의'!$C$23*Q189+'02_지표정의'!$C$24*R189</f>
        <v>0.63060715069551154</v>
      </c>
      <c r="T189" s="5">
        <f t="shared" si="25"/>
        <v>0</v>
      </c>
      <c r="U189" s="5" t="str">
        <f t="shared" si="26"/>
        <v>특허</v>
      </c>
      <c r="V189" s="18">
        <f t="shared" si="27"/>
        <v>529</v>
      </c>
      <c r="W189" s="5">
        <f t="shared" si="28"/>
        <v>424</v>
      </c>
      <c r="X189" s="5">
        <f t="shared" si="29"/>
        <v>0</v>
      </c>
      <c r="Y189" s="5">
        <f t="shared" si="30"/>
        <v>400</v>
      </c>
      <c r="Z189" s="19">
        <f t="shared" si="31"/>
        <v>55</v>
      </c>
      <c r="AA189" s="20">
        <f>ABS(S189-SUMPRODUCT(('05B_가정검정'!$A$5:$A$19=B189)*('05B_가정검정'!$B$5:$B$19=C189)*'05B_가정검정'!$E$5:$E$19))</f>
        <v>3.2027660528543112E-2</v>
      </c>
      <c r="AB189" s="20">
        <f t="shared" si="32"/>
        <v>5.1208076168698269E-2</v>
      </c>
    </row>
    <row r="190" spans="1:28">
      <c r="A190" s="15" t="s">
        <v>135</v>
      </c>
      <c r="B190" s="15" t="s">
        <v>121</v>
      </c>
      <c r="C190" s="15" t="s">
        <v>119</v>
      </c>
      <c r="D190" s="16">
        <v>0.33846153846153898</v>
      </c>
      <c r="E190" s="16">
        <v>0.51456310679611705</v>
      </c>
      <c r="F190" s="16">
        <v>0.15686274509803899</v>
      </c>
      <c r="G190" s="16">
        <v>0.33009708737864102</v>
      </c>
      <c r="H190" s="16">
        <v>0.34049105785918699</v>
      </c>
      <c r="I190" s="16">
        <v>0.52335728631408596</v>
      </c>
      <c r="J190" s="16">
        <v>0.78277501969657803</v>
      </c>
      <c r="K190" s="16">
        <v>0.74895824551906398</v>
      </c>
      <c r="L190" s="16">
        <v>0.87961624440574204</v>
      </c>
      <c r="M190" s="16">
        <v>0.70289855072463803</v>
      </c>
      <c r="N190" s="16">
        <v>0.67901234567901203</v>
      </c>
      <c r="O190" s="16">
        <v>1</v>
      </c>
      <c r="P190" s="17">
        <f t="shared" si="22"/>
        <v>0.36730547031793481</v>
      </c>
      <c r="Q190" s="17">
        <f t="shared" si="23"/>
        <v>0.80378316987379461</v>
      </c>
      <c r="R190" s="17">
        <f t="shared" si="24"/>
        <v>0.79397029880121661</v>
      </c>
      <c r="S190" s="17">
        <f>'02_지표정의'!$C$22*P190+'02_지표정의'!$C$23*Q190+'02_지표정의'!$C$24*R190</f>
        <v>0.7130531250872203</v>
      </c>
      <c r="T190" s="5">
        <f t="shared" si="25"/>
        <v>0</v>
      </c>
      <c r="U190" s="5" t="str">
        <f t="shared" si="26"/>
        <v>특허</v>
      </c>
      <c r="V190" s="18">
        <f t="shared" si="27"/>
        <v>855</v>
      </c>
      <c r="W190" s="5">
        <f t="shared" si="28"/>
        <v>0</v>
      </c>
      <c r="X190" s="5">
        <f t="shared" si="29"/>
        <v>530</v>
      </c>
      <c r="Y190" s="5">
        <f t="shared" si="30"/>
        <v>611</v>
      </c>
      <c r="Z190" s="19">
        <f t="shared" si="31"/>
        <v>45</v>
      </c>
      <c r="AA190" s="20">
        <f>ABS(S190-SUMPRODUCT(('05B_가정검정'!$A$5:$A$19=B190)*('05B_가정검정'!$B$5:$B$19=C190)*'05B_가정검정'!$E$5:$E$19))</f>
        <v>2.0733282291366617E-2</v>
      </c>
      <c r="AB190" s="20">
        <f t="shared" si="32"/>
        <v>2.4816149667609255E-2</v>
      </c>
    </row>
    <row r="191" spans="1:28">
      <c r="A191" s="15" t="s">
        <v>135</v>
      </c>
      <c r="B191" s="15" t="s">
        <v>122</v>
      </c>
      <c r="C191" s="15" t="s">
        <v>117</v>
      </c>
      <c r="D191" s="16">
        <v>0.25111111111111101</v>
      </c>
      <c r="E191" s="16">
        <v>0.31627906976744202</v>
      </c>
      <c r="F191" s="16">
        <v>0.11267605633802801</v>
      </c>
      <c r="G191" s="16">
        <v>0.26976744186046497</v>
      </c>
      <c r="H191" s="16">
        <v>0.33734889011654001</v>
      </c>
      <c r="I191" s="16">
        <v>0.21288395033649299</v>
      </c>
      <c r="J191" s="16">
        <v>0.70607269171481002</v>
      </c>
      <c r="K191" s="16">
        <v>0.60203992437655895</v>
      </c>
      <c r="L191" s="16">
        <v>0.80313812165027698</v>
      </c>
      <c r="M191" s="16">
        <v>0.413333333333333</v>
      </c>
      <c r="N191" s="16">
        <v>0.39200000000000002</v>
      </c>
      <c r="O191" s="16">
        <v>1</v>
      </c>
      <c r="P191" s="17">
        <f t="shared" si="22"/>
        <v>0.25001108658834653</v>
      </c>
      <c r="Q191" s="17">
        <f t="shared" si="23"/>
        <v>0.70375024591388202</v>
      </c>
      <c r="R191" s="17">
        <f t="shared" si="24"/>
        <v>0.60177777777777763</v>
      </c>
      <c r="S191" s="17">
        <f>'02_지표정의'!$C$22*P191+'02_지표정의'!$C$23*Q191+'02_지표정의'!$C$24*R191</f>
        <v>0.5773120502011384</v>
      </c>
      <c r="T191" s="5">
        <f t="shared" si="25"/>
        <v>0</v>
      </c>
      <c r="U191" s="5" t="str">
        <f t="shared" si="26"/>
        <v>특허</v>
      </c>
      <c r="V191" s="18">
        <f t="shared" si="27"/>
        <v>313</v>
      </c>
      <c r="W191" s="5">
        <f t="shared" si="28"/>
        <v>254</v>
      </c>
      <c r="X191" s="5">
        <f t="shared" si="29"/>
        <v>134</v>
      </c>
      <c r="Y191" s="5">
        <f t="shared" si="30"/>
        <v>0</v>
      </c>
      <c r="Z191" s="19">
        <f t="shared" si="31"/>
        <v>16</v>
      </c>
      <c r="AA191" s="20">
        <f>ABS(S191-SUMPRODUCT(('05B_가정검정'!$A$5:$A$19=B191)*('05B_가정검정'!$B$5:$B$19=C191)*'05B_가정검정'!$E$5:$E$19))</f>
        <v>6.2040904507540073E-2</v>
      </c>
      <c r="AB191" s="20">
        <f t="shared" si="32"/>
        <v>-4.5569571988507751E-2</v>
      </c>
    </row>
    <row r="192" spans="1:28">
      <c r="A192" s="15" t="s">
        <v>135</v>
      </c>
      <c r="B192" s="15" t="s">
        <v>122</v>
      </c>
      <c r="C192" s="15" t="s">
        <v>118</v>
      </c>
      <c r="D192" s="16">
        <v>0.33854166666666702</v>
      </c>
      <c r="E192" s="16">
        <v>0.434782608695652</v>
      </c>
      <c r="F192" s="16">
        <v>0.13868613138686101</v>
      </c>
      <c r="G192" s="16">
        <v>0.33333333333333298</v>
      </c>
      <c r="H192" s="16">
        <v>0.38332347562096603</v>
      </c>
      <c r="I192" s="16">
        <v>0.24550335196810899</v>
      </c>
      <c r="J192" s="16">
        <v>0.73484464576208297</v>
      </c>
      <c r="K192" s="16">
        <v>0.66127117453481998</v>
      </c>
      <c r="L192" s="16">
        <v>0.83371547267367296</v>
      </c>
      <c r="M192" s="16">
        <v>0.65975103734439799</v>
      </c>
      <c r="N192" s="16">
        <v>0.752</v>
      </c>
      <c r="O192" s="16">
        <v>1</v>
      </c>
      <c r="P192" s="17">
        <f t="shared" si="22"/>
        <v>0.31236176127859799</v>
      </c>
      <c r="Q192" s="17">
        <f t="shared" si="23"/>
        <v>0.74327709765685857</v>
      </c>
      <c r="R192" s="17">
        <f t="shared" si="24"/>
        <v>0.80391701244813263</v>
      </c>
      <c r="S192" s="17">
        <f>'02_지표정의'!$C$22*P192+'02_지표정의'!$C$23*Q192+'02_지표정의'!$C$24*R192</f>
        <v>0.67831800055815239</v>
      </c>
      <c r="T192" s="5">
        <f t="shared" si="25"/>
        <v>1</v>
      </c>
      <c r="U192" s="5" t="str">
        <f t="shared" si="26"/>
        <v>특허</v>
      </c>
      <c r="V192" s="18">
        <f t="shared" si="27"/>
        <v>752</v>
      </c>
      <c r="W192" s="5">
        <f t="shared" si="28"/>
        <v>530</v>
      </c>
      <c r="X192" s="5">
        <f t="shared" si="29"/>
        <v>0</v>
      </c>
      <c r="Y192" s="5">
        <f t="shared" si="30"/>
        <v>545</v>
      </c>
      <c r="Z192" s="19">
        <f t="shared" si="31"/>
        <v>63</v>
      </c>
      <c r="AA192" s="20">
        <f>ABS(S192-SUMPRODUCT(('05B_가정검정'!$A$5:$A$19=B192)*('05B_가정검정'!$B$5:$B$19=C192)*'05B_가정검정'!$E$5:$E$19))</f>
        <v>9.1396064560994139E-2</v>
      </c>
      <c r="AB192" s="20">
        <f t="shared" si="32"/>
        <v>9.7094724340468619E-2</v>
      </c>
    </row>
    <row r="193" spans="1:28">
      <c r="A193" s="15" t="s">
        <v>135</v>
      </c>
      <c r="B193" s="15" t="s">
        <v>122</v>
      </c>
      <c r="C193" s="15" t="s">
        <v>119</v>
      </c>
      <c r="D193" s="16">
        <v>0.309677419354839</v>
      </c>
      <c r="E193" s="16">
        <v>0.38427947598253298</v>
      </c>
      <c r="F193" s="16">
        <v>0.123348017621145</v>
      </c>
      <c r="G193" s="16">
        <v>0.28820960698690001</v>
      </c>
      <c r="H193" s="16">
        <v>0.36448705213681598</v>
      </c>
      <c r="I193" s="16">
        <v>0.29176163481270501</v>
      </c>
      <c r="J193" s="16">
        <v>0.74389238423586901</v>
      </c>
      <c r="K193" s="16">
        <v>0.61695983039189795</v>
      </c>
      <c r="L193" s="16">
        <v>0.84443867969086295</v>
      </c>
      <c r="M193" s="16">
        <v>0.54222222222222205</v>
      </c>
      <c r="N193" s="16">
        <v>0.55200000000000005</v>
      </c>
      <c r="O193" s="16">
        <v>1</v>
      </c>
      <c r="P193" s="17">
        <f t="shared" si="22"/>
        <v>0.29362720114915636</v>
      </c>
      <c r="Q193" s="17">
        <f t="shared" si="23"/>
        <v>0.73509696477287667</v>
      </c>
      <c r="R193" s="17">
        <f t="shared" si="24"/>
        <v>0.69807407407407407</v>
      </c>
      <c r="S193" s="17">
        <f>'02_지표정의'!$C$22*P193+'02_지표정의'!$C$23*Q193+'02_지표정의'!$C$24*R193</f>
        <v>0.63384500030355173</v>
      </c>
      <c r="T193" s="5">
        <f t="shared" si="25"/>
        <v>0</v>
      </c>
      <c r="U193" s="5" t="str">
        <f t="shared" si="26"/>
        <v>특허</v>
      </c>
      <c r="V193" s="18">
        <f t="shared" si="27"/>
        <v>546</v>
      </c>
      <c r="W193" s="5">
        <f t="shared" si="28"/>
        <v>0</v>
      </c>
      <c r="X193" s="5">
        <f t="shared" si="29"/>
        <v>249</v>
      </c>
      <c r="Y193" s="5">
        <f t="shared" si="30"/>
        <v>411</v>
      </c>
      <c r="Z193" s="19">
        <f t="shared" si="31"/>
        <v>28</v>
      </c>
      <c r="AA193" s="20">
        <f>ABS(S193-SUMPRODUCT(('05B_가정검정'!$A$5:$A$19=B193)*('05B_가정검정'!$B$5:$B$19=C193)*'05B_가정검정'!$E$5:$E$19))</f>
        <v>1.7611875978996716E-3</v>
      </c>
      <c r="AB193" s="20">
        <f t="shared" si="32"/>
        <v>2.4561339886657318E-3</v>
      </c>
    </row>
    <row r="194" spans="1:28">
      <c r="A194" s="15" t="s">
        <v>135</v>
      </c>
      <c r="B194" s="15" t="s">
        <v>123</v>
      </c>
      <c r="C194" s="15" t="s">
        <v>117</v>
      </c>
      <c r="D194" s="16">
        <v>0.27397260273972601</v>
      </c>
      <c r="E194" s="16">
        <v>0.36820083682008398</v>
      </c>
      <c r="F194" s="16">
        <v>0.14345991561181401</v>
      </c>
      <c r="G194" s="16">
        <v>0.251046025104603</v>
      </c>
      <c r="H194" s="16">
        <v>0.354375088272876</v>
      </c>
      <c r="I194" s="16">
        <v>0.24074866286927701</v>
      </c>
      <c r="J194" s="16">
        <v>0.69622975505916496</v>
      </c>
      <c r="K194" s="16">
        <v>0.65641193982224399</v>
      </c>
      <c r="L194" s="16">
        <v>0.86100408683408403</v>
      </c>
      <c r="M194" s="16">
        <v>0.90654205607476601</v>
      </c>
      <c r="N194" s="16">
        <v>0.91666666666666696</v>
      </c>
      <c r="O194" s="16">
        <v>1</v>
      </c>
      <c r="P194" s="17">
        <f t="shared" ref="P194:P257" si="33">AVERAGE(D194:I194)</f>
        <v>0.27196718856973001</v>
      </c>
      <c r="Q194" s="17">
        <f t="shared" ref="Q194:Q257" si="34">AVERAGE(J194:L194)</f>
        <v>0.73788192723849766</v>
      </c>
      <c r="R194" s="17">
        <f t="shared" ref="R194:R257" si="35">AVERAGE(M194:O194)</f>
        <v>0.94106957424714432</v>
      </c>
      <c r="S194" s="17">
        <f>'02_지표정의'!$C$22*P194+'02_지표정의'!$C$23*Q194+'02_지표정의'!$C$24*R194</f>
        <v>0.7158146559577705</v>
      </c>
      <c r="T194" s="5">
        <f t="shared" ref="T194:T257" si="36">IF(OR(AND(B194="gemini",C194="gemma"),AND(B194="qwen3_6",C194="qwen"),AND(B194="mistral",C194="ministral")),1,0)</f>
        <v>0</v>
      </c>
      <c r="U194" s="5" t="str">
        <f t="shared" ref="U194:U257" si="37">IF(LEFT(A194,3)="PAT","특허","보고서")</f>
        <v>특허</v>
      </c>
      <c r="V194" s="18">
        <f t="shared" ref="V194:V257" si="38">COUNTIF($S$2:$S$976,"&lt;"&amp;S194)+(COUNTIF($S$2:$S$976,"="&amp;S194)+1)/2</f>
        <v>862</v>
      </c>
      <c r="W194" s="5">
        <f t="shared" ref="W194:W257" si="39">IF(C194="qwen",0,COUNTIFS($C$2:$C$976,"&lt;&gt;qwen",$S$2:$S$976,"&lt;"&amp;S194)+1)</f>
        <v>573</v>
      </c>
      <c r="X194" s="5">
        <f t="shared" ref="X194:X257" si="40">IF(C194="ministral",0,COUNTIFS($C$2:$C$976,"&lt;&gt;ministral",$S$2:$S$976,"&lt;"&amp;S194)+1)</f>
        <v>537</v>
      </c>
      <c r="Y194" s="5">
        <f t="shared" ref="Y194:Y257" si="41">IF(C194="gemma",0,COUNTIFS($C$2:$C$976,"&lt;&gt;gemma",$S$2:$S$976,"&lt;"&amp;S194)+1)</f>
        <v>0</v>
      </c>
      <c r="Z194" s="19">
        <f t="shared" ref="Z194:Z257" si="42">COUNTIFS($B$2:$B$976,B194,$C$2:$C$976,C194,$S$2:$S$976,"&lt;"&amp;S194)+1</f>
        <v>34</v>
      </c>
      <c r="AA194" s="20">
        <f>ABS(S194-SUMPRODUCT(('05B_가정검정'!$A$5:$A$19=B194)*('05B_가정검정'!$B$5:$B$19=C194)*'05B_가정검정'!$E$5:$E$19))</f>
        <v>8.9177318154676222E-4</v>
      </c>
      <c r="AB194" s="20">
        <f t="shared" ref="AB194:AB257" si="43">S194-AVERAGEIFS($S$2:$S$976,$B$2:$B$976,B194,$C$2:$C$976,C194)</f>
        <v>7.8292041465273243E-3</v>
      </c>
    </row>
    <row r="195" spans="1:28">
      <c r="A195" s="15" t="s">
        <v>135</v>
      </c>
      <c r="B195" s="15" t="s">
        <v>123</v>
      </c>
      <c r="C195" s="15" t="s">
        <v>118</v>
      </c>
      <c r="D195" s="16">
        <v>0.31451612903225801</v>
      </c>
      <c r="E195" s="16">
        <v>0.37333333333333302</v>
      </c>
      <c r="F195" s="16">
        <v>0.161073825503356</v>
      </c>
      <c r="G195" s="16">
        <v>0.27333333333333298</v>
      </c>
      <c r="H195" s="16">
        <v>0.26145434224949399</v>
      </c>
      <c r="I195" s="16">
        <v>0.36792847920595201</v>
      </c>
      <c r="J195" s="16">
        <v>0.70737755667357105</v>
      </c>
      <c r="K195" s="16">
        <v>0.68327281815493301</v>
      </c>
      <c r="L195" s="16">
        <v>0.85331083245018202</v>
      </c>
      <c r="M195" s="16">
        <v>0.402489626556017</v>
      </c>
      <c r="N195" s="16">
        <v>0.46610169491525399</v>
      </c>
      <c r="O195" s="16">
        <v>1</v>
      </c>
      <c r="P195" s="17">
        <f t="shared" si="33"/>
        <v>0.29193990710962098</v>
      </c>
      <c r="Q195" s="17">
        <f t="shared" si="34"/>
        <v>0.74798706909289547</v>
      </c>
      <c r="R195" s="17">
        <f t="shared" si="35"/>
        <v>0.62286377382375702</v>
      </c>
      <c r="S195" s="17">
        <f>'02_지표정의'!$C$22*P195+'02_지표정의'!$C$23*Q195+'02_지표정의'!$C$24*R195</f>
        <v>0.61298448335204214</v>
      </c>
      <c r="T195" s="5">
        <f t="shared" si="36"/>
        <v>0</v>
      </c>
      <c r="U195" s="5" t="str">
        <f t="shared" si="37"/>
        <v>특허</v>
      </c>
      <c r="V195" s="18">
        <f t="shared" si="38"/>
        <v>451</v>
      </c>
      <c r="W195" s="5">
        <f t="shared" si="39"/>
        <v>368</v>
      </c>
      <c r="X195" s="5">
        <f t="shared" si="40"/>
        <v>0</v>
      </c>
      <c r="Y195" s="5">
        <f t="shared" si="41"/>
        <v>342</v>
      </c>
      <c r="Z195" s="19">
        <f t="shared" si="42"/>
        <v>58</v>
      </c>
      <c r="AA195" s="20">
        <f>ABS(S195-SUMPRODUCT(('05B_가정검정'!$A$5:$A$19=B195)*('05B_가정검정'!$B$5:$B$19=C195)*'05B_가정검정'!$E$5:$E$19))</f>
        <v>3.7685656473072426E-2</v>
      </c>
      <c r="AB195" s="20">
        <f t="shared" si="43"/>
        <v>5.3112875427551054E-2</v>
      </c>
    </row>
    <row r="196" spans="1:28">
      <c r="A196" s="15" t="s">
        <v>135</v>
      </c>
      <c r="B196" s="15" t="s">
        <v>123</v>
      </c>
      <c r="C196" s="15" t="s">
        <v>119</v>
      </c>
      <c r="D196" s="16">
        <v>0.36750998668442098</v>
      </c>
      <c r="E196" s="16">
        <v>0.561264822134387</v>
      </c>
      <c r="F196" s="16">
        <v>0.20717131474103601</v>
      </c>
      <c r="G196" s="16">
        <v>0.34782608695652201</v>
      </c>
      <c r="H196" s="16">
        <v>0.47821952589716599</v>
      </c>
      <c r="I196" s="16">
        <v>0.63788508998671101</v>
      </c>
      <c r="J196" s="16">
        <v>0.72655610343423604</v>
      </c>
      <c r="K196" s="16">
        <v>0.71624008719223498</v>
      </c>
      <c r="L196" s="16">
        <v>0.88145858367602303</v>
      </c>
      <c r="M196" s="16">
        <v>0.70289855072463803</v>
      </c>
      <c r="N196" s="16">
        <v>0.67901234567901203</v>
      </c>
      <c r="O196" s="16">
        <v>1</v>
      </c>
      <c r="P196" s="17">
        <f t="shared" si="33"/>
        <v>0.43331280440004044</v>
      </c>
      <c r="Q196" s="17">
        <f t="shared" si="34"/>
        <v>0.77475159143416461</v>
      </c>
      <c r="R196" s="17">
        <f t="shared" si="35"/>
        <v>0.79397029880121661</v>
      </c>
      <c r="S196" s="17">
        <f>'02_지표정의'!$C$22*P196+'02_지표정의'!$C$23*Q196+'02_지표정의'!$C$24*R196</f>
        <v>0.71319038160580794</v>
      </c>
      <c r="T196" s="5">
        <f t="shared" si="36"/>
        <v>1</v>
      </c>
      <c r="U196" s="5" t="str">
        <f t="shared" si="37"/>
        <v>특허</v>
      </c>
      <c r="V196" s="18">
        <f t="shared" si="38"/>
        <v>856</v>
      </c>
      <c r="W196" s="5">
        <f t="shared" si="39"/>
        <v>0</v>
      </c>
      <c r="X196" s="5">
        <f t="shared" si="40"/>
        <v>531</v>
      </c>
      <c r="Y196" s="5">
        <f t="shared" si="41"/>
        <v>612</v>
      </c>
      <c r="Z196" s="19">
        <f t="shared" si="42"/>
        <v>48</v>
      </c>
      <c r="AA196" s="20">
        <f>ABS(S196-SUMPRODUCT(('05B_가정검정'!$A$5:$A$19=B196)*('05B_가정검정'!$B$5:$B$19=C196)*'05B_가정검정'!$E$5:$E$19))</f>
        <v>2.7560584281580591E-2</v>
      </c>
      <c r="AB196" s="20">
        <f t="shared" si="43"/>
        <v>3.0771648560806164E-2</v>
      </c>
    </row>
    <row r="197" spans="1:28">
      <c r="A197" s="15" t="s">
        <v>136</v>
      </c>
      <c r="B197" s="15" t="s">
        <v>116</v>
      </c>
      <c r="C197" s="15" t="s">
        <v>117</v>
      </c>
      <c r="D197" s="16">
        <v>0.23154848046309701</v>
      </c>
      <c r="E197" s="16">
        <v>0.37305699481865301</v>
      </c>
      <c r="F197" s="16">
        <v>0.146596858638744</v>
      </c>
      <c r="G197" s="16">
        <v>0.31088082901554398</v>
      </c>
      <c r="H197" s="16">
        <v>0.2388678620569</v>
      </c>
      <c r="I197" s="16">
        <v>0.223342905989692</v>
      </c>
      <c r="J197" s="16">
        <v>0.66947030251232698</v>
      </c>
      <c r="K197" s="16">
        <v>0.61529217098284605</v>
      </c>
      <c r="L197" s="16">
        <v>0.74725990643947304</v>
      </c>
      <c r="M197" s="16">
        <v>0.56291390728476798</v>
      </c>
      <c r="N197" s="16">
        <v>0.23170731707317099</v>
      </c>
      <c r="O197" s="16">
        <v>1</v>
      </c>
      <c r="P197" s="17">
        <f t="shared" si="33"/>
        <v>0.25404898849710505</v>
      </c>
      <c r="Q197" s="17">
        <f t="shared" si="34"/>
        <v>0.67734079331154862</v>
      </c>
      <c r="R197" s="17">
        <f t="shared" si="35"/>
        <v>0.59820707478597968</v>
      </c>
      <c r="S197" s="17">
        <f>'02_지표정의'!$C$22*P197+'02_지표정의'!$C$23*Q197+'02_지표정의'!$C$24*R197</f>
        <v>0.56498563086471076</v>
      </c>
      <c r="T197" s="5">
        <f t="shared" si="36"/>
        <v>0</v>
      </c>
      <c r="U197" s="5" t="str">
        <f t="shared" si="37"/>
        <v>특허</v>
      </c>
      <c r="V197" s="18">
        <f t="shared" si="38"/>
        <v>268</v>
      </c>
      <c r="W197" s="5">
        <f t="shared" si="39"/>
        <v>217</v>
      </c>
      <c r="X197" s="5">
        <f t="shared" si="40"/>
        <v>103</v>
      </c>
      <c r="Y197" s="5">
        <f t="shared" si="41"/>
        <v>0</v>
      </c>
      <c r="Z197" s="19">
        <f t="shared" si="42"/>
        <v>43</v>
      </c>
      <c r="AA197" s="20">
        <f>ABS(S197-SUMPRODUCT(('05B_가정검정'!$A$5:$A$19=B197)*('05B_가정검정'!$B$5:$B$19=C197)*'05B_가정검정'!$E$5:$E$19))</f>
        <v>7.5819258797434896E-3</v>
      </c>
      <c r="AB197" s="20">
        <f t="shared" si="43"/>
        <v>1.2434465452087373E-2</v>
      </c>
    </row>
    <row r="198" spans="1:28">
      <c r="A198" s="15" t="s">
        <v>136</v>
      </c>
      <c r="B198" s="15" t="s">
        <v>116</v>
      </c>
      <c r="C198" s="15" t="s">
        <v>118</v>
      </c>
      <c r="D198" s="16">
        <v>0.32605042016806701</v>
      </c>
      <c r="E198" s="16">
        <v>0.312925170068027</v>
      </c>
      <c r="F198" s="16">
        <v>0.123287671232877</v>
      </c>
      <c r="G198" s="16">
        <v>0.238095238095238</v>
      </c>
      <c r="H198" s="16">
        <v>0.174240421007713</v>
      </c>
      <c r="I198" s="16">
        <v>0.35487578522638502</v>
      </c>
      <c r="J198" s="16">
        <v>0.67295632194632105</v>
      </c>
      <c r="K198" s="16">
        <v>0.670942715939012</v>
      </c>
      <c r="L198" s="16">
        <v>0.77489210402514896</v>
      </c>
      <c r="M198" s="16">
        <v>0.38905775075987897</v>
      </c>
      <c r="N198" s="16">
        <v>0</v>
      </c>
      <c r="O198" s="16">
        <v>0.52631578947368396</v>
      </c>
      <c r="P198" s="17">
        <f t="shared" si="33"/>
        <v>0.25491245096638454</v>
      </c>
      <c r="Q198" s="17">
        <f t="shared" si="34"/>
        <v>0.70626371397016063</v>
      </c>
      <c r="R198" s="17">
        <f t="shared" si="35"/>
        <v>0.30512451341118768</v>
      </c>
      <c r="S198" s="17">
        <f>'02_지표정의'!$C$22*P198+'02_지표정의'!$C$23*Q198+'02_지표정의'!$C$24*R198</f>
        <v>0.47559474117376488</v>
      </c>
      <c r="T198" s="5">
        <f t="shared" si="36"/>
        <v>0</v>
      </c>
      <c r="U198" s="5" t="str">
        <f t="shared" si="37"/>
        <v>특허</v>
      </c>
      <c r="V198" s="18">
        <f t="shared" si="38"/>
        <v>13</v>
      </c>
      <c r="W198" s="5">
        <f t="shared" si="39"/>
        <v>7</v>
      </c>
      <c r="X198" s="5">
        <f t="shared" si="40"/>
        <v>0</v>
      </c>
      <c r="Y198" s="5">
        <f t="shared" si="41"/>
        <v>12</v>
      </c>
      <c r="Z198" s="19">
        <f t="shared" si="42"/>
        <v>4</v>
      </c>
      <c r="AA198" s="20">
        <f>ABS(S198-SUMPRODUCT(('05B_가정검정'!$A$5:$A$19=B198)*('05B_가정검정'!$B$5:$B$19=C198)*'05B_가정검정'!$E$5:$E$19))</f>
        <v>5.5697680527956761E-2</v>
      </c>
      <c r="AB198" s="20">
        <f t="shared" si="43"/>
        <v>-5.1954291204821423E-2</v>
      </c>
    </row>
    <row r="199" spans="1:28">
      <c r="A199" s="15" t="s">
        <v>136</v>
      </c>
      <c r="B199" s="15" t="s">
        <v>116</v>
      </c>
      <c r="C199" s="15" t="s">
        <v>119</v>
      </c>
      <c r="D199" s="16">
        <v>7.4656188605108101E-2</v>
      </c>
      <c r="E199" s="16">
        <v>0.100143061516452</v>
      </c>
      <c r="F199" s="16">
        <v>1.43472022955524E-2</v>
      </c>
      <c r="G199" s="16">
        <v>5.4363376251788303E-2</v>
      </c>
      <c r="H199" s="16">
        <v>6.9992813793946104E-2</v>
      </c>
      <c r="I199" s="16">
        <v>7.6467420075335593E-2</v>
      </c>
      <c r="J199" s="16">
        <v>0.56117343581458001</v>
      </c>
      <c r="K199" s="16">
        <v>0.48182324343118299</v>
      </c>
      <c r="L199" s="16">
        <v>0.69338921073062598</v>
      </c>
      <c r="M199" s="16">
        <v>1.32450331125827E-2</v>
      </c>
      <c r="N199" s="16">
        <v>0</v>
      </c>
      <c r="O199" s="16">
        <v>0</v>
      </c>
      <c r="P199" s="17">
        <f t="shared" si="33"/>
        <v>6.4995010423030422E-2</v>
      </c>
      <c r="Q199" s="17">
        <f t="shared" si="34"/>
        <v>0.57879529665879625</v>
      </c>
      <c r="R199" s="17">
        <f t="shared" si="35"/>
        <v>4.4150110375275669E-3</v>
      </c>
      <c r="S199" s="17">
        <f>'02_지표정의'!$C$22*P199+'02_지표정의'!$C$23*Q199+'02_지표정의'!$C$24*R199</f>
        <v>0.27500213944419905</v>
      </c>
      <c r="T199" s="5">
        <f t="shared" si="36"/>
        <v>0</v>
      </c>
      <c r="U199" s="5" t="str">
        <f t="shared" si="37"/>
        <v>특허</v>
      </c>
      <c r="V199" s="18">
        <f t="shared" si="38"/>
        <v>1</v>
      </c>
      <c r="W199" s="5">
        <f t="shared" si="39"/>
        <v>0</v>
      </c>
      <c r="X199" s="5">
        <f t="shared" si="40"/>
        <v>1</v>
      </c>
      <c r="Y199" s="5">
        <f t="shared" si="41"/>
        <v>1</v>
      </c>
      <c r="Z199" s="19">
        <f t="shared" si="42"/>
        <v>1</v>
      </c>
      <c r="AA199" s="20">
        <f>ABS(S199-SUMPRODUCT(('05B_가정검정'!$A$5:$A$19=B199)*('05B_가정검정'!$B$5:$B$19=C199)*'05B_가정검정'!$E$5:$E$19))</f>
        <v>0.27802137729858356</v>
      </c>
      <c r="AB199" s="20">
        <f t="shared" si="43"/>
        <v>-0.28145034423198101</v>
      </c>
    </row>
    <row r="200" spans="1:28">
      <c r="A200" s="15" t="s">
        <v>136</v>
      </c>
      <c r="B200" s="15" t="s">
        <v>120</v>
      </c>
      <c r="C200" s="15" t="s">
        <v>117</v>
      </c>
      <c r="D200" s="16">
        <v>0.264478764478765</v>
      </c>
      <c r="E200" s="16">
        <v>0.34666666666666701</v>
      </c>
      <c r="F200" s="16">
        <v>0.12751677852349</v>
      </c>
      <c r="G200" s="16">
        <v>0.25333333333333302</v>
      </c>
      <c r="H200" s="16">
        <v>0.310438990834222</v>
      </c>
      <c r="I200" s="16">
        <v>0.206866255178732</v>
      </c>
      <c r="J200" s="16">
        <v>0.69853966792553202</v>
      </c>
      <c r="K200" s="16">
        <v>0.67732170437147099</v>
      </c>
      <c r="L200" s="16">
        <v>0.85824561981096503</v>
      </c>
      <c r="M200" s="16">
        <v>0.56707317073170704</v>
      </c>
      <c r="N200" s="16">
        <v>0.52127659574468099</v>
      </c>
      <c r="O200" s="16">
        <v>1</v>
      </c>
      <c r="P200" s="17">
        <f t="shared" si="33"/>
        <v>0.25155013150253486</v>
      </c>
      <c r="Q200" s="17">
        <f t="shared" si="34"/>
        <v>0.74470233070265601</v>
      </c>
      <c r="R200" s="17">
        <f t="shared" si="35"/>
        <v>0.69611658882546268</v>
      </c>
      <c r="S200" s="17">
        <f>'02_지표정의'!$C$22*P200+'02_지표정의'!$C$23*Q200+'02_지표정의'!$C$24*R200</f>
        <v>0.62906688120561416</v>
      </c>
      <c r="T200" s="5">
        <f t="shared" si="36"/>
        <v>0</v>
      </c>
      <c r="U200" s="5" t="str">
        <f t="shared" si="37"/>
        <v>특허</v>
      </c>
      <c r="V200" s="18">
        <f t="shared" si="38"/>
        <v>524</v>
      </c>
      <c r="W200" s="5">
        <f t="shared" si="39"/>
        <v>421</v>
      </c>
      <c r="X200" s="5">
        <f t="shared" si="40"/>
        <v>232</v>
      </c>
      <c r="Y200" s="5">
        <f t="shared" si="41"/>
        <v>0</v>
      </c>
      <c r="Z200" s="19">
        <f t="shared" si="42"/>
        <v>34</v>
      </c>
      <c r="AA200" s="20">
        <f>ABS(S200-SUMPRODUCT(('05B_가정검정'!$A$5:$A$19=B200)*('05B_가정검정'!$B$5:$B$19=C200)*'05B_가정검정'!$E$5:$E$19))</f>
        <v>1.0179211484930839E-3</v>
      </c>
      <c r="AB200" s="20">
        <f t="shared" si="43"/>
        <v>-2.23582221914298E-3</v>
      </c>
    </row>
    <row r="201" spans="1:28">
      <c r="A201" s="15" t="s">
        <v>136</v>
      </c>
      <c r="B201" s="15" t="s">
        <v>120</v>
      </c>
      <c r="C201" s="15" t="s">
        <v>118</v>
      </c>
      <c r="D201" s="16">
        <v>0.25531914893617003</v>
      </c>
      <c r="E201" s="16">
        <v>0.32917705735660902</v>
      </c>
      <c r="F201" s="16">
        <v>0.105263157894737</v>
      </c>
      <c r="G201" s="16">
        <v>0.23441396508728199</v>
      </c>
      <c r="H201" s="16">
        <v>0.31688364240772698</v>
      </c>
      <c r="I201" s="16">
        <v>0.31035483561212102</v>
      </c>
      <c r="J201" s="16">
        <v>0.68657554554624101</v>
      </c>
      <c r="K201" s="16">
        <v>0.68413608305822804</v>
      </c>
      <c r="L201" s="16">
        <v>0.84077841570391698</v>
      </c>
      <c r="M201" s="16">
        <v>0.45592705167173297</v>
      </c>
      <c r="N201" s="16">
        <v>0.2</v>
      </c>
      <c r="O201" s="16">
        <v>0.52631578947368396</v>
      </c>
      <c r="P201" s="17">
        <f t="shared" si="33"/>
        <v>0.25856863454910767</v>
      </c>
      <c r="Q201" s="17">
        <f t="shared" si="34"/>
        <v>0.73716334810279527</v>
      </c>
      <c r="R201" s="17">
        <f t="shared" si="35"/>
        <v>0.3940809470484723</v>
      </c>
      <c r="S201" s="17">
        <f>'02_지표정의'!$C$22*P201+'02_지표정의'!$C$23*Q201+'02_지표정의'!$C$24*R201</f>
        <v>0.52136556502304465</v>
      </c>
      <c r="T201" s="5">
        <f t="shared" si="36"/>
        <v>0</v>
      </c>
      <c r="U201" s="5" t="str">
        <f t="shared" si="37"/>
        <v>특허</v>
      </c>
      <c r="V201" s="18">
        <f t="shared" si="38"/>
        <v>98</v>
      </c>
      <c r="W201" s="5">
        <f t="shared" si="39"/>
        <v>89</v>
      </c>
      <c r="X201" s="5">
        <f t="shared" si="40"/>
        <v>0</v>
      </c>
      <c r="Y201" s="5">
        <f t="shared" si="41"/>
        <v>90</v>
      </c>
      <c r="Z201" s="19">
        <f t="shared" si="42"/>
        <v>14</v>
      </c>
      <c r="AA201" s="20">
        <f>ABS(S201-SUMPRODUCT(('05B_가정검정'!$A$5:$A$19=B201)*('05B_가정검정'!$B$5:$B$19=C201)*'05B_가정검정'!$E$5:$E$19))</f>
        <v>6.9463283558583333E-2</v>
      </c>
      <c r="AB201" s="20">
        <f t="shared" si="43"/>
        <v>-5.3525210939066148E-2</v>
      </c>
    </row>
    <row r="202" spans="1:28">
      <c r="A202" s="15" t="s">
        <v>136</v>
      </c>
      <c r="B202" s="15" t="s">
        <v>120</v>
      </c>
      <c r="C202" s="15" t="s">
        <v>119</v>
      </c>
      <c r="D202" s="16">
        <v>8.8992974238875894E-2</v>
      </c>
      <c r="E202" s="16">
        <v>0.166253101736973</v>
      </c>
      <c r="F202" s="16">
        <v>2.2388059701492501E-2</v>
      </c>
      <c r="G202" s="16">
        <v>9.6774193548387094E-2</v>
      </c>
      <c r="H202" s="16">
        <v>5.2210194127392202E-2</v>
      </c>
      <c r="I202" s="16">
        <v>0.112171302703408</v>
      </c>
      <c r="J202" s="16">
        <v>0.612960722854757</v>
      </c>
      <c r="K202" s="16">
        <v>0.49047489819466</v>
      </c>
      <c r="L202" s="16">
        <v>0.74296926552227405</v>
      </c>
      <c r="M202" s="16">
        <v>1.21951219512195E-2</v>
      </c>
      <c r="N202" s="16">
        <v>0</v>
      </c>
      <c r="O202" s="16">
        <v>0</v>
      </c>
      <c r="P202" s="17">
        <f t="shared" si="33"/>
        <v>8.9798304342754778E-2</v>
      </c>
      <c r="Q202" s="17">
        <f t="shared" si="34"/>
        <v>0.61546829552389692</v>
      </c>
      <c r="R202" s="17">
        <f t="shared" si="35"/>
        <v>4.0650406504065002E-3</v>
      </c>
      <c r="S202" s="17">
        <f>'02_지표정의'!$C$22*P202+'02_지표정의'!$C$23*Q202+'02_지표정의'!$C$24*R202</f>
        <v>0.29634315808194683</v>
      </c>
      <c r="T202" s="5">
        <f t="shared" si="36"/>
        <v>0</v>
      </c>
      <c r="U202" s="5" t="str">
        <f t="shared" si="37"/>
        <v>특허</v>
      </c>
      <c r="V202" s="18">
        <f t="shared" si="38"/>
        <v>3</v>
      </c>
      <c r="W202" s="5">
        <f t="shared" si="39"/>
        <v>0</v>
      </c>
      <c r="X202" s="5">
        <f t="shared" si="40"/>
        <v>3</v>
      </c>
      <c r="Y202" s="5">
        <f t="shared" si="41"/>
        <v>3</v>
      </c>
      <c r="Z202" s="19">
        <f t="shared" si="42"/>
        <v>1</v>
      </c>
      <c r="AA202" s="20">
        <f>ABS(S202-SUMPRODUCT(('05B_가정검정'!$A$5:$A$19=B202)*('05B_가정검정'!$B$5:$B$19=C202)*'05B_가정검정'!$E$5:$E$19))</f>
        <v>0.36733415839943945</v>
      </c>
      <c r="AB202" s="20">
        <f t="shared" si="43"/>
        <v>-0.36207984942886878</v>
      </c>
    </row>
    <row r="203" spans="1:28">
      <c r="A203" s="15" t="s">
        <v>136</v>
      </c>
      <c r="B203" s="15" t="s">
        <v>121</v>
      </c>
      <c r="C203" s="15" t="s">
        <v>117</v>
      </c>
      <c r="D203" s="16">
        <v>0.23947368421052601</v>
      </c>
      <c r="E203" s="16">
        <v>0.30769230769230799</v>
      </c>
      <c r="F203" s="16">
        <v>8.7378640776699004E-2</v>
      </c>
      <c r="G203" s="16">
        <v>0.21153846153846201</v>
      </c>
      <c r="H203" s="16">
        <v>0.30994687321766001</v>
      </c>
      <c r="I203" s="16">
        <v>0.17053097579601401</v>
      </c>
      <c r="J203" s="16">
        <v>0.74185087632008695</v>
      </c>
      <c r="K203" s="16">
        <v>0.762014575905272</v>
      </c>
      <c r="L203" s="16">
        <v>0.88435991048038098</v>
      </c>
      <c r="M203" s="16">
        <v>0.90654205607476601</v>
      </c>
      <c r="N203" s="16">
        <v>0.91666666666666696</v>
      </c>
      <c r="O203" s="16">
        <v>1</v>
      </c>
      <c r="P203" s="17">
        <f t="shared" si="33"/>
        <v>0.22109349053861149</v>
      </c>
      <c r="Q203" s="17">
        <f t="shared" si="34"/>
        <v>0.79607512090191335</v>
      </c>
      <c r="R203" s="17">
        <f t="shared" si="35"/>
        <v>0.94106957424714432</v>
      </c>
      <c r="S203" s="17">
        <f>'02_지표정의'!$C$22*P203+'02_지표정의'!$C$23*Q203+'02_지표정의'!$C$24*R203</f>
        <v>0.73182685350008381</v>
      </c>
      <c r="T203" s="5">
        <f t="shared" si="36"/>
        <v>1</v>
      </c>
      <c r="U203" s="5" t="str">
        <f t="shared" si="37"/>
        <v>특허</v>
      </c>
      <c r="V203" s="18">
        <f t="shared" si="38"/>
        <v>907</v>
      </c>
      <c r="W203" s="5">
        <f t="shared" si="39"/>
        <v>612</v>
      </c>
      <c r="X203" s="5">
        <f t="shared" si="40"/>
        <v>582</v>
      </c>
      <c r="Y203" s="5">
        <f t="shared" si="41"/>
        <v>0</v>
      </c>
      <c r="Z203" s="19">
        <f t="shared" si="42"/>
        <v>37</v>
      </c>
      <c r="AA203" s="20">
        <f>ABS(S203-SUMPRODUCT(('05B_가정검정'!$A$5:$A$19=B203)*('05B_가정검정'!$B$5:$B$19=C203)*'05B_가정검정'!$E$5:$E$19))</f>
        <v>2.3947821182026541E-3</v>
      </c>
      <c r="AB203" s="20">
        <f t="shared" si="43"/>
        <v>1.4175060427202846E-2</v>
      </c>
    </row>
    <row r="204" spans="1:28">
      <c r="A204" s="15" t="s">
        <v>136</v>
      </c>
      <c r="B204" s="15" t="s">
        <v>121</v>
      </c>
      <c r="C204" s="15" t="s">
        <v>118</v>
      </c>
      <c r="D204" s="16">
        <v>0.25903614457831298</v>
      </c>
      <c r="E204" s="16">
        <v>0.25242718446601897</v>
      </c>
      <c r="F204" s="16">
        <v>8.4690553745928404E-2</v>
      </c>
      <c r="G204" s="16">
        <v>0.187702265372168</v>
      </c>
      <c r="H204" s="16">
        <v>0.21709619606760799</v>
      </c>
      <c r="I204" s="16">
        <v>0.26971923355891603</v>
      </c>
      <c r="J204" s="16">
        <v>0.72952423265663602</v>
      </c>
      <c r="K204" s="16">
        <v>0.75565669920118905</v>
      </c>
      <c r="L204" s="16">
        <v>0.87998033248093999</v>
      </c>
      <c r="M204" s="16">
        <v>0.29483282674771999</v>
      </c>
      <c r="N204" s="16">
        <v>0.24666666666666701</v>
      </c>
      <c r="O204" s="16">
        <v>0.52631578947368396</v>
      </c>
      <c r="P204" s="17">
        <f t="shared" si="33"/>
        <v>0.21177859629815873</v>
      </c>
      <c r="Q204" s="17">
        <f t="shared" si="34"/>
        <v>0.78838708811292169</v>
      </c>
      <c r="R204" s="17">
        <f t="shared" si="35"/>
        <v>0.35593842762935696</v>
      </c>
      <c r="S204" s="17">
        <f>'02_지표정의'!$C$22*P204+'02_지표정의'!$C$23*Q204+'02_지표정의'!$C$24*R204</f>
        <v>0.5217083585807214</v>
      </c>
      <c r="T204" s="5">
        <f t="shared" si="36"/>
        <v>0</v>
      </c>
      <c r="U204" s="5" t="str">
        <f t="shared" si="37"/>
        <v>특허</v>
      </c>
      <c r="V204" s="18">
        <f t="shared" si="38"/>
        <v>99</v>
      </c>
      <c r="W204" s="5">
        <f t="shared" si="39"/>
        <v>90</v>
      </c>
      <c r="X204" s="5">
        <f t="shared" si="40"/>
        <v>0</v>
      </c>
      <c r="Y204" s="5">
        <f t="shared" si="41"/>
        <v>91</v>
      </c>
      <c r="Z204" s="19">
        <f t="shared" si="42"/>
        <v>7</v>
      </c>
      <c r="AA204" s="20">
        <f>ABS(S204-SUMPRODUCT(('05B_가정검정'!$A$5:$A$19=B204)*('05B_가정검정'!$B$5:$B$19=C204)*'05B_가정검정'!$E$5:$E$19))</f>
        <v>7.6871131586247032E-2</v>
      </c>
      <c r="AB204" s="20">
        <f t="shared" si="43"/>
        <v>-5.7690715946091875E-2</v>
      </c>
    </row>
    <row r="205" spans="1:28">
      <c r="A205" s="15" t="s">
        <v>136</v>
      </c>
      <c r="B205" s="15" t="s">
        <v>121</v>
      </c>
      <c r="C205" s="15" t="s">
        <v>119</v>
      </c>
      <c r="D205" s="16">
        <v>7.9584775086505202E-2</v>
      </c>
      <c r="E205" s="16">
        <v>0.106442577030812</v>
      </c>
      <c r="F205" s="16">
        <v>2.5280898876404501E-2</v>
      </c>
      <c r="G205" s="16">
        <v>7.5630252100840303E-2</v>
      </c>
      <c r="H205" s="16">
        <v>9.4402894536871299E-2</v>
      </c>
      <c r="I205" s="16">
        <v>0.13835402200803201</v>
      </c>
      <c r="J205" s="16">
        <v>0.63038229168131099</v>
      </c>
      <c r="K205" s="16">
        <v>0.53740658726101598</v>
      </c>
      <c r="L205" s="16">
        <v>0.77260407269250098</v>
      </c>
      <c r="M205" s="16">
        <v>4.1237113402061799E-2</v>
      </c>
      <c r="N205" s="16">
        <v>0</v>
      </c>
      <c r="O205" s="16">
        <v>0</v>
      </c>
      <c r="P205" s="17">
        <f t="shared" si="33"/>
        <v>8.6615903273244213E-2</v>
      </c>
      <c r="Q205" s="17">
        <f t="shared" si="34"/>
        <v>0.64679765054494265</v>
      </c>
      <c r="R205" s="17">
        <f t="shared" si="35"/>
        <v>1.3745704467353933E-2</v>
      </c>
      <c r="S205" s="17">
        <f>'02_지표정의'!$C$22*P205+'02_지표정의'!$C$23*Q205+'02_지표정의'!$C$24*R205</f>
        <v>0.3131931199634469</v>
      </c>
      <c r="T205" s="5">
        <f t="shared" si="36"/>
        <v>0</v>
      </c>
      <c r="U205" s="5" t="str">
        <f t="shared" si="37"/>
        <v>특허</v>
      </c>
      <c r="V205" s="18">
        <f t="shared" si="38"/>
        <v>5</v>
      </c>
      <c r="W205" s="5">
        <f t="shared" si="39"/>
        <v>0</v>
      </c>
      <c r="X205" s="5">
        <f t="shared" si="40"/>
        <v>5</v>
      </c>
      <c r="Y205" s="5">
        <f t="shared" si="41"/>
        <v>5</v>
      </c>
      <c r="Z205" s="19">
        <f t="shared" si="42"/>
        <v>1</v>
      </c>
      <c r="AA205" s="20">
        <f>ABS(S205-SUMPRODUCT(('05B_가정검정'!$A$5:$A$19=B205)*('05B_가정검정'!$B$5:$B$19=C205)*'05B_가정검정'!$E$5:$E$19))</f>
        <v>0.37912672283240678</v>
      </c>
      <c r="AB205" s="20">
        <f t="shared" si="43"/>
        <v>-0.37504385545616414</v>
      </c>
    </row>
    <row r="206" spans="1:28">
      <c r="A206" s="15" t="s">
        <v>136</v>
      </c>
      <c r="B206" s="15" t="s">
        <v>122</v>
      </c>
      <c r="C206" s="15" t="s">
        <v>117</v>
      </c>
      <c r="D206" s="16">
        <v>0.20911528150134101</v>
      </c>
      <c r="E206" s="16">
        <v>0.27586206896551702</v>
      </c>
      <c r="F206" s="16">
        <v>9.9502487562189101E-2</v>
      </c>
      <c r="G206" s="16">
        <v>0.216748768472906</v>
      </c>
      <c r="H206" s="16">
        <v>0.27056953812691098</v>
      </c>
      <c r="I206" s="16">
        <v>0.160913742597765</v>
      </c>
      <c r="J206" s="16">
        <v>0.70297471807756495</v>
      </c>
      <c r="K206" s="16">
        <v>0.65431130238913804</v>
      </c>
      <c r="L206" s="16">
        <v>0.79351222536217902</v>
      </c>
      <c r="M206" s="16">
        <v>0.747899159663866</v>
      </c>
      <c r="N206" s="16">
        <v>0.74242424242424199</v>
      </c>
      <c r="O206" s="16">
        <v>1</v>
      </c>
      <c r="P206" s="17">
        <f t="shared" si="33"/>
        <v>0.20545198120443819</v>
      </c>
      <c r="Q206" s="17">
        <f t="shared" si="34"/>
        <v>0.71693274860962741</v>
      </c>
      <c r="R206" s="17">
        <f t="shared" si="35"/>
        <v>0.83010780069603596</v>
      </c>
      <c r="S206" s="17">
        <f>'02_지표정의'!$C$22*P206+'02_지표정의'!$C$23*Q206+'02_지표정의'!$C$24*R206</f>
        <v>0.65424786335883245</v>
      </c>
      <c r="T206" s="5">
        <f t="shared" si="36"/>
        <v>0</v>
      </c>
      <c r="U206" s="5" t="str">
        <f t="shared" si="37"/>
        <v>특허</v>
      </c>
      <c r="V206" s="18">
        <f t="shared" si="38"/>
        <v>638</v>
      </c>
      <c r="W206" s="5">
        <f t="shared" si="39"/>
        <v>481</v>
      </c>
      <c r="X206" s="5">
        <f t="shared" si="40"/>
        <v>320</v>
      </c>
      <c r="Y206" s="5">
        <f t="shared" si="41"/>
        <v>0</v>
      </c>
      <c r="Z206" s="19">
        <f t="shared" si="42"/>
        <v>44</v>
      </c>
      <c r="AA206" s="20">
        <f>ABS(S206-SUMPRODUCT(('05B_가정검정'!$A$5:$A$19=B206)*('05B_가정검정'!$B$5:$B$19=C206)*'05B_가정검정'!$E$5:$E$19))</f>
        <v>1.4894908650153971E-2</v>
      </c>
      <c r="AB206" s="20">
        <f t="shared" si="43"/>
        <v>3.1366241169186293E-2</v>
      </c>
    </row>
    <row r="207" spans="1:28">
      <c r="A207" s="15" t="s">
        <v>136</v>
      </c>
      <c r="B207" s="15" t="s">
        <v>122</v>
      </c>
      <c r="C207" s="15" t="s">
        <v>118</v>
      </c>
      <c r="D207" s="16">
        <v>0.30461538461538501</v>
      </c>
      <c r="E207" s="16">
        <v>0.25657894736842102</v>
      </c>
      <c r="F207" s="16">
        <v>8.6092715231788103E-2</v>
      </c>
      <c r="G207" s="16">
        <v>0.18421052631578999</v>
      </c>
      <c r="H207" s="16">
        <v>0.213741393076127</v>
      </c>
      <c r="I207" s="16">
        <v>0.29462470607737001</v>
      </c>
      <c r="J207" s="16">
        <v>0.69634678091159397</v>
      </c>
      <c r="K207" s="16">
        <v>0.66876377235879403</v>
      </c>
      <c r="L207" s="16">
        <v>0.79405196597205896</v>
      </c>
      <c r="M207" s="16">
        <v>0.34346504559270502</v>
      </c>
      <c r="N207" s="16">
        <v>0.193333333333333</v>
      </c>
      <c r="O207" s="16">
        <v>0.52631578947368396</v>
      </c>
      <c r="P207" s="17">
        <f t="shared" si="33"/>
        <v>0.22331061211414682</v>
      </c>
      <c r="Q207" s="17">
        <f t="shared" si="34"/>
        <v>0.71972083974748235</v>
      </c>
      <c r="R207" s="17">
        <f t="shared" si="35"/>
        <v>0.35437138946657393</v>
      </c>
      <c r="S207" s="17">
        <f>'02_지표정의'!$C$22*P207+'02_지표정의'!$C$23*Q207+'02_지표정의'!$C$24*R207</f>
        <v>0.4925664866224973</v>
      </c>
      <c r="T207" s="5">
        <f t="shared" si="36"/>
        <v>1</v>
      </c>
      <c r="U207" s="5" t="str">
        <f t="shared" si="37"/>
        <v>특허</v>
      </c>
      <c r="V207" s="18">
        <f t="shared" si="38"/>
        <v>35</v>
      </c>
      <c r="W207" s="5">
        <f t="shared" si="39"/>
        <v>29</v>
      </c>
      <c r="X207" s="5">
        <f t="shared" si="40"/>
        <v>0</v>
      </c>
      <c r="Y207" s="5">
        <f t="shared" si="41"/>
        <v>31</v>
      </c>
      <c r="Z207" s="19">
        <f t="shared" si="42"/>
        <v>2</v>
      </c>
      <c r="AA207" s="20">
        <f>ABS(S207-SUMPRODUCT(('05B_가정검정'!$A$5:$A$19=B207)*('05B_가정검정'!$B$5:$B$19=C207)*'05B_가정검정'!$E$5:$E$19))</f>
        <v>9.4355449374660949E-2</v>
      </c>
      <c r="AB207" s="20">
        <f t="shared" si="43"/>
        <v>-8.8656789595186469E-2</v>
      </c>
    </row>
    <row r="208" spans="1:28">
      <c r="A208" s="15" t="s">
        <v>136</v>
      </c>
      <c r="B208" s="15" t="s">
        <v>122</v>
      </c>
      <c r="C208" s="15" t="s">
        <v>119</v>
      </c>
      <c r="D208" s="16">
        <v>6.0283687943262401E-2</v>
      </c>
      <c r="E208" s="16">
        <v>9.3088857545839204E-2</v>
      </c>
      <c r="F208" s="16">
        <v>1.9801980198019799E-2</v>
      </c>
      <c r="G208" s="16">
        <v>5.6417489421720701E-2</v>
      </c>
      <c r="H208" s="16">
        <v>7.8383282922632705E-2</v>
      </c>
      <c r="I208" s="16">
        <v>1.40703799969351E-2</v>
      </c>
      <c r="J208" s="16">
        <v>0.59159310738376203</v>
      </c>
      <c r="K208" s="16">
        <v>0.49585820885387899</v>
      </c>
      <c r="L208" s="16">
        <v>0.71247830458321604</v>
      </c>
      <c r="M208" s="16">
        <v>1.6806722689075699E-2</v>
      </c>
      <c r="N208" s="16">
        <v>0</v>
      </c>
      <c r="O208" s="16">
        <v>0</v>
      </c>
      <c r="P208" s="17">
        <f t="shared" si="33"/>
        <v>5.3674279671401655E-2</v>
      </c>
      <c r="Q208" s="17">
        <f t="shared" si="34"/>
        <v>0.59997654027361902</v>
      </c>
      <c r="R208" s="17">
        <f t="shared" si="35"/>
        <v>5.602240896358566E-3</v>
      </c>
      <c r="S208" s="17">
        <f>'02_지표정의'!$C$22*P208+'02_지표정의'!$C$23*Q208+'02_지표정의'!$C$24*R208</f>
        <v>0.28268508337113435</v>
      </c>
      <c r="T208" s="5">
        <f t="shared" si="36"/>
        <v>0</v>
      </c>
      <c r="U208" s="5" t="str">
        <f t="shared" si="37"/>
        <v>특허</v>
      </c>
      <c r="V208" s="18">
        <f t="shared" si="38"/>
        <v>2</v>
      </c>
      <c r="W208" s="5">
        <f t="shared" si="39"/>
        <v>0</v>
      </c>
      <c r="X208" s="5">
        <f t="shared" si="40"/>
        <v>2</v>
      </c>
      <c r="Y208" s="5">
        <f t="shared" si="41"/>
        <v>2</v>
      </c>
      <c r="Z208" s="19">
        <f t="shared" si="42"/>
        <v>1</v>
      </c>
      <c r="AA208" s="20">
        <f>ABS(S208-SUMPRODUCT(('05B_가정검정'!$A$5:$A$19=B208)*('05B_가정검정'!$B$5:$B$19=C208)*'05B_가정검정'!$E$5:$E$19))</f>
        <v>0.35292110453031705</v>
      </c>
      <c r="AB208" s="20">
        <f t="shared" si="43"/>
        <v>-0.34870378294375165</v>
      </c>
    </row>
    <row r="209" spans="1:28">
      <c r="A209" s="15" t="s">
        <v>136</v>
      </c>
      <c r="B209" s="15" t="s">
        <v>123</v>
      </c>
      <c r="C209" s="15" t="s">
        <v>117</v>
      </c>
      <c r="D209" s="16">
        <v>0.24569460390355899</v>
      </c>
      <c r="E209" s="16">
        <v>0.35146443514644399</v>
      </c>
      <c r="F209" s="16">
        <v>0.118143459915612</v>
      </c>
      <c r="G209" s="16">
        <v>0.26778242677824299</v>
      </c>
      <c r="H209" s="16">
        <v>0.34004519627552598</v>
      </c>
      <c r="I209" s="16">
        <v>0.200623062211369</v>
      </c>
      <c r="J209" s="16">
        <v>0.70201623661831702</v>
      </c>
      <c r="K209" s="16">
        <v>0.70136477013143494</v>
      </c>
      <c r="L209" s="16">
        <v>0.88503593688982696</v>
      </c>
      <c r="M209" s="16">
        <v>0.88785046728971995</v>
      </c>
      <c r="N209" s="16">
        <v>0.9</v>
      </c>
      <c r="O209" s="16">
        <v>1</v>
      </c>
      <c r="P209" s="17">
        <f t="shared" si="33"/>
        <v>0.25395886403845885</v>
      </c>
      <c r="Q209" s="17">
        <f t="shared" si="34"/>
        <v>0.76280564787985961</v>
      </c>
      <c r="R209" s="17">
        <f t="shared" si="35"/>
        <v>0.92928348909657332</v>
      </c>
      <c r="S209" s="17">
        <f>'02_지표정의'!$C$22*P209+'02_지표정의'!$C$23*Q209+'02_지표정의'!$C$24*R209</f>
        <v>0.71930353553742921</v>
      </c>
      <c r="T209" s="5">
        <f t="shared" si="36"/>
        <v>0</v>
      </c>
      <c r="U209" s="5" t="str">
        <f t="shared" si="37"/>
        <v>특허</v>
      </c>
      <c r="V209" s="18">
        <f t="shared" si="38"/>
        <v>876</v>
      </c>
      <c r="W209" s="5">
        <f t="shared" si="39"/>
        <v>584</v>
      </c>
      <c r="X209" s="5">
        <f t="shared" si="40"/>
        <v>551</v>
      </c>
      <c r="Y209" s="5">
        <f t="shared" si="41"/>
        <v>0</v>
      </c>
      <c r="Z209" s="19">
        <f t="shared" si="42"/>
        <v>41</v>
      </c>
      <c r="AA209" s="20">
        <f>ABS(S209-SUMPRODUCT(('05B_가정검정'!$A$5:$A$19=B209)*('05B_가정검정'!$B$5:$B$19=C209)*'05B_가정검정'!$E$5:$E$19))</f>
        <v>4.3806527612054724E-3</v>
      </c>
      <c r="AB209" s="20">
        <f t="shared" si="43"/>
        <v>1.1318083726186035E-2</v>
      </c>
    </row>
    <row r="210" spans="1:28">
      <c r="A210" s="15" t="s">
        <v>136</v>
      </c>
      <c r="B210" s="15" t="s">
        <v>123</v>
      </c>
      <c r="C210" s="15" t="s">
        <v>118</v>
      </c>
      <c r="D210" s="16">
        <v>0.28387096774193599</v>
      </c>
      <c r="E210" s="16">
        <v>0.28235294117647097</v>
      </c>
      <c r="F210" s="16">
        <v>0.100591715976331</v>
      </c>
      <c r="G210" s="16">
        <v>0.23529411764705899</v>
      </c>
      <c r="H210" s="16">
        <v>0.24519137684039899</v>
      </c>
      <c r="I210" s="16">
        <v>0.26703572053824298</v>
      </c>
      <c r="J210" s="16">
        <v>0.70952596658632705</v>
      </c>
      <c r="K210" s="16">
        <v>0.66129800132227201</v>
      </c>
      <c r="L210" s="16">
        <v>0.82811794801823702</v>
      </c>
      <c r="M210" s="16">
        <v>0.30091185410334298</v>
      </c>
      <c r="N210" s="16">
        <v>0.25333333333333302</v>
      </c>
      <c r="O210" s="16">
        <v>0.52631578947368396</v>
      </c>
      <c r="P210" s="17">
        <f t="shared" si="33"/>
        <v>0.23572280665340647</v>
      </c>
      <c r="Q210" s="17">
        <f t="shared" si="34"/>
        <v>0.73298063864227869</v>
      </c>
      <c r="R210" s="17">
        <f t="shared" si="35"/>
        <v>0.3601869923034533</v>
      </c>
      <c r="S210" s="17">
        <f>'02_지표정의'!$C$22*P210+'02_지표정의'!$C$23*Q210+'02_지표정의'!$C$24*R210</f>
        <v>0.50305129602591536</v>
      </c>
      <c r="T210" s="5">
        <f t="shared" si="36"/>
        <v>0</v>
      </c>
      <c r="U210" s="5" t="str">
        <f t="shared" si="37"/>
        <v>특허</v>
      </c>
      <c r="V210" s="18">
        <f t="shared" si="38"/>
        <v>50</v>
      </c>
      <c r="W210" s="5">
        <f t="shared" si="39"/>
        <v>44</v>
      </c>
      <c r="X210" s="5">
        <f t="shared" si="40"/>
        <v>0</v>
      </c>
      <c r="Y210" s="5">
        <f t="shared" si="41"/>
        <v>44</v>
      </c>
      <c r="Z210" s="19">
        <f t="shared" si="42"/>
        <v>11</v>
      </c>
      <c r="AA210" s="20">
        <f>ABS(S210-SUMPRODUCT(('05B_가정검정'!$A$5:$A$19=B210)*('05B_가정검정'!$B$5:$B$19=C210)*'05B_가정검정'!$E$5:$E$19))</f>
        <v>7.2247530853054354E-2</v>
      </c>
      <c r="AB210" s="20">
        <f t="shared" si="43"/>
        <v>-5.6820311898575726E-2</v>
      </c>
    </row>
    <row r="211" spans="1:28">
      <c r="A211" s="15" t="s">
        <v>136</v>
      </c>
      <c r="B211" s="15" t="s">
        <v>123</v>
      </c>
      <c r="C211" s="15" t="s">
        <v>119</v>
      </c>
      <c r="D211" s="16">
        <v>9.5791001451378796E-2</v>
      </c>
      <c r="E211" s="16">
        <v>0.15033557046979901</v>
      </c>
      <c r="F211" s="16">
        <v>3.7685060565275902E-2</v>
      </c>
      <c r="G211" s="16">
        <v>9.3959731543624206E-2</v>
      </c>
      <c r="H211" s="16">
        <v>0.10901057185733901</v>
      </c>
      <c r="I211" s="16">
        <v>0.12864436194321199</v>
      </c>
      <c r="J211" s="16">
        <v>0.62022244552434702</v>
      </c>
      <c r="K211" s="16">
        <v>0.48383559765051998</v>
      </c>
      <c r="L211" s="16">
        <v>0.74775856070258595</v>
      </c>
      <c r="M211" s="16">
        <v>3.9603960396039598E-2</v>
      </c>
      <c r="N211" s="16">
        <v>0</v>
      </c>
      <c r="O211" s="16">
        <v>0</v>
      </c>
      <c r="P211" s="17">
        <f t="shared" si="33"/>
        <v>0.10257104963843815</v>
      </c>
      <c r="Q211" s="17">
        <f t="shared" si="34"/>
        <v>0.61727220129248428</v>
      </c>
      <c r="R211" s="17">
        <f t="shared" si="35"/>
        <v>1.32013201320132E-2</v>
      </c>
      <c r="S211" s="17">
        <f>'02_지표정의'!$C$22*P211+'02_지표정의'!$C$23*Q211+'02_지표정의'!$C$24*R211</f>
        <v>0.30290716255551026</v>
      </c>
      <c r="T211" s="5">
        <f t="shared" si="36"/>
        <v>1</v>
      </c>
      <c r="U211" s="5" t="str">
        <f t="shared" si="37"/>
        <v>특허</v>
      </c>
      <c r="V211" s="18">
        <f t="shared" si="38"/>
        <v>4</v>
      </c>
      <c r="W211" s="5">
        <f t="shared" si="39"/>
        <v>0</v>
      </c>
      <c r="X211" s="5">
        <f t="shared" si="40"/>
        <v>4</v>
      </c>
      <c r="Y211" s="5">
        <f t="shared" si="41"/>
        <v>4</v>
      </c>
      <c r="Z211" s="19">
        <f t="shared" si="42"/>
        <v>1</v>
      </c>
      <c r="AA211" s="20">
        <f>ABS(S211-SUMPRODUCT(('05B_가정검정'!$A$5:$A$19=B211)*('05B_가정검정'!$B$5:$B$19=C211)*'05B_가정검정'!$E$5:$E$19))</f>
        <v>0.3827226347687171</v>
      </c>
      <c r="AB211" s="20">
        <f t="shared" si="43"/>
        <v>-0.37951157048949152</v>
      </c>
    </row>
    <row r="212" spans="1:28">
      <c r="A212" s="15" t="s">
        <v>137</v>
      </c>
      <c r="B212" s="15" t="s">
        <v>116</v>
      </c>
      <c r="C212" s="15" t="s">
        <v>117</v>
      </c>
      <c r="D212" s="16">
        <v>0.21318373071528801</v>
      </c>
      <c r="E212" s="16">
        <v>0.326315789473684</v>
      </c>
      <c r="F212" s="16">
        <v>0.12765957446808501</v>
      </c>
      <c r="G212" s="16">
        <v>0.26315789473684198</v>
      </c>
      <c r="H212" s="16">
        <v>0.21518611709121599</v>
      </c>
      <c r="I212" s="16">
        <v>0.32274632784424501</v>
      </c>
      <c r="J212" s="16">
        <v>0.69525608995339505</v>
      </c>
      <c r="K212" s="16">
        <v>0.58353158468542998</v>
      </c>
      <c r="L212" s="16">
        <v>0.77880940865241599</v>
      </c>
      <c r="M212" s="16">
        <v>0.56291390728476798</v>
      </c>
      <c r="N212" s="16">
        <v>0.23170731707317099</v>
      </c>
      <c r="O212" s="16">
        <v>1</v>
      </c>
      <c r="P212" s="17">
        <f t="shared" si="33"/>
        <v>0.24470823905489336</v>
      </c>
      <c r="Q212" s="17">
        <f t="shared" si="34"/>
        <v>0.68586569443041367</v>
      </c>
      <c r="R212" s="17">
        <f t="shared" si="35"/>
        <v>0.59820707478597968</v>
      </c>
      <c r="S212" s="17">
        <f>'02_지표정의'!$C$22*P212+'02_지표정의'!$C$23*Q212+'02_지표정의'!$C$24*R212</f>
        <v>0.56695368647975775</v>
      </c>
      <c r="T212" s="5">
        <f t="shared" si="36"/>
        <v>0</v>
      </c>
      <c r="U212" s="5" t="str">
        <f t="shared" si="37"/>
        <v>특허</v>
      </c>
      <c r="V212" s="18">
        <f t="shared" si="38"/>
        <v>272</v>
      </c>
      <c r="W212" s="5">
        <f t="shared" si="39"/>
        <v>220</v>
      </c>
      <c r="X212" s="5">
        <f t="shared" si="40"/>
        <v>106</v>
      </c>
      <c r="Y212" s="5">
        <f t="shared" si="41"/>
        <v>0</v>
      </c>
      <c r="Z212" s="19">
        <f t="shared" si="42"/>
        <v>45</v>
      </c>
      <c r="AA212" s="20">
        <f>ABS(S212-SUMPRODUCT(('05B_가정검정'!$A$5:$A$19=B212)*('05B_가정검정'!$B$5:$B$19=C212)*'05B_가정검정'!$E$5:$E$19))</f>
        <v>9.5499814947904715E-3</v>
      </c>
      <c r="AB212" s="20">
        <f t="shared" si="43"/>
        <v>1.4402521067134355E-2</v>
      </c>
    </row>
    <row r="213" spans="1:28">
      <c r="A213" s="15" t="s">
        <v>137</v>
      </c>
      <c r="B213" s="15" t="s">
        <v>116</v>
      </c>
      <c r="C213" s="15" t="s">
        <v>118</v>
      </c>
      <c r="D213" s="16">
        <v>0.24555735056542799</v>
      </c>
      <c r="E213" s="16">
        <v>0.26016260162601601</v>
      </c>
      <c r="F213" s="16">
        <v>9.0163934426229497E-2</v>
      </c>
      <c r="G213" s="16">
        <v>0.219512195121951</v>
      </c>
      <c r="H213" s="16">
        <v>0.16099038350681999</v>
      </c>
      <c r="I213" s="16">
        <v>0.21012411769945499</v>
      </c>
      <c r="J213" s="16">
        <v>0.65878647723390704</v>
      </c>
      <c r="K213" s="16">
        <v>0.65822111129034699</v>
      </c>
      <c r="L213" s="16">
        <v>0.81798954858369599</v>
      </c>
      <c r="M213" s="16">
        <v>0.51442307692307698</v>
      </c>
      <c r="N213" s="16">
        <v>3.125E-2</v>
      </c>
      <c r="O213" s="16">
        <v>1</v>
      </c>
      <c r="P213" s="17">
        <f t="shared" si="33"/>
        <v>0.19775176382431658</v>
      </c>
      <c r="Q213" s="17">
        <f t="shared" si="34"/>
        <v>0.71166571236931675</v>
      </c>
      <c r="R213" s="17">
        <f t="shared" si="35"/>
        <v>0.51522435897435903</v>
      </c>
      <c r="S213" s="17">
        <f>'02_지표정의'!$C$22*P213+'02_지표정의'!$C$23*Q213+'02_지표정의'!$C$24*R213</f>
        <v>0.54012844897208145</v>
      </c>
      <c r="T213" s="5">
        <f t="shared" si="36"/>
        <v>0</v>
      </c>
      <c r="U213" s="5" t="str">
        <f t="shared" si="37"/>
        <v>특허</v>
      </c>
      <c r="V213" s="18">
        <f t="shared" si="38"/>
        <v>170</v>
      </c>
      <c r="W213" s="5">
        <f t="shared" si="39"/>
        <v>147</v>
      </c>
      <c r="X213" s="5">
        <f t="shared" si="40"/>
        <v>0</v>
      </c>
      <c r="Y213" s="5">
        <f t="shared" si="41"/>
        <v>153</v>
      </c>
      <c r="Z213" s="19">
        <f t="shared" si="42"/>
        <v>39</v>
      </c>
      <c r="AA213" s="20">
        <f>ABS(S213-SUMPRODUCT(('05B_가정검정'!$A$5:$A$19=B213)*('05B_가정검정'!$B$5:$B$19=C213)*'05B_가정검정'!$E$5:$E$19))</f>
        <v>8.8360272703598142E-3</v>
      </c>
      <c r="AB213" s="20">
        <f t="shared" si="43"/>
        <v>1.2579416593495152E-2</v>
      </c>
    </row>
    <row r="214" spans="1:28">
      <c r="A214" s="15" t="s">
        <v>137</v>
      </c>
      <c r="B214" s="15" t="s">
        <v>116</v>
      </c>
      <c r="C214" s="15" t="s">
        <v>119</v>
      </c>
      <c r="D214" s="16">
        <v>0.26687598116169597</v>
      </c>
      <c r="E214" s="16">
        <v>0.33149171270718197</v>
      </c>
      <c r="F214" s="16">
        <v>0.16759776536312901</v>
      </c>
      <c r="G214" s="16">
        <v>0.29834254143646399</v>
      </c>
      <c r="H214" s="16">
        <v>0.17882031472912499</v>
      </c>
      <c r="I214" s="16">
        <v>0.42515660228165503</v>
      </c>
      <c r="J214" s="16">
        <v>0.65828493476685901</v>
      </c>
      <c r="K214" s="16">
        <v>0.61624874685543296</v>
      </c>
      <c r="L214" s="16">
        <v>0.789798290808852</v>
      </c>
      <c r="M214" s="16">
        <v>0.60927152317880795</v>
      </c>
      <c r="N214" s="16">
        <v>3.6585365853658597E-2</v>
      </c>
      <c r="O214" s="16">
        <v>1</v>
      </c>
      <c r="P214" s="17">
        <f t="shared" si="33"/>
        <v>0.27804748627987519</v>
      </c>
      <c r="Q214" s="17">
        <f t="shared" si="34"/>
        <v>0.68811065747704792</v>
      </c>
      <c r="R214" s="17">
        <f t="shared" si="35"/>
        <v>0.54861896301082214</v>
      </c>
      <c r="S214" s="17">
        <f>'02_지표정의'!$C$22*P214+'02_지표정의'!$C$23*Q214+'02_지표정의'!$C$24*R214</f>
        <v>0.55727593017443433</v>
      </c>
      <c r="T214" s="5">
        <f t="shared" si="36"/>
        <v>0</v>
      </c>
      <c r="U214" s="5" t="str">
        <f t="shared" si="37"/>
        <v>특허</v>
      </c>
      <c r="V214" s="18">
        <f t="shared" si="38"/>
        <v>238</v>
      </c>
      <c r="W214" s="5">
        <f t="shared" si="39"/>
        <v>0</v>
      </c>
      <c r="X214" s="5">
        <f t="shared" si="40"/>
        <v>85</v>
      </c>
      <c r="Y214" s="5">
        <f t="shared" si="41"/>
        <v>198</v>
      </c>
      <c r="Z214" s="19">
        <f t="shared" si="42"/>
        <v>37</v>
      </c>
      <c r="AA214" s="20">
        <f>ABS(S214-SUMPRODUCT(('05B_가정검정'!$A$5:$A$19=B214)*('05B_가정검정'!$B$5:$B$19=C214)*'05B_가정검정'!$E$5:$E$19))</f>
        <v>4.2524134316517248E-3</v>
      </c>
      <c r="AB214" s="20">
        <f t="shared" si="43"/>
        <v>8.2344649825427663E-4</v>
      </c>
    </row>
    <row r="215" spans="1:28">
      <c r="A215" s="15" t="s">
        <v>137</v>
      </c>
      <c r="B215" s="15" t="s">
        <v>120</v>
      </c>
      <c r="C215" s="15" t="s">
        <v>117</v>
      </c>
      <c r="D215" s="16">
        <v>0.23706896551724099</v>
      </c>
      <c r="E215" s="16">
        <v>0.30769230769230799</v>
      </c>
      <c r="F215" s="16">
        <v>9.4827586206896602E-2</v>
      </c>
      <c r="G215" s="16">
        <v>0.230769230769231</v>
      </c>
      <c r="H215" s="16">
        <v>0.29574911277688198</v>
      </c>
      <c r="I215" s="16">
        <v>0.285506579274245</v>
      </c>
      <c r="J215" s="16">
        <v>0.71530482316173105</v>
      </c>
      <c r="K215" s="16">
        <v>0.65272494417234295</v>
      </c>
      <c r="L215" s="16">
        <v>0.86029011988176995</v>
      </c>
      <c r="M215" s="16">
        <v>0.77981651376146799</v>
      </c>
      <c r="N215" s="16">
        <v>0.70491803278688503</v>
      </c>
      <c r="O215" s="16">
        <v>1</v>
      </c>
      <c r="P215" s="17">
        <f t="shared" si="33"/>
        <v>0.24193563037280061</v>
      </c>
      <c r="Q215" s="17">
        <f t="shared" si="34"/>
        <v>0.74277329573861461</v>
      </c>
      <c r="R215" s="17">
        <f t="shared" si="35"/>
        <v>0.82824484884945093</v>
      </c>
      <c r="S215" s="17">
        <f>'02_지표정의'!$C$22*P215+'02_지표정의'!$C$23*Q215+'02_지표정의'!$C$24*R215</f>
        <v>0.67252080625424449</v>
      </c>
      <c r="T215" s="5">
        <f t="shared" si="36"/>
        <v>0</v>
      </c>
      <c r="U215" s="5" t="str">
        <f t="shared" si="37"/>
        <v>특허</v>
      </c>
      <c r="V215" s="18">
        <f t="shared" si="38"/>
        <v>727</v>
      </c>
      <c r="W215" s="5">
        <f t="shared" si="39"/>
        <v>518</v>
      </c>
      <c r="X215" s="5">
        <f t="shared" si="40"/>
        <v>406</v>
      </c>
      <c r="Y215" s="5">
        <f t="shared" si="41"/>
        <v>0</v>
      </c>
      <c r="Z215" s="19">
        <f t="shared" si="42"/>
        <v>59</v>
      </c>
      <c r="AA215" s="20">
        <f>ABS(S215-SUMPRODUCT(('05B_가정검정'!$A$5:$A$19=B215)*('05B_가정검정'!$B$5:$B$19=C215)*'05B_가정검정'!$E$5:$E$19))</f>
        <v>4.447184619712341E-2</v>
      </c>
      <c r="AB215" s="20">
        <f t="shared" si="43"/>
        <v>4.1218102829487346E-2</v>
      </c>
    </row>
    <row r="216" spans="1:28">
      <c r="A216" s="15" t="s">
        <v>137</v>
      </c>
      <c r="B216" s="15" t="s">
        <v>120</v>
      </c>
      <c r="C216" s="15" t="s">
        <v>118</v>
      </c>
      <c r="D216" s="16">
        <v>0.23741007194244601</v>
      </c>
      <c r="E216" s="16">
        <v>0.24137931034482801</v>
      </c>
      <c r="F216" s="16">
        <v>8.3333333333333301E-2</v>
      </c>
      <c r="G216" s="16">
        <v>0.19310344827586201</v>
      </c>
      <c r="H216" s="16">
        <v>0.212808902423966</v>
      </c>
      <c r="I216" s="16">
        <v>0.17078386319713801</v>
      </c>
      <c r="J216" s="16">
        <v>0.69980326893789901</v>
      </c>
      <c r="K216" s="16">
        <v>0.64437280562288701</v>
      </c>
      <c r="L216" s="16">
        <v>0.82182504330780304</v>
      </c>
      <c r="M216" s="16">
        <v>0.48557692307692302</v>
      </c>
      <c r="N216" s="16">
        <v>0.5</v>
      </c>
      <c r="O216" s="16">
        <v>1</v>
      </c>
      <c r="P216" s="17">
        <f t="shared" si="33"/>
        <v>0.18980315491959554</v>
      </c>
      <c r="Q216" s="17">
        <f t="shared" si="34"/>
        <v>0.7220003726228631</v>
      </c>
      <c r="R216" s="17">
        <f t="shared" si="35"/>
        <v>0.66185897435897434</v>
      </c>
      <c r="S216" s="17">
        <f>'02_지표정의'!$C$22*P216+'02_지표정의'!$C$23*Q216+'02_지표정의'!$C$24*R216</f>
        <v>0.59451143968984854</v>
      </c>
      <c r="T216" s="5">
        <f t="shared" si="36"/>
        <v>0</v>
      </c>
      <c r="U216" s="5" t="str">
        <f t="shared" si="37"/>
        <v>특허</v>
      </c>
      <c r="V216" s="18">
        <f t="shared" si="38"/>
        <v>363</v>
      </c>
      <c r="W216" s="5">
        <f t="shared" si="39"/>
        <v>293</v>
      </c>
      <c r="X216" s="5">
        <f t="shared" si="40"/>
        <v>0</v>
      </c>
      <c r="Y216" s="5">
        <f t="shared" si="41"/>
        <v>279</v>
      </c>
      <c r="Z216" s="19">
        <f t="shared" si="42"/>
        <v>36</v>
      </c>
      <c r="AA216" s="20">
        <f>ABS(S216-SUMPRODUCT(('05B_가정검정'!$A$5:$A$19=B216)*('05B_가정검정'!$B$5:$B$19=C216)*'05B_가정검정'!$E$5:$E$19))</f>
        <v>3.6825911082205565E-3</v>
      </c>
      <c r="AB216" s="20">
        <f t="shared" si="43"/>
        <v>1.9620663727737742E-2</v>
      </c>
    </row>
    <row r="217" spans="1:28">
      <c r="A217" s="15" t="s">
        <v>137</v>
      </c>
      <c r="B217" s="15" t="s">
        <v>120</v>
      </c>
      <c r="C217" s="15" t="s">
        <v>119</v>
      </c>
      <c r="D217" s="16">
        <v>0.309859154929577</v>
      </c>
      <c r="E217" s="16">
        <v>0.48</v>
      </c>
      <c r="F217" s="16">
        <v>0.21524663677130099</v>
      </c>
      <c r="G217" s="16">
        <v>0.38222222222222202</v>
      </c>
      <c r="H217" s="16">
        <v>0.30493481702108099</v>
      </c>
      <c r="I217" s="16">
        <v>0.524563624917186</v>
      </c>
      <c r="J217" s="16">
        <v>0.71239402604591595</v>
      </c>
      <c r="K217" s="16">
        <v>0.67447519185503602</v>
      </c>
      <c r="L217" s="16">
        <v>0.87045302209325803</v>
      </c>
      <c r="M217" s="16">
        <v>0.63087248322147704</v>
      </c>
      <c r="N217" s="16">
        <v>0.55263157894736803</v>
      </c>
      <c r="O217" s="16">
        <v>1</v>
      </c>
      <c r="P217" s="17">
        <f t="shared" si="33"/>
        <v>0.36947107597689449</v>
      </c>
      <c r="Q217" s="17">
        <f t="shared" si="34"/>
        <v>0.75244074666473659</v>
      </c>
      <c r="R217" s="17">
        <f t="shared" si="35"/>
        <v>0.7278346873896151</v>
      </c>
      <c r="S217" s="17">
        <f>'02_지표정의'!$C$22*P217+'02_지표정의'!$C$23*Q217+'02_지표정의'!$C$24*R217</f>
        <v>0.66723469178087569</v>
      </c>
      <c r="T217" s="5">
        <f t="shared" si="36"/>
        <v>0</v>
      </c>
      <c r="U217" s="5" t="str">
        <f t="shared" si="37"/>
        <v>특허</v>
      </c>
      <c r="V217" s="18">
        <f t="shared" si="38"/>
        <v>703</v>
      </c>
      <c r="W217" s="5">
        <f t="shared" si="39"/>
        <v>0</v>
      </c>
      <c r="X217" s="5">
        <f t="shared" si="40"/>
        <v>383</v>
      </c>
      <c r="Y217" s="5">
        <f t="shared" si="41"/>
        <v>517</v>
      </c>
      <c r="Z217" s="19">
        <f t="shared" si="42"/>
        <v>37</v>
      </c>
      <c r="AA217" s="20">
        <f>ABS(S217-SUMPRODUCT(('05B_가정검정'!$A$5:$A$19=B217)*('05B_가정검정'!$B$5:$B$19=C217)*'05B_가정검정'!$E$5:$E$19))</f>
        <v>3.557375299489407E-3</v>
      </c>
      <c r="AB217" s="20">
        <f t="shared" si="43"/>
        <v>8.8116842700600717E-3</v>
      </c>
    </row>
    <row r="218" spans="1:28">
      <c r="A218" s="15" t="s">
        <v>137</v>
      </c>
      <c r="B218" s="15" t="s">
        <v>121</v>
      </c>
      <c r="C218" s="15" t="s">
        <v>117</v>
      </c>
      <c r="D218" s="16">
        <v>0.23620025673941</v>
      </c>
      <c r="E218" s="16">
        <v>0.31963470319634701</v>
      </c>
      <c r="F218" s="16">
        <v>9.2165898617511496E-2</v>
      </c>
      <c r="G218" s="16">
        <v>0.219178082191781</v>
      </c>
      <c r="H218" s="16">
        <v>0.28109530007253303</v>
      </c>
      <c r="I218" s="16">
        <v>0.26482635861513198</v>
      </c>
      <c r="J218" s="16">
        <v>0.74860160782257601</v>
      </c>
      <c r="K218" s="16">
        <v>0.74752746526126201</v>
      </c>
      <c r="L218" s="16">
        <v>0.87585105865228796</v>
      </c>
      <c r="M218" s="16">
        <v>0.90654205607476601</v>
      </c>
      <c r="N218" s="16">
        <v>0.91666666666666696</v>
      </c>
      <c r="O218" s="16">
        <v>1</v>
      </c>
      <c r="P218" s="17">
        <f t="shared" si="33"/>
        <v>0.23551676657211909</v>
      </c>
      <c r="Q218" s="17">
        <f t="shared" si="34"/>
        <v>0.79066004391204192</v>
      </c>
      <c r="R218" s="17">
        <f t="shared" si="35"/>
        <v>0.94106957424714432</v>
      </c>
      <c r="S218" s="17">
        <f>'02_지표정의'!$C$22*P218+'02_지표정의'!$C$23*Q218+'02_지표정의'!$C$24*R218</f>
        <v>0.7322747240613432</v>
      </c>
      <c r="T218" s="5">
        <f t="shared" si="36"/>
        <v>1</v>
      </c>
      <c r="U218" s="5" t="str">
        <f t="shared" si="37"/>
        <v>특허</v>
      </c>
      <c r="V218" s="18">
        <f t="shared" si="38"/>
        <v>909</v>
      </c>
      <c r="W218" s="5">
        <f t="shared" si="39"/>
        <v>614</v>
      </c>
      <c r="X218" s="5">
        <f t="shared" si="40"/>
        <v>584</v>
      </c>
      <c r="Y218" s="5">
        <f t="shared" si="41"/>
        <v>0</v>
      </c>
      <c r="Z218" s="19">
        <f t="shared" si="42"/>
        <v>38</v>
      </c>
      <c r="AA218" s="20">
        <f>ABS(S218-SUMPRODUCT(('05B_가정검정'!$A$5:$A$19=B218)*('05B_가정검정'!$B$5:$B$19=C218)*'05B_가정검정'!$E$5:$E$19))</f>
        <v>2.8426526794620433E-3</v>
      </c>
      <c r="AB218" s="20">
        <f t="shared" si="43"/>
        <v>1.4622930988462235E-2</v>
      </c>
    </row>
    <row r="219" spans="1:28">
      <c r="A219" s="15" t="s">
        <v>137</v>
      </c>
      <c r="B219" s="15" t="s">
        <v>121</v>
      </c>
      <c r="C219" s="15" t="s">
        <v>118</v>
      </c>
      <c r="D219" s="16">
        <v>0.25109489051094902</v>
      </c>
      <c r="E219" s="16">
        <v>0.26909090909090899</v>
      </c>
      <c r="F219" s="16">
        <v>0.102564102564103</v>
      </c>
      <c r="G219" s="16">
        <v>0.21090909090909099</v>
      </c>
      <c r="H219" s="16">
        <v>0.219071003534551</v>
      </c>
      <c r="I219" s="16">
        <v>0.20850469778734201</v>
      </c>
      <c r="J219" s="16">
        <v>0.74802791398282298</v>
      </c>
      <c r="K219" s="16">
        <v>0.72695126290877399</v>
      </c>
      <c r="L219" s="16">
        <v>0.86787260710710901</v>
      </c>
      <c r="M219" s="16">
        <v>0.46634615384615402</v>
      </c>
      <c r="N219" s="16">
        <v>0.57291666666666696</v>
      </c>
      <c r="O219" s="16">
        <v>1</v>
      </c>
      <c r="P219" s="17">
        <f t="shared" si="33"/>
        <v>0.21020578239949084</v>
      </c>
      <c r="Q219" s="17">
        <f t="shared" si="34"/>
        <v>0.78095059466623529</v>
      </c>
      <c r="R219" s="17">
        <f t="shared" si="35"/>
        <v>0.67975427350427375</v>
      </c>
      <c r="S219" s="17">
        <f>'02_지표정의'!$C$22*P219+'02_지표정의'!$C$23*Q219+'02_지표정의'!$C$24*R219</f>
        <v>0.63138291980619976</v>
      </c>
      <c r="T219" s="5">
        <f t="shared" si="36"/>
        <v>0</v>
      </c>
      <c r="U219" s="5" t="str">
        <f t="shared" si="37"/>
        <v>특허</v>
      </c>
      <c r="V219" s="18">
        <f t="shared" si="38"/>
        <v>535</v>
      </c>
      <c r="W219" s="5">
        <f t="shared" si="39"/>
        <v>428</v>
      </c>
      <c r="X219" s="5">
        <f t="shared" si="40"/>
        <v>0</v>
      </c>
      <c r="Y219" s="5">
        <f t="shared" si="41"/>
        <v>404</v>
      </c>
      <c r="Z219" s="19">
        <f t="shared" si="42"/>
        <v>56</v>
      </c>
      <c r="AA219" s="20">
        <f>ABS(S219-SUMPRODUCT(('05B_가정검정'!$A$5:$A$19=B219)*('05B_가정검정'!$B$5:$B$19=C219)*'05B_가정검정'!$E$5:$E$19))</f>
        <v>3.280342963923133E-2</v>
      </c>
      <c r="AB219" s="20">
        <f t="shared" si="43"/>
        <v>5.1983845279386487E-2</v>
      </c>
    </row>
    <row r="220" spans="1:28">
      <c r="A220" s="15" t="s">
        <v>137</v>
      </c>
      <c r="B220" s="15" t="s">
        <v>121</v>
      </c>
      <c r="C220" s="15" t="s">
        <v>119</v>
      </c>
      <c r="D220" s="16">
        <v>0.30725462304409701</v>
      </c>
      <c r="E220" s="16">
        <v>0.55238095238095197</v>
      </c>
      <c r="F220" s="16">
        <v>0.27884615384615402</v>
      </c>
      <c r="G220" s="16">
        <v>0.43809523809523798</v>
      </c>
      <c r="H220" s="16">
        <v>0.28720706649396299</v>
      </c>
      <c r="I220" s="16">
        <v>0.55933532934924901</v>
      </c>
      <c r="J220" s="16">
        <v>0.75499083154884195</v>
      </c>
      <c r="K220" s="16">
        <v>0.74693530860833701</v>
      </c>
      <c r="L220" s="16">
        <v>0.87647400538305498</v>
      </c>
      <c r="M220" s="16">
        <v>0.65100671140939603</v>
      </c>
      <c r="N220" s="16">
        <v>0.72368421052631604</v>
      </c>
      <c r="O220" s="16">
        <v>1</v>
      </c>
      <c r="P220" s="17">
        <f t="shared" si="33"/>
        <v>0.40385322720160882</v>
      </c>
      <c r="Q220" s="17">
        <f t="shared" si="34"/>
        <v>0.79280004851341124</v>
      </c>
      <c r="R220" s="17">
        <f t="shared" si="35"/>
        <v>0.79156364064523732</v>
      </c>
      <c r="S220" s="17">
        <f>'02_지표정의'!$C$22*P220+'02_지표정의'!$C$23*Q220+'02_지표정의'!$C$24*R220</f>
        <v>0.71457794149718978</v>
      </c>
      <c r="T220" s="5">
        <f t="shared" si="36"/>
        <v>0</v>
      </c>
      <c r="U220" s="5" t="str">
        <f t="shared" si="37"/>
        <v>특허</v>
      </c>
      <c r="V220" s="18">
        <f t="shared" si="38"/>
        <v>859</v>
      </c>
      <c r="W220" s="5">
        <f t="shared" si="39"/>
        <v>0</v>
      </c>
      <c r="X220" s="5">
        <f t="shared" si="40"/>
        <v>534</v>
      </c>
      <c r="Y220" s="5">
        <f t="shared" si="41"/>
        <v>613</v>
      </c>
      <c r="Z220" s="19">
        <f t="shared" si="42"/>
        <v>46</v>
      </c>
      <c r="AA220" s="20">
        <f>ABS(S220-SUMPRODUCT(('05B_가정검정'!$A$5:$A$19=B220)*('05B_가정검정'!$B$5:$B$19=C220)*'05B_가정검정'!$E$5:$E$19))</f>
        <v>2.2258098701336104E-2</v>
      </c>
      <c r="AB220" s="20">
        <f t="shared" si="43"/>
        <v>2.6340966077578742E-2</v>
      </c>
    </row>
    <row r="221" spans="1:28">
      <c r="A221" s="15" t="s">
        <v>137</v>
      </c>
      <c r="B221" s="15" t="s">
        <v>122</v>
      </c>
      <c r="C221" s="15" t="s">
        <v>117</v>
      </c>
      <c r="D221" s="16">
        <v>0.25790139064475398</v>
      </c>
      <c r="E221" s="16">
        <v>0.31775700934579398</v>
      </c>
      <c r="F221" s="16">
        <v>0.113207547169811</v>
      </c>
      <c r="G221" s="16">
        <v>0.242990654205608</v>
      </c>
      <c r="H221" s="16">
        <v>0.29348643113587602</v>
      </c>
      <c r="I221" s="16">
        <v>0.27024468862751599</v>
      </c>
      <c r="J221" s="16">
        <v>0.72938967474202898</v>
      </c>
      <c r="K221" s="16">
        <v>0.65867629568345298</v>
      </c>
      <c r="L221" s="16">
        <v>0.85696389454287702</v>
      </c>
      <c r="M221" s="16">
        <v>0.48633879781420802</v>
      </c>
      <c r="N221" s="16">
        <v>0.53260869565217395</v>
      </c>
      <c r="O221" s="16">
        <v>1</v>
      </c>
      <c r="P221" s="17">
        <f t="shared" si="33"/>
        <v>0.24926462018822651</v>
      </c>
      <c r="Q221" s="17">
        <f t="shared" si="34"/>
        <v>0.74834328832278629</v>
      </c>
      <c r="R221" s="17">
        <f t="shared" si="35"/>
        <v>0.67298249782212738</v>
      </c>
      <c r="S221" s="17">
        <f>'02_지표정의'!$C$22*P221+'02_지표정의'!$C$23*Q221+'02_지표정의'!$C$24*R221</f>
        <v>0.62215127802064374</v>
      </c>
      <c r="T221" s="5">
        <f t="shared" si="36"/>
        <v>0</v>
      </c>
      <c r="U221" s="5" t="str">
        <f t="shared" si="37"/>
        <v>특허</v>
      </c>
      <c r="V221" s="18">
        <f t="shared" si="38"/>
        <v>500</v>
      </c>
      <c r="W221" s="5">
        <f t="shared" si="39"/>
        <v>403</v>
      </c>
      <c r="X221" s="5">
        <f t="shared" si="40"/>
        <v>219</v>
      </c>
      <c r="Y221" s="5">
        <f t="shared" si="41"/>
        <v>0</v>
      </c>
      <c r="Z221" s="19">
        <f t="shared" si="42"/>
        <v>29</v>
      </c>
      <c r="AA221" s="20">
        <f>ABS(S221-SUMPRODUCT(('05B_가정검정'!$A$5:$A$19=B221)*('05B_가정검정'!$B$5:$B$19=C221)*'05B_가정검정'!$E$5:$E$19))</f>
        <v>1.7201676688034739E-2</v>
      </c>
      <c r="AB221" s="20">
        <f t="shared" si="43"/>
        <v>-7.3034416900241705E-4</v>
      </c>
    </row>
    <row r="222" spans="1:28">
      <c r="A222" s="15" t="s">
        <v>137</v>
      </c>
      <c r="B222" s="15" t="s">
        <v>122</v>
      </c>
      <c r="C222" s="15" t="s">
        <v>118</v>
      </c>
      <c r="D222" s="16">
        <v>0.315638450502152</v>
      </c>
      <c r="E222" s="16">
        <v>0.25925925925925902</v>
      </c>
      <c r="F222" s="16">
        <v>7.4626865671641798E-2</v>
      </c>
      <c r="G222" s="16">
        <v>0.20740740740740701</v>
      </c>
      <c r="H222" s="16">
        <v>0.25889762722208898</v>
      </c>
      <c r="I222" s="16">
        <v>0.25135292150644301</v>
      </c>
      <c r="J222" s="16">
        <v>0.73130473562832299</v>
      </c>
      <c r="K222" s="16">
        <v>0.68681659662025296</v>
      </c>
      <c r="L222" s="16">
        <v>0.82480274239534201</v>
      </c>
      <c r="M222" s="16">
        <v>0.50480769230769196</v>
      </c>
      <c r="N222" s="16">
        <v>0.42708333333333298</v>
      </c>
      <c r="O222" s="16">
        <v>1</v>
      </c>
      <c r="P222" s="17">
        <f t="shared" si="33"/>
        <v>0.2278637552614986</v>
      </c>
      <c r="Q222" s="17">
        <f t="shared" si="34"/>
        <v>0.7476413582146394</v>
      </c>
      <c r="R222" s="17">
        <f t="shared" si="35"/>
        <v>0.64396367521367492</v>
      </c>
      <c r="S222" s="17">
        <f>'02_지표정의'!$C$22*P222+'02_지표정의'!$C$23*Q222+'02_지표정의'!$C$24*R222</f>
        <v>0.60739864857367376</v>
      </c>
      <c r="T222" s="5">
        <f t="shared" si="36"/>
        <v>1</v>
      </c>
      <c r="U222" s="5" t="str">
        <f t="shared" si="37"/>
        <v>특허</v>
      </c>
      <c r="V222" s="18">
        <f t="shared" si="38"/>
        <v>421</v>
      </c>
      <c r="W222" s="5">
        <f t="shared" si="39"/>
        <v>342</v>
      </c>
      <c r="X222" s="5">
        <f t="shared" si="40"/>
        <v>0</v>
      </c>
      <c r="Y222" s="5">
        <f t="shared" si="41"/>
        <v>320</v>
      </c>
      <c r="Z222" s="19">
        <f t="shared" si="42"/>
        <v>46</v>
      </c>
      <c r="AA222" s="20">
        <f>ABS(S222-SUMPRODUCT(('05B_가정검정'!$A$5:$A$19=B222)*('05B_가정검정'!$B$5:$B$19=C222)*'05B_가정검정'!$E$5:$E$19))</f>
        <v>2.047671257651551E-2</v>
      </c>
      <c r="AB222" s="20">
        <f t="shared" si="43"/>
        <v>2.617537235598999E-2</v>
      </c>
    </row>
    <row r="223" spans="1:28">
      <c r="A223" s="15" t="s">
        <v>137</v>
      </c>
      <c r="B223" s="15" t="s">
        <v>122</v>
      </c>
      <c r="C223" s="15" t="s">
        <v>119</v>
      </c>
      <c r="D223" s="16">
        <v>0.34405594405594397</v>
      </c>
      <c r="E223" s="16">
        <v>0.55609756097561003</v>
      </c>
      <c r="F223" s="16">
        <v>0.27586206896551702</v>
      </c>
      <c r="G223" s="16">
        <v>0.439024390243902</v>
      </c>
      <c r="H223" s="16">
        <v>0.31199792582677599</v>
      </c>
      <c r="I223" s="16">
        <v>0.589569492151095</v>
      </c>
      <c r="J223" s="16">
        <v>0.71803251248351296</v>
      </c>
      <c r="K223" s="16">
        <v>0.68457879241188702</v>
      </c>
      <c r="L223" s="16">
        <v>0.82927031314688604</v>
      </c>
      <c r="M223" s="16">
        <v>0.71584699453551903</v>
      </c>
      <c r="N223" s="16">
        <v>0.684782608695652</v>
      </c>
      <c r="O223" s="16">
        <v>1</v>
      </c>
      <c r="P223" s="17">
        <f t="shared" si="33"/>
        <v>0.41943456370314064</v>
      </c>
      <c r="Q223" s="17">
        <f t="shared" si="34"/>
        <v>0.74396053934742856</v>
      </c>
      <c r="R223" s="17">
        <f t="shared" si="35"/>
        <v>0.80020986774372371</v>
      </c>
      <c r="S223" s="17">
        <f>'02_지표정의'!$C$22*P223+'02_지표정의'!$C$23*Q223+'02_지표정의'!$C$24*R223</f>
        <v>0.69874260915727437</v>
      </c>
      <c r="T223" s="5">
        <f t="shared" si="36"/>
        <v>0</v>
      </c>
      <c r="U223" s="5" t="str">
        <f t="shared" si="37"/>
        <v>특허</v>
      </c>
      <c r="V223" s="18">
        <f t="shared" si="38"/>
        <v>820</v>
      </c>
      <c r="W223" s="5">
        <f t="shared" si="39"/>
        <v>0</v>
      </c>
      <c r="X223" s="5">
        <f t="shared" si="40"/>
        <v>495</v>
      </c>
      <c r="Y223" s="5">
        <f t="shared" si="41"/>
        <v>591</v>
      </c>
      <c r="Z223" s="19">
        <f t="shared" si="42"/>
        <v>64</v>
      </c>
      <c r="AA223" s="20">
        <f>ABS(S223-SUMPRODUCT(('05B_가정검정'!$A$5:$A$19=B223)*('05B_가정검정'!$B$5:$B$19=C223)*'05B_가정검정'!$E$5:$E$19))</f>
        <v>6.3136421255822972E-2</v>
      </c>
      <c r="AB223" s="20">
        <f t="shared" si="43"/>
        <v>6.7353742842388376E-2</v>
      </c>
    </row>
    <row r="224" spans="1:28">
      <c r="A224" s="15" t="s">
        <v>137</v>
      </c>
      <c r="B224" s="15" t="s">
        <v>123</v>
      </c>
      <c r="C224" s="15" t="s">
        <v>117</v>
      </c>
      <c r="D224" s="16">
        <v>0.25115207373271897</v>
      </c>
      <c r="E224" s="16">
        <v>0.34061135371179002</v>
      </c>
      <c r="F224" s="16">
        <v>0.114537444933921</v>
      </c>
      <c r="G224" s="16">
        <v>0.25327510917030599</v>
      </c>
      <c r="H224" s="16">
        <v>0.34100660084796602</v>
      </c>
      <c r="I224" s="16">
        <v>0.33221488733719801</v>
      </c>
      <c r="J224" s="16">
        <v>0.68823986907215695</v>
      </c>
      <c r="K224" s="16">
        <v>0.662527773262369</v>
      </c>
      <c r="L224" s="16">
        <v>0.87897488059568696</v>
      </c>
      <c r="M224" s="16">
        <v>0.90654205607476601</v>
      </c>
      <c r="N224" s="16">
        <v>0.91666666666666696</v>
      </c>
      <c r="O224" s="16">
        <v>1</v>
      </c>
      <c r="P224" s="17">
        <f t="shared" si="33"/>
        <v>0.27213291162231662</v>
      </c>
      <c r="Q224" s="17">
        <f t="shared" si="34"/>
        <v>0.7432475076434043</v>
      </c>
      <c r="R224" s="17">
        <f t="shared" si="35"/>
        <v>0.94106957424714432</v>
      </c>
      <c r="S224" s="17">
        <f>'02_지표정의'!$C$22*P224+'02_지표정의'!$C$23*Q224+'02_지표정의'!$C$24*R224</f>
        <v>0.71826231175049582</v>
      </c>
      <c r="T224" s="5">
        <f t="shared" si="36"/>
        <v>0</v>
      </c>
      <c r="U224" s="5" t="str">
        <f t="shared" si="37"/>
        <v>특허</v>
      </c>
      <c r="V224" s="18">
        <f t="shared" si="38"/>
        <v>872</v>
      </c>
      <c r="W224" s="5">
        <f t="shared" si="39"/>
        <v>580</v>
      </c>
      <c r="X224" s="5">
        <f t="shared" si="40"/>
        <v>547</v>
      </c>
      <c r="Y224" s="5">
        <f t="shared" si="41"/>
        <v>0</v>
      </c>
      <c r="Z224" s="19">
        <f t="shared" si="42"/>
        <v>38</v>
      </c>
      <c r="AA224" s="20">
        <f>ABS(S224-SUMPRODUCT(('05B_가정검정'!$A$5:$A$19=B224)*('05B_가정검정'!$B$5:$B$19=C224)*'05B_가정검정'!$E$5:$E$19))</f>
        <v>3.3394289742720851E-3</v>
      </c>
      <c r="AB224" s="20">
        <f t="shared" si="43"/>
        <v>1.0276859939252647E-2</v>
      </c>
    </row>
    <row r="225" spans="1:28">
      <c r="A225" s="15" t="s">
        <v>137</v>
      </c>
      <c r="B225" s="15" t="s">
        <v>123</v>
      </c>
      <c r="C225" s="15" t="s">
        <v>118</v>
      </c>
      <c r="D225" s="16">
        <v>0.24031007751937999</v>
      </c>
      <c r="E225" s="16">
        <v>0.23859649122807</v>
      </c>
      <c r="F225" s="16">
        <v>0.106007067137809</v>
      </c>
      <c r="G225" s="16">
        <v>0.203508771929825</v>
      </c>
      <c r="H225" s="16">
        <v>0.24378767973978599</v>
      </c>
      <c r="I225" s="16">
        <v>0.16276383764601399</v>
      </c>
      <c r="J225" s="16">
        <v>0.67869501587879399</v>
      </c>
      <c r="K225" s="16">
        <v>0.65765558093148402</v>
      </c>
      <c r="L225" s="16">
        <v>0.81671796103495398</v>
      </c>
      <c r="M225" s="16">
        <v>0.46634615384615402</v>
      </c>
      <c r="N225" s="16">
        <v>0.57291666666666696</v>
      </c>
      <c r="O225" s="16">
        <v>1</v>
      </c>
      <c r="P225" s="17">
        <f t="shared" si="33"/>
        <v>0.19916232086681399</v>
      </c>
      <c r="Q225" s="17">
        <f t="shared" si="34"/>
        <v>0.71768951928174396</v>
      </c>
      <c r="R225" s="17">
        <f t="shared" si="35"/>
        <v>0.67975427350427375</v>
      </c>
      <c r="S225" s="17">
        <f>'02_지표정의'!$C$22*P225+'02_지표정의'!$C$23*Q225+'02_지표정의'!$C$24*R225</f>
        <v>0.60070674357664333</v>
      </c>
      <c r="T225" s="5">
        <f t="shared" si="36"/>
        <v>0</v>
      </c>
      <c r="U225" s="5" t="str">
        <f t="shared" si="37"/>
        <v>특허</v>
      </c>
      <c r="V225" s="18">
        <f t="shared" si="38"/>
        <v>393</v>
      </c>
      <c r="W225" s="5">
        <f t="shared" si="39"/>
        <v>318</v>
      </c>
      <c r="X225" s="5">
        <f t="shared" si="40"/>
        <v>0</v>
      </c>
      <c r="Y225" s="5">
        <f t="shared" si="41"/>
        <v>300</v>
      </c>
      <c r="Z225" s="19">
        <f t="shared" si="42"/>
        <v>47</v>
      </c>
      <c r="AA225" s="20">
        <f>ABS(S225-SUMPRODUCT(('05B_가정검정'!$A$5:$A$19=B225)*('05B_가정검정'!$B$5:$B$19=C225)*'05B_가정검정'!$E$5:$E$19))</f>
        <v>2.5407916697673616E-2</v>
      </c>
      <c r="AB225" s="20">
        <f t="shared" si="43"/>
        <v>4.0835135652152244E-2</v>
      </c>
    </row>
    <row r="226" spans="1:28">
      <c r="A226" s="15" t="s">
        <v>137</v>
      </c>
      <c r="B226" s="15" t="s">
        <v>123</v>
      </c>
      <c r="C226" s="15" t="s">
        <v>119</v>
      </c>
      <c r="D226" s="16">
        <v>0.27272727272727298</v>
      </c>
      <c r="E226" s="16">
        <v>0.51818181818181797</v>
      </c>
      <c r="F226" s="16">
        <v>0.22018348623853201</v>
      </c>
      <c r="G226" s="16">
        <v>0.39090909090909098</v>
      </c>
      <c r="H226" s="16">
        <v>0.33876687683269002</v>
      </c>
      <c r="I226" s="16">
        <v>0.57814885911106295</v>
      </c>
      <c r="J226" s="16">
        <v>0.69122107107232</v>
      </c>
      <c r="K226" s="16">
        <v>0.67658446074411505</v>
      </c>
      <c r="L226" s="16">
        <v>0.82848991573716402</v>
      </c>
      <c r="M226" s="16">
        <v>0.65100671140939603</v>
      </c>
      <c r="N226" s="16">
        <v>0.72368421052631604</v>
      </c>
      <c r="O226" s="16">
        <v>1</v>
      </c>
      <c r="P226" s="17">
        <f t="shared" si="33"/>
        <v>0.38648623400007787</v>
      </c>
      <c r="Q226" s="17">
        <f t="shared" si="34"/>
        <v>0.73209848251786636</v>
      </c>
      <c r="R226" s="17">
        <f t="shared" si="35"/>
        <v>0.79156364064523732</v>
      </c>
      <c r="S226" s="17">
        <f>'02_지표정의'!$C$22*P226+'02_지표정의'!$C$23*Q226+'02_지표정의'!$C$24*R226</f>
        <v>0.68378883815888847</v>
      </c>
      <c r="T226" s="5">
        <f t="shared" si="36"/>
        <v>1</v>
      </c>
      <c r="U226" s="5" t="str">
        <f t="shared" si="37"/>
        <v>특허</v>
      </c>
      <c r="V226" s="18">
        <f t="shared" si="38"/>
        <v>766</v>
      </c>
      <c r="W226" s="5">
        <f t="shared" si="39"/>
        <v>0</v>
      </c>
      <c r="X226" s="5">
        <f t="shared" si="40"/>
        <v>442</v>
      </c>
      <c r="Y226" s="5">
        <f t="shared" si="41"/>
        <v>553</v>
      </c>
      <c r="Z226" s="19">
        <f t="shared" si="42"/>
        <v>31</v>
      </c>
      <c r="AA226" s="20">
        <f>ABS(S226-SUMPRODUCT(('05B_가정검정'!$A$5:$A$19=B226)*('05B_가정검정'!$B$5:$B$19=C226)*'05B_가정검정'!$E$5:$E$19))</f>
        <v>1.8409591653388846E-3</v>
      </c>
      <c r="AB226" s="20">
        <f t="shared" si="43"/>
        <v>1.3701051138866882E-3</v>
      </c>
    </row>
    <row r="227" spans="1:28">
      <c r="A227" s="15" t="s">
        <v>138</v>
      </c>
      <c r="B227" s="15" t="s">
        <v>116</v>
      </c>
      <c r="C227" s="15" t="s">
        <v>117</v>
      </c>
      <c r="D227" s="16">
        <v>0.19305856832971799</v>
      </c>
      <c r="E227" s="16">
        <v>0.30943396226415099</v>
      </c>
      <c r="F227" s="16">
        <v>9.1254752851711002E-2</v>
      </c>
      <c r="G227" s="16">
        <v>0.19622641509434</v>
      </c>
      <c r="H227" s="16">
        <v>0.30381289747180101</v>
      </c>
      <c r="I227" s="16">
        <v>9.1117072073982994E-2</v>
      </c>
      <c r="J227" s="16">
        <v>0.67552984164545105</v>
      </c>
      <c r="K227" s="16">
        <v>0.660122441484992</v>
      </c>
      <c r="L227" s="16">
        <v>0.840730869880987</v>
      </c>
      <c r="M227" s="16">
        <v>0.40259740259740301</v>
      </c>
      <c r="N227" s="16">
        <v>0.14285714285714299</v>
      </c>
      <c r="O227" s="16">
        <v>1</v>
      </c>
      <c r="P227" s="17">
        <f t="shared" si="33"/>
        <v>0.19748394468095065</v>
      </c>
      <c r="Q227" s="17">
        <f t="shared" si="34"/>
        <v>0.72546105100381009</v>
      </c>
      <c r="R227" s="17">
        <f t="shared" si="35"/>
        <v>0.51515151515151525</v>
      </c>
      <c r="S227" s="17">
        <f>'02_지표정의'!$C$22*P227+'02_지표정의'!$C$23*Q227+'02_지표정의'!$C$24*R227</f>
        <v>0.546257292190935</v>
      </c>
      <c r="T227" s="5">
        <f t="shared" si="36"/>
        <v>0</v>
      </c>
      <c r="U227" s="5" t="str">
        <f t="shared" si="37"/>
        <v>특허</v>
      </c>
      <c r="V227" s="18">
        <f t="shared" si="38"/>
        <v>190</v>
      </c>
      <c r="W227" s="5">
        <f t="shared" si="39"/>
        <v>159</v>
      </c>
      <c r="X227" s="5">
        <f t="shared" si="40"/>
        <v>55</v>
      </c>
      <c r="Y227" s="5">
        <f t="shared" si="41"/>
        <v>0</v>
      </c>
      <c r="Z227" s="19">
        <f t="shared" si="42"/>
        <v>21</v>
      </c>
      <c r="AA227" s="20">
        <f>ABS(S227-SUMPRODUCT(('05B_가정검정'!$A$5:$A$19=B227)*('05B_가정검정'!$B$5:$B$19=C227)*'05B_가정검정'!$E$5:$E$19))</f>
        <v>1.1146412794032279E-2</v>
      </c>
      <c r="AB227" s="20">
        <f t="shared" si="43"/>
        <v>-6.2938732216883952E-3</v>
      </c>
    </row>
    <row r="228" spans="1:28">
      <c r="A228" s="15" t="s">
        <v>138</v>
      </c>
      <c r="B228" s="15" t="s">
        <v>116</v>
      </c>
      <c r="C228" s="15" t="s">
        <v>118</v>
      </c>
      <c r="D228" s="16">
        <v>0.24618991793669401</v>
      </c>
      <c r="E228" s="16">
        <v>0.32402234636871502</v>
      </c>
      <c r="F228" s="16">
        <v>9.5505617977528101E-2</v>
      </c>
      <c r="G228" s="16">
        <v>0.223463687150838</v>
      </c>
      <c r="H228" s="16">
        <v>0.24239933835587599</v>
      </c>
      <c r="I228" s="16">
        <v>0.16610002440459101</v>
      </c>
      <c r="J228" s="16">
        <v>0.70255908496741803</v>
      </c>
      <c r="K228" s="16">
        <v>0.65170954765105205</v>
      </c>
      <c r="L228" s="16">
        <v>0.79709480556007195</v>
      </c>
      <c r="M228" s="16">
        <v>0.51342281879194596</v>
      </c>
      <c r="N228" s="16">
        <v>0</v>
      </c>
      <c r="O228" s="16">
        <v>0.52631578947368396</v>
      </c>
      <c r="P228" s="17">
        <f t="shared" si="33"/>
        <v>0.21628015536570699</v>
      </c>
      <c r="Q228" s="17">
        <f t="shared" si="34"/>
        <v>0.71712114605951405</v>
      </c>
      <c r="R228" s="17">
        <f t="shared" si="35"/>
        <v>0.34657953608854331</v>
      </c>
      <c r="S228" s="17">
        <f>'02_지표정의'!$C$22*P228+'02_지표정의'!$C$23*Q228+'02_지표정의'!$C$24*R228</f>
        <v>0.48726338443091288</v>
      </c>
      <c r="T228" s="5">
        <f t="shared" si="36"/>
        <v>0</v>
      </c>
      <c r="U228" s="5" t="str">
        <f t="shared" si="37"/>
        <v>특허</v>
      </c>
      <c r="V228" s="18">
        <f t="shared" si="38"/>
        <v>23</v>
      </c>
      <c r="W228" s="5">
        <f t="shared" si="39"/>
        <v>17</v>
      </c>
      <c r="X228" s="5">
        <f t="shared" si="40"/>
        <v>0</v>
      </c>
      <c r="Y228" s="5">
        <f t="shared" si="41"/>
        <v>21</v>
      </c>
      <c r="Z228" s="19">
        <f t="shared" si="42"/>
        <v>11</v>
      </c>
      <c r="AA228" s="20">
        <f>ABS(S228-SUMPRODUCT(('05B_가정검정'!$A$5:$A$19=B228)*('05B_가정검정'!$B$5:$B$19=C228)*'05B_가정검정'!$E$5:$E$19))</f>
        <v>4.4029037270808757E-2</v>
      </c>
      <c r="AB228" s="20">
        <f t="shared" si="43"/>
        <v>-4.028564794767342E-2</v>
      </c>
    </row>
    <row r="229" spans="1:28">
      <c r="A229" s="15" t="s">
        <v>138</v>
      </c>
      <c r="B229" s="15" t="s">
        <v>116</v>
      </c>
      <c r="C229" s="15" t="s">
        <v>119</v>
      </c>
      <c r="D229" s="16">
        <v>0.31086956521739101</v>
      </c>
      <c r="E229" s="16">
        <v>0.40804597701149398</v>
      </c>
      <c r="F229" s="16">
        <v>0.15606936416184999</v>
      </c>
      <c r="G229" s="16">
        <v>0.31034482758620702</v>
      </c>
      <c r="H229" s="16">
        <v>0.33215482467968699</v>
      </c>
      <c r="I229" s="16">
        <v>0.42868156891412101</v>
      </c>
      <c r="J229" s="16">
        <v>0.70707557561334999</v>
      </c>
      <c r="K229" s="16">
        <v>0.65431560916328801</v>
      </c>
      <c r="L229" s="16">
        <v>0.81630752995156397</v>
      </c>
      <c r="M229" s="16">
        <v>0.59307359307359298</v>
      </c>
      <c r="N229" s="16">
        <v>0.44360902255639101</v>
      </c>
      <c r="O229" s="16">
        <v>1</v>
      </c>
      <c r="P229" s="17">
        <f t="shared" si="33"/>
        <v>0.32436102126179167</v>
      </c>
      <c r="Q229" s="17">
        <f t="shared" si="34"/>
        <v>0.72589957157606733</v>
      </c>
      <c r="R229" s="17">
        <f t="shared" si="35"/>
        <v>0.67889420520999477</v>
      </c>
      <c r="S229" s="17">
        <f>'02_지표정의'!$C$22*P229+'02_지표정의'!$C$23*Q229+'02_지표정의'!$C$24*R229</f>
        <v>0.6291399832850868</v>
      </c>
      <c r="T229" s="5">
        <f t="shared" si="36"/>
        <v>0</v>
      </c>
      <c r="U229" s="5" t="str">
        <f t="shared" si="37"/>
        <v>특허</v>
      </c>
      <c r="V229" s="18">
        <f t="shared" si="38"/>
        <v>525</v>
      </c>
      <c r="W229" s="5">
        <f t="shared" si="39"/>
        <v>0</v>
      </c>
      <c r="X229" s="5">
        <f t="shared" si="40"/>
        <v>233</v>
      </c>
      <c r="Y229" s="5">
        <f t="shared" si="41"/>
        <v>396</v>
      </c>
      <c r="Z229" s="19">
        <f t="shared" si="42"/>
        <v>64</v>
      </c>
      <c r="AA229" s="20">
        <f>ABS(S229-SUMPRODUCT(('05B_가정검정'!$A$5:$A$19=B229)*('05B_가정검정'!$B$5:$B$19=C229)*'05B_가정검정'!$E$5:$E$19))</f>
        <v>7.6116466542304195E-2</v>
      </c>
      <c r="AB229" s="20">
        <f t="shared" si="43"/>
        <v>7.2687499608906747E-2</v>
      </c>
    </row>
    <row r="230" spans="1:28">
      <c r="A230" s="15" t="s">
        <v>138</v>
      </c>
      <c r="B230" s="15" t="s">
        <v>120</v>
      </c>
      <c r="C230" s="15" t="s">
        <v>117</v>
      </c>
      <c r="D230" s="16">
        <v>0.166840458811262</v>
      </c>
      <c r="E230" s="16">
        <v>0.24285714285714299</v>
      </c>
      <c r="F230" s="16">
        <v>6.4748201438848907E-2</v>
      </c>
      <c r="G230" s="16">
        <v>0.17857142857142899</v>
      </c>
      <c r="H230" s="16">
        <v>0.28250074840497102</v>
      </c>
      <c r="I230" s="16">
        <v>6.0116801027202099E-2</v>
      </c>
      <c r="J230" s="16">
        <v>0.68636106683707199</v>
      </c>
      <c r="K230" s="16">
        <v>0.66106875418384303</v>
      </c>
      <c r="L230" s="16">
        <v>0.833087035644689</v>
      </c>
      <c r="M230" s="16">
        <v>0.70247933884297498</v>
      </c>
      <c r="N230" s="16">
        <v>0.73134328358209</v>
      </c>
      <c r="O230" s="16">
        <v>1</v>
      </c>
      <c r="P230" s="17">
        <f t="shared" si="33"/>
        <v>0.16593913018514267</v>
      </c>
      <c r="Q230" s="17">
        <f t="shared" si="34"/>
        <v>0.72683895222186801</v>
      </c>
      <c r="R230" s="17">
        <f t="shared" si="35"/>
        <v>0.81127420747502166</v>
      </c>
      <c r="S230" s="17">
        <f>'02_지표정의'!$C$22*P230+'02_지표정의'!$C$23*Q230+'02_지표정의'!$C$24*R230</f>
        <v>0.64421132715312668</v>
      </c>
      <c r="T230" s="5">
        <f t="shared" si="36"/>
        <v>0</v>
      </c>
      <c r="U230" s="5" t="str">
        <f t="shared" si="37"/>
        <v>특허</v>
      </c>
      <c r="V230" s="18">
        <f t="shared" si="38"/>
        <v>593</v>
      </c>
      <c r="W230" s="5">
        <f t="shared" si="39"/>
        <v>459</v>
      </c>
      <c r="X230" s="5">
        <f t="shared" si="40"/>
        <v>284</v>
      </c>
      <c r="Y230" s="5">
        <f t="shared" si="41"/>
        <v>0</v>
      </c>
      <c r="Z230" s="19">
        <f t="shared" si="42"/>
        <v>50</v>
      </c>
      <c r="AA230" s="20">
        <f>ABS(S230-SUMPRODUCT(('05B_가정검정'!$A$5:$A$19=B230)*('05B_가정검정'!$B$5:$B$19=C230)*'05B_가정검정'!$E$5:$E$19))</f>
        <v>1.6162367096005603E-2</v>
      </c>
      <c r="AB230" s="20">
        <f t="shared" si="43"/>
        <v>1.2908623728369539E-2</v>
      </c>
    </row>
    <row r="231" spans="1:28">
      <c r="A231" s="15" t="s">
        <v>138</v>
      </c>
      <c r="B231" s="15" t="s">
        <v>120</v>
      </c>
      <c r="C231" s="15" t="s">
        <v>118</v>
      </c>
      <c r="D231" s="16">
        <v>0.24719101123595499</v>
      </c>
      <c r="E231" s="16">
        <v>0.29490616621983901</v>
      </c>
      <c r="F231" s="16">
        <v>7.54716981132076E-2</v>
      </c>
      <c r="G231" s="16">
        <v>0.17694369973190399</v>
      </c>
      <c r="H231" s="16">
        <v>0.201458965198069</v>
      </c>
      <c r="I231" s="16">
        <v>0.148240778318389</v>
      </c>
      <c r="J231" s="16">
        <v>0.65981502759396404</v>
      </c>
      <c r="K231" s="16">
        <v>0.64507769935903603</v>
      </c>
      <c r="L231" s="16">
        <v>0.81029520750834305</v>
      </c>
      <c r="M231" s="16">
        <v>0.389261744966443</v>
      </c>
      <c r="N231" s="16">
        <v>0.219512195121951</v>
      </c>
      <c r="O231" s="16">
        <v>0.52631578947368396</v>
      </c>
      <c r="P231" s="17">
        <f t="shared" si="33"/>
        <v>0.19070205313622726</v>
      </c>
      <c r="Q231" s="17">
        <f t="shared" si="34"/>
        <v>0.70506264482044767</v>
      </c>
      <c r="R231" s="17">
        <f t="shared" si="35"/>
        <v>0.37836324318735937</v>
      </c>
      <c r="S231" s="17">
        <f>'02_지표정의'!$C$22*P231+'02_지표정의'!$C$23*Q231+'02_지표정의'!$C$24*R231</f>
        <v>0.48784573591202263</v>
      </c>
      <c r="T231" s="5">
        <f t="shared" si="36"/>
        <v>0</v>
      </c>
      <c r="U231" s="5" t="str">
        <f t="shared" si="37"/>
        <v>특허</v>
      </c>
      <c r="V231" s="18">
        <f t="shared" si="38"/>
        <v>24</v>
      </c>
      <c r="W231" s="5">
        <f t="shared" si="39"/>
        <v>18</v>
      </c>
      <c r="X231" s="5">
        <f t="shared" si="40"/>
        <v>0</v>
      </c>
      <c r="Y231" s="5">
        <f t="shared" si="41"/>
        <v>22</v>
      </c>
      <c r="Z231" s="19">
        <f t="shared" si="42"/>
        <v>1</v>
      </c>
      <c r="AA231" s="20">
        <f>ABS(S231-SUMPRODUCT(('05B_가정검정'!$A$5:$A$19=B231)*('05B_가정검정'!$B$5:$B$19=C231)*'05B_가정검정'!$E$5:$E$19))</f>
        <v>0.10298311266960536</v>
      </c>
      <c r="AB231" s="20">
        <f t="shared" si="43"/>
        <v>-8.7045040050088174E-2</v>
      </c>
    </row>
    <row r="232" spans="1:28">
      <c r="A232" s="15" t="s">
        <v>138</v>
      </c>
      <c r="B232" s="15" t="s">
        <v>120</v>
      </c>
      <c r="C232" s="15" t="s">
        <v>119</v>
      </c>
      <c r="D232" s="16">
        <v>0.30929989550679199</v>
      </c>
      <c r="E232" s="16">
        <v>0.451790633608815</v>
      </c>
      <c r="F232" s="16">
        <v>0.221606648199446</v>
      </c>
      <c r="G232" s="16">
        <v>0.30303030303030298</v>
      </c>
      <c r="H232" s="16">
        <v>0.299175555348272</v>
      </c>
      <c r="I232" s="16">
        <v>0.58204044464100302</v>
      </c>
      <c r="J232" s="16">
        <v>0.71716177893252198</v>
      </c>
      <c r="K232" s="16">
        <v>0.71036492208847701</v>
      </c>
      <c r="L232" s="16">
        <v>0.83539028477586597</v>
      </c>
      <c r="M232" s="16">
        <v>0.42922374429223698</v>
      </c>
      <c r="N232" s="16">
        <v>0.35897435897435898</v>
      </c>
      <c r="O232" s="16">
        <v>1</v>
      </c>
      <c r="P232" s="17">
        <f t="shared" si="33"/>
        <v>0.36115724672243849</v>
      </c>
      <c r="Q232" s="17">
        <f t="shared" si="34"/>
        <v>0.75430566193228821</v>
      </c>
      <c r="R232" s="17">
        <f t="shared" si="35"/>
        <v>0.59606603442219863</v>
      </c>
      <c r="S232" s="17">
        <f>'02_지표정의'!$C$22*P232+'02_지표정의'!$C$23*Q232+'02_지표정의'!$C$24*R232</f>
        <v>0.62029210926178691</v>
      </c>
      <c r="T232" s="5">
        <f t="shared" si="36"/>
        <v>0</v>
      </c>
      <c r="U232" s="5" t="str">
        <f t="shared" si="37"/>
        <v>특허</v>
      </c>
      <c r="V232" s="18">
        <f t="shared" si="38"/>
        <v>489</v>
      </c>
      <c r="W232" s="5">
        <f t="shared" si="39"/>
        <v>0</v>
      </c>
      <c r="X232" s="5">
        <f t="shared" si="40"/>
        <v>216</v>
      </c>
      <c r="Y232" s="5">
        <f t="shared" si="41"/>
        <v>368</v>
      </c>
      <c r="Z232" s="19">
        <f t="shared" si="42"/>
        <v>7</v>
      </c>
      <c r="AA232" s="20">
        <f>ABS(S232-SUMPRODUCT(('05B_가정검정'!$A$5:$A$19=B232)*('05B_가정검정'!$B$5:$B$19=C232)*'05B_가정검정'!$E$5:$E$19))</f>
        <v>4.3385207219599375E-2</v>
      </c>
      <c r="AB232" s="20">
        <f t="shared" si="43"/>
        <v>-3.8130898249028711E-2</v>
      </c>
    </row>
    <row r="233" spans="1:28">
      <c r="A233" s="15" t="s">
        <v>138</v>
      </c>
      <c r="B233" s="15" t="s">
        <v>121</v>
      </c>
      <c r="C233" s="15" t="s">
        <v>117</v>
      </c>
      <c r="D233" s="16">
        <v>0.187245590230665</v>
      </c>
      <c r="E233" s="16">
        <v>0.30693069306930698</v>
      </c>
      <c r="F233" s="16">
        <v>0.1</v>
      </c>
      <c r="G233" s="16">
        <v>0.237623762376238</v>
      </c>
      <c r="H233" s="16">
        <v>0.24529033120818799</v>
      </c>
      <c r="I233" s="16">
        <v>7.1478920185601896E-2</v>
      </c>
      <c r="J233" s="16">
        <v>0.714239489657996</v>
      </c>
      <c r="K233" s="16">
        <v>0.75891826331016898</v>
      </c>
      <c r="L233" s="16">
        <v>0.87784781205456297</v>
      </c>
      <c r="M233" s="16">
        <v>0.90654205607476601</v>
      </c>
      <c r="N233" s="16">
        <v>0.91666666666666696</v>
      </c>
      <c r="O233" s="16">
        <v>1</v>
      </c>
      <c r="P233" s="17">
        <f t="shared" si="33"/>
        <v>0.1914282161783333</v>
      </c>
      <c r="Q233" s="17">
        <f t="shared" si="34"/>
        <v>0.78366852167424261</v>
      </c>
      <c r="R233" s="17">
        <f t="shared" si="35"/>
        <v>0.94106957424714432</v>
      </c>
      <c r="S233" s="17">
        <f>'02_지표정의'!$C$22*P233+'02_지표정의'!$C$23*Q233+'02_지표정의'!$C$24*R233</f>
        <v>0.7203108289755763</v>
      </c>
      <c r="T233" s="5">
        <f t="shared" si="36"/>
        <v>1</v>
      </c>
      <c r="U233" s="5" t="str">
        <f t="shared" si="37"/>
        <v>특허</v>
      </c>
      <c r="V233" s="18">
        <f t="shared" si="38"/>
        <v>882</v>
      </c>
      <c r="W233" s="5">
        <f t="shared" si="39"/>
        <v>589</v>
      </c>
      <c r="X233" s="5">
        <f t="shared" si="40"/>
        <v>557</v>
      </c>
      <c r="Y233" s="5">
        <f t="shared" si="41"/>
        <v>0</v>
      </c>
      <c r="Z233" s="19">
        <f t="shared" si="42"/>
        <v>26</v>
      </c>
      <c r="AA233" s="20">
        <f>ABS(S233-SUMPRODUCT(('05B_가정검정'!$A$5:$A$19=B233)*('05B_가정검정'!$B$5:$B$19=C233)*'05B_가정검정'!$E$5:$E$19))</f>
        <v>9.1212424063048525E-3</v>
      </c>
      <c r="AB233" s="20">
        <f t="shared" si="43"/>
        <v>2.6590359026953392E-3</v>
      </c>
    </row>
    <row r="234" spans="1:28">
      <c r="A234" s="15" t="s">
        <v>138</v>
      </c>
      <c r="B234" s="15" t="s">
        <v>121</v>
      </c>
      <c r="C234" s="15" t="s">
        <v>118</v>
      </c>
      <c r="D234" s="16">
        <v>0.23652694610778399</v>
      </c>
      <c r="E234" s="16">
        <v>0.29830508474576301</v>
      </c>
      <c r="F234" s="16">
        <v>8.1911262798634796E-2</v>
      </c>
      <c r="G234" s="16">
        <v>0.20338983050847501</v>
      </c>
      <c r="H234" s="16">
        <v>0.178045088748191</v>
      </c>
      <c r="I234" s="16">
        <v>0.13580099295640299</v>
      </c>
      <c r="J234" s="16">
        <v>0.675904461816768</v>
      </c>
      <c r="K234" s="16">
        <v>0.77587243606060996</v>
      </c>
      <c r="L234" s="16">
        <v>0.88780640679497003</v>
      </c>
      <c r="M234" s="16">
        <v>0.32550335570469802</v>
      </c>
      <c r="N234" s="16">
        <v>0.30081300813008099</v>
      </c>
      <c r="O234" s="16">
        <v>0.52631578947368396</v>
      </c>
      <c r="P234" s="17">
        <f t="shared" si="33"/>
        <v>0.18899653431087515</v>
      </c>
      <c r="Q234" s="17">
        <f t="shared" si="34"/>
        <v>0.77986110155744937</v>
      </c>
      <c r="R234" s="17">
        <f t="shared" si="35"/>
        <v>0.38421071776948762</v>
      </c>
      <c r="S234" s="17">
        <f>'02_지표정의'!$C$22*P234+'02_지표정의'!$C$23*Q234+'02_지표정의'!$C$24*R234</f>
        <v>0.52321055378234793</v>
      </c>
      <c r="T234" s="5">
        <f t="shared" si="36"/>
        <v>0</v>
      </c>
      <c r="U234" s="5" t="str">
        <f t="shared" si="37"/>
        <v>특허</v>
      </c>
      <c r="V234" s="18">
        <f t="shared" si="38"/>
        <v>112</v>
      </c>
      <c r="W234" s="5">
        <f t="shared" si="39"/>
        <v>101</v>
      </c>
      <c r="X234" s="5">
        <f t="shared" si="40"/>
        <v>0</v>
      </c>
      <c r="Y234" s="5">
        <f t="shared" si="41"/>
        <v>103</v>
      </c>
      <c r="Z234" s="19">
        <f t="shared" si="42"/>
        <v>11</v>
      </c>
      <c r="AA234" s="20">
        <f>ABS(S234-SUMPRODUCT(('05B_가정검정'!$A$5:$A$19=B234)*('05B_가정검정'!$B$5:$B$19=C234)*'05B_가정검정'!$E$5:$E$19))</f>
        <v>7.53689363846205E-2</v>
      </c>
      <c r="AB234" s="20">
        <f t="shared" si="43"/>
        <v>-5.6188520744465342E-2</v>
      </c>
    </row>
    <row r="235" spans="1:28">
      <c r="A235" s="15" t="s">
        <v>138</v>
      </c>
      <c r="B235" s="15" t="s">
        <v>121</v>
      </c>
      <c r="C235" s="15" t="s">
        <v>119</v>
      </c>
      <c r="D235" s="16">
        <v>0.312925170068027</v>
      </c>
      <c r="E235" s="16">
        <v>0.32982456140350902</v>
      </c>
      <c r="F235" s="16">
        <v>0.17667844522968201</v>
      </c>
      <c r="G235" s="16">
        <v>0.27368421052631597</v>
      </c>
      <c r="H235" s="16">
        <v>0.223326066605193</v>
      </c>
      <c r="I235" s="16">
        <v>0.56300148873800004</v>
      </c>
      <c r="J235" s="16">
        <v>0.76361545428088895</v>
      </c>
      <c r="K235" s="16">
        <v>0.80802868056057497</v>
      </c>
      <c r="L235" s="16">
        <v>0.90913592238850405</v>
      </c>
      <c r="M235" s="16">
        <v>0.442922374429224</v>
      </c>
      <c r="N235" s="16">
        <v>0.47008547008547003</v>
      </c>
      <c r="O235" s="16">
        <v>1</v>
      </c>
      <c r="P235" s="17">
        <f t="shared" si="33"/>
        <v>0.31323999042845457</v>
      </c>
      <c r="Q235" s="17">
        <f t="shared" si="34"/>
        <v>0.82692668574332251</v>
      </c>
      <c r="R235" s="17">
        <f t="shared" si="35"/>
        <v>0.63766928150489799</v>
      </c>
      <c r="S235" s="17">
        <f>'02_지표정의'!$C$22*P235+'02_지표정의'!$C$23*Q235+'02_지표정의'!$C$24*R235</f>
        <v>0.6579492551969004</v>
      </c>
      <c r="T235" s="5">
        <f t="shared" si="36"/>
        <v>0</v>
      </c>
      <c r="U235" s="5" t="str">
        <f t="shared" si="37"/>
        <v>특허</v>
      </c>
      <c r="V235" s="18">
        <f t="shared" si="38"/>
        <v>661</v>
      </c>
      <c r="W235" s="5">
        <f t="shared" si="39"/>
        <v>0</v>
      </c>
      <c r="X235" s="5">
        <f t="shared" si="40"/>
        <v>342</v>
      </c>
      <c r="Y235" s="5">
        <f t="shared" si="41"/>
        <v>490</v>
      </c>
      <c r="Z235" s="19">
        <f t="shared" si="42"/>
        <v>14</v>
      </c>
      <c r="AA235" s="20">
        <f>ABS(S235-SUMPRODUCT(('05B_가정검정'!$A$5:$A$19=B235)*('05B_가정검정'!$B$5:$B$19=C235)*'05B_가정검정'!$E$5:$E$19))</f>
        <v>3.4370587598953284E-2</v>
      </c>
      <c r="AB235" s="20">
        <f t="shared" si="43"/>
        <v>-3.0287720222710646E-2</v>
      </c>
    </row>
    <row r="236" spans="1:28">
      <c r="A236" s="15" t="s">
        <v>138</v>
      </c>
      <c r="B236" s="15" t="s">
        <v>122</v>
      </c>
      <c r="C236" s="15" t="s">
        <v>117</v>
      </c>
      <c r="D236" s="16">
        <v>0.20526315789473701</v>
      </c>
      <c r="E236" s="16">
        <v>0.27160493827160498</v>
      </c>
      <c r="F236" s="16">
        <v>9.1286307053941904E-2</v>
      </c>
      <c r="G236" s="16">
        <v>0.21399176954732499</v>
      </c>
      <c r="H236" s="16">
        <v>0.26311048080937699</v>
      </c>
      <c r="I236" s="16">
        <v>8.6780206460200196E-2</v>
      </c>
      <c r="J236" s="16">
        <v>0.67526635588373496</v>
      </c>
      <c r="K236" s="16">
        <v>0.68445118321190501</v>
      </c>
      <c r="L236" s="16">
        <v>0.85766598447046005</v>
      </c>
      <c r="M236" s="16">
        <v>0.51445086705202303</v>
      </c>
      <c r="N236" s="16">
        <v>0.56321839080459801</v>
      </c>
      <c r="O236" s="16">
        <v>1</v>
      </c>
      <c r="P236" s="17">
        <f t="shared" si="33"/>
        <v>0.18867281000619765</v>
      </c>
      <c r="Q236" s="17">
        <f t="shared" si="34"/>
        <v>0.73912784118870001</v>
      </c>
      <c r="R236" s="17">
        <f t="shared" si="35"/>
        <v>0.69255641928554035</v>
      </c>
      <c r="S236" s="17">
        <f>'02_지표정의'!$C$22*P236+'02_지표정의'!$C$23*Q236+'02_지표정의'!$C$24*R236</f>
        <v>0.61273683728609363</v>
      </c>
      <c r="T236" s="5">
        <f t="shared" si="36"/>
        <v>0</v>
      </c>
      <c r="U236" s="5" t="str">
        <f t="shared" si="37"/>
        <v>특허</v>
      </c>
      <c r="V236" s="18">
        <f t="shared" si="38"/>
        <v>450</v>
      </c>
      <c r="W236" s="5">
        <f t="shared" si="39"/>
        <v>367</v>
      </c>
      <c r="X236" s="5">
        <f t="shared" si="40"/>
        <v>192</v>
      </c>
      <c r="Y236" s="5">
        <f t="shared" si="41"/>
        <v>0</v>
      </c>
      <c r="Z236" s="19">
        <f t="shared" si="42"/>
        <v>25</v>
      </c>
      <c r="AA236" s="20">
        <f>ABS(S236-SUMPRODUCT(('05B_가정검정'!$A$5:$A$19=B236)*('05B_가정검정'!$B$5:$B$19=C236)*'05B_가정검정'!$E$5:$E$19))</f>
        <v>2.6616117422584851E-2</v>
      </c>
      <c r="AB236" s="20">
        <f t="shared" si="43"/>
        <v>-1.0144784903552528E-2</v>
      </c>
    </row>
    <row r="237" spans="1:28">
      <c r="A237" s="15" t="s">
        <v>138</v>
      </c>
      <c r="B237" s="15" t="s">
        <v>122</v>
      </c>
      <c r="C237" s="15" t="s">
        <v>118</v>
      </c>
      <c r="D237" s="16">
        <v>0.30969609261939202</v>
      </c>
      <c r="E237" s="16">
        <v>0.33333333333333298</v>
      </c>
      <c r="F237" s="16">
        <v>0.107784431137725</v>
      </c>
      <c r="G237" s="16">
        <v>0.19642857142857101</v>
      </c>
      <c r="H237" s="16">
        <v>0.254504294748575</v>
      </c>
      <c r="I237" s="16">
        <v>0.20534473110396301</v>
      </c>
      <c r="J237" s="16">
        <v>0.67827196785169597</v>
      </c>
      <c r="K237" s="16">
        <v>0.70090566014818001</v>
      </c>
      <c r="L237" s="16">
        <v>0.83901678820177295</v>
      </c>
      <c r="M237" s="16">
        <v>0.456375838926175</v>
      </c>
      <c r="N237" s="16">
        <v>0.26016260162601601</v>
      </c>
      <c r="O237" s="16">
        <v>0.52631578947368396</v>
      </c>
      <c r="P237" s="17">
        <f t="shared" si="33"/>
        <v>0.23451524239525981</v>
      </c>
      <c r="Q237" s="17">
        <f t="shared" si="34"/>
        <v>0.73939813873388294</v>
      </c>
      <c r="R237" s="17">
        <f t="shared" si="35"/>
        <v>0.41428474334195836</v>
      </c>
      <c r="S237" s="17">
        <f>'02_지표정의'!$C$22*P237+'02_지표정의'!$C$23*Q237+'02_지표정의'!$C$24*R237</f>
        <v>0.52463187107898468</v>
      </c>
      <c r="T237" s="5">
        <f t="shared" si="36"/>
        <v>1</v>
      </c>
      <c r="U237" s="5" t="str">
        <f t="shared" si="37"/>
        <v>특허</v>
      </c>
      <c r="V237" s="18">
        <f t="shared" si="38"/>
        <v>116</v>
      </c>
      <c r="W237" s="5">
        <f t="shared" si="39"/>
        <v>105</v>
      </c>
      <c r="X237" s="5">
        <f t="shared" si="40"/>
        <v>0</v>
      </c>
      <c r="Y237" s="5">
        <f t="shared" si="41"/>
        <v>105</v>
      </c>
      <c r="Z237" s="19">
        <f t="shared" si="42"/>
        <v>12</v>
      </c>
      <c r="AA237" s="20">
        <f>ABS(S237-SUMPRODUCT(('05B_가정검정'!$A$5:$A$19=B237)*('05B_가정검정'!$B$5:$B$19=C237)*'05B_가정검정'!$E$5:$E$19))</f>
        <v>6.2290064918173571E-2</v>
      </c>
      <c r="AB237" s="20">
        <f t="shared" si="43"/>
        <v>-5.6591405138699091E-2</v>
      </c>
    </row>
    <row r="238" spans="1:28">
      <c r="A238" s="15" t="s">
        <v>138</v>
      </c>
      <c r="B238" s="15" t="s">
        <v>122</v>
      </c>
      <c r="C238" s="15" t="s">
        <v>119</v>
      </c>
      <c r="D238" s="16">
        <v>0.36411609498680703</v>
      </c>
      <c r="E238" s="16">
        <v>0.52147239263803702</v>
      </c>
      <c r="F238" s="16">
        <v>0.27777777777777801</v>
      </c>
      <c r="G238" s="16">
        <v>0.32515337423312901</v>
      </c>
      <c r="H238" s="16">
        <v>0.292770244631749</v>
      </c>
      <c r="I238" s="16">
        <v>0.67945492495988502</v>
      </c>
      <c r="J238" s="16">
        <v>0.73317281045893401</v>
      </c>
      <c r="K238" s="16">
        <v>0.71188412960374003</v>
      </c>
      <c r="L238" s="16">
        <v>0.84173362857690204</v>
      </c>
      <c r="M238" s="16">
        <v>0.488584474885845</v>
      </c>
      <c r="N238" s="16">
        <v>0.316239316239316</v>
      </c>
      <c r="O238" s="16">
        <v>1</v>
      </c>
      <c r="P238" s="17">
        <f t="shared" si="33"/>
        <v>0.41012413487123084</v>
      </c>
      <c r="Q238" s="17">
        <f t="shared" si="34"/>
        <v>0.76226352287985877</v>
      </c>
      <c r="R238" s="17">
        <f t="shared" si="35"/>
        <v>0.60160793037505367</v>
      </c>
      <c r="S238" s="17">
        <f>'02_지표정의'!$C$22*P238+'02_지표정의'!$C$23*Q238+'02_지표정의'!$C$24*R238</f>
        <v>0.6356061879014514</v>
      </c>
      <c r="T238" s="5">
        <f t="shared" si="36"/>
        <v>0</v>
      </c>
      <c r="U238" s="5" t="str">
        <f t="shared" si="37"/>
        <v>특허</v>
      </c>
      <c r="V238" s="18">
        <f t="shared" si="38"/>
        <v>562</v>
      </c>
      <c r="W238" s="5">
        <f t="shared" si="39"/>
        <v>0</v>
      </c>
      <c r="X238" s="5">
        <f t="shared" si="40"/>
        <v>261</v>
      </c>
      <c r="Y238" s="5">
        <f t="shared" si="41"/>
        <v>424</v>
      </c>
      <c r="Z238" s="19">
        <f t="shared" si="42"/>
        <v>33</v>
      </c>
      <c r="AA238" s="20">
        <f>ABS(S238-SUMPRODUCT(('05B_가정검정'!$A$5:$A$19=B238)*('05B_가정검정'!$B$5:$B$19=C238)*'05B_가정검정'!$E$5:$E$19))</f>
        <v>0</v>
      </c>
      <c r="AB238" s="20">
        <f t="shared" si="43"/>
        <v>4.2173215865654035E-3</v>
      </c>
    </row>
    <row r="239" spans="1:28">
      <c r="A239" s="15" t="s">
        <v>138</v>
      </c>
      <c r="B239" s="15" t="s">
        <v>123</v>
      </c>
      <c r="C239" s="15" t="s">
        <v>117</v>
      </c>
      <c r="D239" s="16">
        <v>0.210268948655257</v>
      </c>
      <c r="E239" s="16">
        <v>0.29059829059829101</v>
      </c>
      <c r="F239" s="16">
        <v>0.11206896551724101</v>
      </c>
      <c r="G239" s="16">
        <v>0.256410256410256</v>
      </c>
      <c r="H239" s="16">
        <v>0.31760003777586499</v>
      </c>
      <c r="I239" s="16">
        <v>5.9223239258623002E-2</v>
      </c>
      <c r="J239" s="16">
        <v>0.69233328624100399</v>
      </c>
      <c r="K239" s="16">
        <v>0.630767777247634</v>
      </c>
      <c r="L239" s="16">
        <v>0.83406362281108903</v>
      </c>
      <c r="M239" s="16">
        <v>0.90654205607476601</v>
      </c>
      <c r="N239" s="16">
        <v>0.91666666666666696</v>
      </c>
      <c r="O239" s="16">
        <v>1</v>
      </c>
      <c r="P239" s="17">
        <f t="shared" si="33"/>
        <v>0.2076949563692555</v>
      </c>
      <c r="Q239" s="17">
        <f t="shared" si="34"/>
        <v>0.71905489543324241</v>
      </c>
      <c r="R239" s="17">
        <f t="shared" si="35"/>
        <v>0.94106957424714432</v>
      </c>
      <c r="S239" s="17">
        <f>'02_지표정의'!$C$22*P239+'02_지표정의'!$C$23*Q239+'02_지표정의'!$C$24*R239</f>
        <v>0.69448804520531071</v>
      </c>
      <c r="T239" s="5">
        <f t="shared" si="36"/>
        <v>0</v>
      </c>
      <c r="U239" s="5" t="str">
        <f t="shared" si="37"/>
        <v>특허</v>
      </c>
      <c r="V239" s="18">
        <f t="shared" si="38"/>
        <v>803</v>
      </c>
      <c r="W239" s="5">
        <f t="shared" si="39"/>
        <v>550</v>
      </c>
      <c r="X239" s="5">
        <f t="shared" si="40"/>
        <v>478</v>
      </c>
      <c r="Y239" s="5">
        <f t="shared" si="41"/>
        <v>0</v>
      </c>
      <c r="Z239" s="19">
        <f t="shared" si="42"/>
        <v>18</v>
      </c>
      <c r="AA239" s="20">
        <f>ABS(S239-SUMPRODUCT(('05B_가정검정'!$A$5:$A$19=B239)*('05B_가정검정'!$B$5:$B$19=C239)*'05B_가정검정'!$E$5:$E$19))</f>
        <v>2.0434837570913023E-2</v>
      </c>
      <c r="AB239" s="20">
        <f t="shared" si="43"/>
        <v>-1.349740660593246E-2</v>
      </c>
    </row>
    <row r="240" spans="1:28">
      <c r="A240" s="15" t="s">
        <v>138</v>
      </c>
      <c r="B240" s="15" t="s">
        <v>123</v>
      </c>
      <c r="C240" s="15" t="s">
        <v>118</v>
      </c>
      <c r="D240" s="16">
        <v>0.240320427236315</v>
      </c>
      <c r="E240" s="16">
        <v>0.31192660550458701</v>
      </c>
      <c r="F240" s="16">
        <v>9.2307692307692299E-2</v>
      </c>
      <c r="G240" s="16">
        <v>0.20795107033639099</v>
      </c>
      <c r="H240" s="16">
        <v>0.22235171782527599</v>
      </c>
      <c r="I240" s="16">
        <v>0.12831636108519701</v>
      </c>
      <c r="J240" s="16">
        <v>0.66664344995609204</v>
      </c>
      <c r="K240" s="16">
        <v>0.60693080407224298</v>
      </c>
      <c r="L240" s="16">
        <v>0.81499813656142295</v>
      </c>
      <c r="M240" s="16">
        <v>0.32550335570469802</v>
      </c>
      <c r="N240" s="16">
        <v>0.30081300813008099</v>
      </c>
      <c r="O240" s="16">
        <v>0.52631578947368396</v>
      </c>
      <c r="P240" s="17">
        <f t="shared" si="33"/>
        <v>0.20052897904924305</v>
      </c>
      <c r="Q240" s="17">
        <f t="shared" si="34"/>
        <v>0.69619079686325269</v>
      </c>
      <c r="R240" s="17">
        <f t="shared" si="35"/>
        <v>0.38421071776948762</v>
      </c>
      <c r="S240" s="17">
        <f>'02_지표정의'!$C$22*P240+'02_지표정의'!$C$23*Q240+'02_지표정의'!$C$24*R240</f>
        <v>0.48786540561763297</v>
      </c>
      <c r="T240" s="5">
        <f t="shared" si="36"/>
        <v>0</v>
      </c>
      <c r="U240" s="5" t="str">
        <f t="shared" si="37"/>
        <v>특허</v>
      </c>
      <c r="V240" s="18">
        <f t="shared" si="38"/>
        <v>26</v>
      </c>
      <c r="W240" s="5">
        <f t="shared" si="39"/>
        <v>20</v>
      </c>
      <c r="X240" s="5">
        <f t="shared" si="40"/>
        <v>0</v>
      </c>
      <c r="Y240" s="5">
        <f t="shared" si="41"/>
        <v>24</v>
      </c>
      <c r="Z240" s="19">
        <f t="shared" si="42"/>
        <v>3</v>
      </c>
      <c r="AA240" s="20">
        <f>ABS(S240-SUMPRODUCT(('05B_가정검정'!$A$5:$A$19=B240)*('05B_가정검정'!$B$5:$B$19=C240)*'05B_가정검정'!$E$5:$E$19))</f>
        <v>8.7433421261336741E-2</v>
      </c>
      <c r="AB240" s="20">
        <f t="shared" si="43"/>
        <v>-7.2006202306858114E-2</v>
      </c>
    </row>
    <row r="241" spans="1:28">
      <c r="A241" s="15" t="s">
        <v>138</v>
      </c>
      <c r="B241" s="15" t="s">
        <v>123</v>
      </c>
      <c r="C241" s="15" t="s">
        <v>119</v>
      </c>
      <c r="D241" s="16">
        <v>0.316176470588235</v>
      </c>
      <c r="E241" s="16">
        <v>0.41009463722397499</v>
      </c>
      <c r="F241" s="16">
        <v>0.234920634920635</v>
      </c>
      <c r="G241" s="16">
        <v>0.30283911671924302</v>
      </c>
      <c r="H241" s="16">
        <v>0.300432914631384</v>
      </c>
      <c r="I241" s="16">
        <v>0.568338981692878</v>
      </c>
      <c r="J241" s="16">
        <v>0.73831525451678603</v>
      </c>
      <c r="K241" s="16">
        <v>0.69074841043983004</v>
      </c>
      <c r="L241" s="16">
        <v>0.84582753945160905</v>
      </c>
      <c r="M241" s="16">
        <v>0.442922374429224</v>
      </c>
      <c r="N241" s="16">
        <v>0.47008547008547003</v>
      </c>
      <c r="O241" s="16">
        <v>1</v>
      </c>
      <c r="P241" s="17">
        <f t="shared" si="33"/>
        <v>0.35546712596272495</v>
      </c>
      <c r="Q241" s="17">
        <f t="shared" si="34"/>
        <v>0.75829706813607511</v>
      </c>
      <c r="R241" s="17">
        <f t="shared" si="35"/>
        <v>0.63766928150489799</v>
      </c>
      <c r="S241" s="17">
        <f>'02_지표정의'!$C$22*P241+'02_지표정의'!$C$23*Q241+'02_지표정의'!$C$24*R241</f>
        <v>0.63551135438049311</v>
      </c>
      <c r="T241" s="5">
        <f t="shared" si="36"/>
        <v>1</v>
      </c>
      <c r="U241" s="5" t="str">
        <f t="shared" si="37"/>
        <v>특허</v>
      </c>
      <c r="V241" s="18">
        <f t="shared" si="38"/>
        <v>560</v>
      </c>
      <c r="W241" s="5">
        <f t="shared" si="39"/>
        <v>0</v>
      </c>
      <c r="X241" s="5">
        <f t="shared" si="40"/>
        <v>260</v>
      </c>
      <c r="Y241" s="5">
        <f t="shared" si="41"/>
        <v>422</v>
      </c>
      <c r="Z241" s="19">
        <f t="shared" si="42"/>
        <v>8</v>
      </c>
      <c r="AA241" s="20">
        <f>ABS(S241-SUMPRODUCT(('05B_가정검정'!$A$5:$A$19=B241)*('05B_가정검정'!$B$5:$B$19=C241)*'05B_가정검정'!$E$5:$E$19))</f>
        <v>5.0118442943734243E-2</v>
      </c>
      <c r="AB241" s="20">
        <f t="shared" si="43"/>
        <v>-4.690737866450867E-2</v>
      </c>
    </row>
    <row r="242" spans="1:28">
      <c r="A242" s="15" t="s">
        <v>139</v>
      </c>
      <c r="B242" s="15" t="s">
        <v>116</v>
      </c>
      <c r="C242" s="15" t="s">
        <v>117</v>
      </c>
      <c r="D242" s="16">
        <v>0.230994152046784</v>
      </c>
      <c r="E242" s="16">
        <v>0.30434782608695699</v>
      </c>
      <c r="F242" s="16">
        <v>9.8901098901098897E-2</v>
      </c>
      <c r="G242" s="16">
        <v>0.26086956521739102</v>
      </c>
      <c r="H242" s="16">
        <v>0.22979514827665801</v>
      </c>
      <c r="I242" s="16">
        <v>0.30529272963376197</v>
      </c>
      <c r="J242" s="16">
        <v>0.70332633291077795</v>
      </c>
      <c r="K242" s="16">
        <v>0.65816533245032705</v>
      </c>
      <c r="L242" s="16">
        <v>0.80610709026015803</v>
      </c>
      <c r="M242" s="16">
        <v>0.56291390728476798</v>
      </c>
      <c r="N242" s="16">
        <v>0.23170731707317099</v>
      </c>
      <c r="O242" s="16">
        <v>1</v>
      </c>
      <c r="P242" s="17">
        <f t="shared" si="33"/>
        <v>0.2383667533604418</v>
      </c>
      <c r="Q242" s="17">
        <f t="shared" si="34"/>
        <v>0.7225329185404209</v>
      </c>
      <c r="R242" s="17">
        <f t="shared" si="35"/>
        <v>0.59820707478597968</v>
      </c>
      <c r="S242" s="17">
        <f>'02_지표정의'!$C$22*P242+'02_지표정의'!$C$23*Q242+'02_지표정의'!$C$24*R242</f>
        <v>0.58218564019037067</v>
      </c>
      <c r="T242" s="5">
        <f t="shared" si="36"/>
        <v>0</v>
      </c>
      <c r="U242" s="5" t="str">
        <f t="shared" si="37"/>
        <v>특허</v>
      </c>
      <c r="V242" s="18">
        <f t="shared" si="38"/>
        <v>328</v>
      </c>
      <c r="W242" s="5">
        <f t="shared" si="39"/>
        <v>267</v>
      </c>
      <c r="X242" s="5">
        <f t="shared" si="40"/>
        <v>142</v>
      </c>
      <c r="Y242" s="5">
        <f t="shared" si="41"/>
        <v>0</v>
      </c>
      <c r="Z242" s="19">
        <f t="shared" si="42"/>
        <v>61</v>
      </c>
      <c r="AA242" s="20">
        <f>ABS(S242-SUMPRODUCT(('05B_가정검정'!$A$5:$A$19=B242)*('05B_가정검정'!$B$5:$B$19=C242)*'05B_가정검정'!$E$5:$E$19))</f>
        <v>2.4781935205403394E-2</v>
      </c>
      <c r="AB242" s="20">
        <f t="shared" si="43"/>
        <v>2.9634474777747277E-2</v>
      </c>
    </row>
    <row r="243" spans="1:28">
      <c r="A243" s="15" t="s">
        <v>139</v>
      </c>
      <c r="B243" s="15" t="s">
        <v>116</v>
      </c>
      <c r="C243" s="15" t="s">
        <v>118</v>
      </c>
      <c r="D243" s="16">
        <v>0.30206677265500798</v>
      </c>
      <c r="E243" s="16">
        <v>0.284829721362229</v>
      </c>
      <c r="F243" s="16">
        <v>8.7227414330218106E-2</v>
      </c>
      <c r="G243" s="16">
        <v>0.222910216718266</v>
      </c>
      <c r="H243" s="16">
        <v>0.14352786780767801</v>
      </c>
      <c r="I243" s="16">
        <v>0.31005723436059701</v>
      </c>
      <c r="J243" s="16">
        <v>0.67965207927419902</v>
      </c>
      <c r="K243" s="16">
        <v>0.70571041270843005</v>
      </c>
      <c r="L243" s="16">
        <v>0.84407808535541295</v>
      </c>
      <c r="M243" s="16">
        <v>0.33007334963325202</v>
      </c>
      <c r="N243" s="16">
        <v>0</v>
      </c>
      <c r="O243" s="16">
        <v>0.52631578947368396</v>
      </c>
      <c r="P243" s="17">
        <f t="shared" si="33"/>
        <v>0.22510320453899932</v>
      </c>
      <c r="Q243" s="17">
        <f t="shared" si="34"/>
        <v>0.74314685911268075</v>
      </c>
      <c r="R243" s="17">
        <f t="shared" si="35"/>
        <v>0.28546304636897868</v>
      </c>
      <c r="S243" s="17">
        <f>'02_지표정의'!$C$22*P243+'02_지표정의'!$C$23*Q243+'02_지표정의'!$C$24*R243</f>
        <v>0.47934879373764872</v>
      </c>
      <c r="T243" s="5">
        <f t="shared" si="36"/>
        <v>0</v>
      </c>
      <c r="U243" s="5" t="str">
        <f t="shared" si="37"/>
        <v>특허</v>
      </c>
      <c r="V243" s="18">
        <f t="shared" si="38"/>
        <v>15</v>
      </c>
      <c r="W243" s="5">
        <f t="shared" si="39"/>
        <v>9</v>
      </c>
      <c r="X243" s="5">
        <f t="shared" si="40"/>
        <v>0</v>
      </c>
      <c r="Y243" s="5">
        <f t="shared" si="41"/>
        <v>14</v>
      </c>
      <c r="Z243" s="19">
        <f t="shared" si="42"/>
        <v>6</v>
      </c>
      <c r="AA243" s="20">
        <f>ABS(S243-SUMPRODUCT(('05B_가정검정'!$A$5:$A$19=B243)*('05B_가정검정'!$B$5:$B$19=C243)*'05B_가정검정'!$E$5:$E$19))</f>
        <v>5.1943627964072925E-2</v>
      </c>
      <c r="AB243" s="20">
        <f t="shared" si="43"/>
        <v>-4.8200238640937587E-2</v>
      </c>
    </row>
    <row r="244" spans="1:28">
      <c r="A244" s="15" t="s">
        <v>139</v>
      </c>
      <c r="B244" s="15" t="s">
        <v>116</v>
      </c>
      <c r="C244" s="15" t="s">
        <v>119</v>
      </c>
      <c r="D244" s="16">
        <v>0.31457431457431501</v>
      </c>
      <c r="E244" s="16">
        <v>0.37288135593220301</v>
      </c>
      <c r="F244" s="16">
        <v>0.11111111111111099</v>
      </c>
      <c r="G244" s="16">
        <v>0.28813559322033899</v>
      </c>
      <c r="H244" s="16">
        <v>0.20982053300476899</v>
      </c>
      <c r="I244" s="16">
        <v>0.42324676399620798</v>
      </c>
      <c r="J244" s="16">
        <v>0.72950312489250202</v>
      </c>
      <c r="K244" s="16">
        <v>0.66837764829381796</v>
      </c>
      <c r="L244" s="16">
        <v>0.82064408591312199</v>
      </c>
      <c r="M244" s="16">
        <v>0.39644970414201203</v>
      </c>
      <c r="N244" s="16">
        <v>0</v>
      </c>
      <c r="O244" s="16">
        <v>1</v>
      </c>
      <c r="P244" s="17">
        <f t="shared" si="33"/>
        <v>0.28662827863982415</v>
      </c>
      <c r="Q244" s="17">
        <f t="shared" si="34"/>
        <v>0.73950828636648069</v>
      </c>
      <c r="R244" s="17">
        <f t="shared" si="35"/>
        <v>0.46548323471400405</v>
      </c>
      <c r="S244" s="17">
        <f>'02_지표정의'!$C$22*P244+'02_지표정의'!$C$23*Q244+'02_지표정의'!$C$24*R244</f>
        <v>0.55302351674278261</v>
      </c>
      <c r="T244" s="5">
        <f t="shared" si="36"/>
        <v>0</v>
      </c>
      <c r="U244" s="5" t="str">
        <f t="shared" si="37"/>
        <v>특허</v>
      </c>
      <c r="V244" s="18">
        <f t="shared" si="38"/>
        <v>220</v>
      </c>
      <c r="W244" s="5">
        <f t="shared" si="39"/>
        <v>0</v>
      </c>
      <c r="X244" s="5">
        <f t="shared" si="40"/>
        <v>70</v>
      </c>
      <c r="Y244" s="5">
        <f t="shared" si="41"/>
        <v>189</v>
      </c>
      <c r="Z244" s="19">
        <f t="shared" si="42"/>
        <v>33</v>
      </c>
      <c r="AA244" s="20">
        <f>ABS(S244-SUMPRODUCT(('05B_가정검정'!$A$5:$A$19=B244)*('05B_가정검정'!$B$5:$B$19=C244)*'05B_가정검정'!$E$5:$E$19))</f>
        <v>0</v>
      </c>
      <c r="AB244" s="20">
        <f t="shared" si="43"/>
        <v>-3.4289669333974482E-3</v>
      </c>
    </row>
    <row r="245" spans="1:28">
      <c r="A245" s="15" t="s">
        <v>139</v>
      </c>
      <c r="B245" s="15" t="s">
        <v>120</v>
      </c>
      <c r="C245" s="15" t="s">
        <v>117</v>
      </c>
      <c r="D245" s="16">
        <v>0.205508474576271</v>
      </c>
      <c r="E245" s="16">
        <v>0.21276595744680901</v>
      </c>
      <c r="F245" s="16">
        <v>7.8571428571428598E-2</v>
      </c>
      <c r="G245" s="16">
        <v>0.170212765957447</v>
      </c>
      <c r="H245" s="16">
        <v>0.26735882721543902</v>
      </c>
      <c r="I245" s="16">
        <v>0.36685772647956699</v>
      </c>
      <c r="J245" s="16">
        <v>0.68316673476885104</v>
      </c>
      <c r="K245" s="16">
        <v>0.69237583863021301</v>
      </c>
      <c r="L245" s="16">
        <v>0.855321463098486</v>
      </c>
      <c r="M245" s="16">
        <v>0.70247933884297498</v>
      </c>
      <c r="N245" s="16">
        <v>0.73134328358209</v>
      </c>
      <c r="O245" s="16">
        <v>1</v>
      </c>
      <c r="P245" s="17">
        <f t="shared" si="33"/>
        <v>0.21687919670782693</v>
      </c>
      <c r="Q245" s="17">
        <f t="shared" si="34"/>
        <v>0.74362134549918346</v>
      </c>
      <c r="R245" s="17">
        <f t="shared" si="35"/>
        <v>0.81127420747502166</v>
      </c>
      <c r="S245" s="17">
        <f>'02_지표정의'!$C$22*P245+'02_지표정의'!$C$23*Q245+'02_지표정의'!$C$24*R245</f>
        <v>0.66195141743245545</v>
      </c>
      <c r="T245" s="5">
        <f t="shared" si="36"/>
        <v>0</v>
      </c>
      <c r="U245" s="5" t="str">
        <f t="shared" si="37"/>
        <v>특허</v>
      </c>
      <c r="V245" s="18">
        <f t="shared" si="38"/>
        <v>684</v>
      </c>
      <c r="W245" s="5">
        <f t="shared" si="39"/>
        <v>497</v>
      </c>
      <c r="X245" s="5">
        <f t="shared" si="40"/>
        <v>365</v>
      </c>
      <c r="Y245" s="5">
        <f t="shared" si="41"/>
        <v>0</v>
      </c>
      <c r="Z245" s="19">
        <f t="shared" si="42"/>
        <v>56</v>
      </c>
      <c r="AA245" s="20">
        <f>ABS(S245-SUMPRODUCT(('05B_가정검정'!$A$5:$A$19=B245)*('05B_가정검정'!$B$5:$B$19=C245)*'05B_가정검정'!$E$5:$E$19))</f>
        <v>3.3902457375334372E-2</v>
      </c>
      <c r="AB245" s="20">
        <f t="shared" si="43"/>
        <v>3.0648714007698308E-2</v>
      </c>
    </row>
    <row r="246" spans="1:28">
      <c r="A246" s="15" t="s">
        <v>139</v>
      </c>
      <c r="B246" s="15" t="s">
        <v>120</v>
      </c>
      <c r="C246" s="15" t="s">
        <v>118</v>
      </c>
      <c r="D246" s="16">
        <v>0.29471316085489302</v>
      </c>
      <c r="E246" s="16">
        <v>0.32304038004750601</v>
      </c>
      <c r="F246" s="16">
        <v>0.100238663484487</v>
      </c>
      <c r="G246" s="16">
        <v>0.20902612826603301</v>
      </c>
      <c r="H246" s="16">
        <v>0.236012226933382</v>
      </c>
      <c r="I246" s="16">
        <v>0.37453427692143998</v>
      </c>
      <c r="J246" s="16">
        <v>0.69161878265515098</v>
      </c>
      <c r="K246" s="16">
        <v>0.70175599504484898</v>
      </c>
      <c r="L246" s="16">
        <v>0.83044790889136599</v>
      </c>
      <c r="M246" s="16">
        <v>0.29095354523227401</v>
      </c>
      <c r="N246" s="16">
        <v>0.15697674418604701</v>
      </c>
      <c r="O246" s="16">
        <v>0.52631578947368396</v>
      </c>
      <c r="P246" s="17">
        <f t="shared" si="33"/>
        <v>0.25626080608462348</v>
      </c>
      <c r="Q246" s="17">
        <f t="shared" si="34"/>
        <v>0.74127422886378869</v>
      </c>
      <c r="R246" s="17">
        <f t="shared" si="35"/>
        <v>0.32474869296400166</v>
      </c>
      <c r="S246" s="17">
        <f>'02_지표정의'!$C$22*P246+'02_지표정의'!$C$23*Q246+'02_지표정의'!$C$24*R246</f>
        <v>0.49848760674303022</v>
      </c>
      <c r="T246" s="5">
        <f t="shared" si="36"/>
        <v>0</v>
      </c>
      <c r="U246" s="5" t="str">
        <f t="shared" si="37"/>
        <v>특허</v>
      </c>
      <c r="V246" s="18">
        <f t="shared" si="38"/>
        <v>43</v>
      </c>
      <c r="W246" s="5">
        <f t="shared" si="39"/>
        <v>37</v>
      </c>
      <c r="X246" s="5">
        <f t="shared" si="40"/>
        <v>0</v>
      </c>
      <c r="Y246" s="5">
        <f t="shared" si="41"/>
        <v>38</v>
      </c>
      <c r="Z246" s="19">
        <f t="shared" si="42"/>
        <v>2</v>
      </c>
      <c r="AA246" s="20">
        <f>ABS(S246-SUMPRODUCT(('05B_가정검정'!$A$5:$A$19=B246)*('05B_가정검정'!$B$5:$B$19=C246)*'05B_가정검정'!$E$5:$E$19))</f>
        <v>9.2341241838597765E-2</v>
      </c>
      <c r="AB246" s="20">
        <f t="shared" si="43"/>
        <v>-7.640316921908058E-2</v>
      </c>
    </row>
    <row r="247" spans="1:28">
      <c r="A247" s="15" t="s">
        <v>139</v>
      </c>
      <c r="B247" s="15" t="s">
        <v>120</v>
      </c>
      <c r="C247" s="15" t="s">
        <v>119</v>
      </c>
      <c r="D247" s="16">
        <v>0.32109129066107001</v>
      </c>
      <c r="E247" s="16">
        <v>0.37125748502993999</v>
      </c>
      <c r="F247" s="16">
        <v>0.114457831325301</v>
      </c>
      <c r="G247" s="16">
        <v>0.239520958083832</v>
      </c>
      <c r="H247" s="16">
        <v>0.34765268687858802</v>
      </c>
      <c r="I247" s="16">
        <v>0.52216144571422496</v>
      </c>
      <c r="J247" s="16">
        <v>0.72824277576442498</v>
      </c>
      <c r="K247" s="16">
        <v>0.71086255252196695</v>
      </c>
      <c r="L247" s="16">
        <v>0.86980246748901702</v>
      </c>
      <c r="M247" s="16">
        <v>0.50295857988165704</v>
      </c>
      <c r="N247" s="16">
        <v>0.41176470588235298</v>
      </c>
      <c r="O247" s="16">
        <v>1</v>
      </c>
      <c r="P247" s="17">
        <f t="shared" si="33"/>
        <v>0.31935694961549266</v>
      </c>
      <c r="Q247" s="17">
        <f t="shared" si="34"/>
        <v>0.76963593192513624</v>
      </c>
      <c r="R247" s="17">
        <f t="shared" si="35"/>
        <v>0.63824109525466999</v>
      </c>
      <c r="S247" s="17">
        <f>'02_지표정의'!$C$22*P247+'02_지표정의'!$C$23*Q247+'02_지표정의'!$C$24*R247</f>
        <v>0.63359194262854435</v>
      </c>
      <c r="T247" s="5">
        <f t="shared" si="36"/>
        <v>0</v>
      </c>
      <c r="U247" s="5" t="str">
        <f t="shared" si="37"/>
        <v>특허</v>
      </c>
      <c r="V247" s="18">
        <f t="shared" si="38"/>
        <v>545</v>
      </c>
      <c r="W247" s="5">
        <f t="shared" si="39"/>
        <v>0</v>
      </c>
      <c r="X247" s="5">
        <f t="shared" si="40"/>
        <v>248</v>
      </c>
      <c r="Y247" s="5">
        <f t="shared" si="41"/>
        <v>410</v>
      </c>
      <c r="Z247" s="19">
        <f t="shared" si="42"/>
        <v>14</v>
      </c>
      <c r="AA247" s="20">
        <f>ABS(S247-SUMPRODUCT(('05B_가정검정'!$A$5:$A$19=B247)*('05B_가정검정'!$B$5:$B$19=C247)*'05B_가정검정'!$E$5:$E$19))</f>
        <v>3.0085373852841935E-2</v>
      </c>
      <c r="AB247" s="20">
        <f t="shared" si="43"/>
        <v>-2.483106488227127E-2</v>
      </c>
    </row>
    <row r="248" spans="1:28">
      <c r="A248" s="15" t="s">
        <v>139</v>
      </c>
      <c r="B248" s="15" t="s">
        <v>121</v>
      </c>
      <c r="C248" s="15" t="s">
        <v>117</v>
      </c>
      <c r="D248" s="16">
        <v>0.26133333333333297</v>
      </c>
      <c r="E248" s="16">
        <v>0.34020618556700999</v>
      </c>
      <c r="F248" s="16">
        <v>0.104166666666667</v>
      </c>
      <c r="G248" s="16">
        <v>0.247422680412371</v>
      </c>
      <c r="H248" s="16">
        <v>0.30900713707208299</v>
      </c>
      <c r="I248" s="16">
        <v>0.29289369415341798</v>
      </c>
      <c r="J248" s="16">
        <v>0.74045197536486196</v>
      </c>
      <c r="K248" s="16">
        <v>0.77977459598794596</v>
      </c>
      <c r="L248" s="16">
        <v>0.89454763604049803</v>
      </c>
      <c r="M248" s="16">
        <v>0.90654205607476601</v>
      </c>
      <c r="N248" s="16">
        <v>0.91666666666666696</v>
      </c>
      <c r="O248" s="16">
        <v>1</v>
      </c>
      <c r="P248" s="17">
        <f t="shared" si="33"/>
        <v>0.25917161620081364</v>
      </c>
      <c r="Q248" s="17">
        <f t="shared" si="34"/>
        <v>0.80492473579776858</v>
      </c>
      <c r="R248" s="17">
        <f t="shared" si="35"/>
        <v>0.94106957424714432</v>
      </c>
      <c r="S248" s="17">
        <f>'02_지표정의'!$C$22*P248+'02_지표정의'!$C$23*Q248+'02_지표정의'!$C$24*R248</f>
        <v>0.74342480533565913</v>
      </c>
      <c r="T248" s="5">
        <f t="shared" si="36"/>
        <v>1</v>
      </c>
      <c r="U248" s="5" t="str">
        <f t="shared" si="37"/>
        <v>특허</v>
      </c>
      <c r="V248" s="18">
        <f t="shared" si="38"/>
        <v>939</v>
      </c>
      <c r="W248" s="5">
        <f t="shared" si="39"/>
        <v>639</v>
      </c>
      <c r="X248" s="5">
        <f t="shared" si="40"/>
        <v>614</v>
      </c>
      <c r="Y248" s="5">
        <f t="shared" si="41"/>
        <v>0</v>
      </c>
      <c r="Z248" s="19">
        <f t="shared" si="42"/>
        <v>55</v>
      </c>
      <c r="AA248" s="20">
        <f>ABS(S248-SUMPRODUCT(('05B_가정검정'!$A$5:$A$19=B248)*('05B_가정검정'!$B$5:$B$19=C248)*'05B_가정검정'!$E$5:$E$19))</f>
        <v>1.399273395377798E-2</v>
      </c>
      <c r="AB248" s="20">
        <f t="shared" si="43"/>
        <v>2.5773012262778172E-2</v>
      </c>
    </row>
    <row r="249" spans="1:28">
      <c r="A249" s="15" t="s">
        <v>139</v>
      </c>
      <c r="B249" s="15" t="s">
        <v>121</v>
      </c>
      <c r="C249" s="15" t="s">
        <v>118</v>
      </c>
      <c r="D249" s="16">
        <v>0.29352517985611498</v>
      </c>
      <c r="E249" s="16">
        <v>0.30030030030030003</v>
      </c>
      <c r="F249" s="16">
        <v>7.8549848942598199E-2</v>
      </c>
      <c r="G249" s="16">
        <v>0.20420420420420399</v>
      </c>
      <c r="H249" s="16">
        <v>0.18531245064085999</v>
      </c>
      <c r="I249" s="16">
        <v>0.30634364934774899</v>
      </c>
      <c r="J249" s="16">
        <v>0.753418762664541</v>
      </c>
      <c r="K249" s="16">
        <v>0.76706094345068498</v>
      </c>
      <c r="L249" s="16">
        <v>0.89472555652787999</v>
      </c>
      <c r="M249" s="16">
        <v>0.23716381418092899</v>
      </c>
      <c r="N249" s="16">
        <v>0.21511627906976799</v>
      </c>
      <c r="O249" s="16">
        <v>0.52631578947368396</v>
      </c>
      <c r="P249" s="17">
        <f t="shared" si="33"/>
        <v>0.22803927221530432</v>
      </c>
      <c r="Q249" s="17">
        <f t="shared" si="34"/>
        <v>0.80506842088103525</v>
      </c>
      <c r="R249" s="17">
        <f t="shared" si="35"/>
        <v>0.32619862757479362</v>
      </c>
      <c r="S249" s="17">
        <f>'02_지표정의'!$C$22*P249+'02_지표정의'!$C$23*Q249+'02_지표정의'!$C$24*R249</f>
        <v>0.52205816349070444</v>
      </c>
      <c r="T249" s="5">
        <f t="shared" si="36"/>
        <v>0</v>
      </c>
      <c r="U249" s="5" t="str">
        <f t="shared" si="37"/>
        <v>특허</v>
      </c>
      <c r="V249" s="18">
        <f t="shared" si="38"/>
        <v>103</v>
      </c>
      <c r="W249" s="5">
        <f t="shared" si="39"/>
        <v>94</v>
      </c>
      <c r="X249" s="5">
        <f t="shared" si="40"/>
        <v>0</v>
      </c>
      <c r="Y249" s="5">
        <f t="shared" si="41"/>
        <v>95</v>
      </c>
      <c r="Z249" s="19">
        <f t="shared" si="42"/>
        <v>8</v>
      </c>
      <c r="AA249" s="20">
        <f>ABS(S249-SUMPRODUCT(('05B_가정검정'!$A$5:$A$19=B249)*('05B_가정검정'!$B$5:$B$19=C249)*'05B_가정검정'!$E$5:$E$19))</f>
        <v>7.652132667626399E-2</v>
      </c>
      <c r="AB249" s="20">
        <f t="shared" si="43"/>
        <v>-5.7340911036108833E-2</v>
      </c>
    </row>
    <row r="250" spans="1:28">
      <c r="A250" s="15" t="s">
        <v>139</v>
      </c>
      <c r="B250" s="15" t="s">
        <v>121</v>
      </c>
      <c r="C250" s="15" t="s">
        <v>119</v>
      </c>
      <c r="D250" s="16">
        <v>0.32411067193675902</v>
      </c>
      <c r="E250" s="16">
        <v>0.38211382113821102</v>
      </c>
      <c r="F250" s="16">
        <v>0.10655737704918</v>
      </c>
      <c r="G250" s="16">
        <v>0.26016260162601601</v>
      </c>
      <c r="H250" s="16">
        <v>0.275676233313283</v>
      </c>
      <c r="I250" s="16">
        <v>0.425313403199372</v>
      </c>
      <c r="J250" s="16">
        <v>0.77192678818440497</v>
      </c>
      <c r="K250" s="16">
        <v>0.754471598913107</v>
      </c>
      <c r="L250" s="16">
        <v>0.87862817221706102</v>
      </c>
      <c r="M250" s="16">
        <v>0.57396449704142005</v>
      </c>
      <c r="N250" s="16">
        <v>0.53921568627451</v>
      </c>
      <c r="O250" s="16">
        <v>1</v>
      </c>
      <c r="P250" s="17">
        <f t="shared" si="33"/>
        <v>0.29565568471047016</v>
      </c>
      <c r="Q250" s="17">
        <f t="shared" si="34"/>
        <v>0.80167551977152429</v>
      </c>
      <c r="R250" s="17">
        <f t="shared" si="35"/>
        <v>0.70439339443864346</v>
      </c>
      <c r="S250" s="17">
        <f>'02_지표정의'!$C$22*P250+'02_지표정의'!$C$23*Q250+'02_지표정의'!$C$24*R250</f>
        <v>0.66642280889280514</v>
      </c>
      <c r="T250" s="5">
        <f t="shared" si="36"/>
        <v>0</v>
      </c>
      <c r="U250" s="5" t="str">
        <f t="shared" si="37"/>
        <v>특허</v>
      </c>
      <c r="V250" s="18">
        <f t="shared" si="38"/>
        <v>700</v>
      </c>
      <c r="W250" s="5">
        <f t="shared" si="39"/>
        <v>0</v>
      </c>
      <c r="X250" s="5">
        <f t="shared" si="40"/>
        <v>380</v>
      </c>
      <c r="Y250" s="5">
        <f t="shared" si="41"/>
        <v>515</v>
      </c>
      <c r="Z250" s="19">
        <f t="shared" si="42"/>
        <v>21</v>
      </c>
      <c r="AA250" s="20">
        <f>ABS(S250-SUMPRODUCT(('05B_가정검정'!$A$5:$A$19=B250)*('05B_가정검정'!$B$5:$B$19=C250)*'05B_가정검정'!$E$5:$E$19))</f>
        <v>2.5897033903048539E-2</v>
      </c>
      <c r="AB250" s="20">
        <f t="shared" si="43"/>
        <v>-2.18141665268059E-2</v>
      </c>
    </row>
    <row r="251" spans="1:28">
      <c r="A251" s="15" t="s">
        <v>139</v>
      </c>
      <c r="B251" s="15" t="s">
        <v>122</v>
      </c>
      <c r="C251" s="15" t="s">
        <v>117</v>
      </c>
      <c r="D251" s="16">
        <v>0.25195094760312198</v>
      </c>
      <c r="E251" s="16">
        <v>0.29457364341085301</v>
      </c>
      <c r="F251" s="16">
        <v>7.03125E-2</v>
      </c>
      <c r="G251" s="16">
        <v>0.201550387596899</v>
      </c>
      <c r="H251" s="16">
        <v>0.29575385909116197</v>
      </c>
      <c r="I251" s="16">
        <v>0.12349180520002601</v>
      </c>
      <c r="J251" s="16">
        <v>0.67925647170074899</v>
      </c>
      <c r="K251" s="16">
        <v>0.70141292882335105</v>
      </c>
      <c r="L251" s="16">
        <v>0.84693668855549398</v>
      </c>
      <c r="M251" s="16">
        <v>0.39224137931034497</v>
      </c>
      <c r="N251" s="16">
        <v>0.33944954128440402</v>
      </c>
      <c r="O251" s="16">
        <v>0.68421052631579005</v>
      </c>
      <c r="P251" s="17">
        <f t="shared" si="33"/>
        <v>0.20627219048367698</v>
      </c>
      <c r="Q251" s="17">
        <f t="shared" si="34"/>
        <v>0.74253536302653134</v>
      </c>
      <c r="R251" s="17">
        <f t="shared" si="35"/>
        <v>0.47196714897017972</v>
      </c>
      <c r="S251" s="17">
        <f>'02_지표정의'!$C$22*P251+'02_지표정의'!$C$23*Q251+'02_지표정의'!$C$24*R251</f>
        <v>0.54058385359823746</v>
      </c>
      <c r="T251" s="5">
        <f t="shared" si="36"/>
        <v>0</v>
      </c>
      <c r="U251" s="5" t="str">
        <f t="shared" si="37"/>
        <v>특허</v>
      </c>
      <c r="V251" s="18">
        <f t="shared" si="38"/>
        <v>172</v>
      </c>
      <c r="W251" s="5">
        <f t="shared" si="39"/>
        <v>149</v>
      </c>
      <c r="X251" s="5">
        <f t="shared" si="40"/>
        <v>41</v>
      </c>
      <c r="Y251" s="5">
        <f t="shared" si="41"/>
        <v>0</v>
      </c>
      <c r="Z251" s="19">
        <f t="shared" si="42"/>
        <v>1</v>
      </c>
      <c r="AA251" s="20">
        <f>ABS(S251-SUMPRODUCT(('05B_가정검정'!$A$5:$A$19=B251)*('05B_가정검정'!$B$5:$B$19=C251)*'05B_가정검정'!$E$5:$E$19))</f>
        <v>9.8769101110441015E-2</v>
      </c>
      <c r="AB251" s="20">
        <f t="shared" si="43"/>
        <v>-8.2297768591408693E-2</v>
      </c>
    </row>
    <row r="252" spans="1:28">
      <c r="A252" s="15" t="s">
        <v>139</v>
      </c>
      <c r="B252" s="15" t="s">
        <v>122</v>
      </c>
      <c r="C252" s="15" t="s">
        <v>118</v>
      </c>
      <c r="D252" s="16">
        <v>0.31353919239904998</v>
      </c>
      <c r="E252" s="16">
        <v>0.33753148614609602</v>
      </c>
      <c r="F252" s="16">
        <v>0.10126582278481</v>
      </c>
      <c r="G252" s="16">
        <v>0.246851385390428</v>
      </c>
      <c r="H252" s="16">
        <v>0.30933580166665198</v>
      </c>
      <c r="I252" s="16">
        <v>0.26404676824549</v>
      </c>
      <c r="J252" s="16">
        <v>0.70984557947300098</v>
      </c>
      <c r="K252" s="16">
        <v>0.72982912199085404</v>
      </c>
      <c r="L252" s="16">
        <v>0.87234207909988803</v>
      </c>
      <c r="M252" s="16">
        <v>0.486552567237164</v>
      </c>
      <c r="N252" s="16">
        <v>0.372093023255814</v>
      </c>
      <c r="O252" s="16">
        <v>0.76923076923076905</v>
      </c>
      <c r="P252" s="17">
        <f t="shared" si="33"/>
        <v>0.26209507610542099</v>
      </c>
      <c r="Q252" s="17">
        <f t="shared" si="34"/>
        <v>0.77067226018791446</v>
      </c>
      <c r="R252" s="17">
        <f t="shared" si="35"/>
        <v>0.542625453241249</v>
      </c>
      <c r="S252" s="17">
        <f>'02_지표정의'!$C$22*P252+'02_지표정의'!$C$23*Q252+'02_지표정의'!$C$24*R252</f>
        <v>0.58914044094008289</v>
      </c>
      <c r="T252" s="5">
        <f t="shared" si="36"/>
        <v>1</v>
      </c>
      <c r="U252" s="5" t="str">
        <f t="shared" si="37"/>
        <v>특허</v>
      </c>
      <c r="V252" s="18">
        <f t="shared" si="38"/>
        <v>349</v>
      </c>
      <c r="W252" s="5">
        <f t="shared" si="39"/>
        <v>283</v>
      </c>
      <c r="X252" s="5">
        <f t="shared" si="40"/>
        <v>0</v>
      </c>
      <c r="Y252" s="5">
        <f t="shared" si="41"/>
        <v>266</v>
      </c>
      <c r="Z252" s="19">
        <f t="shared" si="42"/>
        <v>34</v>
      </c>
      <c r="AA252" s="20">
        <f>ABS(S252-SUMPRODUCT(('05B_가정검정'!$A$5:$A$19=B252)*('05B_가정검정'!$B$5:$B$19=C252)*'05B_가정검정'!$E$5:$E$19))</f>
        <v>2.2185049429246373E-3</v>
      </c>
      <c r="AB252" s="20">
        <f t="shared" si="43"/>
        <v>7.9171647223991171E-3</v>
      </c>
    </row>
    <row r="253" spans="1:28">
      <c r="A253" s="15" t="s">
        <v>139</v>
      </c>
      <c r="B253" s="15" t="s">
        <v>122</v>
      </c>
      <c r="C253" s="15" t="s">
        <v>119</v>
      </c>
      <c r="D253" s="16">
        <v>0.33333333333333298</v>
      </c>
      <c r="E253" s="16">
        <v>0.380645161290323</v>
      </c>
      <c r="F253" s="16">
        <v>8.4415584415584402E-2</v>
      </c>
      <c r="G253" s="16">
        <v>0.27741935483871</v>
      </c>
      <c r="H253" s="16">
        <v>0.39519104991482201</v>
      </c>
      <c r="I253" s="16">
        <v>0.22299014513788201</v>
      </c>
      <c r="J253" s="16">
        <v>0.71594273306940603</v>
      </c>
      <c r="K253" s="16">
        <v>0.66877070179973996</v>
      </c>
      <c r="L253" s="16">
        <v>0.84840076642857698</v>
      </c>
      <c r="M253" s="16">
        <v>0.48275862068965503</v>
      </c>
      <c r="N253" s="16">
        <v>0.22018348623853201</v>
      </c>
      <c r="O253" s="16">
        <v>0.68421052631579005</v>
      </c>
      <c r="P253" s="17">
        <f t="shared" si="33"/>
        <v>0.28233243815510906</v>
      </c>
      <c r="Q253" s="17">
        <f t="shared" si="34"/>
        <v>0.74437140043257433</v>
      </c>
      <c r="R253" s="17">
        <f t="shared" si="35"/>
        <v>0.46238421108132571</v>
      </c>
      <c r="S253" s="17">
        <f>'02_지표정의'!$C$22*P253+'02_지표정의'!$C$23*Q253+'02_지표정의'!$C$24*R253</f>
        <v>0.55326809170414426</v>
      </c>
      <c r="T253" s="5">
        <f t="shared" si="36"/>
        <v>0</v>
      </c>
      <c r="U253" s="5" t="str">
        <f t="shared" si="37"/>
        <v>특허</v>
      </c>
      <c r="V253" s="18">
        <f t="shared" si="38"/>
        <v>221</v>
      </c>
      <c r="W253" s="5">
        <f t="shared" si="39"/>
        <v>0</v>
      </c>
      <c r="X253" s="5">
        <f t="shared" si="40"/>
        <v>71</v>
      </c>
      <c r="Y253" s="5">
        <f t="shared" si="41"/>
        <v>190</v>
      </c>
      <c r="Z253" s="19">
        <f t="shared" si="42"/>
        <v>3</v>
      </c>
      <c r="AA253" s="20">
        <f>ABS(S253-SUMPRODUCT(('05B_가정검정'!$A$5:$A$19=B253)*('05B_가정검정'!$B$5:$B$19=C253)*'05B_가정검정'!$E$5:$E$19))</f>
        <v>8.2338096197307142E-2</v>
      </c>
      <c r="AB253" s="20">
        <f t="shared" si="43"/>
        <v>-7.8120774610741739E-2</v>
      </c>
    </row>
    <row r="254" spans="1:28">
      <c r="A254" s="15" t="s">
        <v>139</v>
      </c>
      <c r="B254" s="15" t="s">
        <v>123</v>
      </c>
      <c r="C254" s="15" t="s">
        <v>117</v>
      </c>
      <c r="D254" s="16">
        <v>0.245654692931634</v>
      </c>
      <c r="E254" s="16">
        <v>0.34389140271493202</v>
      </c>
      <c r="F254" s="16">
        <v>0.10958904109589</v>
      </c>
      <c r="G254" s="16">
        <v>0.27149321266968302</v>
      </c>
      <c r="H254" s="16">
        <v>0.37706711087580203</v>
      </c>
      <c r="I254" s="16">
        <v>0.45943736019479597</v>
      </c>
      <c r="J254" s="16">
        <v>0.70377460650039603</v>
      </c>
      <c r="K254" s="16">
        <v>0.702127162738716</v>
      </c>
      <c r="L254" s="16">
        <v>0.87806515241701699</v>
      </c>
      <c r="M254" s="16">
        <v>0.90654205607476601</v>
      </c>
      <c r="N254" s="16">
        <v>0.91666666666666696</v>
      </c>
      <c r="O254" s="16">
        <v>1</v>
      </c>
      <c r="P254" s="17">
        <f t="shared" si="33"/>
        <v>0.30118880341378951</v>
      </c>
      <c r="Q254" s="17">
        <f t="shared" si="34"/>
        <v>0.76132230721870975</v>
      </c>
      <c r="R254" s="17">
        <f t="shared" si="35"/>
        <v>0.94106957424714432</v>
      </c>
      <c r="S254" s="17">
        <f>'02_지표정의'!$C$22*P254+'02_지표정의'!$C$23*Q254+'02_지표정의'!$C$24*R254</f>
        <v>0.73220714991767777</v>
      </c>
      <c r="T254" s="5">
        <f t="shared" si="36"/>
        <v>0</v>
      </c>
      <c r="U254" s="5" t="str">
        <f t="shared" si="37"/>
        <v>특허</v>
      </c>
      <c r="V254" s="18">
        <f t="shared" si="38"/>
        <v>908</v>
      </c>
      <c r="W254" s="5">
        <f t="shared" si="39"/>
        <v>613</v>
      </c>
      <c r="X254" s="5">
        <f t="shared" si="40"/>
        <v>583</v>
      </c>
      <c r="Y254" s="5">
        <f t="shared" si="41"/>
        <v>0</v>
      </c>
      <c r="Z254" s="19">
        <f t="shared" si="42"/>
        <v>56</v>
      </c>
      <c r="AA254" s="20">
        <f>ABS(S254-SUMPRODUCT(('05B_가정검정'!$A$5:$A$19=B254)*('05B_가정검정'!$B$5:$B$19=C254)*'05B_가정검정'!$E$5:$E$19))</f>
        <v>1.7284267141454035E-2</v>
      </c>
      <c r="AB254" s="20">
        <f t="shared" si="43"/>
        <v>2.4221698106434597E-2</v>
      </c>
    </row>
    <row r="255" spans="1:28">
      <c r="A255" s="15" t="s">
        <v>139</v>
      </c>
      <c r="B255" s="15" t="s">
        <v>123</v>
      </c>
      <c r="C255" s="15" t="s">
        <v>118</v>
      </c>
      <c r="D255" s="16">
        <v>0.27227722772277202</v>
      </c>
      <c r="E255" s="16">
        <v>0.327777777777778</v>
      </c>
      <c r="F255" s="16">
        <v>9.4972067039106101E-2</v>
      </c>
      <c r="G255" s="16">
        <v>0.21666666666666701</v>
      </c>
      <c r="H255" s="16">
        <v>0.225568319339676</v>
      </c>
      <c r="I255" s="16">
        <v>0.36108527746118801</v>
      </c>
      <c r="J255" s="16">
        <v>0.70017698931573602</v>
      </c>
      <c r="K255" s="16">
        <v>0.66351551010937904</v>
      </c>
      <c r="L255" s="16">
        <v>0.82952293495087503</v>
      </c>
      <c r="M255" s="16">
        <v>0.23716381418092899</v>
      </c>
      <c r="N255" s="16">
        <v>0.21511627906976799</v>
      </c>
      <c r="O255" s="16">
        <v>0.52631578947368396</v>
      </c>
      <c r="P255" s="17">
        <f t="shared" si="33"/>
        <v>0.24972455600119789</v>
      </c>
      <c r="Q255" s="17">
        <f t="shared" si="34"/>
        <v>0.73107181145866329</v>
      </c>
      <c r="R255" s="17">
        <f t="shared" si="35"/>
        <v>0.32619862757479362</v>
      </c>
      <c r="S255" s="17">
        <f>'02_지표정의'!$C$22*P255+'02_지표정의'!$C$23*Q255+'02_지표정의'!$C$24*R255</f>
        <v>0.49309674600781583</v>
      </c>
      <c r="T255" s="5">
        <f t="shared" si="36"/>
        <v>0</v>
      </c>
      <c r="U255" s="5" t="str">
        <f t="shared" si="37"/>
        <v>특허</v>
      </c>
      <c r="V255" s="18">
        <f t="shared" si="38"/>
        <v>36</v>
      </c>
      <c r="W255" s="5">
        <f t="shared" si="39"/>
        <v>30</v>
      </c>
      <c r="X255" s="5">
        <f t="shared" si="40"/>
        <v>0</v>
      </c>
      <c r="Y255" s="5">
        <f t="shared" si="41"/>
        <v>32</v>
      </c>
      <c r="Z255" s="19">
        <f t="shared" si="42"/>
        <v>4</v>
      </c>
      <c r="AA255" s="20">
        <f>ABS(S255-SUMPRODUCT(('05B_가정검정'!$A$5:$A$19=B255)*('05B_가정검정'!$B$5:$B$19=C255)*'05B_가정검정'!$E$5:$E$19))</f>
        <v>8.2202080871153882E-2</v>
      </c>
      <c r="AB255" s="20">
        <f t="shared" si="43"/>
        <v>-6.6774861916675254E-2</v>
      </c>
    </row>
    <row r="256" spans="1:28">
      <c r="A256" s="15" t="s">
        <v>139</v>
      </c>
      <c r="B256" s="15" t="s">
        <v>123</v>
      </c>
      <c r="C256" s="15" t="s">
        <v>119</v>
      </c>
      <c r="D256" s="16">
        <v>0.30504587155963298</v>
      </c>
      <c r="E256" s="16">
        <v>0.38827838827838801</v>
      </c>
      <c r="F256" s="16">
        <v>0.11070110701107</v>
      </c>
      <c r="G256" s="16">
        <v>0.27838827838827801</v>
      </c>
      <c r="H256" s="16">
        <v>0.34709977947025</v>
      </c>
      <c r="I256" s="16">
        <v>0.494680678567407</v>
      </c>
      <c r="J256" s="16">
        <v>0.72308478323563896</v>
      </c>
      <c r="K256" s="16">
        <v>0.72461171440049799</v>
      </c>
      <c r="L256" s="16">
        <v>0.88429846925054501</v>
      </c>
      <c r="M256" s="16">
        <v>0.57396449704142005</v>
      </c>
      <c r="N256" s="16">
        <v>0.53921568627451</v>
      </c>
      <c r="O256" s="16">
        <v>1</v>
      </c>
      <c r="P256" s="17">
        <f t="shared" si="33"/>
        <v>0.32069901721250432</v>
      </c>
      <c r="Q256" s="17">
        <f t="shared" si="34"/>
        <v>0.77733165562889395</v>
      </c>
      <c r="R256" s="17">
        <f t="shared" si="35"/>
        <v>0.70439339443864346</v>
      </c>
      <c r="S256" s="17">
        <f>'02_지표정의'!$C$22*P256+'02_지표정의'!$C$23*Q256+'02_지표정의'!$C$24*R256</f>
        <v>0.66047673652902839</v>
      </c>
      <c r="T256" s="5">
        <f t="shared" si="36"/>
        <v>1</v>
      </c>
      <c r="U256" s="5" t="str">
        <f t="shared" si="37"/>
        <v>특허</v>
      </c>
      <c r="V256" s="18">
        <f t="shared" si="38"/>
        <v>674</v>
      </c>
      <c r="W256" s="5">
        <f t="shared" si="39"/>
        <v>0</v>
      </c>
      <c r="X256" s="5">
        <f t="shared" si="40"/>
        <v>355</v>
      </c>
      <c r="Y256" s="5">
        <f t="shared" si="41"/>
        <v>498</v>
      </c>
      <c r="Z256" s="19">
        <f t="shared" si="42"/>
        <v>25</v>
      </c>
      <c r="AA256" s="20">
        <f>ABS(S256-SUMPRODUCT(('05B_가정검정'!$A$5:$A$19=B256)*('05B_가정검정'!$B$5:$B$19=C256)*'05B_가정검정'!$E$5:$E$19))</f>
        <v>2.5153060795198967E-2</v>
      </c>
      <c r="AB256" s="20">
        <f t="shared" si="43"/>
        <v>-2.1941996515973394E-2</v>
      </c>
    </row>
    <row r="257" spans="1:28">
      <c r="A257" s="15" t="s">
        <v>140</v>
      </c>
      <c r="B257" s="15" t="s">
        <v>116</v>
      </c>
      <c r="C257" s="15" t="s">
        <v>117</v>
      </c>
      <c r="D257" s="16">
        <v>0.235602094240838</v>
      </c>
      <c r="E257" s="16">
        <v>0.29032258064516098</v>
      </c>
      <c r="F257" s="16">
        <v>0.108695652173913</v>
      </c>
      <c r="G257" s="16">
        <v>0.26881720430107497</v>
      </c>
      <c r="H257" s="16">
        <v>0.21971737323264701</v>
      </c>
      <c r="I257" s="16">
        <v>0.307314423396359</v>
      </c>
      <c r="J257" s="16">
        <v>0.62902425283219299</v>
      </c>
      <c r="K257" s="16">
        <v>0.64634171157924503</v>
      </c>
      <c r="L257" s="16">
        <v>0.761348822718796</v>
      </c>
      <c r="M257" s="16">
        <v>0.56862745098039202</v>
      </c>
      <c r="N257" s="16">
        <v>7.3170731707316999E-2</v>
      </c>
      <c r="O257" s="16">
        <v>1</v>
      </c>
      <c r="P257" s="17">
        <f t="shared" si="33"/>
        <v>0.23841155466499878</v>
      </c>
      <c r="Q257" s="17">
        <f t="shared" si="34"/>
        <v>0.67890492904341138</v>
      </c>
      <c r="R257" s="17">
        <f t="shared" si="35"/>
        <v>0.54726606089590302</v>
      </c>
      <c r="S257" s="17">
        <f>'02_지표정의'!$C$22*P257+'02_지표정의'!$C$23*Q257+'02_지표정의'!$C$24*R257</f>
        <v>0.54473265031610096</v>
      </c>
      <c r="T257" s="5">
        <f t="shared" si="36"/>
        <v>0</v>
      </c>
      <c r="U257" s="5" t="str">
        <f t="shared" si="37"/>
        <v>특허</v>
      </c>
      <c r="V257" s="18">
        <f t="shared" si="38"/>
        <v>186</v>
      </c>
      <c r="W257" s="5">
        <f t="shared" si="39"/>
        <v>158</v>
      </c>
      <c r="X257" s="5">
        <f t="shared" si="40"/>
        <v>51</v>
      </c>
      <c r="Y257" s="5">
        <f t="shared" si="41"/>
        <v>0</v>
      </c>
      <c r="Z257" s="19">
        <f t="shared" si="42"/>
        <v>20</v>
      </c>
      <c r="AA257" s="20">
        <f>ABS(S257-SUMPRODUCT(('05B_가정검정'!$A$5:$A$19=B257)*('05B_가정검정'!$B$5:$B$19=C257)*'05B_가정검정'!$E$5:$E$19))</f>
        <v>1.2671054668866311E-2</v>
      </c>
      <c r="AB257" s="20">
        <f t="shared" si="43"/>
        <v>-7.818515096522427E-3</v>
      </c>
    </row>
    <row r="258" spans="1:28">
      <c r="A258" s="15" t="s">
        <v>140</v>
      </c>
      <c r="B258" s="15" t="s">
        <v>116</v>
      </c>
      <c r="C258" s="15" t="s">
        <v>118</v>
      </c>
      <c r="D258" s="16">
        <v>0.281200631911532</v>
      </c>
      <c r="E258" s="16">
        <v>0.203636363636364</v>
      </c>
      <c r="F258" s="16">
        <v>8.0586080586080605E-2</v>
      </c>
      <c r="G258" s="16">
        <v>0.189090909090909</v>
      </c>
      <c r="H258" s="16">
        <v>0.15041893533922099</v>
      </c>
      <c r="I258" s="16">
        <v>0.37693833324708098</v>
      </c>
      <c r="J258" s="16">
        <v>0.60995504353445895</v>
      </c>
      <c r="K258" s="16">
        <v>0.70043391586849302</v>
      </c>
      <c r="L258" s="16">
        <v>0.79074962269986704</v>
      </c>
      <c r="M258" s="16">
        <v>0.46222222222222198</v>
      </c>
      <c r="N258" s="16">
        <v>2.4E-2</v>
      </c>
      <c r="O258" s="16">
        <v>1</v>
      </c>
      <c r="P258" s="17">
        <f t="shared" ref="P258:P321" si="44">AVERAGE(D258:I258)</f>
        <v>0.21364520896853126</v>
      </c>
      <c r="Q258" s="17">
        <f t="shared" ref="Q258:Q321" si="45">AVERAGE(J258:L258)</f>
        <v>0.70037952736760634</v>
      </c>
      <c r="R258" s="17">
        <f t="shared" ref="R258:R321" si="46">AVERAGE(M258:O258)</f>
        <v>0.49540740740740735</v>
      </c>
      <c r="S258" s="17">
        <f>'02_지표정의'!$C$22*P258+'02_지표정의'!$C$23*Q258+'02_지표정의'!$C$24*R258</f>
        <v>0.53129242170172164</v>
      </c>
      <c r="T258" s="5">
        <f t="shared" ref="T258:T321" si="47">IF(OR(AND(B258="gemini",C258="gemma"),AND(B258="qwen3_6",C258="qwen"),AND(B258="mistral",C258="ministral")),1,0)</f>
        <v>0</v>
      </c>
      <c r="U258" s="5" t="str">
        <f t="shared" ref="U258:U321" si="48">IF(LEFT(A258,3)="PAT","특허","보고서")</f>
        <v>특허</v>
      </c>
      <c r="V258" s="18">
        <f t="shared" ref="V258:V321" si="49">COUNTIF($S$2:$S$976,"&lt;"&amp;S258)+(COUNTIF($S$2:$S$976,"="&amp;S258)+1)/2</f>
        <v>138</v>
      </c>
      <c r="W258" s="5">
        <f t="shared" ref="W258:W321" si="50">IF(C258="qwen",0,COUNTIFS($C$2:$C$976,"&lt;&gt;qwen",$S$2:$S$976,"&lt;"&amp;S258)+1)</f>
        <v>124</v>
      </c>
      <c r="X258" s="5">
        <f t="shared" ref="X258:X321" si="51">IF(C258="ministral",0,COUNTIFS($C$2:$C$976,"&lt;&gt;ministral",$S$2:$S$976,"&lt;"&amp;S258)+1)</f>
        <v>0</v>
      </c>
      <c r="Y258" s="5">
        <f t="shared" ref="Y258:Y321" si="52">IF(C258="gemma",0,COUNTIFS($C$2:$C$976,"&lt;&gt;gemma",$S$2:$S$976,"&lt;"&amp;S258)+1)</f>
        <v>125</v>
      </c>
      <c r="Z258" s="19">
        <f t="shared" ref="Z258:Z321" si="53">COUNTIFS($B$2:$B$976,B258,$C$2:$C$976,C258,$S$2:$S$976,"&lt;"&amp;S258)+1</f>
        <v>33</v>
      </c>
      <c r="AA258" s="20">
        <f>ABS(S258-SUMPRODUCT(('05B_가정검정'!$A$5:$A$19=B258)*('05B_가정검정'!$B$5:$B$19=C258)*'05B_가정검정'!$E$5:$E$19))</f>
        <v>0</v>
      </c>
      <c r="AB258" s="20">
        <f t="shared" ref="AB258:AB321" si="54">S258-AVERAGEIFS($S$2:$S$976,$B$2:$B$976,B258,$C$2:$C$976,C258)</f>
        <v>3.7433893231353377E-3</v>
      </c>
    </row>
    <row r="259" spans="1:28">
      <c r="A259" s="15" t="s">
        <v>140</v>
      </c>
      <c r="B259" s="15" t="s">
        <v>116</v>
      </c>
      <c r="C259" s="15" t="s">
        <v>119</v>
      </c>
      <c r="D259" s="16">
        <v>0.32881355932203399</v>
      </c>
      <c r="E259" s="16">
        <v>0.42307692307692302</v>
      </c>
      <c r="F259" s="16">
        <v>0.12987012987013</v>
      </c>
      <c r="G259" s="16">
        <v>0.38461538461538503</v>
      </c>
      <c r="H259" s="16">
        <v>0.29303801656913298</v>
      </c>
      <c r="I259" s="16">
        <v>0.36557381778518</v>
      </c>
      <c r="J259" s="16">
        <v>0.666074004363025</v>
      </c>
      <c r="K259" s="16">
        <v>0.64757350065674602</v>
      </c>
      <c r="L259" s="16">
        <v>0.80051906819135699</v>
      </c>
      <c r="M259" s="16">
        <v>0.56291390728476798</v>
      </c>
      <c r="N259" s="16">
        <v>0.23170731707317099</v>
      </c>
      <c r="O259" s="16">
        <v>1</v>
      </c>
      <c r="P259" s="17">
        <f t="shared" si="44"/>
        <v>0.32083130520646413</v>
      </c>
      <c r="Q259" s="17">
        <f t="shared" si="45"/>
        <v>0.70472219107037593</v>
      </c>
      <c r="R259" s="17">
        <f t="shared" si="46"/>
        <v>0.59820707478597968</v>
      </c>
      <c r="S259" s="17">
        <f>'02_지표정의'!$C$22*P259+'02_지표정의'!$C$23*Q259+'02_지표정의'!$C$24*R259</f>
        <v>0.59066372319805494</v>
      </c>
      <c r="T259" s="5">
        <f t="shared" si="47"/>
        <v>0</v>
      </c>
      <c r="U259" s="5" t="str">
        <f t="shared" si="48"/>
        <v>특허</v>
      </c>
      <c r="V259" s="18">
        <f t="shared" si="49"/>
        <v>352</v>
      </c>
      <c r="W259" s="5">
        <f t="shared" si="50"/>
        <v>0</v>
      </c>
      <c r="X259" s="5">
        <f t="shared" si="51"/>
        <v>150</v>
      </c>
      <c r="Y259" s="5">
        <f t="shared" si="52"/>
        <v>269</v>
      </c>
      <c r="Z259" s="19">
        <f t="shared" si="53"/>
        <v>54</v>
      </c>
      <c r="AA259" s="20">
        <f>ABS(S259-SUMPRODUCT(('05B_가정검정'!$A$5:$A$19=B259)*('05B_가정검정'!$B$5:$B$19=C259)*'05B_가정검정'!$E$5:$E$19))</f>
        <v>3.7640206455272329E-2</v>
      </c>
      <c r="AB259" s="20">
        <f t="shared" si="54"/>
        <v>3.4211239521874881E-2</v>
      </c>
    </row>
    <row r="260" spans="1:28">
      <c r="A260" s="15" t="s">
        <v>140</v>
      </c>
      <c r="B260" s="15" t="s">
        <v>120</v>
      </c>
      <c r="C260" s="15" t="s">
        <v>117</v>
      </c>
      <c r="D260" s="16">
        <v>0.25074626865671601</v>
      </c>
      <c r="E260" s="16">
        <v>0.27509293680297398</v>
      </c>
      <c r="F260" s="16">
        <v>9.7378277153558096E-2</v>
      </c>
      <c r="G260" s="16">
        <v>0.20817843866171001</v>
      </c>
      <c r="H260" s="16">
        <v>0.352558477193054</v>
      </c>
      <c r="I260" s="16">
        <v>0.27875573036932599</v>
      </c>
      <c r="J260" s="16">
        <v>0.69810604725999903</v>
      </c>
      <c r="K260" s="16">
        <v>0.70275760277476296</v>
      </c>
      <c r="L260" s="16">
        <v>0.82684150941919299</v>
      </c>
      <c r="M260" s="16">
        <v>0.64052287581699296</v>
      </c>
      <c r="N260" s="16">
        <v>0.64383561643835596</v>
      </c>
      <c r="O260" s="16">
        <v>1</v>
      </c>
      <c r="P260" s="17">
        <f t="shared" si="44"/>
        <v>0.24378502147288969</v>
      </c>
      <c r="Q260" s="17">
        <f t="shared" si="45"/>
        <v>0.74256838648465173</v>
      </c>
      <c r="R260" s="17">
        <f t="shared" si="46"/>
        <v>0.76145283075178305</v>
      </c>
      <c r="S260" s="17">
        <f>'02_지표정의'!$C$22*P260+'02_지표정의'!$C$23*Q260+'02_지표정의'!$C$24*R260</f>
        <v>0.64942126897579522</v>
      </c>
      <c r="T260" s="5">
        <f t="shared" si="47"/>
        <v>0</v>
      </c>
      <c r="U260" s="5" t="str">
        <f t="shared" si="48"/>
        <v>특허</v>
      </c>
      <c r="V260" s="18">
        <f t="shared" si="49"/>
        <v>614</v>
      </c>
      <c r="W260" s="5">
        <f t="shared" si="50"/>
        <v>468</v>
      </c>
      <c r="X260" s="5">
        <f t="shared" si="51"/>
        <v>301</v>
      </c>
      <c r="Y260" s="5">
        <f t="shared" si="52"/>
        <v>0</v>
      </c>
      <c r="Z260" s="19">
        <f t="shared" si="53"/>
        <v>52</v>
      </c>
      <c r="AA260" s="20">
        <f>ABS(S260-SUMPRODUCT(('05B_가정검정'!$A$5:$A$19=B260)*('05B_가정검정'!$B$5:$B$19=C260)*'05B_가정검정'!$E$5:$E$19))</f>
        <v>2.1372308918674143E-2</v>
      </c>
      <c r="AB260" s="20">
        <f t="shared" si="54"/>
        <v>1.8118565551038079E-2</v>
      </c>
    </row>
    <row r="261" spans="1:28">
      <c r="A261" s="15" t="s">
        <v>140</v>
      </c>
      <c r="B261" s="15" t="s">
        <v>120</v>
      </c>
      <c r="C261" s="15" t="s">
        <v>118</v>
      </c>
      <c r="D261" s="16">
        <v>0.265446224256293</v>
      </c>
      <c r="E261" s="16">
        <v>0.18994413407821201</v>
      </c>
      <c r="F261" s="16">
        <v>7.3033707865168496E-2</v>
      </c>
      <c r="G261" s="16">
        <v>0.15642458100558701</v>
      </c>
      <c r="H261" s="16">
        <v>0.22863077168193299</v>
      </c>
      <c r="I261" s="16">
        <v>0.32027851743845598</v>
      </c>
      <c r="J261" s="16">
        <v>0.70595103255423997</v>
      </c>
      <c r="K261" s="16">
        <v>0.71592662800384199</v>
      </c>
      <c r="L261" s="16">
        <v>0.84474141772654698</v>
      </c>
      <c r="M261" s="16">
        <v>0.45777777777777801</v>
      </c>
      <c r="N261" s="16">
        <v>0.376</v>
      </c>
      <c r="O261" s="16">
        <v>1</v>
      </c>
      <c r="P261" s="17">
        <f t="shared" si="44"/>
        <v>0.20562632272094158</v>
      </c>
      <c r="Q261" s="17">
        <f t="shared" si="45"/>
        <v>0.75553969276154298</v>
      </c>
      <c r="R261" s="17">
        <f t="shared" si="46"/>
        <v>0.61125925925925928</v>
      </c>
      <c r="S261" s="17">
        <f>'02_지표정의'!$C$22*P261+'02_지표정의'!$C$23*Q261+'02_지표정의'!$C$24*R261</f>
        <v>0.59505886702762334</v>
      </c>
      <c r="T261" s="5">
        <f t="shared" si="47"/>
        <v>0</v>
      </c>
      <c r="U261" s="5" t="str">
        <f t="shared" si="48"/>
        <v>특허</v>
      </c>
      <c r="V261" s="18">
        <f t="shared" si="49"/>
        <v>369</v>
      </c>
      <c r="W261" s="5">
        <f t="shared" si="50"/>
        <v>298</v>
      </c>
      <c r="X261" s="5">
        <f t="shared" si="51"/>
        <v>0</v>
      </c>
      <c r="Y261" s="5">
        <f t="shared" si="52"/>
        <v>284</v>
      </c>
      <c r="Z261" s="19">
        <f t="shared" si="53"/>
        <v>37</v>
      </c>
      <c r="AA261" s="20">
        <f>ABS(S261-SUMPRODUCT(('05B_가정검정'!$A$5:$A$19=B261)*('05B_가정검정'!$B$5:$B$19=C261)*'05B_가정검정'!$E$5:$E$19))</f>
        <v>4.2300184459953538E-3</v>
      </c>
      <c r="AB261" s="20">
        <f t="shared" si="54"/>
        <v>2.0168091065512539E-2</v>
      </c>
    </row>
    <row r="262" spans="1:28">
      <c r="A262" s="15" t="s">
        <v>140</v>
      </c>
      <c r="B262" s="15" t="s">
        <v>120</v>
      </c>
      <c r="C262" s="15" t="s">
        <v>119</v>
      </c>
      <c r="D262" s="16">
        <v>0.26474127557160099</v>
      </c>
      <c r="E262" s="16">
        <v>0.31799163179916301</v>
      </c>
      <c r="F262" s="16">
        <v>0.118143459915612</v>
      </c>
      <c r="G262" s="16">
        <v>0.27615062761506298</v>
      </c>
      <c r="H262" s="16">
        <v>0.35348307642722299</v>
      </c>
      <c r="I262" s="16">
        <v>0.34471236298728197</v>
      </c>
      <c r="J262" s="16">
        <v>0.74301836259448795</v>
      </c>
      <c r="K262" s="16">
        <v>0.69696754763614199</v>
      </c>
      <c r="L262" s="16">
        <v>0.88327482617743103</v>
      </c>
      <c r="M262" s="16">
        <v>0.76576576576576605</v>
      </c>
      <c r="N262" s="16">
        <v>0.79032258064516103</v>
      </c>
      <c r="O262" s="16">
        <v>1</v>
      </c>
      <c r="P262" s="17">
        <f t="shared" si="44"/>
        <v>0.27920373905265733</v>
      </c>
      <c r="Q262" s="17">
        <f t="shared" si="45"/>
        <v>0.77442024546935373</v>
      </c>
      <c r="R262" s="17">
        <f t="shared" si="46"/>
        <v>0.85202944880364229</v>
      </c>
      <c r="S262" s="17">
        <f>'02_지표정의'!$C$22*P262+'02_지표정의'!$C$23*Q262+'02_지표정의'!$C$24*R262</f>
        <v>0.70254016535301544</v>
      </c>
      <c r="T262" s="5">
        <f t="shared" si="47"/>
        <v>0</v>
      </c>
      <c r="U262" s="5" t="str">
        <f t="shared" si="48"/>
        <v>특허</v>
      </c>
      <c r="V262" s="18">
        <f t="shared" si="49"/>
        <v>829</v>
      </c>
      <c r="W262" s="5">
        <f t="shared" si="50"/>
        <v>0</v>
      </c>
      <c r="X262" s="5">
        <f t="shared" si="51"/>
        <v>504</v>
      </c>
      <c r="Y262" s="5">
        <f t="shared" si="52"/>
        <v>598</v>
      </c>
      <c r="Z262" s="19">
        <f t="shared" si="53"/>
        <v>58</v>
      </c>
      <c r="AA262" s="20">
        <f>ABS(S262-SUMPRODUCT(('05B_가정검정'!$A$5:$A$19=B262)*('05B_가정검정'!$B$5:$B$19=C262)*'05B_가정검정'!$E$5:$E$19))</f>
        <v>3.8862848871629163E-2</v>
      </c>
      <c r="AB262" s="20">
        <f t="shared" si="54"/>
        <v>4.4117157842199828E-2</v>
      </c>
    </row>
    <row r="263" spans="1:28">
      <c r="A263" s="15" t="s">
        <v>140</v>
      </c>
      <c r="B263" s="15" t="s">
        <v>121</v>
      </c>
      <c r="C263" s="15" t="s">
        <v>117</v>
      </c>
      <c r="D263" s="16">
        <v>0.260762607626076</v>
      </c>
      <c r="E263" s="16">
        <v>0.29411764705882398</v>
      </c>
      <c r="F263" s="16">
        <v>0.118811881188119</v>
      </c>
      <c r="G263" s="16">
        <v>0.24509803921568599</v>
      </c>
      <c r="H263" s="16">
        <v>0.294699753120237</v>
      </c>
      <c r="I263" s="16">
        <v>0.247298911603613</v>
      </c>
      <c r="J263" s="16">
        <v>0.72924243203073302</v>
      </c>
      <c r="K263" s="16">
        <v>0.81783906719965904</v>
      </c>
      <c r="L263" s="16">
        <v>0.91993478806723405</v>
      </c>
      <c r="M263" s="16">
        <v>0.63398692810457502</v>
      </c>
      <c r="N263" s="16">
        <v>0.75342465753424703</v>
      </c>
      <c r="O263" s="16">
        <v>1</v>
      </c>
      <c r="P263" s="17">
        <f t="shared" si="44"/>
        <v>0.24346480663542583</v>
      </c>
      <c r="Q263" s="17">
        <f t="shared" si="45"/>
        <v>0.82233876243254211</v>
      </c>
      <c r="R263" s="17">
        <f t="shared" si="46"/>
        <v>0.79580386187960739</v>
      </c>
      <c r="S263" s="17">
        <f>'02_지표정의'!$C$22*P263+'02_지표정의'!$C$23*Q263+'02_지표정의'!$C$24*R263</f>
        <v>0.69727675607959172</v>
      </c>
      <c r="T263" s="5">
        <f t="shared" si="47"/>
        <v>1</v>
      </c>
      <c r="U263" s="5" t="str">
        <f t="shared" si="48"/>
        <v>특허</v>
      </c>
      <c r="V263" s="18">
        <f t="shared" si="49"/>
        <v>817</v>
      </c>
      <c r="W263" s="5">
        <f t="shared" si="50"/>
        <v>553</v>
      </c>
      <c r="X263" s="5">
        <f t="shared" si="51"/>
        <v>492</v>
      </c>
      <c r="Y263" s="5">
        <f t="shared" si="52"/>
        <v>0</v>
      </c>
      <c r="Z263" s="19">
        <f t="shared" si="53"/>
        <v>15</v>
      </c>
      <c r="AA263" s="20">
        <f>ABS(S263-SUMPRODUCT(('05B_가정검정'!$A$5:$A$19=B263)*('05B_가정검정'!$B$5:$B$19=C263)*'05B_가정검정'!$E$5:$E$19))</f>
        <v>3.2155315302289433E-2</v>
      </c>
      <c r="AB263" s="20">
        <f t="shared" si="54"/>
        <v>-2.0375036993289242E-2</v>
      </c>
    </row>
    <row r="264" spans="1:28">
      <c r="A264" s="15" t="s">
        <v>140</v>
      </c>
      <c r="B264" s="15" t="s">
        <v>121</v>
      </c>
      <c r="C264" s="15" t="s">
        <v>118</v>
      </c>
      <c r="D264" s="16">
        <v>0.23167155425219901</v>
      </c>
      <c r="E264" s="16">
        <v>0.17064846416382301</v>
      </c>
      <c r="F264" s="16">
        <v>6.8728522336769807E-2</v>
      </c>
      <c r="G264" s="16">
        <v>0.15699658703071701</v>
      </c>
      <c r="H264" s="16">
        <v>0.19204154813386401</v>
      </c>
      <c r="I264" s="16">
        <v>0.26689972451692301</v>
      </c>
      <c r="J264" s="16">
        <v>0.71715297197944206</v>
      </c>
      <c r="K264" s="16">
        <v>0.81383075879988698</v>
      </c>
      <c r="L264" s="16">
        <v>0.91522443940516596</v>
      </c>
      <c r="M264" s="16">
        <v>0.431111111111111</v>
      </c>
      <c r="N264" s="16">
        <v>0.44</v>
      </c>
      <c r="O264" s="16">
        <v>1</v>
      </c>
      <c r="P264" s="17">
        <f t="shared" si="44"/>
        <v>0.18116440007238266</v>
      </c>
      <c r="Q264" s="17">
        <f t="shared" si="45"/>
        <v>0.81540272339483166</v>
      </c>
      <c r="R264" s="17">
        <f t="shared" si="46"/>
        <v>0.62370370370370365</v>
      </c>
      <c r="S264" s="17">
        <f>'02_지표정의'!$C$22*P264+'02_지표정의'!$C$23*Q264+'02_지표정의'!$C$24*R264</f>
        <v>0.62146040183844709</v>
      </c>
      <c r="T264" s="5">
        <f t="shared" si="47"/>
        <v>0</v>
      </c>
      <c r="U264" s="5" t="str">
        <f t="shared" si="48"/>
        <v>특허</v>
      </c>
      <c r="V264" s="18">
        <f t="shared" si="49"/>
        <v>493</v>
      </c>
      <c r="W264" s="5">
        <f t="shared" si="50"/>
        <v>397</v>
      </c>
      <c r="X264" s="5">
        <f t="shared" si="51"/>
        <v>0</v>
      </c>
      <c r="Y264" s="5">
        <f t="shared" si="52"/>
        <v>372</v>
      </c>
      <c r="Z264" s="19">
        <f t="shared" si="53"/>
        <v>51</v>
      </c>
      <c r="AA264" s="20">
        <f>ABS(S264-SUMPRODUCT(('05B_가정검정'!$A$5:$A$19=B264)*('05B_가정검정'!$B$5:$B$19=C264)*'05B_가정검정'!$E$5:$E$19))</f>
        <v>2.2880911671478654E-2</v>
      </c>
      <c r="AB264" s="20">
        <f t="shared" si="54"/>
        <v>4.2061327311633812E-2</v>
      </c>
    </row>
    <row r="265" spans="1:28">
      <c r="A265" s="15" t="s">
        <v>140</v>
      </c>
      <c r="B265" s="15" t="s">
        <v>121</v>
      </c>
      <c r="C265" s="15" t="s">
        <v>119</v>
      </c>
      <c r="D265" s="16">
        <v>0.28482003129890499</v>
      </c>
      <c r="E265" s="16">
        <v>0.45977011494252901</v>
      </c>
      <c r="F265" s="16">
        <v>0.25581395348837199</v>
      </c>
      <c r="G265" s="16">
        <v>0.35632183908046</v>
      </c>
      <c r="H265" s="16">
        <v>0.39578914506511098</v>
      </c>
      <c r="I265" s="16">
        <v>0.348686814512222</v>
      </c>
      <c r="J265" s="16">
        <v>0.75633726213269903</v>
      </c>
      <c r="K265" s="16">
        <v>0.76443741667439902</v>
      </c>
      <c r="L265" s="16">
        <v>0.89376391948265199</v>
      </c>
      <c r="M265" s="16">
        <v>0.90654205607476601</v>
      </c>
      <c r="N265" s="16">
        <v>0.91666666666666696</v>
      </c>
      <c r="O265" s="16">
        <v>1</v>
      </c>
      <c r="P265" s="17">
        <f t="shared" si="44"/>
        <v>0.3502003163979332</v>
      </c>
      <c r="Q265" s="17">
        <f t="shared" si="45"/>
        <v>0.80484619942991664</v>
      </c>
      <c r="R265" s="17">
        <f t="shared" si="46"/>
        <v>0.94106957424714432</v>
      </c>
      <c r="S265" s="17">
        <f>'02_지표정의'!$C$22*P265+'02_지표정의'!$C$23*Q265+'02_지표정의'!$C$24*R265</f>
        <v>0.76159520400954961</v>
      </c>
      <c r="T265" s="5">
        <f t="shared" si="47"/>
        <v>0</v>
      </c>
      <c r="U265" s="5" t="str">
        <f t="shared" si="48"/>
        <v>특허</v>
      </c>
      <c r="V265" s="18">
        <f t="shared" si="49"/>
        <v>967</v>
      </c>
      <c r="W265" s="5">
        <f t="shared" si="50"/>
        <v>0</v>
      </c>
      <c r="X265" s="5">
        <f t="shared" si="51"/>
        <v>642</v>
      </c>
      <c r="Y265" s="5">
        <f t="shared" si="52"/>
        <v>642</v>
      </c>
      <c r="Z265" s="19">
        <f t="shared" si="53"/>
        <v>60</v>
      </c>
      <c r="AA265" s="20">
        <f>ABS(S265-SUMPRODUCT(('05B_가정검정'!$A$5:$A$19=B265)*('05B_가정검정'!$B$5:$B$19=C265)*'05B_가정검정'!$E$5:$E$19))</f>
        <v>6.927536121369593E-2</v>
      </c>
      <c r="AB265" s="20">
        <f t="shared" si="54"/>
        <v>7.3358228589938568E-2</v>
      </c>
    </row>
    <row r="266" spans="1:28">
      <c r="A266" s="15" t="s">
        <v>140</v>
      </c>
      <c r="B266" s="15" t="s">
        <v>122</v>
      </c>
      <c r="C266" s="15" t="s">
        <v>117</v>
      </c>
      <c r="D266" s="16">
        <v>0.26974483596597798</v>
      </c>
      <c r="E266" s="16">
        <v>0.31693989071038298</v>
      </c>
      <c r="F266" s="16">
        <v>0.121546961325967</v>
      </c>
      <c r="G266" s="16">
        <v>0.27322404371584702</v>
      </c>
      <c r="H266" s="16">
        <v>0.30351000990840399</v>
      </c>
      <c r="I266" s="16">
        <v>0.26611899563705699</v>
      </c>
      <c r="J266" s="16">
        <v>0.70777161976907399</v>
      </c>
      <c r="K266" s="16">
        <v>0.68434741955266198</v>
      </c>
      <c r="L266" s="16">
        <v>0.79413758898136899</v>
      </c>
      <c r="M266" s="16">
        <v>0.68627450980392202</v>
      </c>
      <c r="N266" s="16">
        <v>0.58904109589041098</v>
      </c>
      <c r="O266" s="16">
        <v>1</v>
      </c>
      <c r="P266" s="17">
        <f t="shared" si="44"/>
        <v>0.25851412287727266</v>
      </c>
      <c r="Q266" s="17">
        <f t="shared" si="45"/>
        <v>0.72875220943436825</v>
      </c>
      <c r="R266" s="17">
        <f t="shared" si="46"/>
        <v>0.75843853523144433</v>
      </c>
      <c r="S266" s="17">
        <f>'02_지표정의'!$C$22*P266+'02_지표정의'!$C$23*Q266+'02_지표정의'!$C$24*R266</f>
        <v>0.64509480615192571</v>
      </c>
      <c r="T266" s="5">
        <f t="shared" si="47"/>
        <v>0</v>
      </c>
      <c r="U266" s="5" t="str">
        <f t="shared" si="48"/>
        <v>특허</v>
      </c>
      <c r="V266" s="18">
        <f t="shared" si="49"/>
        <v>596</v>
      </c>
      <c r="W266" s="5">
        <f t="shared" si="50"/>
        <v>460</v>
      </c>
      <c r="X266" s="5">
        <f t="shared" si="51"/>
        <v>287</v>
      </c>
      <c r="Y266" s="5">
        <f t="shared" si="52"/>
        <v>0</v>
      </c>
      <c r="Z266" s="19">
        <f t="shared" si="53"/>
        <v>35</v>
      </c>
      <c r="AA266" s="20">
        <f>ABS(S266-SUMPRODUCT(('05B_가정검정'!$A$5:$A$19=B266)*('05B_가정검정'!$B$5:$B$19=C266)*'05B_가정검정'!$E$5:$E$19))</f>
        <v>5.7418514432472367E-3</v>
      </c>
      <c r="AB266" s="20">
        <f t="shared" si="54"/>
        <v>2.2213183962279559E-2</v>
      </c>
    </row>
    <row r="267" spans="1:28">
      <c r="A267" s="15" t="s">
        <v>140</v>
      </c>
      <c r="B267" s="15" t="s">
        <v>122</v>
      </c>
      <c r="C267" s="15" t="s">
        <v>118</v>
      </c>
      <c r="D267" s="16">
        <v>0.329479768786127</v>
      </c>
      <c r="E267" s="16">
        <v>0.22794117647058801</v>
      </c>
      <c r="F267" s="16">
        <v>9.6296296296296297E-2</v>
      </c>
      <c r="G267" s="16">
        <v>0.17647058823529399</v>
      </c>
      <c r="H267" s="16">
        <v>0.22176165753778099</v>
      </c>
      <c r="I267" s="16">
        <v>0.29859881227617202</v>
      </c>
      <c r="J267" s="16">
        <v>0.683950870372669</v>
      </c>
      <c r="K267" s="16">
        <v>0.70338063599659195</v>
      </c>
      <c r="L267" s="16">
        <v>0.80764048142167699</v>
      </c>
      <c r="M267" s="16">
        <v>0.45777777777777801</v>
      </c>
      <c r="N267" s="16">
        <v>0.34399999999999997</v>
      </c>
      <c r="O267" s="16">
        <v>1</v>
      </c>
      <c r="P267" s="17">
        <f t="shared" si="44"/>
        <v>0.22509138326704306</v>
      </c>
      <c r="Q267" s="17">
        <f t="shared" si="45"/>
        <v>0.73165732926364591</v>
      </c>
      <c r="R267" s="17">
        <f t="shared" si="46"/>
        <v>0.60059259259259268</v>
      </c>
      <c r="S267" s="17">
        <f>'02_지표정의'!$C$22*P267+'02_지표정의'!$C$23*Q267+'02_지표정의'!$C$24*R267</f>
        <v>0.58447148222945677</v>
      </c>
      <c r="T267" s="5">
        <f t="shared" si="47"/>
        <v>1</v>
      </c>
      <c r="U267" s="5" t="str">
        <f t="shared" si="48"/>
        <v>특허</v>
      </c>
      <c r="V267" s="18">
        <f t="shared" si="49"/>
        <v>333</v>
      </c>
      <c r="W267" s="5">
        <f t="shared" si="50"/>
        <v>272</v>
      </c>
      <c r="X267" s="5">
        <f t="shared" si="51"/>
        <v>0</v>
      </c>
      <c r="Y267" s="5">
        <f t="shared" si="52"/>
        <v>251</v>
      </c>
      <c r="Z267" s="19">
        <f t="shared" si="53"/>
        <v>31</v>
      </c>
      <c r="AA267" s="20">
        <f>ABS(S267-SUMPRODUCT(('05B_가정검정'!$A$5:$A$19=B267)*('05B_가정검정'!$B$5:$B$19=C267)*'05B_가정검정'!$E$5:$E$19))</f>
        <v>2.450453767701477E-3</v>
      </c>
      <c r="AB267" s="20">
        <f t="shared" si="54"/>
        <v>3.2482060117730027E-3</v>
      </c>
    </row>
    <row r="268" spans="1:28">
      <c r="A268" s="15" t="s">
        <v>140</v>
      </c>
      <c r="B268" s="15" t="s">
        <v>122</v>
      </c>
      <c r="C268" s="15" t="s">
        <v>119</v>
      </c>
      <c r="D268" s="16">
        <v>0.27734976887519303</v>
      </c>
      <c r="E268" s="16">
        <v>0.30065359477124198</v>
      </c>
      <c r="F268" s="16">
        <v>0.105960264900662</v>
      </c>
      <c r="G268" s="16">
        <v>0.27450980392156898</v>
      </c>
      <c r="H268" s="16">
        <v>0.36297006604881299</v>
      </c>
      <c r="I268" s="16">
        <v>0.278751825204406</v>
      </c>
      <c r="J268" s="16">
        <v>0.698625391767417</v>
      </c>
      <c r="K268" s="16">
        <v>0.64453874689731705</v>
      </c>
      <c r="L268" s="16">
        <v>0.87398455942365005</v>
      </c>
      <c r="M268" s="16">
        <v>0.747899159663866</v>
      </c>
      <c r="N268" s="16">
        <v>0.74242424242424199</v>
      </c>
      <c r="O268" s="16">
        <v>1</v>
      </c>
      <c r="P268" s="17">
        <f t="shared" si="44"/>
        <v>0.2666992206203142</v>
      </c>
      <c r="Q268" s="17">
        <f t="shared" si="45"/>
        <v>0.73904956602946148</v>
      </c>
      <c r="R268" s="17">
        <f t="shared" si="46"/>
        <v>0.83010780069603596</v>
      </c>
      <c r="S268" s="17">
        <f>'02_지표정의'!$C$22*P268+'02_지표정의'!$C$23*Q268+'02_지표정의'!$C$24*R268</f>
        <v>0.67644987908093301</v>
      </c>
      <c r="T268" s="5">
        <f t="shared" si="47"/>
        <v>0</v>
      </c>
      <c r="U268" s="5" t="str">
        <f t="shared" si="48"/>
        <v>특허</v>
      </c>
      <c r="V268" s="18">
        <f t="shared" si="49"/>
        <v>741</v>
      </c>
      <c r="W268" s="5">
        <f t="shared" si="50"/>
        <v>0</v>
      </c>
      <c r="X268" s="5">
        <f t="shared" si="51"/>
        <v>420</v>
      </c>
      <c r="Y268" s="5">
        <f t="shared" si="52"/>
        <v>538</v>
      </c>
      <c r="Z268" s="19">
        <f t="shared" si="53"/>
        <v>55</v>
      </c>
      <c r="AA268" s="20">
        <f>ABS(S268-SUMPRODUCT(('05B_가정검정'!$A$5:$A$19=B268)*('05B_가정검정'!$B$5:$B$19=C268)*'05B_가정검정'!$E$5:$E$19))</f>
        <v>4.0843691179481612E-2</v>
      </c>
      <c r="AB268" s="20">
        <f t="shared" si="54"/>
        <v>4.5061012766047015E-2</v>
      </c>
    </row>
    <row r="269" spans="1:28">
      <c r="A269" s="15" t="s">
        <v>140</v>
      </c>
      <c r="B269" s="15" t="s">
        <v>123</v>
      </c>
      <c r="C269" s="15" t="s">
        <v>117</v>
      </c>
      <c r="D269" s="16">
        <v>0.24913494809688599</v>
      </c>
      <c r="E269" s="16">
        <v>0.31355932203389802</v>
      </c>
      <c r="F269" s="16">
        <v>0.11965811965812</v>
      </c>
      <c r="G269" s="16">
        <v>0.26271186440678002</v>
      </c>
      <c r="H269" s="16">
        <v>0.34864752049836301</v>
      </c>
      <c r="I269" s="16">
        <v>0.29113799332943302</v>
      </c>
      <c r="J269" s="16">
        <v>0.73771527501064504</v>
      </c>
      <c r="K269" s="16">
        <v>0.70078964517684905</v>
      </c>
      <c r="L269" s="16">
        <v>0.84899949806645403</v>
      </c>
      <c r="M269" s="16">
        <v>0.63398692810457502</v>
      </c>
      <c r="N269" s="16">
        <v>0.75342465753424703</v>
      </c>
      <c r="O269" s="16">
        <v>1</v>
      </c>
      <c r="P269" s="17">
        <f t="shared" si="44"/>
        <v>0.26414162800391333</v>
      </c>
      <c r="Q269" s="17">
        <f t="shared" si="45"/>
        <v>0.76250147275131608</v>
      </c>
      <c r="R269" s="17">
        <f t="shared" si="46"/>
        <v>0.79580386187960739</v>
      </c>
      <c r="S269" s="17">
        <f>'02_지표정의'!$C$22*P269+'02_지표정의'!$C$23*Q269+'02_지표정의'!$C$24*R269</f>
        <v>0.67448533999673743</v>
      </c>
      <c r="T269" s="5">
        <f t="shared" si="47"/>
        <v>0</v>
      </c>
      <c r="U269" s="5" t="str">
        <f t="shared" si="48"/>
        <v>특허</v>
      </c>
      <c r="V269" s="18">
        <f t="shared" si="49"/>
        <v>736</v>
      </c>
      <c r="W269" s="5">
        <f t="shared" si="50"/>
        <v>522</v>
      </c>
      <c r="X269" s="5">
        <f t="shared" si="51"/>
        <v>415</v>
      </c>
      <c r="Y269" s="5">
        <f t="shared" si="52"/>
        <v>0</v>
      </c>
      <c r="Z269" s="19">
        <f t="shared" si="53"/>
        <v>11</v>
      </c>
      <c r="AA269" s="20">
        <f>ABS(S269-SUMPRODUCT(('05B_가정검정'!$A$5:$A$19=B269)*('05B_가정검정'!$B$5:$B$19=C269)*'05B_가정검정'!$E$5:$E$19))</f>
        <v>4.0437542779486302E-2</v>
      </c>
      <c r="AB269" s="20">
        <f t="shared" si="54"/>
        <v>-3.350011181450574E-2</v>
      </c>
    </row>
    <row r="270" spans="1:28">
      <c r="A270" s="15" t="s">
        <v>140</v>
      </c>
      <c r="B270" s="15" t="s">
        <v>123</v>
      </c>
      <c r="C270" s="15" t="s">
        <v>118</v>
      </c>
      <c r="D270" s="16">
        <v>0.236413043478261</v>
      </c>
      <c r="E270" s="16">
        <v>0.21538461538461501</v>
      </c>
      <c r="F270" s="16">
        <v>9.9071207430340605E-2</v>
      </c>
      <c r="G270" s="16">
        <v>0.20307692307692299</v>
      </c>
      <c r="H270" s="16">
        <v>0.24520074426869701</v>
      </c>
      <c r="I270" s="16">
        <v>0.41928640322452598</v>
      </c>
      <c r="J270" s="16">
        <v>0.706877374086891</v>
      </c>
      <c r="K270" s="16">
        <v>0.70732491514204598</v>
      </c>
      <c r="L270" s="16">
        <v>0.85135280018572901</v>
      </c>
      <c r="M270" s="16">
        <v>0.431111111111111</v>
      </c>
      <c r="N270" s="16">
        <v>0.44</v>
      </c>
      <c r="O270" s="16">
        <v>1</v>
      </c>
      <c r="P270" s="17">
        <f t="shared" si="44"/>
        <v>0.23640548947722709</v>
      </c>
      <c r="Q270" s="17">
        <f t="shared" si="45"/>
        <v>0.75518502980488866</v>
      </c>
      <c r="R270" s="17">
        <f t="shared" si="46"/>
        <v>0.62370370370370365</v>
      </c>
      <c r="S270" s="17">
        <f>'02_지표정의'!$C$22*P270+'02_지표정의'!$C$23*Q270+'02_지표정의'!$C$24*R270</f>
        <v>0.60541065760394153</v>
      </c>
      <c r="T270" s="5">
        <f t="shared" si="47"/>
        <v>0</v>
      </c>
      <c r="U270" s="5" t="str">
        <f t="shared" si="48"/>
        <v>특허</v>
      </c>
      <c r="V270" s="18">
        <f t="shared" si="49"/>
        <v>415</v>
      </c>
      <c r="W270" s="5">
        <f t="shared" si="50"/>
        <v>336</v>
      </c>
      <c r="X270" s="5">
        <f t="shared" si="51"/>
        <v>0</v>
      </c>
      <c r="Y270" s="5">
        <f t="shared" si="52"/>
        <v>315</v>
      </c>
      <c r="Z270" s="19">
        <f t="shared" si="53"/>
        <v>52</v>
      </c>
      <c r="AA270" s="20">
        <f>ABS(S270-SUMPRODUCT(('05B_가정검정'!$A$5:$A$19=B270)*('05B_가정검정'!$B$5:$B$19=C270)*'05B_가정검정'!$E$5:$E$19))</f>
        <v>3.0111830724971811E-2</v>
      </c>
      <c r="AB270" s="20">
        <f t="shared" si="54"/>
        <v>4.5539049679450438E-2</v>
      </c>
    </row>
    <row r="271" spans="1:28">
      <c r="A271" s="15" t="s">
        <v>140</v>
      </c>
      <c r="B271" s="15" t="s">
        <v>123</v>
      </c>
      <c r="C271" s="15" t="s">
        <v>119</v>
      </c>
      <c r="D271" s="16">
        <v>0.297258297258297</v>
      </c>
      <c r="E271" s="16">
        <v>0.43689320388349501</v>
      </c>
      <c r="F271" s="16">
        <v>0.21568627450980399</v>
      </c>
      <c r="G271" s="16">
        <v>0.32038834951456302</v>
      </c>
      <c r="H271" s="16">
        <v>0.47043731440589098</v>
      </c>
      <c r="I271" s="16">
        <v>0.44185984300394199</v>
      </c>
      <c r="J271" s="16">
        <v>0.73368811730960704</v>
      </c>
      <c r="K271" s="16">
        <v>0.719754197124024</v>
      </c>
      <c r="L271" s="16">
        <v>0.90500347093099298</v>
      </c>
      <c r="M271" s="16">
        <v>0.90654205607476601</v>
      </c>
      <c r="N271" s="16">
        <v>0.91666666666666696</v>
      </c>
      <c r="O271" s="16">
        <v>1</v>
      </c>
      <c r="P271" s="17">
        <f t="shared" si="44"/>
        <v>0.36375388042933193</v>
      </c>
      <c r="Q271" s="17">
        <f t="shared" si="45"/>
        <v>0.78614859512154134</v>
      </c>
      <c r="R271" s="17">
        <f t="shared" si="46"/>
        <v>0.94106957424714432</v>
      </c>
      <c r="S271" s="17">
        <f>'02_지표정의'!$C$22*P271+'02_지표정의'!$C$23*Q271+'02_지표정의'!$C$24*R271</f>
        <v>0.75589199487706049</v>
      </c>
      <c r="T271" s="5">
        <f t="shared" si="47"/>
        <v>1</v>
      </c>
      <c r="U271" s="5" t="str">
        <f t="shared" si="48"/>
        <v>특허</v>
      </c>
      <c r="V271" s="18">
        <f t="shared" si="49"/>
        <v>961</v>
      </c>
      <c r="W271" s="5">
        <f t="shared" si="50"/>
        <v>0</v>
      </c>
      <c r="X271" s="5">
        <f t="shared" si="51"/>
        <v>636</v>
      </c>
      <c r="Y271" s="5">
        <f t="shared" si="52"/>
        <v>637</v>
      </c>
      <c r="Z271" s="19">
        <f t="shared" si="53"/>
        <v>62</v>
      </c>
      <c r="AA271" s="20">
        <f>ABS(S271-SUMPRODUCT(('05B_가정검정'!$A$5:$A$19=B271)*('05B_가정검정'!$B$5:$B$19=C271)*'05B_가정검정'!$E$5:$E$19))</f>
        <v>7.0262197552833139E-2</v>
      </c>
      <c r="AB271" s="20">
        <f t="shared" si="54"/>
        <v>7.3473261832058712E-2</v>
      </c>
    </row>
    <row r="272" spans="1:28">
      <c r="A272" s="15" t="s">
        <v>141</v>
      </c>
      <c r="B272" s="15" t="s">
        <v>116</v>
      </c>
      <c r="C272" s="15" t="s">
        <v>117</v>
      </c>
      <c r="D272" s="16">
        <v>0.214012738853503</v>
      </c>
      <c r="E272" s="16">
        <v>0.25600000000000001</v>
      </c>
      <c r="F272" s="16">
        <v>8.0645161290322606E-2</v>
      </c>
      <c r="G272" s="16">
        <v>0.2</v>
      </c>
      <c r="H272" s="16">
        <v>0.19855080115144</v>
      </c>
      <c r="I272" s="16">
        <v>0.15427792672931301</v>
      </c>
      <c r="J272" s="16">
        <v>0.63925621623216999</v>
      </c>
      <c r="K272" s="16">
        <v>0.61738523531121203</v>
      </c>
      <c r="L272" s="16">
        <v>0.80422513691503505</v>
      </c>
      <c r="M272" s="16">
        <v>0.56291390728476798</v>
      </c>
      <c r="N272" s="16">
        <v>0.23170731707317099</v>
      </c>
      <c r="O272" s="16">
        <v>1</v>
      </c>
      <c r="P272" s="17">
        <f t="shared" si="44"/>
        <v>0.18391443800409643</v>
      </c>
      <c r="Q272" s="17">
        <f t="shared" si="45"/>
        <v>0.68695552948613903</v>
      </c>
      <c r="R272" s="17">
        <f t="shared" si="46"/>
        <v>0.59820707478597968</v>
      </c>
      <c r="S272" s="17">
        <f>'02_지표정의'!$C$22*P272+'02_지표정의'!$C$23*Q272+'02_지표정의'!$C$24*R272</f>
        <v>0.55528535204467477</v>
      </c>
      <c r="T272" s="5">
        <f t="shared" si="47"/>
        <v>0</v>
      </c>
      <c r="U272" s="5" t="str">
        <f t="shared" si="48"/>
        <v>특허</v>
      </c>
      <c r="V272" s="18">
        <f t="shared" si="49"/>
        <v>230</v>
      </c>
      <c r="W272" s="5">
        <f t="shared" si="50"/>
        <v>188</v>
      </c>
      <c r="X272" s="5">
        <f t="shared" si="51"/>
        <v>77</v>
      </c>
      <c r="Y272" s="5">
        <f t="shared" si="52"/>
        <v>0</v>
      </c>
      <c r="Z272" s="19">
        <f t="shared" si="53"/>
        <v>28</v>
      </c>
      <c r="AA272" s="20">
        <f>ABS(S272-SUMPRODUCT(('05B_가정검정'!$A$5:$A$19=B272)*('05B_가정검정'!$B$5:$B$19=C272)*'05B_가정검정'!$E$5:$E$19))</f>
        <v>2.1183529402925005E-3</v>
      </c>
      <c r="AB272" s="20">
        <f t="shared" si="54"/>
        <v>2.734186632051383E-3</v>
      </c>
    </row>
    <row r="273" spans="1:28">
      <c r="A273" s="15" t="s">
        <v>141</v>
      </c>
      <c r="B273" s="15" t="s">
        <v>116</v>
      </c>
      <c r="C273" s="15" t="s">
        <v>118</v>
      </c>
      <c r="D273" s="16">
        <v>0.26685796269727402</v>
      </c>
      <c r="E273" s="16">
        <v>0.268041237113402</v>
      </c>
      <c r="F273" s="16">
        <v>8.9965397923875395E-2</v>
      </c>
      <c r="G273" s="16">
        <v>0.213058419243986</v>
      </c>
      <c r="H273" s="16">
        <v>0.12844018595533699</v>
      </c>
      <c r="I273" s="16">
        <v>0.229785452190122</v>
      </c>
      <c r="J273" s="16">
        <v>0.69089128028641</v>
      </c>
      <c r="K273" s="16">
        <v>0.71233843720983403</v>
      </c>
      <c r="L273" s="16">
        <v>0.84134876277820603</v>
      </c>
      <c r="M273" s="16">
        <v>0.29243353783231102</v>
      </c>
      <c r="N273" s="16">
        <v>3.8834951456310697E-2</v>
      </c>
      <c r="O273" s="16">
        <v>0.60526315789473695</v>
      </c>
      <c r="P273" s="17">
        <f t="shared" si="44"/>
        <v>0.19935810918733274</v>
      </c>
      <c r="Q273" s="17">
        <f t="shared" si="45"/>
        <v>0.74819282675815002</v>
      </c>
      <c r="R273" s="17">
        <f t="shared" si="46"/>
        <v>0.31217721572778623</v>
      </c>
      <c r="S273" s="17">
        <f>'02_지표정의'!$C$22*P273+'02_지표정의'!$C$23*Q273+'02_지표정의'!$C$24*R273</f>
        <v>0.48582041938335929</v>
      </c>
      <c r="T273" s="5">
        <f t="shared" si="47"/>
        <v>0</v>
      </c>
      <c r="U273" s="5" t="str">
        <f t="shared" si="48"/>
        <v>특허</v>
      </c>
      <c r="V273" s="18">
        <f t="shared" si="49"/>
        <v>21</v>
      </c>
      <c r="W273" s="5">
        <f t="shared" si="50"/>
        <v>15</v>
      </c>
      <c r="X273" s="5">
        <f t="shared" si="51"/>
        <v>0</v>
      </c>
      <c r="Y273" s="5">
        <f t="shared" si="52"/>
        <v>19</v>
      </c>
      <c r="Z273" s="19">
        <f t="shared" si="53"/>
        <v>9</v>
      </c>
      <c r="AA273" s="20">
        <f>ABS(S273-SUMPRODUCT(('05B_가정검정'!$A$5:$A$19=B273)*('05B_가정검정'!$B$5:$B$19=C273)*'05B_가정검정'!$E$5:$E$19))</f>
        <v>4.5472002318362348E-2</v>
      </c>
      <c r="AB273" s="20">
        <f t="shared" si="54"/>
        <v>-4.172861299522701E-2</v>
      </c>
    </row>
    <row r="274" spans="1:28">
      <c r="A274" s="15" t="s">
        <v>141</v>
      </c>
      <c r="B274" s="15" t="s">
        <v>116</v>
      </c>
      <c r="C274" s="15" t="s">
        <v>119</v>
      </c>
      <c r="D274" s="16">
        <v>0.25609756097560998</v>
      </c>
      <c r="E274" s="16">
        <v>0.50810810810810803</v>
      </c>
      <c r="F274" s="16">
        <v>0.14207650273224101</v>
      </c>
      <c r="G274" s="16">
        <v>0.34594594594594602</v>
      </c>
      <c r="H274" s="16">
        <v>0.230899984840467</v>
      </c>
      <c r="I274" s="16">
        <v>0.31914086618980902</v>
      </c>
      <c r="J274" s="16">
        <v>0.72195346687871798</v>
      </c>
      <c r="K274" s="16">
        <v>0.63014710780504601</v>
      </c>
      <c r="L274" s="16">
        <v>0.84537840380151597</v>
      </c>
      <c r="M274" s="16">
        <v>0.49006622516556297</v>
      </c>
      <c r="N274" s="16">
        <v>0</v>
      </c>
      <c r="O274" s="16">
        <v>1</v>
      </c>
      <c r="P274" s="17">
        <f t="shared" si="44"/>
        <v>0.3003781614653635</v>
      </c>
      <c r="Q274" s="17">
        <f t="shared" si="45"/>
        <v>0.73249299282842661</v>
      </c>
      <c r="R274" s="17">
        <f t="shared" si="46"/>
        <v>0.49668874172185434</v>
      </c>
      <c r="S274" s="17">
        <f>'02_지표정의'!$C$22*P274+'02_지표정의'!$C$23*Q274+'02_지표정의'!$C$24*R274</f>
        <v>0.56353853866851367</v>
      </c>
      <c r="T274" s="5">
        <f t="shared" si="47"/>
        <v>0</v>
      </c>
      <c r="U274" s="5" t="str">
        <f t="shared" si="48"/>
        <v>특허</v>
      </c>
      <c r="V274" s="18">
        <f t="shared" si="49"/>
        <v>263</v>
      </c>
      <c r="W274" s="5">
        <f t="shared" si="50"/>
        <v>0</v>
      </c>
      <c r="X274" s="5">
        <f t="shared" si="51"/>
        <v>98</v>
      </c>
      <c r="Y274" s="5">
        <f t="shared" si="52"/>
        <v>214</v>
      </c>
      <c r="Z274" s="19">
        <f t="shared" si="53"/>
        <v>40</v>
      </c>
      <c r="AA274" s="20">
        <f>ABS(S274-SUMPRODUCT(('05B_가정검정'!$A$5:$A$19=B274)*('05B_가정검정'!$B$5:$B$19=C274)*'05B_가정검정'!$E$5:$E$19))</f>
        <v>1.0515021925731061E-2</v>
      </c>
      <c r="AB274" s="20">
        <f t="shared" si="54"/>
        <v>7.0860549923336125E-3</v>
      </c>
    </row>
    <row r="275" spans="1:28">
      <c r="A275" s="15" t="s">
        <v>141</v>
      </c>
      <c r="B275" s="15" t="s">
        <v>120</v>
      </c>
      <c r="C275" s="15" t="s">
        <v>117</v>
      </c>
      <c r="D275" s="16">
        <v>0.23956442831215999</v>
      </c>
      <c r="E275" s="16">
        <v>0.30769230769230799</v>
      </c>
      <c r="F275" s="16">
        <v>5.86666666666667E-2</v>
      </c>
      <c r="G275" s="16">
        <v>0.18567639257294399</v>
      </c>
      <c r="H275" s="16">
        <v>0.321750914934754</v>
      </c>
      <c r="I275" s="16">
        <v>0.147876782648723</v>
      </c>
      <c r="J275" s="16">
        <v>0.66829179907317304</v>
      </c>
      <c r="K275" s="16">
        <v>0.63211771735315703</v>
      </c>
      <c r="L275" s="16">
        <v>0.847822063414157</v>
      </c>
      <c r="M275" s="16">
        <v>0.55882352941176505</v>
      </c>
      <c r="N275" s="16">
        <v>0.50515463917525805</v>
      </c>
      <c r="O275" s="16">
        <v>1</v>
      </c>
      <c r="P275" s="17">
        <f t="shared" si="44"/>
        <v>0.21020458213792595</v>
      </c>
      <c r="Q275" s="17">
        <f t="shared" si="45"/>
        <v>0.71607719328016239</v>
      </c>
      <c r="R275" s="17">
        <f t="shared" si="46"/>
        <v>0.68799272286234103</v>
      </c>
      <c r="S275" s="17">
        <f>'02_지표정의'!$C$22*P275+'02_지표정의'!$C$23*Q275+'02_지표정의'!$C$24*R275</f>
        <v>0.60507310640547762</v>
      </c>
      <c r="T275" s="5">
        <f t="shared" si="47"/>
        <v>0</v>
      </c>
      <c r="U275" s="5" t="str">
        <f t="shared" si="48"/>
        <v>특허</v>
      </c>
      <c r="V275" s="18">
        <f t="shared" si="49"/>
        <v>413</v>
      </c>
      <c r="W275" s="5">
        <f t="shared" si="50"/>
        <v>334</v>
      </c>
      <c r="X275" s="5">
        <f t="shared" si="51"/>
        <v>179</v>
      </c>
      <c r="Y275" s="5">
        <f t="shared" si="52"/>
        <v>0</v>
      </c>
      <c r="Z275" s="19">
        <f t="shared" si="53"/>
        <v>12</v>
      </c>
      <c r="AA275" s="20">
        <f>ABS(S275-SUMPRODUCT(('05B_가정검정'!$A$5:$A$19=B275)*('05B_가정검정'!$B$5:$B$19=C275)*'05B_가정검정'!$E$5:$E$19))</f>
        <v>2.2975853651643452E-2</v>
      </c>
      <c r="AB275" s="20">
        <f t="shared" si="54"/>
        <v>-2.6229597019279516E-2</v>
      </c>
    </row>
    <row r="276" spans="1:28">
      <c r="A276" s="15" t="s">
        <v>141</v>
      </c>
      <c r="B276" s="15" t="s">
        <v>120</v>
      </c>
      <c r="C276" s="15" t="s">
        <v>118</v>
      </c>
      <c r="D276" s="16">
        <v>0.244575936883629</v>
      </c>
      <c r="E276" s="16">
        <v>0.291866028708134</v>
      </c>
      <c r="F276" s="16">
        <v>0.105769230769231</v>
      </c>
      <c r="G276" s="16">
        <v>0.22966507177033499</v>
      </c>
      <c r="H276" s="16">
        <v>0.236313658888537</v>
      </c>
      <c r="I276" s="16">
        <v>0.21767392874434799</v>
      </c>
      <c r="J276" s="16">
        <v>0.69812613839078597</v>
      </c>
      <c r="K276" s="16">
        <v>0.64875778970185205</v>
      </c>
      <c r="L276" s="16">
        <v>0.84752168015679696</v>
      </c>
      <c r="M276" s="16">
        <v>0.329243353783231</v>
      </c>
      <c r="N276" s="16">
        <v>0.237864077669903</v>
      </c>
      <c r="O276" s="16">
        <v>0.61654135338345895</v>
      </c>
      <c r="P276" s="17">
        <f t="shared" si="44"/>
        <v>0.2209773092940357</v>
      </c>
      <c r="Q276" s="17">
        <f t="shared" si="45"/>
        <v>0.73146853608314499</v>
      </c>
      <c r="R276" s="17">
        <f t="shared" si="46"/>
        <v>0.39454959494553093</v>
      </c>
      <c r="S276" s="17">
        <f>'02_지표정의'!$C$22*P276+'02_지표정의'!$C$23*Q276+'02_지표정의'!$C$24*R276</f>
        <v>0.51144866132715816</v>
      </c>
      <c r="T276" s="5">
        <f t="shared" si="47"/>
        <v>0</v>
      </c>
      <c r="U276" s="5" t="str">
        <f t="shared" si="48"/>
        <v>특허</v>
      </c>
      <c r="V276" s="18">
        <f t="shared" si="49"/>
        <v>72</v>
      </c>
      <c r="W276" s="5">
        <f t="shared" si="50"/>
        <v>64</v>
      </c>
      <c r="X276" s="5">
        <f t="shared" si="51"/>
        <v>0</v>
      </c>
      <c r="Y276" s="5">
        <f t="shared" si="52"/>
        <v>65</v>
      </c>
      <c r="Z276" s="19">
        <f t="shared" si="53"/>
        <v>7</v>
      </c>
      <c r="AA276" s="20">
        <f>ABS(S276-SUMPRODUCT(('05B_가정검정'!$A$5:$A$19=B276)*('05B_가정검정'!$B$5:$B$19=C276)*'05B_가정검정'!$E$5:$E$19))</f>
        <v>7.9380187254469825E-2</v>
      </c>
      <c r="AB276" s="20">
        <f t="shared" si="54"/>
        <v>-6.344211463495264E-2</v>
      </c>
    </row>
    <row r="277" spans="1:28">
      <c r="A277" s="15" t="s">
        <v>141</v>
      </c>
      <c r="B277" s="15" t="s">
        <v>120</v>
      </c>
      <c r="C277" s="15" t="s">
        <v>119</v>
      </c>
      <c r="D277" s="16">
        <v>0.25693730729702002</v>
      </c>
      <c r="E277" s="16">
        <v>0.39102564102564102</v>
      </c>
      <c r="F277" s="16">
        <v>0.109677419354839</v>
      </c>
      <c r="G277" s="16">
        <v>0.262820512820513</v>
      </c>
      <c r="H277" s="16">
        <v>0.31277656510791602</v>
      </c>
      <c r="I277" s="16">
        <v>0.54816932882455705</v>
      </c>
      <c r="J277" s="16">
        <v>0.70499368652223504</v>
      </c>
      <c r="K277" s="16">
        <v>0.64019519656438795</v>
      </c>
      <c r="L277" s="16">
        <v>0.85787401198494195</v>
      </c>
      <c r="M277" s="16">
        <v>0.71764705882352897</v>
      </c>
      <c r="N277" s="16">
        <v>0.71134020618556704</v>
      </c>
      <c r="O277" s="16">
        <v>1</v>
      </c>
      <c r="P277" s="17">
        <f t="shared" si="44"/>
        <v>0.31356779573841437</v>
      </c>
      <c r="Q277" s="17">
        <f t="shared" si="45"/>
        <v>0.73435429835718835</v>
      </c>
      <c r="R277" s="17">
        <f t="shared" si="46"/>
        <v>0.8096624216696986</v>
      </c>
      <c r="S277" s="17">
        <f>'02_지표정의'!$C$22*P277+'02_지표정의'!$C$23*Q277+'02_지표정의'!$C$24*R277</f>
        <v>0.67655484099281216</v>
      </c>
      <c r="T277" s="5">
        <f t="shared" si="47"/>
        <v>0</v>
      </c>
      <c r="U277" s="5" t="str">
        <f t="shared" si="48"/>
        <v>특허</v>
      </c>
      <c r="V277" s="18">
        <f t="shared" si="49"/>
        <v>742</v>
      </c>
      <c r="W277" s="5">
        <f t="shared" si="50"/>
        <v>0</v>
      </c>
      <c r="X277" s="5">
        <f t="shared" si="51"/>
        <v>421</v>
      </c>
      <c r="Y277" s="5">
        <f t="shared" si="52"/>
        <v>539</v>
      </c>
      <c r="Z277" s="19">
        <f t="shared" si="53"/>
        <v>43</v>
      </c>
      <c r="AA277" s="20">
        <f>ABS(S277-SUMPRODUCT(('05B_가정검정'!$A$5:$A$19=B277)*('05B_가정검정'!$B$5:$B$19=C277)*'05B_가정검정'!$E$5:$E$19))</f>
        <v>1.2877524511425875E-2</v>
      </c>
      <c r="AB277" s="20">
        <f t="shared" si="54"/>
        <v>1.813183348199654E-2</v>
      </c>
    </row>
    <row r="278" spans="1:28">
      <c r="A278" s="15" t="s">
        <v>141</v>
      </c>
      <c r="B278" s="15" t="s">
        <v>121</v>
      </c>
      <c r="C278" s="15" t="s">
        <v>117</v>
      </c>
      <c r="D278" s="16">
        <v>0.21901323706377901</v>
      </c>
      <c r="E278" s="16">
        <v>0.2734375</v>
      </c>
      <c r="F278" s="16">
        <v>7.8740157480315001E-2</v>
      </c>
      <c r="G278" s="16">
        <v>0.1875</v>
      </c>
      <c r="H278" s="16">
        <v>0.24017005709499001</v>
      </c>
      <c r="I278" s="16">
        <v>0.11750024410038699</v>
      </c>
      <c r="J278" s="16">
        <v>0.71858097295585599</v>
      </c>
      <c r="K278" s="16">
        <v>0.78034575350802804</v>
      </c>
      <c r="L278" s="16">
        <v>0.89874119763341398</v>
      </c>
      <c r="M278" s="16">
        <v>0.90654205607476601</v>
      </c>
      <c r="N278" s="16">
        <v>0.91666666666666696</v>
      </c>
      <c r="O278" s="16">
        <v>1</v>
      </c>
      <c r="P278" s="17">
        <f t="shared" si="44"/>
        <v>0.18606019928991183</v>
      </c>
      <c r="Q278" s="17">
        <f t="shared" si="45"/>
        <v>0.79922264136576604</v>
      </c>
      <c r="R278" s="17">
        <f t="shared" si="46"/>
        <v>0.94106957424714432</v>
      </c>
      <c r="S278" s="17">
        <f>'02_지표정의'!$C$22*P278+'02_지표정의'!$C$23*Q278+'02_지표정의'!$C$24*R278</f>
        <v>0.7262365794590776</v>
      </c>
      <c r="T278" s="5">
        <f t="shared" si="47"/>
        <v>1</v>
      </c>
      <c r="U278" s="5" t="str">
        <f t="shared" si="48"/>
        <v>특허</v>
      </c>
      <c r="V278" s="18">
        <f t="shared" si="49"/>
        <v>898</v>
      </c>
      <c r="W278" s="5">
        <f t="shared" si="50"/>
        <v>604</v>
      </c>
      <c r="X278" s="5">
        <f t="shared" si="51"/>
        <v>573</v>
      </c>
      <c r="Y278" s="5">
        <f t="shared" si="52"/>
        <v>0</v>
      </c>
      <c r="Z278" s="19">
        <f t="shared" si="53"/>
        <v>31</v>
      </c>
      <c r="AA278" s="20">
        <f>ABS(S278-SUMPRODUCT(('05B_가정검정'!$A$5:$A$19=B278)*('05B_가정검정'!$B$5:$B$19=C278)*'05B_가정검정'!$E$5:$E$19))</f>
        <v>3.1954919228035505E-3</v>
      </c>
      <c r="AB278" s="20">
        <f t="shared" si="54"/>
        <v>8.5847863861966411E-3</v>
      </c>
    </row>
    <row r="279" spans="1:28">
      <c r="A279" s="15" t="s">
        <v>141</v>
      </c>
      <c r="B279" s="15" t="s">
        <v>121</v>
      </c>
      <c r="C279" s="15" t="s">
        <v>118</v>
      </c>
      <c r="D279" s="16">
        <v>0.25841184387617799</v>
      </c>
      <c r="E279" s="16">
        <v>0.249158249158249</v>
      </c>
      <c r="F279" s="16">
        <v>8.8135593220338995E-2</v>
      </c>
      <c r="G279" s="16">
        <v>0.188552188552189</v>
      </c>
      <c r="H279" s="16">
        <v>0.153322934755664</v>
      </c>
      <c r="I279" s="16">
        <v>0.17175630749270601</v>
      </c>
      <c r="J279" s="16">
        <v>0.764013168334438</v>
      </c>
      <c r="K279" s="16">
        <v>0.75927430167027599</v>
      </c>
      <c r="L279" s="16">
        <v>0.88050460981651302</v>
      </c>
      <c r="M279" s="16">
        <v>0.198364008179959</v>
      </c>
      <c r="N279" s="16">
        <v>0.20873786407767</v>
      </c>
      <c r="O279" s="16">
        <v>0.60526315789473695</v>
      </c>
      <c r="P279" s="17">
        <f t="shared" si="44"/>
        <v>0.18488951950922083</v>
      </c>
      <c r="Q279" s="17">
        <f t="shared" si="45"/>
        <v>0.80126402660707574</v>
      </c>
      <c r="R279" s="17">
        <f t="shared" si="46"/>
        <v>0.33745501005078865</v>
      </c>
      <c r="S279" s="17">
        <f>'02_지표정의'!$C$22*P279+'02_지표정의'!$C$23*Q279+'02_지표정의'!$C$24*R279</f>
        <v>0.51565596939280423</v>
      </c>
      <c r="T279" s="5">
        <f t="shared" si="47"/>
        <v>0</v>
      </c>
      <c r="U279" s="5" t="str">
        <f t="shared" si="48"/>
        <v>특허</v>
      </c>
      <c r="V279" s="18">
        <f t="shared" si="49"/>
        <v>83</v>
      </c>
      <c r="W279" s="5">
        <f t="shared" si="50"/>
        <v>74</v>
      </c>
      <c r="X279" s="5">
        <f t="shared" si="51"/>
        <v>0</v>
      </c>
      <c r="Y279" s="5">
        <f t="shared" si="52"/>
        <v>76</v>
      </c>
      <c r="Z279" s="19">
        <f t="shared" si="53"/>
        <v>4</v>
      </c>
      <c r="AA279" s="20">
        <f>ABS(S279-SUMPRODUCT(('05B_가정검정'!$A$5:$A$19=B279)*('05B_가정검정'!$B$5:$B$19=C279)*'05B_가정검정'!$E$5:$E$19))</f>
        <v>8.2923520774164206E-2</v>
      </c>
      <c r="AB279" s="20">
        <f t="shared" si="54"/>
        <v>-6.3743105134009048E-2</v>
      </c>
    </row>
    <row r="280" spans="1:28">
      <c r="A280" s="15" t="s">
        <v>141</v>
      </c>
      <c r="B280" s="15" t="s">
        <v>121</v>
      </c>
      <c r="C280" s="15" t="s">
        <v>119</v>
      </c>
      <c r="D280" s="16">
        <v>0.296296296296296</v>
      </c>
      <c r="E280" s="16">
        <v>0.42931937172774898</v>
      </c>
      <c r="F280" s="16">
        <v>0.148148148148148</v>
      </c>
      <c r="G280" s="16">
        <v>0.30366492146596902</v>
      </c>
      <c r="H280" s="16">
        <v>0.30138914538094902</v>
      </c>
      <c r="I280" s="16">
        <v>0.478375467581513</v>
      </c>
      <c r="J280" s="16">
        <v>0.787475115471159</v>
      </c>
      <c r="K280" s="16">
        <v>0.76259439562125697</v>
      </c>
      <c r="L280" s="16">
        <v>0.88284593398478795</v>
      </c>
      <c r="M280" s="16">
        <v>0.71323529411764697</v>
      </c>
      <c r="N280" s="16">
        <v>0.6875</v>
      </c>
      <c r="O280" s="16">
        <v>1</v>
      </c>
      <c r="P280" s="17">
        <f t="shared" si="44"/>
        <v>0.32619889176677069</v>
      </c>
      <c r="Q280" s="17">
        <f t="shared" si="45"/>
        <v>0.81097181502573468</v>
      </c>
      <c r="R280" s="17">
        <f t="shared" si="46"/>
        <v>0.80024509803921562</v>
      </c>
      <c r="S280" s="17">
        <f>'02_지표정의'!$C$22*P280+'02_지표정의'!$C$23*Q280+'02_지표정의'!$C$24*R280</f>
        <v>0.71026287942866018</v>
      </c>
      <c r="T280" s="5">
        <f t="shared" si="47"/>
        <v>0</v>
      </c>
      <c r="U280" s="5" t="str">
        <f t="shared" si="48"/>
        <v>특허</v>
      </c>
      <c r="V280" s="18">
        <f t="shared" si="49"/>
        <v>845</v>
      </c>
      <c r="W280" s="5">
        <f t="shared" si="50"/>
        <v>0</v>
      </c>
      <c r="X280" s="5">
        <f t="shared" si="51"/>
        <v>520</v>
      </c>
      <c r="Y280" s="5">
        <f t="shared" si="52"/>
        <v>607</v>
      </c>
      <c r="Z280" s="19">
        <f t="shared" si="53"/>
        <v>44</v>
      </c>
      <c r="AA280" s="20">
        <f>ABS(S280-SUMPRODUCT(('05B_가정검정'!$A$5:$A$19=B280)*('05B_가정검정'!$B$5:$B$19=C280)*'05B_가정검정'!$E$5:$E$19))</f>
        <v>1.7943036632806497E-2</v>
      </c>
      <c r="AB280" s="20">
        <f t="shared" si="54"/>
        <v>2.2025904009049135E-2</v>
      </c>
    </row>
    <row r="281" spans="1:28">
      <c r="A281" s="15" t="s">
        <v>141</v>
      </c>
      <c r="B281" s="15" t="s">
        <v>122</v>
      </c>
      <c r="C281" s="15" t="s">
        <v>117</v>
      </c>
      <c r="D281" s="16">
        <v>0.251046025104603</v>
      </c>
      <c r="E281" s="16">
        <v>0.269794721407625</v>
      </c>
      <c r="F281" s="16">
        <v>7.6696165191740398E-2</v>
      </c>
      <c r="G281" s="16">
        <v>0.18768328445747801</v>
      </c>
      <c r="H281" s="16">
        <v>0.330683481295104</v>
      </c>
      <c r="I281" s="16">
        <v>0.13561084092180201</v>
      </c>
      <c r="J281" s="16">
        <v>0.65687622783170496</v>
      </c>
      <c r="K281" s="16">
        <v>0.60506125933187005</v>
      </c>
      <c r="L281" s="16">
        <v>0.77513855245759</v>
      </c>
      <c r="M281" s="16">
        <v>0.373493975903614</v>
      </c>
      <c r="N281" s="16">
        <v>0.36029411764705899</v>
      </c>
      <c r="O281" s="16">
        <v>1</v>
      </c>
      <c r="P281" s="17">
        <f t="shared" si="44"/>
        <v>0.20858575306305874</v>
      </c>
      <c r="Q281" s="17">
        <f t="shared" si="45"/>
        <v>0.67902534654038826</v>
      </c>
      <c r="R281" s="17">
        <f t="shared" si="46"/>
        <v>0.57792936451689103</v>
      </c>
      <c r="S281" s="17">
        <f>'02_지표정의'!$C$22*P281+'02_지표정의'!$C$23*Q281+'02_지표정의'!$C$24*R281</f>
        <v>0.54955383413669834</v>
      </c>
      <c r="T281" s="5">
        <f t="shared" si="47"/>
        <v>0</v>
      </c>
      <c r="U281" s="5" t="str">
        <f t="shared" si="48"/>
        <v>특허</v>
      </c>
      <c r="V281" s="18">
        <f t="shared" si="49"/>
        <v>204</v>
      </c>
      <c r="W281" s="5">
        <f t="shared" si="50"/>
        <v>168</v>
      </c>
      <c r="X281" s="5">
        <f t="shared" si="51"/>
        <v>63</v>
      </c>
      <c r="Y281" s="5">
        <f t="shared" si="52"/>
        <v>0</v>
      </c>
      <c r="Z281" s="19">
        <f t="shared" si="53"/>
        <v>4</v>
      </c>
      <c r="AA281" s="20">
        <f>ABS(S281-SUMPRODUCT(('05B_가정검정'!$A$5:$A$19=B281)*('05B_가정검정'!$B$5:$B$19=C281)*'05B_가정검정'!$E$5:$E$19))</f>
        <v>8.979912057198014E-2</v>
      </c>
      <c r="AB281" s="20">
        <f t="shared" si="54"/>
        <v>-7.3327788052947818E-2</v>
      </c>
    </row>
    <row r="282" spans="1:28">
      <c r="A282" s="15" t="s">
        <v>141</v>
      </c>
      <c r="B282" s="15" t="s">
        <v>122</v>
      </c>
      <c r="C282" s="15" t="s">
        <v>118</v>
      </c>
      <c r="D282" s="16">
        <v>0.32949308755760398</v>
      </c>
      <c r="E282" s="16">
        <v>0.34031413612565498</v>
      </c>
      <c r="F282" s="16">
        <v>0.121052631578947</v>
      </c>
      <c r="G282" s="16">
        <v>0.24083769633507901</v>
      </c>
      <c r="H282" s="16">
        <v>0.31699101879018998</v>
      </c>
      <c r="I282" s="16">
        <v>0.21924294647916301</v>
      </c>
      <c r="J282" s="16">
        <v>0.71798097960121898</v>
      </c>
      <c r="K282" s="16">
        <v>0.62392936444172398</v>
      </c>
      <c r="L282" s="16">
        <v>0.81382462518663201</v>
      </c>
      <c r="M282" s="16">
        <v>0.44376278118609402</v>
      </c>
      <c r="N282" s="16">
        <v>0.28640776699029102</v>
      </c>
      <c r="O282" s="16">
        <v>0.625</v>
      </c>
      <c r="P282" s="17">
        <f t="shared" si="44"/>
        <v>0.261321919477773</v>
      </c>
      <c r="Q282" s="17">
        <f t="shared" si="45"/>
        <v>0.71857832307652503</v>
      </c>
      <c r="R282" s="17">
        <f t="shared" si="46"/>
        <v>0.45172351605879496</v>
      </c>
      <c r="S282" s="17">
        <f>'02_지표정의'!$C$22*P282+'02_지표정의'!$C$23*Q282+'02_지표정의'!$C$24*R282</f>
        <v>0.53372785990056903</v>
      </c>
      <c r="T282" s="5">
        <f t="shared" si="47"/>
        <v>1</v>
      </c>
      <c r="U282" s="5" t="str">
        <f t="shared" si="48"/>
        <v>특허</v>
      </c>
      <c r="V282" s="18">
        <f t="shared" si="49"/>
        <v>145</v>
      </c>
      <c r="W282" s="5">
        <f t="shared" si="50"/>
        <v>130</v>
      </c>
      <c r="X282" s="5">
        <f t="shared" si="51"/>
        <v>0</v>
      </c>
      <c r="Y282" s="5">
        <f t="shared" si="52"/>
        <v>131</v>
      </c>
      <c r="Z282" s="19">
        <f t="shared" si="53"/>
        <v>17</v>
      </c>
      <c r="AA282" s="20">
        <f>ABS(S282-SUMPRODUCT(('05B_가정검정'!$A$5:$A$19=B282)*('05B_가정검정'!$B$5:$B$19=C282)*'05B_가정검정'!$E$5:$E$19))</f>
        <v>5.3194076096589216E-2</v>
      </c>
      <c r="AB282" s="20">
        <f t="shared" si="54"/>
        <v>-4.7495416317114736E-2</v>
      </c>
    </row>
    <row r="283" spans="1:28">
      <c r="A283" s="15" t="s">
        <v>141</v>
      </c>
      <c r="B283" s="15" t="s">
        <v>122</v>
      </c>
      <c r="C283" s="15" t="s">
        <v>119</v>
      </c>
      <c r="D283" s="16">
        <v>0.287787182587666</v>
      </c>
      <c r="E283" s="16">
        <v>0.39130434782608697</v>
      </c>
      <c r="F283" s="16">
        <v>0.116788321167883</v>
      </c>
      <c r="G283" s="16">
        <v>0.26811594202898598</v>
      </c>
      <c r="H283" s="16">
        <v>0.325525700779424</v>
      </c>
      <c r="I283" s="16">
        <v>0.29276095810326103</v>
      </c>
      <c r="J283" s="16">
        <v>0.73008325987684097</v>
      </c>
      <c r="K283" s="16">
        <v>0.641950579742811</v>
      </c>
      <c r="L283" s="16">
        <v>0.85010749390706597</v>
      </c>
      <c r="M283" s="16">
        <v>0.48995983935742998</v>
      </c>
      <c r="N283" s="16">
        <v>0.50735294117647101</v>
      </c>
      <c r="O283" s="16">
        <v>1</v>
      </c>
      <c r="P283" s="17">
        <f t="shared" si="44"/>
        <v>0.28038040874888454</v>
      </c>
      <c r="Q283" s="17">
        <f t="shared" si="45"/>
        <v>0.74071377784223935</v>
      </c>
      <c r="R283" s="17">
        <f t="shared" si="46"/>
        <v>0.66577092684463368</v>
      </c>
      <c r="S283" s="17">
        <f>'02_지표정의'!$C$22*P283+'02_지표정의'!$C$23*Q283+'02_지표정의'!$C$24*R283</f>
        <v>0.62241710617440638</v>
      </c>
      <c r="T283" s="5">
        <f t="shared" si="47"/>
        <v>0</v>
      </c>
      <c r="U283" s="5" t="str">
        <f t="shared" si="48"/>
        <v>특허</v>
      </c>
      <c r="V283" s="18">
        <f t="shared" si="49"/>
        <v>501</v>
      </c>
      <c r="W283" s="5">
        <f t="shared" si="50"/>
        <v>0</v>
      </c>
      <c r="X283" s="5">
        <f t="shared" si="51"/>
        <v>220</v>
      </c>
      <c r="Y283" s="5">
        <f t="shared" si="52"/>
        <v>379</v>
      </c>
      <c r="Z283" s="19">
        <f t="shared" si="53"/>
        <v>22</v>
      </c>
      <c r="AA283" s="20">
        <f>ABS(S283-SUMPRODUCT(('05B_가정검정'!$A$5:$A$19=B283)*('05B_가정검정'!$B$5:$B$19=C283)*'05B_가정검정'!$E$5:$E$19))</f>
        <v>1.3189081727045027E-2</v>
      </c>
      <c r="AB283" s="20">
        <f t="shared" si="54"/>
        <v>-8.9717601404796232E-3</v>
      </c>
    </row>
    <row r="284" spans="1:28">
      <c r="A284" s="15" t="s">
        <v>141</v>
      </c>
      <c r="B284" s="15" t="s">
        <v>123</v>
      </c>
      <c r="C284" s="15" t="s">
        <v>117</v>
      </c>
      <c r="D284" s="16">
        <v>0.19742489270386299</v>
      </c>
      <c r="E284" s="16">
        <v>0.25766871165644201</v>
      </c>
      <c r="F284" s="16">
        <v>7.4074074074074098E-2</v>
      </c>
      <c r="G284" s="16">
        <v>0.17791411042944799</v>
      </c>
      <c r="H284" s="16">
        <v>0.31678912194782999</v>
      </c>
      <c r="I284" s="16">
        <v>9.3635736622119298E-2</v>
      </c>
      <c r="J284" s="16">
        <v>0.67365553425220304</v>
      </c>
      <c r="K284" s="16">
        <v>0.65720787726412999</v>
      </c>
      <c r="L284" s="16">
        <v>0.81712925434918904</v>
      </c>
      <c r="M284" s="16">
        <v>0.90654205607476601</v>
      </c>
      <c r="N284" s="16">
        <v>0.91666666666666696</v>
      </c>
      <c r="O284" s="16">
        <v>1</v>
      </c>
      <c r="P284" s="17">
        <f t="shared" si="44"/>
        <v>0.18625110790562938</v>
      </c>
      <c r="Q284" s="17">
        <f t="shared" si="45"/>
        <v>0.71599755528850739</v>
      </c>
      <c r="R284" s="17">
        <f t="shared" si="46"/>
        <v>0.94106957424714432</v>
      </c>
      <c r="S284" s="17">
        <f>'02_지표정의'!$C$22*P284+'02_지표정의'!$C$23*Q284+'02_지표정의'!$C$24*R284</f>
        <v>0.68882347244745468</v>
      </c>
      <c r="T284" s="5">
        <f t="shared" si="47"/>
        <v>0</v>
      </c>
      <c r="U284" s="5" t="str">
        <f t="shared" si="48"/>
        <v>특허</v>
      </c>
      <c r="V284" s="18">
        <f t="shared" si="49"/>
        <v>782</v>
      </c>
      <c r="W284" s="5">
        <f t="shared" si="50"/>
        <v>542</v>
      </c>
      <c r="X284" s="5">
        <f t="shared" si="51"/>
        <v>458</v>
      </c>
      <c r="Y284" s="5">
        <f t="shared" si="52"/>
        <v>0</v>
      </c>
      <c r="Z284" s="19">
        <f t="shared" si="53"/>
        <v>15</v>
      </c>
      <c r="AA284" s="20">
        <f>ABS(S284-SUMPRODUCT(('05B_가정검정'!$A$5:$A$19=B284)*('05B_가정검정'!$B$5:$B$19=C284)*'05B_가정검정'!$E$5:$E$19))</f>
        <v>2.6099410328769057E-2</v>
      </c>
      <c r="AB284" s="20">
        <f t="shared" si="54"/>
        <v>-1.9161979363788495E-2</v>
      </c>
    </row>
    <row r="285" spans="1:28">
      <c r="A285" s="15" t="s">
        <v>141</v>
      </c>
      <c r="B285" s="15" t="s">
        <v>123</v>
      </c>
      <c r="C285" s="15" t="s">
        <v>118</v>
      </c>
      <c r="D285" s="16">
        <v>0.24881516587677699</v>
      </c>
      <c r="E285" s="16">
        <v>0.239782016348774</v>
      </c>
      <c r="F285" s="16">
        <v>7.6712328767123306E-2</v>
      </c>
      <c r="G285" s="16">
        <v>0.17438692098092601</v>
      </c>
      <c r="H285" s="16">
        <v>0.21069269165250101</v>
      </c>
      <c r="I285" s="16">
        <v>0.17228652721001</v>
      </c>
      <c r="J285" s="16">
        <v>0.70967264999930801</v>
      </c>
      <c r="K285" s="16">
        <v>0.66399073059943203</v>
      </c>
      <c r="L285" s="16">
        <v>0.82636504266867705</v>
      </c>
      <c r="M285" s="16">
        <v>0.198364008179959</v>
      </c>
      <c r="N285" s="16">
        <v>0.20873786407767</v>
      </c>
      <c r="O285" s="16">
        <v>0.60526315789473695</v>
      </c>
      <c r="P285" s="17">
        <f t="shared" si="44"/>
        <v>0.18711260847268521</v>
      </c>
      <c r="Q285" s="17">
        <f t="shared" si="45"/>
        <v>0.73334280775580574</v>
      </c>
      <c r="R285" s="17">
        <f t="shared" si="46"/>
        <v>0.33745501005078865</v>
      </c>
      <c r="S285" s="17">
        <f>'02_지표정의'!$C$22*P285+'02_지표정의'!$C$23*Q285+'02_지표정의'!$C$24*R285</f>
        <v>0.48553603870242562</v>
      </c>
      <c r="T285" s="5">
        <f t="shared" si="47"/>
        <v>0</v>
      </c>
      <c r="U285" s="5" t="str">
        <f t="shared" si="48"/>
        <v>특허</v>
      </c>
      <c r="V285" s="18">
        <f t="shared" si="49"/>
        <v>20</v>
      </c>
      <c r="W285" s="5">
        <f t="shared" si="50"/>
        <v>14</v>
      </c>
      <c r="X285" s="5">
        <f t="shared" si="51"/>
        <v>0</v>
      </c>
      <c r="Y285" s="5">
        <f t="shared" si="52"/>
        <v>18</v>
      </c>
      <c r="Z285" s="19">
        <f t="shared" si="53"/>
        <v>2</v>
      </c>
      <c r="AA285" s="20">
        <f>ABS(S285-SUMPRODUCT(('05B_가정검정'!$A$5:$A$19=B285)*('05B_가정검정'!$B$5:$B$19=C285)*'05B_가정검정'!$E$5:$E$19))</f>
        <v>8.9762788176544095E-2</v>
      </c>
      <c r="AB285" s="20">
        <f t="shared" si="54"/>
        <v>-7.4335569222065467E-2</v>
      </c>
    </row>
    <row r="286" spans="1:28">
      <c r="A286" s="15" t="s">
        <v>141</v>
      </c>
      <c r="B286" s="15" t="s">
        <v>123</v>
      </c>
      <c r="C286" s="15" t="s">
        <v>119</v>
      </c>
      <c r="D286" s="16">
        <v>0.28642590286425901</v>
      </c>
      <c r="E286" s="16">
        <v>0.37547892720306503</v>
      </c>
      <c r="F286" s="16">
        <v>9.2664092664092701E-2</v>
      </c>
      <c r="G286" s="16">
        <v>0.283524904214559</v>
      </c>
      <c r="H286" s="16">
        <v>0.39632382416610801</v>
      </c>
      <c r="I286" s="16">
        <v>0.43335073583183498</v>
      </c>
      <c r="J286" s="16">
        <v>0.71374651549495705</v>
      </c>
      <c r="K286" s="16">
        <v>0.71032255125453803</v>
      </c>
      <c r="L286" s="16">
        <v>0.88900537972206695</v>
      </c>
      <c r="M286" s="16">
        <v>0.71323529411764697</v>
      </c>
      <c r="N286" s="16">
        <v>0.6875</v>
      </c>
      <c r="O286" s="16">
        <v>1</v>
      </c>
      <c r="P286" s="17">
        <f t="shared" si="44"/>
        <v>0.31129473115731976</v>
      </c>
      <c r="Q286" s="17">
        <f t="shared" si="45"/>
        <v>0.77102481549052071</v>
      </c>
      <c r="R286" s="17">
        <f t="shared" si="46"/>
        <v>0.80024509803921562</v>
      </c>
      <c r="S286" s="17">
        <f>'02_지표정의'!$C$22*P286+'02_지표정의'!$C$23*Q286+'02_지표정의'!$C$24*R286</f>
        <v>0.68930589751592364</v>
      </c>
      <c r="T286" s="5">
        <f t="shared" si="47"/>
        <v>1</v>
      </c>
      <c r="U286" s="5" t="str">
        <f t="shared" si="48"/>
        <v>특허</v>
      </c>
      <c r="V286" s="18">
        <f t="shared" si="49"/>
        <v>784</v>
      </c>
      <c r="W286" s="5">
        <f t="shared" si="50"/>
        <v>0</v>
      </c>
      <c r="X286" s="5">
        <f t="shared" si="51"/>
        <v>460</v>
      </c>
      <c r="Y286" s="5">
        <f t="shared" si="52"/>
        <v>566</v>
      </c>
      <c r="Z286" s="19">
        <f t="shared" si="53"/>
        <v>37</v>
      </c>
      <c r="AA286" s="20">
        <f>ABS(S286-SUMPRODUCT(('05B_가정검정'!$A$5:$A$19=B286)*('05B_가정검정'!$B$5:$B$19=C286)*'05B_가정검정'!$E$5:$E$19))</f>
        <v>3.6761001916962854E-3</v>
      </c>
      <c r="AB286" s="20">
        <f t="shared" si="54"/>
        <v>6.8871644709218582E-3</v>
      </c>
    </row>
    <row r="287" spans="1:28">
      <c r="A287" s="15" t="s">
        <v>142</v>
      </c>
      <c r="B287" s="15" t="s">
        <v>116</v>
      </c>
      <c r="C287" s="15" t="s">
        <v>117</v>
      </c>
      <c r="D287" s="16">
        <v>0.20804438280166401</v>
      </c>
      <c r="E287" s="16">
        <v>0.35416666666666702</v>
      </c>
      <c r="F287" s="16">
        <v>0.105263157894737</v>
      </c>
      <c r="G287" s="16">
        <v>0.27083333333333298</v>
      </c>
      <c r="H287" s="16">
        <v>0.229827035135169</v>
      </c>
      <c r="I287" s="16">
        <v>0.16571966035031299</v>
      </c>
      <c r="J287" s="16">
        <v>0.70941146837413804</v>
      </c>
      <c r="K287" s="16">
        <v>0.58648516838801301</v>
      </c>
      <c r="L287" s="16">
        <v>0.79325020594109996</v>
      </c>
      <c r="M287" s="16">
        <v>0.56291390728476798</v>
      </c>
      <c r="N287" s="16">
        <v>0.23170731707317099</v>
      </c>
      <c r="O287" s="16">
        <v>1</v>
      </c>
      <c r="P287" s="17">
        <f t="shared" si="44"/>
        <v>0.22230903936364718</v>
      </c>
      <c r="Q287" s="17">
        <f t="shared" si="45"/>
        <v>0.69638228090108356</v>
      </c>
      <c r="R287" s="17">
        <f t="shared" si="46"/>
        <v>0.59820707478597968</v>
      </c>
      <c r="S287" s="17">
        <f>'02_지표정의'!$C$22*P287+'02_지표정의'!$C$23*Q287+'02_지표정의'!$C$24*R287</f>
        <v>0.56720631045330994</v>
      </c>
      <c r="T287" s="5">
        <f t="shared" si="47"/>
        <v>0</v>
      </c>
      <c r="U287" s="5" t="str">
        <f t="shared" si="48"/>
        <v>특허</v>
      </c>
      <c r="V287" s="18">
        <f t="shared" si="49"/>
        <v>273</v>
      </c>
      <c r="W287" s="5">
        <f t="shared" si="50"/>
        <v>221</v>
      </c>
      <c r="X287" s="5">
        <f t="shared" si="51"/>
        <v>107</v>
      </c>
      <c r="Y287" s="5">
        <f t="shared" si="52"/>
        <v>0</v>
      </c>
      <c r="Z287" s="19">
        <f t="shared" si="53"/>
        <v>46</v>
      </c>
      <c r="AA287" s="20">
        <f>ABS(S287-SUMPRODUCT(('05B_가정검정'!$A$5:$A$19=B287)*('05B_가정검정'!$B$5:$B$19=C287)*'05B_가정검정'!$E$5:$E$19))</f>
        <v>9.8026054683426622E-3</v>
      </c>
      <c r="AB287" s="20">
        <f t="shared" si="54"/>
        <v>1.4655145040686546E-2</v>
      </c>
    </row>
    <row r="288" spans="1:28">
      <c r="A288" s="15" t="s">
        <v>142</v>
      </c>
      <c r="B288" s="15" t="s">
        <v>116</v>
      </c>
      <c r="C288" s="15" t="s">
        <v>118</v>
      </c>
      <c r="D288" s="16">
        <v>0.26554621848739501</v>
      </c>
      <c r="E288" s="16">
        <v>0.30278884462151401</v>
      </c>
      <c r="F288" s="16">
        <v>0.11244979919678701</v>
      </c>
      <c r="G288" s="16">
        <v>0.25498007968127501</v>
      </c>
      <c r="H288" s="16">
        <v>0.15546486183368699</v>
      </c>
      <c r="I288" s="16">
        <v>0.20750380179995501</v>
      </c>
      <c r="J288" s="16">
        <v>0.70543815984653202</v>
      </c>
      <c r="K288" s="16">
        <v>0.70139124662982</v>
      </c>
      <c r="L288" s="16">
        <v>0.83084776635839097</v>
      </c>
      <c r="M288" s="16">
        <v>0.42978723404255298</v>
      </c>
      <c r="N288" s="16">
        <v>2.6086956521739101E-2</v>
      </c>
      <c r="O288" s="16">
        <v>1</v>
      </c>
      <c r="P288" s="17">
        <f t="shared" si="44"/>
        <v>0.21645560093676885</v>
      </c>
      <c r="Q288" s="17">
        <f t="shared" si="45"/>
        <v>0.74589239094491433</v>
      </c>
      <c r="R288" s="17">
        <f t="shared" si="46"/>
        <v>0.48529139685476402</v>
      </c>
      <c r="S288" s="17">
        <f>'02_지표정의'!$C$22*P288+'02_지표정의'!$C$23*Q288+'02_지표정의'!$C$24*R288</f>
        <v>0.54879468501173256</v>
      </c>
      <c r="T288" s="5">
        <f t="shared" si="47"/>
        <v>0</v>
      </c>
      <c r="U288" s="5" t="str">
        <f t="shared" si="48"/>
        <v>특허</v>
      </c>
      <c r="V288" s="18">
        <f t="shared" si="49"/>
        <v>201</v>
      </c>
      <c r="W288" s="5">
        <f t="shared" si="50"/>
        <v>165</v>
      </c>
      <c r="X288" s="5">
        <f t="shared" si="51"/>
        <v>0</v>
      </c>
      <c r="Y288" s="5">
        <f t="shared" si="52"/>
        <v>175</v>
      </c>
      <c r="Z288" s="19">
        <f t="shared" si="53"/>
        <v>44</v>
      </c>
      <c r="AA288" s="20">
        <f>ABS(S288-SUMPRODUCT(('05B_가정검정'!$A$5:$A$19=B288)*('05B_가정검정'!$B$5:$B$19=C288)*'05B_가정검정'!$E$5:$E$19))</f>
        <v>1.7502263310010924E-2</v>
      </c>
      <c r="AB288" s="20">
        <f t="shared" si="54"/>
        <v>2.1245652633146261E-2</v>
      </c>
    </row>
    <row r="289" spans="1:28">
      <c r="A289" s="15" t="s">
        <v>142</v>
      </c>
      <c r="B289" s="15" t="s">
        <v>116</v>
      </c>
      <c r="C289" s="15" t="s">
        <v>119</v>
      </c>
      <c r="D289" s="16">
        <v>0.23728813559322001</v>
      </c>
      <c r="E289" s="16">
        <v>0.355769230769231</v>
      </c>
      <c r="F289" s="16">
        <v>0.16504854368932001</v>
      </c>
      <c r="G289" s="16">
        <v>0.29807692307692302</v>
      </c>
      <c r="H289" s="16">
        <v>0.17156484251170201</v>
      </c>
      <c r="I289" s="16">
        <v>0.14786781983178801</v>
      </c>
      <c r="J289" s="16">
        <v>0.67468926846951804</v>
      </c>
      <c r="K289" s="16">
        <v>0.60484805838582001</v>
      </c>
      <c r="L289" s="16">
        <v>0.80544561167734696</v>
      </c>
      <c r="M289" s="16">
        <v>0.447236180904523</v>
      </c>
      <c r="N289" s="16">
        <v>0</v>
      </c>
      <c r="O289" s="16">
        <v>1</v>
      </c>
      <c r="P289" s="17">
        <f t="shared" si="44"/>
        <v>0.22926924924536399</v>
      </c>
      <c r="Q289" s="17">
        <f t="shared" si="45"/>
        <v>0.6949943128442283</v>
      </c>
      <c r="R289" s="17">
        <f t="shared" si="46"/>
        <v>0.48241206030150768</v>
      </c>
      <c r="S289" s="17">
        <f>'02_지표정의'!$C$22*P289+'02_지표정의'!$C$23*Q289+'02_지표정의'!$C$24*R289</f>
        <v>0.52744551173450327</v>
      </c>
      <c r="T289" s="5">
        <f t="shared" si="47"/>
        <v>0</v>
      </c>
      <c r="U289" s="5" t="str">
        <f t="shared" si="48"/>
        <v>특허</v>
      </c>
      <c r="V289" s="18">
        <f t="shared" si="49"/>
        <v>122</v>
      </c>
      <c r="W289" s="5">
        <f t="shared" si="50"/>
        <v>0</v>
      </c>
      <c r="X289" s="5">
        <f t="shared" si="51"/>
        <v>25</v>
      </c>
      <c r="Y289" s="5">
        <f t="shared" si="52"/>
        <v>110</v>
      </c>
      <c r="Z289" s="19">
        <f t="shared" si="53"/>
        <v>8</v>
      </c>
      <c r="AA289" s="20">
        <f>ABS(S289-SUMPRODUCT(('05B_가정검정'!$A$5:$A$19=B289)*('05B_가정검정'!$B$5:$B$19=C289)*'05B_가정검정'!$E$5:$E$19))</f>
        <v>2.5578005008279336E-2</v>
      </c>
      <c r="AB289" s="20">
        <f t="shared" si="54"/>
        <v>-2.9006971941676785E-2</v>
      </c>
    </row>
    <row r="290" spans="1:28">
      <c r="A290" s="15" t="s">
        <v>142</v>
      </c>
      <c r="B290" s="15" t="s">
        <v>120</v>
      </c>
      <c r="C290" s="15" t="s">
        <v>117</v>
      </c>
      <c r="D290" s="16">
        <v>0.21586715867158701</v>
      </c>
      <c r="E290" s="16">
        <v>0.34868421052631599</v>
      </c>
      <c r="F290" s="16">
        <v>0.119205298013245</v>
      </c>
      <c r="G290" s="16">
        <v>0.22368421052631601</v>
      </c>
      <c r="H290" s="16">
        <v>0.28685122590786599</v>
      </c>
      <c r="I290" s="16">
        <v>0.17077975935471601</v>
      </c>
      <c r="J290" s="16">
        <v>0.71500938456470398</v>
      </c>
      <c r="K290" s="16">
        <v>0.67204404428749898</v>
      </c>
      <c r="L290" s="16">
        <v>0.83271755898306998</v>
      </c>
      <c r="M290" s="16">
        <v>0.66428571428571404</v>
      </c>
      <c r="N290" s="16">
        <v>0.59756097560975596</v>
      </c>
      <c r="O290" s="16">
        <v>1</v>
      </c>
      <c r="P290" s="17">
        <f t="shared" si="44"/>
        <v>0.22751197716667435</v>
      </c>
      <c r="Q290" s="17">
        <f t="shared" si="45"/>
        <v>0.73992366261175757</v>
      </c>
      <c r="R290" s="17">
        <f t="shared" si="46"/>
        <v>0.7539488966318233</v>
      </c>
      <c r="S290" s="17">
        <f>'02_지표정의'!$C$22*P290+'02_지표정의'!$C$23*Q290+'02_지표정의'!$C$24*R290</f>
        <v>0.64235015742976387</v>
      </c>
      <c r="T290" s="5">
        <f t="shared" si="47"/>
        <v>0</v>
      </c>
      <c r="U290" s="5" t="str">
        <f t="shared" si="48"/>
        <v>특허</v>
      </c>
      <c r="V290" s="18">
        <f t="shared" si="49"/>
        <v>585</v>
      </c>
      <c r="W290" s="5">
        <f t="shared" si="50"/>
        <v>454</v>
      </c>
      <c r="X290" s="5">
        <f t="shared" si="51"/>
        <v>278</v>
      </c>
      <c r="Y290" s="5">
        <f t="shared" si="52"/>
        <v>0</v>
      </c>
      <c r="Z290" s="19">
        <f t="shared" si="53"/>
        <v>47</v>
      </c>
      <c r="AA290" s="20">
        <f>ABS(S290-SUMPRODUCT(('05B_가정검정'!$A$5:$A$19=B290)*('05B_가정검정'!$B$5:$B$19=C290)*'05B_가정검정'!$E$5:$E$19))</f>
        <v>1.4301197372642793E-2</v>
      </c>
      <c r="AB290" s="20">
        <f t="shared" si="54"/>
        <v>1.1047454005006729E-2</v>
      </c>
    </row>
    <row r="291" spans="1:28">
      <c r="A291" s="15" t="s">
        <v>142</v>
      </c>
      <c r="B291" s="15" t="s">
        <v>120</v>
      </c>
      <c r="C291" s="15" t="s">
        <v>118</v>
      </c>
      <c r="D291" s="16">
        <v>0.26722338204592899</v>
      </c>
      <c r="E291" s="16">
        <v>0.34159779614325098</v>
      </c>
      <c r="F291" s="16">
        <v>0.110803324099723</v>
      </c>
      <c r="G291" s="16">
        <v>0.214876033057851</v>
      </c>
      <c r="H291" s="16">
        <v>0.27284210491845001</v>
      </c>
      <c r="I291" s="16">
        <v>0.199865319180001</v>
      </c>
      <c r="J291" s="16">
        <v>0.71404002712491499</v>
      </c>
      <c r="K291" s="16">
        <v>0.67650462493121699</v>
      </c>
      <c r="L291" s="16">
        <v>0.84044652036325695</v>
      </c>
      <c r="M291" s="16">
        <v>0.55744680851063799</v>
      </c>
      <c r="N291" s="16">
        <v>0.58260869565217399</v>
      </c>
      <c r="O291" s="16">
        <v>1</v>
      </c>
      <c r="P291" s="17">
        <f t="shared" si="44"/>
        <v>0.23453465990753417</v>
      </c>
      <c r="Q291" s="17">
        <f t="shared" si="45"/>
        <v>0.74366372413979631</v>
      </c>
      <c r="R291" s="17">
        <f t="shared" si="46"/>
        <v>0.71335183472093744</v>
      </c>
      <c r="S291" s="17">
        <f>'02_지표정의'!$C$22*P291+'02_지표정의'!$C$23*Q291+'02_지표정의'!$C$24*R291</f>
        <v>0.63122874999674328</v>
      </c>
      <c r="T291" s="5">
        <f t="shared" si="47"/>
        <v>0</v>
      </c>
      <c r="U291" s="5" t="str">
        <f t="shared" si="48"/>
        <v>특허</v>
      </c>
      <c r="V291" s="18">
        <f t="shared" si="49"/>
        <v>533</v>
      </c>
      <c r="W291" s="5">
        <f t="shared" si="50"/>
        <v>427</v>
      </c>
      <c r="X291" s="5">
        <f t="shared" si="51"/>
        <v>0</v>
      </c>
      <c r="Y291" s="5">
        <f t="shared" si="52"/>
        <v>402</v>
      </c>
      <c r="Z291" s="19">
        <f t="shared" si="53"/>
        <v>59</v>
      </c>
      <c r="AA291" s="20">
        <f>ABS(S291-SUMPRODUCT(('05B_가정검정'!$A$5:$A$19=B291)*('05B_가정검정'!$B$5:$B$19=C291)*'05B_가정검정'!$E$5:$E$19))</f>
        <v>4.0399901415115291E-2</v>
      </c>
      <c r="AB291" s="20">
        <f t="shared" si="54"/>
        <v>5.6337974034632476E-2</v>
      </c>
    </row>
    <row r="292" spans="1:28">
      <c r="A292" s="15" t="s">
        <v>142</v>
      </c>
      <c r="B292" s="15" t="s">
        <v>120</v>
      </c>
      <c r="C292" s="15" t="s">
        <v>119</v>
      </c>
      <c r="D292" s="16">
        <v>0.27079646017699099</v>
      </c>
      <c r="E292" s="16">
        <v>0.44374999999999998</v>
      </c>
      <c r="F292" s="16">
        <v>0.169811320754717</v>
      </c>
      <c r="G292" s="16">
        <v>0.28125</v>
      </c>
      <c r="H292" s="16">
        <v>0.33611444606101099</v>
      </c>
      <c r="I292" s="16">
        <v>0.206978575612037</v>
      </c>
      <c r="J292" s="16">
        <v>0.732346435039812</v>
      </c>
      <c r="K292" s="16">
        <v>0.65352525295484598</v>
      </c>
      <c r="L292" s="16">
        <v>0.81350794283988903</v>
      </c>
      <c r="M292" s="16">
        <v>0.61306532663316604</v>
      </c>
      <c r="N292" s="16">
        <v>0.62616822429906505</v>
      </c>
      <c r="O292" s="16">
        <v>1</v>
      </c>
      <c r="P292" s="17">
        <f t="shared" si="44"/>
        <v>0.28478346710079266</v>
      </c>
      <c r="Q292" s="17">
        <f t="shared" si="45"/>
        <v>0.73312654361151564</v>
      </c>
      <c r="R292" s="17">
        <f t="shared" si="46"/>
        <v>0.74641118364407699</v>
      </c>
      <c r="S292" s="17">
        <f>'02_지표정의'!$C$22*P292+'02_지표정의'!$C$23*Q292+'02_지표정의'!$C$24*R292</f>
        <v>0.64810755232076755</v>
      </c>
      <c r="T292" s="5">
        <f t="shared" si="47"/>
        <v>0</v>
      </c>
      <c r="U292" s="5" t="str">
        <f t="shared" si="48"/>
        <v>특허</v>
      </c>
      <c r="V292" s="18">
        <f t="shared" si="49"/>
        <v>610</v>
      </c>
      <c r="W292" s="5">
        <f t="shared" si="50"/>
        <v>0</v>
      </c>
      <c r="X292" s="5">
        <f t="shared" si="51"/>
        <v>297</v>
      </c>
      <c r="Y292" s="5">
        <f t="shared" si="52"/>
        <v>457</v>
      </c>
      <c r="Z292" s="19">
        <f t="shared" si="53"/>
        <v>20</v>
      </c>
      <c r="AA292" s="20">
        <f>ABS(S292-SUMPRODUCT(('05B_가정검정'!$A$5:$A$19=B292)*('05B_가정검정'!$B$5:$B$19=C292)*'05B_가정검정'!$E$5:$E$19))</f>
        <v>1.5569764160618726E-2</v>
      </c>
      <c r="AB292" s="20">
        <f t="shared" si="54"/>
        <v>-1.0315455190048062E-2</v>
      </c>
    </row>
    <row r="293" spans="1:28">
      <c r="A293" s="15" t="s">
        <v>142</v>
      </c>
      <c r="B293" s="15" t="s">
        <v>121</v>
      </c>
      <c r="C293" s="15" t="s">
        <v>117</v>
      </c>
      <c r="D293" s="16">
        <v>0.25728155339805803</v>
      </c>
      <c r="E293" s="16">
        <v>0.37788018433179699</v>
      </c>
      <c r="F293" s="16">
        <v>0.12093023255814001</v>
      </c>
      <c r="G293" s="16">
        <v>0.25806451612903197</v>
      </c>
      <c r="H293" s="16">
        <v>0.33392983788173197</v>
      </c>
      <c r="I293" s="16">
        <v>0.20955614345902501</v>
      </c>
      <c r="J293" s="16">
        <v>0.74545743469108805</v>
      </c>
      <c r="K293" s="16">
        <v>0.79386483644667705</v>
      </c>
      <c r="L293" s="16">
        <v>0.90581384398954001</v>
      </c>
      <c r="M293" s="16">
        <v>0.90654205607476601</v>
      </c>
      <c r="N293" s="16">
        <v>0.91666666666666696</v>
      </c>
      <c r="O293" s="16">
        <v>1</v>
      </c>
      <c r="P293" s="17">
        <f t="shared" si="44"/>
        <v>0.25960707795963067</v>
      </c>
      <c r="Q293" s="17">
        <f t="shared" si="45"/>
        <v>0.81504537170910163</v>
      </c>
      <c r="R293" s="17">
        <f t="shared" si="46"/>
        <v>0.94106957424714432</v>
      </c>
      <c r="S293" s="17">
        <f>'02_지표정의'!$C$22*P293+'02_지표정의'!$C$23*Q293+'02_지표정의'!$C$24*R293</f>
        <v>0.74806618384752244</v>
      </c>
      <c r="T293" s="5">
        <f t="shared" si="47"/>
        <v>1</v>
      </c>
      <c r="U293" s="5" t="str">
        <f t="shared" si="48"/>
        <v>특허</v>
      </c>
      <c r="V293" s="18">
        <f t="shared" si="49"/>
        <v>948</v>
      </c>
      <c r="W293" s="5">
        <f t="shared" si="50"/>
        <v>645</v>
      </c>
      <c r="X293" s="5">
        <f t="shared" si="51"/>
        <v>623</v>
      </c>
      <c r="Y293" s="5">
        <f t="shared" si="52"/>
        <v>0</v>
      </c>
      <c r="Z293" s="19">
        <f t="shared" si="53"/>
        <v>61</v>
      </c>
      <c r="AA293" s="20">
        <f>ABS(S293-SUMPRODUCT(('05B_가정검정'!$A$5:$A$19=B293)*('05B_가정검정'!$B$5:$B$19=C293)*'05B_가정검정'!$E$5:$E$19))</f>
        <v>1.8634112465641284E-2</v>
      </c>
      <c r="AB293" s="20">
        <f t="shared" si="54"/>
        <v>3.0414390774641475E-2</v>
      </c>
    </row>
    <row r="294" spans="1:28">
      <c r="A294" s="15" t="s">
        <v>142</v>
      </c>
      <c r="B294" s="15" t="s">
        <v>121</v>
      </c>
      <c r="C294" s="15" t="s">
        <v>118</v>
      </c>
      <c r="D294" s="16">
        <v>0.26934097421203401</v>
      </c>
      <c r="E294" s="16">
        <v>0.34057971014492799</v>
      </c>
      <c r="F294" s="16">
        <v>0.124087591240876</v>
      </c>
      <c r="G294" s="16">
        <v>0.24637681159420299</v>
      </c>
      <c r="H294" s="16">
        <v>0.21585741438675399</v>
      </c>
      <c r="I294" s="16">
        <v>0.21350253022384699</v>
      </c>
      <c r="J294" s="16">
        <v>0.74213341155760604</v>
      </c>
      <c r="K294" s="16">
        <v>0.71616270034236096</v>
      </c>
      <c r="L294" s="16">
        <v>0.86813206700446699</v>
      </c>
      <c r="M294" s="16">
        <v>0.412765957446809</v>
      </c>
      <c r="N294" s="16">
        <v>0.47826086956521702</v>
      </c>
      <c r="O294" s="16">
        <v>1</v>
      </c>
      <c r="P294" s="17">
        <f t="shared" si="44"/>
        <v>0.23495750530044032</v>
      </c>
      <c r="Q294" s="17">
        <f t="shared" si="45"/>
        <v>0.77547605963481125</v>
      </c>
      <c r="R294" s="17">
        <f t="shared" si="46"/>
        <v>0.63034227567067536</v>
      </c>
      <c r="S294" s="17">
        <f>'02_지표정의'!$C$22*P294+'02_지표정의'!$C$23*Q294+'02_지표정의'!$C$24*R294</f>
        <v>0.61657552438048957</v>
      </c>
      <c r="T294" s="5">
        <f t="shared" si="47"/>
        <v>0</v>
      </c>
      <c r="U294" s="5" t="str">
        <f t="shared" si="48"/>
        <v>특허</v>
      </c>
      <c r="V294" s="18">
        <f t="shared" si="49"/>
        <v>469</v>
      </c>
      <c r="W294" s="5">
        <f t="shared" si="50"/>
        <v>382</v>
      </c>
      <c r="X294" s="5">
        <f t="shared" si="51"/>
        <v>0</v>
      </c>
      <c r="Y294" s="5">
        <f t="shared" si="52"/>
        <v>353</v>
      </c>
      <c r="Z294" s="19">
        <f t="shared" si="53"/>
        <v>47</v>
      </c>
      <c r="AA294" s="20">
        <f>ABS(S294-SUMPRODUCT(('05B_가정검정'!$A$5:$A$19=B294)*('05B_가정검정'!$B$5:$B$19=C294)*'05B_가정검정'!$E$5:$E$19))</f>
        <v>1.7996034213521139E-2</v>
      </c>
      <c r="AB294" s="20">
        <f t="shared" si="54"/>
        <v>3.7176449853676297E-2</v>
      </c>
    </row>
    <row r="295" spans="1:28">
      <c r="A295" s="15" t="s">
        <v>142</v>
      </c>
      <c r="B295" s="15" t="s">
        <v>121</v>
      </c>
      <c r="C295" s="15" t="s">
        <v>119</v>
      </c>
      <c r="D295" s="16">
        <v>0.25517241379310401</v>
      </c>
      <c r="E295" s="16">
        <v>0.43776824034334799</v>
      </c>
      <c r="F295" s="16">
        <v>0.18181818181818199</v>
      </c>
      <c r="G295" s="16">
        <v>0.30042918454935602</v>
      </c>
      <c r="H295" s="16">
        <v>0.24927782750102601</v>
      </c>
      <c r="I295" s="16">
        <v>0.19894224457088899</v>
      </c>
      <c r="J295" s="16">
        <v>0.76160093831426801</v>
      </c>
      <c r="K295" s="16">
        <v>0.77458481197847695</v>
      </c>
      <c r="L295" s="16">
        <v>0.89634028870374305</v>
      </c>
      <c r="M295" s="16">
        <v>0.48743718592964802</v>
      </c>
      <c r="N295" s="16">
        <v>0.51401869158878499</v>
      </c>
      <c r="O295" s="16">
        <v>1</v>
      </c>
      <c r="P295" s="17">
        <f t="shared" si="44"/>
        <v>0.27056801542931752</v>
      </c>
      <c r="Q295" s="17">
        <f t="shared" si="45"/>
        <v>0.8108420129988293</v>
      </c>
      <c r="R295" s="17">
        <f t="shared" si="46"/>
        <v>0.667151959172811</v>
      </c>
      <c r="S295" s="17">
        <f>'02_지표정의'!$C$22*P295+'02_지표정의'!$C$23*Q295+'02_지표정의'!$C$24*R295</f>
        <v>0.65249569464582047</v>
      </c>
      <c r="T295" s="5">
        <f t="shared" si="47"/>
        <v>0</v>
      </c>
      <c r="U295" s="5" t="str">
        <f t="shared" si="48"/>
        <v>특허</v>
      </c>
      <c r="V295" s="18">
        <f t="shared" si="49"/>
        <v>630</v>
      </c>
      <c r="W295" s="5">
        <f t="shared" si="50"/>
        <v>0</v>
      </c>
      <c r="X295" s="5">
        <f t="shared" si="51"/>
        <v>313</v>
      </c>
      <c r="Y295" s="5">
        <f t="shared" si="52"/>
        <v>471</v>
      </c>
      <c r="Z295" s="19">
        <f t="shared" si="53"/>
        <v>7</v>
      </c>
      <c r="AA295" s="20">
        <f>ABS(S295-SUMPRODUCT(('05B_가정검정'!$A$5:$A$19=B295)*('05B_가정검정'!$B$5:$B$19=C295)*'05B_가정검정'!$E$5:$E$19))</f>
        <v>3.9824148150033212E-2</v>
      </c>
      <c r="AB295" s="20">
        <f t="shared" si="54"/>
        <v>-3.5741280773790574E-2</v>
      </c>
    </row>
    <row r="296" spans="1:28">
      <c r="A296" s="15" t="s">
        <v>142</v>
      </c>
      <c r="B296" s="15" t="s">
        <v>122</v>
      </c>
      <c r="C296" s="15" t="s">
        <v>117</v>
      </c>
      <c r="D296" s="16">
        <v>0.25680087051142603</v>
      </c>
      <c r="E296" s="16">
        <v>0.29104477611940299</v>
      </c>
      <c r="F296" s="16">
        <v>9.0225563909774403E-2</v>
      </c>
      <c r="G296" s="16">
        <v>0.23134328358209</v>
      </c>
      <c r="H296" s="16">
        <v>0.280748650889527</v>
      </c>
      <c r="I296" s="16">
        <v>0.19403589291941301</v>
      </c>
      <c r="J296" s="16">
        <v>0.70246956488374501</v>
      </c>
      <c r="K296" s="16">
        <v>0.64496465237692002</v>
      </c>
      <c r="L296" s="16">
        <v>0.85221243425509097</v>
      </c>
      <c r="M296" s="16">
        <v>0.373493975903614</v>
      </c>
      <c r="N296" s="16">
        <v>0.36029411764705899</v>
      </c>
      <c r="O296" s="16">
        <v>1</v>
      </c>
      <c r="P296" s="17">
        <f t="shared" si="44"/>
        <v>0.22403317298860559</v>
      </c>
      <c r="Q296" s="17">
        <f t="shared" si="45"/>
        <v>0.733215550505252</v>
      </c>
      <c r="R296" s="17">
        <f t="shared" si="46"/>
        <v>0.57792936451689103</v>
      </c>
      <c r="S296" s="17">
        <f>'02_지표정의'!$C$22*P296+'02_지표정의'!$C$23*Q296+'02_지표정의'!$C$24*R296</f>
        <v>0.57702890990599642</v>
      </c>
      <c r="T296" s="5">
        <f t="shared" si="47"/>
        <v>0</v>
      </c>
      <c r="U296" s="5" t="str">
        <f t="shared" si="48"/>
        <v>특허</v>
      </c>
      <c r="V296" s="18">
        <f t="shared" si="49"/>
        <v>312</v>
      </c>
      <c r="W296" s="5">
        <f t="shared" si="50"/>
        <v>253</v>
      </c>
      <c r="X296" s="5">
        <f t="shared" si="51"/>
        <v>133</v>
      </c>
      <c r="Y296" s="5">
        <f t="shared" si="52"/>
        <v>0</v>
      </c>
      <c r="Z296" s="19">
        <f t="shared" si="53"/>
        <v>15</v>
      </c>
      <c r="AA296" s="20">
        <f>ABS(S296-SUMPRODUCT(('05B_가정검정'!$A$5:$A$19=B296)*('05B_가정검정'!$B$5:$B$19=C296)*'05B_가정검정'!$E$5:$E$19))</f>
        <v>6.2324044802682055E-2</v>
      </c>
      <c r="AB296" s="20">
        <f t="shared" si="54"/>
        <v>-4.5852712283649733E-2</v>
      </c>
    </row>
    <row r="297" spans="1:28">
      <c r="A297" s="15" t="s">
        <v>142</v>
      </c>
      <c r="B297" s="15" t="s">
        <v>122</v>
      </c>
      <c r="C297" s="15" t="s">
        <v>118</v>
      </c>
      <c r="D297" s="16">
        <v>0.337957124842371</v>
      </c>
      <c r="E297" s="16">
        <v>0.47706422018348599</v>
      </c>
      <c r="F297" s="16">
        <v>0.16</v>
      </c>
      <c r="G297" s="16">
        <v>0.29969418960244698</v>
      </c>
      <c r="H297" s="16">
        <v>0.35060618069752097</v>
      </c>
      <c r="I297" s="16">
        <v>0.29446489683271998</v>
      </c>
      <c r="J297" s="16">
        <v>0.73100876361034695</v>
      </c>
      <c r="K297" s="16">
        <v>0.70422631978943995</v>
      </c>
      <c r="L297" s="16">
        <v>0.87556891406403603</v>
      </c>
      <c r="M297" s="16">
        <v>0.61445783132530096</v>
      </c>
      <c r="N297" s="16">
        <v>0.68382352941176505</v>
      </c>
      <c r="O297" s="16">
        <v>1</v>
      </c>
      <c r="P297" s="17">
        <f t="shared" si="44"/>
        <v>0.31996443535975744</v>
      </c>
      <c r="Q297" s="17">
        <f t="shared" si="45"/>
        <v>0.77026799915460764</v>
      </c>
      <c r="R297" s="17">
        <f t="shared" si="46"/>
        <v>0.76609378691235541</v>
      </c>
      <c r="S297" s="17">
        <f>'02_지표정의'!$C$22*P297+'02_지표정의'!$C$23*Q297+'02_지표정의'!$C$24*R297</f>
        <v>0.67874631211084924</v>
      </c>
      <c r="T297" s="5">
        <f t="shared" si="47"/>
        <v>1</v>
      </c>
      <c r="U297" s="5" t="str">
        <f t="shared" si="48"/>
        <v>특허</v>
      </c>
      <c r="V297" s="18">
        <f t="shared" si="49"/>
        <v>755</v>
      </c>
      <c r="W297" s="5">
        <f t="shared" si="50"/>
        <v>531</v>
      </c>
      <c r="X297" s="5">
        <f t="shared" si="51"/>
        <v>0</v>
      </c>
      <c r="Y297" s="5">
        <f t="shared" si="52"/>
        <v>548</v>
      </c>
      <c r="Z297" s="19">
        <f t="shared" si="53"/>
        <v>64</v>
      </c>
      <c r="AA297" s="20">
        <f>ABS(S297-SUMPRODUCT(('05B_가정검정'!$A$5:$A$19=B297)*('05B_가정검정'!$B$5:$B$19=C297)*'05B_가정검정'!$E$5:$E$19))</f>
        <v>9.1824376113690986E-2</v>
      </c>
      <c r="AB297" s="20">
        <f t="shared" si="54"/>
        <v>9.7523035893165466E-2</v>
      </c>
    </row>
    <row r="298" spans="1:28">
      <c r="A298" s="15" t="s">
        <v>142</v>
      </c>
      <c r="B298" s="15" t="s">
        <v>122</v>
      </c>
      <c r="C298" s="15" t="s">
        <v>119</v>
      </c>
      <c r="D298" s="16">
        <v>0.29015544041450803</v>
      </c>
      <c r="E298" s="16">
        <v>0.54225352112676095</v>
      </c>
      <c r="F298" s="16">
        <v>0.19148936170212799</v>
      </c>
      <c r="G298" s="16">
        <v>0.37323943661971798</v>
      </c>
      <c r="H298" s="16">
        <v>0.38506517733398798</v>
      </c>
      <c r="I298" s="16">
        <v>0.20910709448199799</v>
      </c>
      <c r="J298" s="16">
        <v>0.729204675298878</v>
      </c>
      <c r="K298" s="16">
        <v>0.65598191626998603</v>
      </c>
      <c r="L298" s="16">
        <v>0.83723596924965504</v>
      </c>
      <c r="M298" s="16">
        <v>0.69879518072289204</v>
      </c>
      <c r="N298" s="16">
        <v>0.69117647058823495</v>
      </c>
      <c r="O298" s="16">
        <v>1</v>
      </c>
      <c r="P298" s="17">
        <f t="shared" si="44"/>
        <v>0.33188500527985015</v>
      </c>
      <c r="Q298" s="17">
        <f t="shared" si="45"/>
        <v>0.74080752027283969</v>
      </c>
      <c r="R298" s="17">
        <f t="shared" si="46"/>
        <v>0.79665721710370896</v>
      </c>
      <c r="S298" s="17">
        <f>'02_지표정의'!$C$22*P298+'02_지표정의'!$C$23*Q298+'02_지표정의'!$C$24*R298</f>
        <v>0.67857041116504613</v>
      </c>
      <c r="T298" s="5">
        <f t="shared" si="47"/>
        <v>0</v>
      </c>
      <c r="U298" s="5" t="str">
        <f t="shared" si="48"/>
        <v>특허</v>
      </c>
      <c r="V298" s="18">
        <f t="shared" si="49"/>
        <v>754</v>
      </c>
      <c r="W298" s="5">
        <f t="shared" si="50"/>
        <v>0</v>
      </c>
      <c r="X298" s="5">
        <f t="shared" si="51"/>
        <v>431</v>
      </c>
      <c r="Y298" s="5">
        <f t="shared" si="52"/>
        <v>547</v>
      </c>
      <c r="Z298" s="19">
        <f t="shared" si="53"/>
        <v>57</v>
      </c>
      <c r="AA298" s="20">
        <f>ABS(S298-SUMPRODUCT(('05B_가정검정'!$A$5:$A$19=B298)*('05B_가정검정'!$B$5:$B$19=C298)*'05B_가정검정'!$E$5:$E$19))</f>
        <v>4.2964223263594725E-2</v>
      </c>
      <c r="AB298" s="20">
        <f t="shared" si="54"/>
        <v>4.7181544850160129E-2</v>
      </c>
    </row>
    <row r="299" spans="1:28">
      <c r="A299" s="15" t="s">
        <v>142</v>
      </c>
      <c r="B299" s="15" t="s">
        <v>123</v>
      </c>
      <c r="C299" s="15" t="s">
        <v>117</v>
      </c>
      <c r="D299" s="16">
        <v>0.24694104560622901</v>
      </c>
      <c r="E299" s="16">
        <v>0.354716981132075</v>
      </c>
      <c r="F299" s="16">
        <v>0.12167300380228099</v>
      </c>
      <c r="G299" s="16">
        <v>0.26415094339622702</v>
      </c>
      <c r="H299" s="16">
        <v>0.37518759192708701</v>
      </c>
      <c r="I299" s="16">
        <v>0.15655486892714501</v>
      </c>
      <c r="J299" s="16">
        <v>0.69695172074544598</v>
      </c>
      <c r="K299" s="16">
        <v>0.68894024644959595</v>
      </c>
      <c r="L299" s="16">
        <v>0.87581217597835104</v>
      </c>
      <c r="M299" s="16">
        <v>0.90654205607476601</v>
      </c>
      <c r="N299" s="16">
        <v>0.91666666666666696</v>
      </c>
      <c r="O299" s="16">
        <v>1</v>
      </c>
      <c r="P299" s="17">
        <f t="shared" si="44"/>
        <v>0.25320407246517401</v>
      </c>
      <c r="Q299" s="17">
        <f t="shared" si="45"/>
        <v>0.75390138105779769</v>
      </c>
      <c r="R299" s="17">
        <f t="shared" si="46"/>
        <v>0.94106957424714432</v>
      </c>
      <c r="S299" s="17">
        <f>'02_지표정의'!$C$22*P299+'02_지표정의'!$C$23*Q299+'02_지표정의'!$C$24*R299</f>
        <v>0.71927078695554425</v>
      </c>
      <c r="T299" s="5">
        <f t="shared" si="47"/>
        <v>0</v>
      </c>
      <c r="U299" s="5" t="str">
        <f t="shared" si="48"/>
        <v>특허</v>
      </c>
      <c r="V299" s="18">
        <f t="shared" si="49"/>
        <v>875</v>
      </c>
      <c r="W299" s="5">
        <f t="shared" si="50"/>
        <v>583</v>
      </c>
      <c r="X299" s="5">
        <f t="shared" si="51"/>
        <v>550</v>
      </c>
      <c r="Y299" s="5">
        <f t="shared" si="52"/>
        <v>0</v>
      </c>
      <c r="Z299" s="19">
        <f t="shared" si="53"/>
        <v>40</v>
      </c>
      <c r="AA299" s="20">
        <f>ABS(S299-SUMPRODUCT(('05B_가정검정'!$A$5:$A$19=B299)*('05B_가정검정'!$B$5:$B$19=C299)*'05B_가정검정'!$E$5:$E$19))</f>
        <v>4.3479041793205164E-3</v>
      </c>
      <c r="AB299" s="20">
        <f t="shared" si="54"/>
        <v>1.1285335144301079E-2</v>
      </c>
    </row>
    <row r="300" spans="1:28">
      <c r="A300" s="15" t="s">
        <v>142</v>
      </c>
      <c r="B300" s="15" t="s">
        <v>123</v>
      </c>
      <c r="C300" s="15" t="s">
        <v>118</v>
      </c>
      <c r="D300" s="16">
        <v>0.24320827943078899</v>
      </c>
      <c r="E300" s="16">
        <v>0.38271604938271597</v>
      </c>
      <c r="F300" s="16">
        <v>0.14285714285714299</v>
      </c>
      <c r="G300" s="16">
        <v>0.29012345679012402</v>
      </c>
      <c r="H300" s="16">
        <v>0.24029136542294299</v>
      </c>
      <c r="I300" s="16">
        <v>0.157889321559533</v>
      </c>
      <c r="J300" s="16">
        <v>0.69309606797193302</v>
      </c>
      <c r="K300" s="16">
        <v>0.67036172768211399</v>
      </c>
      <c r="L300" s="16">
        <v>0.848292013129059</v>
      </c>
      <c r="M300" s="16">
        <v>0.412765957446809</v>
      </c>
      <c r="N300" s="16">
        <v>0.47826086956521702</v>
      </c>
      <c r="O300" s="16">
        <v>1</v>
      </c>
      <c r="P300" s="17">
        <f t="shared" si="44"/>
        <v>0.24284760257387469</v>
      </c>
      <c r="Q300" s="17">
        <f t="shared" si="45"/>
        <v>0.7372499362610353</v>
      </c>
      <c r="R300" s="17">
        <f t="shared" si="46"/>
        <v>0.63034227567067536</v>
      </c>
      <c r="S300" s="17">
        <f>'02_지표정의'!$C$22*P300+'02_지표정의'!$C$23*Q300+'02_지표정의'!$C$24*R300</f>
        <v>0.60095178831697715</v>
      </c>
      <c r="T300" s="5">
        <f t="shared" si="47"/>
        <v>0</v>
      </c>
      <c r="U300" s="5" t="str">
        <f t="shared" si="48"/>
        <v>특허</v>
      </c>
      <c r="V300" s="18">
        <f t="shared" si="49"/>
        <v>395</v>
      </c>
      <c r="W300" s="5">
        <f t="shared" si="50"/>
        <v>320</v>
      </c>
      <c r="X300" s="5">
        <f t="shared" si="51"/>
        <v>0</v>
      </c>
      <c r="Y300" s="5">
        <f t="shared" si="52"/>
        <v>302</v>
      </c>
      <c r="Z300" s="19">
        <f t="shared" si="53"/>
        <v>48</v>
      </c>
      <c r="AA300" s="20">
        <f>ABS(S300-SUMPRODUCT(('05B_가정검정'!$A$5:$A$19=B300)*('05B_가정검정'!$B$5:$B$19=C300)*'05B_가정검정'!$E$5:$E$19))</f>
        <v>2.5652961438007438E-2</v>
      </c>
      <c r="AB300" s="20">
        <f t="shared" si="54"/>
        <v>4.1080180392486065E-2</v>
      </c>
    </row>
    <row r="301" spans="1:28">
      <c r="A301" s="15" t="s">
        <v>142</v>
      </c>
      <c r="B301" s="15" t="s">
        <v>123</v>
      </c>
      <c r="C301" s="15" t="s">
        <v>119</v>
      </c>
      <c r="D301" s="16">
        <v>0.25396825396825401</v>
      </c>
      <c r="E301" s="16">
        <v>0.54092526690391496</v>
      </c>
      <c r="F301" s="16">
        <v>0.22222222222222199</v>
      </c>
      <c r="G301" s="16">
        <v>0.36298932384341598</v>
      </c>
      <c r="H301" s="16">
        <v>0.28807284323266802</v>
      </c>
      <c r="I301" s="16">
        <v>0.18119632020712201</v>
      </c>
      <c r="J301" s="16">
        <v>0.725874877400847</v>
      </c>
      <c r="K301" s="16">
        <v>0.68316092975115394</v>
      </c>
      <c r="L301" s="16">
        <v>0.84302379093250601</v>
      </c>
      <c r="M301" s="16">
        <v>0.48743718592964802</v>
      </c>
      <c r="N301" s="16">
        <v>0.51401869158878499</v>
      </c>
      <c r="O301" s="16">
        <v>1</v>
      </c>
      <c r="P301" s="17">
        <f t="shared" si="44"/>
        <v>0.30822903839626614</v>
      </c>
      <c r="Q301" s="17">
        <f t="shared" si="45"/>
        <v>0.75068653269483576</v>
      </c>
      <c r="R301" s="17">
        <f t="shared" si="46"/>
        <v>0.667151959172811</v>
      </c>
      <c r="S301" s="17">
        <f>'02_지표정의'!$C$22*P301+'02_지표정의'!$C$23*Q301+'02_지표정의'!$C$24*R301</f>
        <v>0.63295793310241311</v>
      </c>
      <c r="T301" s="5">
        <f t="shared" si="47"/>
        <v>1</v>
      </c>
      <c r="U301" s="5" t="str">
        <f t="shared" si="48"/>
        <v>특허</v>
      </c>
      <c r="V301" s="18">
        <f t="shared" si="49"/>
        <v>543</v>
      </c>
      <c r="W301" s="5">
        <f t="shared" si="50"/>
        <v>0</v>
      </c>
      <c r="X301" s="5">
        <f t="shared" si="51"/>
        <v>246</v>
      </c>
      <c r="Y301" s="5">
        <f t="shared" si="52"/>
        <v>409</v>
      </c>
      <c r="Z301" s="19">
        <f t="shared" si="53"/>
        <v>6</v>
      </c>
      <c r="AA301" s="20">
        <f>ABS(S301-SUMPRODUCT(('05B_가정검정'!$A$5:$A$19=B301)*('05B_가정검정'!$B$5:$B$19=C301)*'05B_가정검정'!$E$5:$E$19))</f>
        <v>5.2671864221814246E-2</v>
      </c>
      <c r="AB301" s="20">
        <f t="shared" si="54"/>
        <v>-4.9460799942588674E-2</v>
      </c>
    </row>
    <row r="302" spans="1:28">
      <c r="A302" s="15" t="s">
        <v>143</v>
      </c>
      <c r="B302" s="15" t="s">
        <v>116</v>
      </c>
      <c r="C302" s="15" t="s">
        <v>117</v>
      </c>
      <c r="D302" s="16">
        <v>0.26262626262626299</v>
      </c>
      <c r="E302" s="16">
        <v>0.32863849765258202</v>
      </c>
      <c r="F302" s="16">
        <v>0.11374407582938401</v>
      </c>
      <c r="G302" s="16">
        <v>0.25352112676056299</v>
      </c>
      <c r="H302" s="16">
        <v>0.225486729981457</v>
      </c>
      <c r="I302" s="16">
        <v>0.27047466980923301</v>
      </c>
      <c r="J302" s="16">
        <v>0.66500243045669205</v>
      </c>
      <c r="K302" s="16">
        <v>0.59192221996460503</v>
      </c>
      <c r="L302" s="16">
        <v>0.78736915824485398</v>
      </c>
      <c r="M302" s="16">
        <v>0.56291390728476798</v>
      </c>
      <c r="N302" s="16">
        <v>0.23170731707317099</v>
      </c>
      <c r="O302" s="16">
        <v>1</v>
      </c>
      <c r="P302" s="17">
        <f t="shared" si="44"/>
        <v>0.24241522710991367</v>
      </c>
      <c r="Q302" s="17">
        <f t="shared" si="45"/>
        <v>0.68143126955538369</v>
      </c>
      <c r="R302" s="17">
        <f t="shared" si="46"/>
        <v>0.59820707478597968</v>
      </c>
      <c r="S302" s="17">
        <f>'02_지표정의'!$C$22*P302+'02_지표정의'!$C$23*Q302+'02_지표정의'!$C$24*R302</f>
        <v>0.56449959289699825</v>
      </c>
      <c r="T302" s="5">
        <f t="shared" si="47"/>
        <v>0</v>
      </c>
      <c r="U302" s="5" t="str">
        <f t="shared" si="48"/>
        <v>특허</v>
      </c>
      <c r="V302" s="18">
        <f t="shared" si="49"/>
        <v>267</v>
      </c>
      <c r="W302" s="5">
        <f t="shared" si="50"/>
        <v>216</v>
      </c>
      <c r="X302" s="5">
        <f t="shared" si="51"/>
        <v>102</v>
      </c>
      <c r="Y302" s="5">
        <f t="shared" si="52"/>
        <v>0</v>
      </c>
      <c r="Z302" s="19">
        <f t="shared" si="53"/>
        <v>42</v>
      </c>
      <c r="AA302" s="20">
        <f>ABS(S302-SUMPRODUCT(('05B_가정검정'!$A$5:$A$19=B302)*('05B_가정검정'!$B$5:$B$19=C302)*'05B_가정검정'!$E$5:$E$19))</f>
        <v>7.0958879120309737E-3</v>
      </c>
      <c r="AB302" s="20">
        <f t="shared" si="54"/>
        <v>1.1948427484374857E-2</v>
      </c>
    </row>
    <row r="303" spans="1:28">
      <c r="A303" s="15" t="s">
        <v>143</v>
      </c>
      <c r="B303" s="15" t="s">
        <v>116</v>
      </c>
      <c r="C303" s="15" t="s">
        <v>118</v>
      </c>
      <c r="D303" s="16">
        <v>0.30821917808219201</v>
      </c>
      <c r="E303" s="16">
        <v>0.29599999999999999</v>
      </c>
      <c r="F303" s="16">
        <v>0.120967741935484</v>
      </c>
      <c r="G303" s="16">
        <v>0.25600000000000001</v>
      </c>
      <c r="H303" s="16">
        <v>0.16763386488584101</v>
      </c>
      <c r="I303" s="16">
        <v>0.218282187181363</v>
      </c>
      <c r="J303" s="16">
        <v>0.70785427633037601</v>
      </c>
      <c r="K303" s="16">
        <v>0.67856899424922301</v>
      </c>
      <c r="L303" s="16">
        <v>0.83827425584773396</v>
      </c>
      <c r="M303" s="16">
        <v>0.45228215767634899</v>
      </c>
      <c r="N303" s="16">
        <v>2.54237288135594E-2</v>
      </c>
      <c r="O303" s="16">
        <v>1</v>
      </c>
      <c r="P303" s="17">
        <f t="shared" si="44"/>
        <v>0.22785049534748</v>
      </c>
      <c r="Q303" s="17">
        <f t="shared" si="45"/>
        <v>0.74156584214244425</v>
      </c>
      <c r="R303" s="17">
        <f t="shared" si="46"/>
        <v>0.49256862882996949</v>
      </c>
      <c r="S303" s="17">
        <f>'02_지표정의'!$C$22*P303+'02_지표정의'!$C$23*Q303+'02_지표정의'!$C$24*R303</f>
        <v>0.55167374812408521</v>
      </c>
      <c r="T303" s="5">
        <f t="shared" si="47"/>
        <v>0</v>
      </c>
      <c r="U303" s="5" t="str">
        <f t="shared" si="48"/>
        <v>특허</v>
      </c>
      <c r="V303" s="18">
        <f t="shared" si="49"/>
        <v>211</v>
      </c>
      <c r="W303" s="5">
        <f t="shared" si="50"/>
        <v>175</v>
      </c>
      <c r="X303" s="5">
        <f t="shared" si="51"/>
        <v>0</v>
      </c>
      <c r="Y303" s="5">
        <f t="shared" si="52"/>
        <v>182</v>
      </c>
      <c r="Z303" s="19">
        <f t="shared" si="53"/>
        <v>47</v>
      </c>
      <c r="AA303" s="20">
        <f>ABS(S303-SUMPRODUCT(('05B_가정검정'!$A$5:$A$19=B303)*('05B_가정검정'!$B$5:$B$19=C303)*'05B_가정검정'!$E$5:$E$19))</f>
        <v>2.0381326422363566E-2</v>
      </c>
      <c r="AB303" s="20">
        <f t="shared" si="54"/>
        <v>2.4124715745498904E-2</v>
      </c>
    </row>
    <row r="304" spans="1:28">
      <c r="A304" s="15" t="s">
        <v>143</v>
      </c>
      <c r="B304" s="15" t="s">
        <v>116</v>
      </c>
      <c r="C304" s="15" t="s">
        <v>119</v>
      </c>
      <c r="D304" s="16">
        <v>0.273775216138329</v>
      </c>
      <c r="E304" s="16">
        <v>0.365482233502538</v>
      </c>
      <c r="F304" s="16">
        <v>0.17435897435897399</v>
      </c>
      <c r="G304" s="16">
        <v>0.30456852791878197</v>
      </c>
      <c r="H304" s="16">
        <v>0.21353837369527101</v>
      </c>
      <c r="I304" s="16">
        <v>0.27672412899163201</v>
      </c>
      <c r="J304" s="16">
        <v>0.69209379437157603</v>
      </c>
      <c r="K304" s="16">
        <v>0.61369254028350995</v>
      </c>
      <c r="L304" s="16">
        <v>0.79831666664343903</v>
      </c>
      <c r="M304" s="16">
        <v>0.40350877192982498</v>
      </c>
      <c r="N304" s="16">
        <v>0</v>
      </c>
      <c r="O304" s="16">
        <v>1</v>
      </c>
      <c r="P304" s="17">
        <f t="shared" si="44"/>
        <v>0.26807457576758764</v>
      </c>
      <c r="Q304" s="17">
        <f t="shared" si="45"/>
        <v>0.70136766709950837</v>
      </c>
      <c r="R304" s="17">
        <f t="shared" si="46"/>
        <v>0.46783625730994166</v>
      </c>
      <c r="S304" s="17">
        <f>'02_지표정의'!$C$22*P304+'02_지표정의'!$C$23*Q304+'02_지표정의'!$C$24*R304</f>
        <v>0.53297305540677586</v>
      </c>
      <c r="T304" s="5">
        <f t="shared" si="47"/>
        <v>0</v>
      </c>
      <c r="U304" s="5" t="str">
        <f t="shared" si="48"/>
        <v>특허</v>
      </c>
      <c r="V304" s="18">
        <f t="shared" si="49"/>
        <v>143</v>
      </c>
      <c r="W304" s="5">
        <f t="shared" si="50"/>
        <v>0</v>
      </c>
      <c r="X304" s="5">
        <f t="shared" si="51"/>
        <v>29</v>
      </c>
      <c r="Y304" s="5">
        <f t="shared" si="52"/>
        <v>129</v>
      </c>
      <c r="Z304" s="19">
        <f t="shared" si="53"/>
        <v>10</v>
      </c>
      <c r="AA304" s="20">
        <f>ABS(S304-SUMPRODUCT(('05B_가정검정'!$A$5:$A$19=B304)*('05B_가정검정'!$B$5:$B$19=C304)*'05B_가정검정'!$E$5:$E$19))</f>
        <v>2.0050461336006742E-2</v>
      </c>
      <c r="AB304" s="20">
        <f t="shared" si="54"/>
        <v>-2.347942826940419E-2</v>
      </c>
    </row>
    <row r="305" spans="1:28">
      <c r="A305" s="15" t="s">
        <v>143</v>
      </c>
      <c r="B305" s="15" t="s">
        <v>120</v>
      </c>
      <c r="C305" s="15" t="s">
        <v>117</v>
      </c>
      <c r="D305" s="16">
        <v>0.256493506493507</v>
      </c>
      <c r="E305" s="16">
        <v>0.30409356725146203</v>
      </c>
      <c r="F305" s="16">
        <v>9.41176470588235E-2</v>
      </c>
      <c r="G305" s="16">
        <v>0.20467836257309899</v>
      </c>
      <c r="H305" s="16">
        <v>0.30634071028392701</v>
      </c>
      <c r="I305" s="16">
        <v>0.242378917632183</v>
      </c>
      <c r="J305" s="16">
        <v>0.69433206611311704</v>
      </c>
      <c r="K305" s="16">
        <v>0.657493191652474</v>
      </c>
      <c r="L305" s="16">
        <v>0.86886459018514095</v>
      </c>
      <c r="M305" s="16">
        <v>0.52542372881355903</v>
      </c>
      <c r="N305" s="16">
        <v>0.46226415094339601</v>
      </c>
      <c r="O305" s="16">
        <v>1</v>
      </c>
      <c r="P305" s="17">
        <f t="shared" si="44"/>
        <v>0.23468378521550023</v>
      </c>
      <c r="Q305" s="17">
        <f t="shared" si="45"/>
        <v>0.74022994931691066</v>
      </c>
      <c r="R305" s="17">
        <f t="shared" si="46"/>
        <v>0.66256262658565168</v>
      </c>
      <c r="S305" s="17">
        <f>'02_지표정의'!$C$22*P305+'02_지표정의'!$C$23*Q305+'02_지표정의'!$C$24*R305</f>
        <v>0.61193715354068789</v>
      </c>
      <c r="T305" s="5">
        <f t="shared" si="47"/>
        <v>0</v>
      </c>
      <c r="U305" s="5" t="str">
        <f t="shared" si="48"/>
        <v>특허</v>
      </c>
      <c r="V305" s="18">
        <f t="shared" si="49"/>
        <v>445</v>
      </c>
      <c r="W305" s="5">
        <f t="shared" si="50"/>
        <v>362</v>
      </c>
      <c r="X305" s="5">
        <f t="shared" si="51"/>
        <v>189</v>
      </c>
      <c r="Y305" s="5">
        <f t="shared" si="52"/>
        <v>0</v>
      </c>
      <c r="Z305" s="19">
        <f t="shared" si="53"/>
        <v>16</v>
      </c>
      <c r="AA305" s="20">
        <f>ABS(S305-SUMPRODUCT(('05B_가정검정'!$A$5:$A$19=B305)*('05B_가정검정'!$B$5:$B$19=C305)*'05B_가정검정'!$E$5:$E$19))</f>
        <v>1.611180651643318E-2</v>
      </c>
      <c r="AB305" s="20">
        <f t="shared" si="54"/>
        <v>-1.9365549884069244E-2</v>
      </c>
    </row>
    <row r="306" spans="1:28">
      <c r="A306" s="15" t="s">
        <v>143</v>
      </c>
      <c r="B306" s="15" t="s">
        <v>120</v>
      </c>
      <c r="C306" s="15" t="s">
        <v>118</v>
      </c>
      <c r="D306" s="16">
        <v>0.271484375</v>
      </c>
      <c r="E306" s="16">
        <v>0.32717678100263903</v>
      </c>
      <c r="F306" s="16">
        <v>0.12201591511936299</v>
      </c>
      <c r="G306" s="16">
        <v>0.25857519788918198</v>
      </c>
      <c r="H306" s="16">
        <v>0.21723248805873299</v>
      </c>
      <c r="I306" s="16">
        <v>0.18926827124418499</v>
      </c>
      <c r="J306" s="16">
        <v>0.71445129649350603</v>
      </c>
      <c r="K306" s="16">
        <v>0.66877783978323402</v>
      </c>
      <c r="L306" s="16">
        <v>0.84898728056523198</v>
      </c>
      <c r="M306" s="16">
        <v>0.634854771784232</v>
      </c>
      <c r="N306" s="16">
        <v>0.72033898305084798</v>
      </c>
      <c r="O306" s="16">
        <v>1</v>
      </c>
      <c r="P306" s="17">
        <f t="shared" si="44"/>
        <v>0.23095883805235032</v>
      </c>
      <c r="Q306" s="17">
        <f t="shared" si="45"/>
        <v>0.74407213894732405</v>
      </c>
      <c r="R306" s="17">
        <f t="shared" si="46"/>
        <v>0.78506458494502673</v>
      </c>
      <c r="S306" s="17">
        <f>'02_지표정의'!$C$22*P306+'02_지표정의'!$C$23*Q306+'02_지표정의'!$C$24*R306</f>
        <v>0.65579683486752516</v>
      </c>
      <c r="T306" s="5">
        <f t="shared" si="47"/>
        <v>0</v>
      </c>
      <c r="U306" s="5" t="str">
        <f t="shared" si="48"/>
        <v>특허</v>
      </c>
      <c r="V306" s="18">
        <f t="shared" si="49"/>
        <v>648</v>
      </c>
      <c r="W306" s="5">
        <f t="shared" si="50"/>
        <v>487</v>
      </c>
      <c r="X306" s="5">
        <f t="shared" si="51"/>
        <v>0</v>
      </c>
      <c r="Y306" s="5">
        <f t="shared" si="52"/>
        <v>480</v>
      </c>
      <c r="Z306" s="19">
        <f t="shared" si="53"/>
        <v>65</v>
      </c>
      <c r="AA306" s="20">
        <f>ABS(S306-SUMPRODUCT(('05B_가정검정'!$A$5:$A$19=B306)*('05B_가정검정'!$B$5:$B$19=C306)*'05B_가정검정'!$E$5:$E$19))</f>
        <v>6.4967986285897172E-2</v>
      </c>
      <c r="AB306" s="20">
        <f t="shared" si="54"/>
        <v>8.0906058905414358E-2</v>
      </c>
    </row>
    <row r="307" spans="1:28">
      <c r="A307" s="15" t="s">
        <v>143</v>
      </c>
      <c r="B307" s="15" t="s">
        <v>120</v>
      </c>
      <c r="C307" s="15" t="s">
        <v>119</v>
      </c>
      <c r="D307" s="16">
        <v>0.241622574955908</v>
      </c>
      <c r="E307" s="16">
        <v>0.41717791411042898</v>
      </c>
      <c r="F307" s="16">
        <v>0.179012345679012</v>
      </c>
      <c r="G307" s="16">
        <v>0.312883435582822</v>
      </c>
      <c r="H307" s="16">
        <v>0.30747690321121202</v>
      </c>
      <c r="I307" s="16">
        <v>0.23555760938081999</v>
      </c>
      <c r="J307" s="16">
        <v>0.72044060453739101</v>
      </c>
      <c r="K307" s="16">
        <v>0.66616369338414605</v>
      </c>
      <c r="L307" s="16">
        <v>0.87121922793492901</v>
      </c>
      <c r="M307" s="16">
        <v>0.81920903954802304</v>
      </c>
      <c r="N307" s="16">
        <v>0.83018867924528295</v>
      </c>
      <c r="O307" s="16">
        <v>1</v>
      </c>
      <c r="P307" s="17">
        <f t="shared" si="44"/>
        <v>0.28228846382003386</v>
      </c>
      <c r="Q307" s="17">
        <f t="shared" si="45"/>
        <v>0.75260784195215535</v>
      </c>
      <c r="R307" s="17">
        <f t="shared" si="46"/>
        <v>0.88313257293110203</v>
      </c>
      <c r="S307" s="17">
        <f>'02_지표정의'!$C$22*P307+'02_지표정의'!$C$23*Q307+'02_지표정의'!$C$24*R307</f>
        <v>0.70422762216836243</v>
      </c>
      <c r="T307" s="5">
        <f t="shared" si="47"/>
        <v>0</v>
      </c>
      <c r="U307" s="5" t="str">
        <f t="shared" si="48"/>
        <v>특허</v>
      </c>
      <c r="V307" s="18">
        <f t="shared" si="49"/>
        <v>834</v>
      </c>
      <c r="W307" s="5">
        <f t="shared" si="50"/>
        <v>0</v>
      </c>
      <c r="X307" s="5">
        <f t="shared" si="51"/>
        <v>509</v>
      </c>
      <c r="Y307" s="5">
        <f t="shared" si="52"/>
        <v>602</v>
      </c>
      <c r="Z307" s="19">
        <f t="shared" si="53"/>
        <v>61</v>
      </c>
      <c r="AA307" s="20">
        <f>ABS(S307-SUMPRODUCT(('05B_가정검정'!$A$5:$A$19=B307)*('05B_가정검정'!$B$5:$B$19=C307)*'05B_가정검정'!$E$5:$E$19))</f>
        <v>4.0550305686976151E-2</v>
      </c>
      <c r="AB307" s="20">
        <f t="shared" si="54"/>
        <v>4.5804614657546816E-2</v>
      </c>
    </row>
    <row r="308" spans="1:28">
      <c r="A308" s="15" t="s">
        <v>143</v>
      </c>
      <c r="B308" s="15" t="s">
        <v>121</v>
      </c>
      <c r="C308" s="15" t="s">
        <v>117</v>
      </c>
      <c r="D308" s="16">
        <v>0.27102803738317799</v>
      </c>
      <c r="E308" s="16">
        <v>0.31858407079646001</v>
      </c>
      <c r="F308" s="16">
        <v>0.11607142857142901</v>
      </c>
      <c r="G308" s="16">
        <v>0.221238938053097</v>
      </c>
      <c r="H308" s="16">
        <v>0.27007932300113002</v>
      </c>
      <c r="I308" s="16">
        <v>0.21507943373289501</v>
      </c>
      <c r="J308" s="16">
        <v>0.73524861147753595</v>
      </c>
      <c r="K308" s="16">
        <v>0.72065959180521699</v>
      </c>
      <c r="L308" s="16">
        <v>0.856667803013347</v>
      </c>
      <c r="M308" s="16">
        <v>0.90654205607476601</v>
      </c>
      <c r="N308" s="16">
        <v>0.91666666666666696</v>
      </c>
      <c r="O308" s="16">
        <v>1</v>
      </c>
      <c r="P308" s="17">
        <f t="shared" si="44"/>
        <v>0.2353468719230315</v>
      </c>
      <c r="Q308" s="17">
        <f t="shared" si="45"/>
        <v>0.77085866876536657</v>
      </c>
      <c r="R308" s="17">
        <f t="shared" si="46"/>
        <v>0.94106957424714432</v>
      </c>
      <c r="S308" s="17">
        <f>'02_지표정의'!$C$22*P308+'02_지표정의'!$C$23*Q308+'02_지표정의'!$C$24*R308</f>
        <v>0.72333012631552174</v>
      </c>
      <c r="T308" s="5">
        <f t="shared" si="47"/>
        <v>1</v>
      </c>
      <c r="U308" s="5" t="str">
        <f t="shared" si="48"/>
        <v>특허</v>
      </c>
      <c r="V308" s="18">
        <f t="shared" si="49"/>
        <v>891</v>
      </c>
      <c r="W308" s="5">
        <f t="shared" si="50"/>
        <v>597</v>
      </c>
      <c r="X308" s="5">
        <f t="shared" si="51"/>
        <v>566</v>
      </c>
      <c r="Y308" s="5">
        <f t="shared" si="52"/>
        <v>0</v>
      </c>
      <c r="Z308" s="19">
        <f t="shared" si="53"/>
        <v>29</v>
      </c>
      <c r="AA308" s="20">
        <f>ABS(S308-SUMPRODUCT(('05B_가정검정'!$A$5:$A$19=B308)*('05B_가정검정'!$B$5:$B$19=C308)*'05B_가정검정'!$E$5:$E$19))</f>
        <v>6.1019450663594155E-3</v>
      </c>
      <c r="AB308" s="20">
        <f t="shared" si="54"/>
        <v>5.6783332426407762E-3</v>
      </c>
    </row>
    <row r="309" spans="1:28">
      <c r="A309" s="15" t="s">
        <v>143</v>
      </c>
      <c r="B309" s="15" t="s">
        <v>121</v>
      </c>
      <c r="C309" s="15" t="s">
        <v>118</v>
      </c>
      <c r="D309" s="16">
        <v>0.25925925925925902</v>
      </c>
      <c r="E309" s="16">
        <v>0.24334600760456301</v>
      </c>
      <c r="F309" s="16">
        <v>6.8965517241379296E-2</v>
      </c>
      <c r="G309" s="16">
        <v>0.197718631178707</v>
      </c>
      <c r="H309" s="16">
        <v>0.196269844548698</v>
      </c>
      <c r="I309" s="16">
        <v>0.174246112292477</v>
      </c>
      <c r="J309" s="16">
        <v>0.74280120039969899</v>
      </c>
      <c r="K309" s="16">
        <v>0.76342114478871703</v>
      </c>
      <c r="L309" s="16">
        <v>0.882614789667438</v>
      </c>
      <c r="M309" s="16">
        <v>0.402489626556017</v>
      </c>
      <c r="N309" s="16">
        <v>0.46610169491525399</v>
      </c>
      <c r="O309" s="16">
        <v>1</v>
      </c>
      <c r="P309" s="17">
        <f t="shared" si="44"/>
        <v>0.18996756202084722</v>
      </c>
      <c r="Q309" s="17">
        <f t="shared" si="45"/>
        <v>0.79627904495195134</v>
      </c>
      <c r="R309" s="17">
        <f t="shared" si="46"/>
        <v>0.62286377382375702</v>
      </c>
      <c r="S309" s="17">
        <f>'02_지표정의'!$C$22*P309+'02_지표정의'!$C$23*Q309+'02_지표정의'!$C$24*R309</f>
        <v>0.6143214034708625</v>
      </c>
      <c r="T309" s="5">
        <f t="shared" si="47"/>
        <v>0</v>
      </c>
      <c r="U309" s="5" t="str">
        <f t="shared" si="48"/>
        <v>특허</v>
      </c>
      <c r="V309" s="18">
        <f t="shared" si="49"/>
        <v>459</v>
      </c>
      <c r="W309" s="5">
        <f t="shared" si="50"/>
        <v>374</v>
      </c>
      <c r="X309" s="5">
        <f t="shared" si="51"/>
        <v>0</v>
      </c>
      <c r="Y309" s="5">
        <f t="shared" si="52"/>
        <v>348</v>
      </c>
      <c r="Z309" s="19">
        <f t="shared" si="53"/>
        <v>45</v>
      </c>
      <c r="AA309" s="20">
        <f>ABS(S309-SUMPRODUCT(('05B_가정검정'!$A$5:$A$19=B309)*('05B_가정검정'!$B$5:$B$19=C309)*'05B_가정검정'!$E$5:$E$19))</f>
        <v>1.5741913303894073E-2</v>
      </c>
      <c r="AB309" s="20">
        <f t="shared" si="54"/>
        <v>3.492232894404923E-2</v>
      </c>
    </row>
    <row r="310" spans="1:28">
      <c r="A310" s="15" t="s">
        <v>143</v>
      </c>
      <c r="B310" s="15" t="s">
        <v>121</v>
      </c>
      <c r="C310" s="15" t="s">
        <v>119</v>
      </c>
      <c r="D310" s="16">
        <v>0.27704485488126701</v>
      </c>
      <c r="E310" s="16">
        <v>0.32380952380952399</v>
      </c>
      <c r="F310" s="16">
        <v>0.134615384615385</v>
      </c>
      <c r="G310" s="16">
        <v>0.266666666666667</v>
      </c>
      <c r="H310" s="16">
        <v>0.27415599512856897</v>
      </c>
      <c r="I310" s="16">
        <v>0.24007673649307701</v>
      </c>
      <c r="J310" s="16">
        <v>0.76902931722380596</v>
      </c>
      <c r="K310" s="16">
        <v>0.74588823620039602</v>
      </c>
      <c r="L310" s="16">
        <v>0.89180884252390802</v>
      </c>
      <c r="M310" s="16">
        <v>0.56725146198830401</v>
      </c>
      <c r="N310" s="16">
        <v>0.53398058252427205</v>
      </c>
      <c r="O310" s="16">
        <v>1</v>
      </c>
      <c r="P310" s="17">
        <f t="shared" si="44"/>
        <v>0.2527281935990815</v>
      </c>
      <c r="Q310" s="17">
        <f t="shared" si="45"/>
        <v>0.80224213198270344</v>
      </c>
      <c r="R310" s="17">
        <f t="shared" si="46"/>
        <v>0.70041068150419206</v>
      </c>
      <c r="S310" s="17">
        <f>'02_지표정의'!$C$22*P310+'02_지표정의'!$C$23*Q310+'02_지표정의'!$C$24*R310</f>
        <v>0.65669833663850008</v>
      </c>
      <c r="T310" s="5">
        <f t="shared" si="47"/>
        <v>0</v>
      </c>
      <c r="U310" s="5" t="str">
        <f t="shared" si="48"/>
        <v>특허</v>
      </c>
      <c r="V310" s="18">
        <f t="shared" si="49"/>
        <v>652</v>
      </c>
      <c r="W310" s="5">
        <f t="shared" si="50"/>
        <v>0</v>
      </c>
      <c r="X310" s="5">
        <f t="shared" si="51"/>
        <v>333</v>
      </c>
      <c r="Y310" s="5">
        <f t="shared" si="52"/>
        <v>484</v>
      </c>
      <c r="Z310" s="19">
        <f t="shared" si="53"/>
        <v>12</v>
      </c>
      <c r="AA310" s="20">
        <f>ABS(S310-SUMPRODUCT(('05B_가정검정'!$A$5:$A$19=B310)*('05B_가정검정'!$B$5:$B$19=C310)*'05B_가정검정'!$E$5:$E$19))</f>
        <v>3.56215061573536E-2</v>
      </c>
      <c r="AB310" s="20">
        <f t="shared" si="54"/>
        <v>-3.1538638781110961E-2</v>
      </c>
    </row>
    <row r="311" spans="1:28">
      <c r="A311" s="15" t="s">
        <v>143</v>
      </c>
      <c r="B311" s="15" t="s">
        <v>122</v>
      </c>
      <c r="C311" s="15" t="s">
        <v>117</v>
      </c>
      <c r="D311" s="16">
        <v>0.26880641925777299</v>
      </c>
      <c r="E311" s="16">
        <v>0.30921052631578999</v>
      </c>
      <c r="F311" s="16">
        <v>0.105960264900662</v>
      </c>
      <c r="G311" s="16">
        <v>0.22368421052631601</v>
      </c>
      <c r="H311" s="16">
        <v>0.30566874237014102</v>
      </c>
      <c r="I311" s="16">
        <v>0.226220322423588</v>
      </c>
      <c r="J311" s="16">
        <v>0.70286854512140695</v>
      </c>
      <c r="K311" s="16">
        <v>0.621604049204044</v>
      </c>
      <c r="L311" s="16">
        <v>0.86307177212598496</v>
      </c>
      <c r="M311" s="16">
        <v>0.33096085409252701</v>
      </c>
      <c r="N311" s="16">
        <v>0.32450331125827803</v>
      </c>
      <c r="O311" s="16">
        <v>1</v>
      </c>
      <c r="P311" s="17">
        <f t="shared" si="44"/>
        <v>0.23992508096571166</v>
      </c>
      <c r="Q311" s="17">
        <f t="shared" si="45"/>
        <v>0.72918145548381197</v>
      </c>
      <c r="R311" s="17">
        <f t="shared" si="46"/>
        <v>0.5518213884502684</v>
      </c>
      <c r="S311" s="17">
        <f>'02_지표정의'!$C$22*P311+'02_지표정의'!$C$23*Q311+'02_지표정의'!$C$24*R311</f>
        <v>0.56925415711845162</v>
      </c>
      <c r="T311" s="5">
        <f t="shared" si="47"/>
        <v>0</v>
      </c>
      <c r="U311" s="5" t="str">
        <f t="shared" si="48"/>
        <v>특허</v>
      </c>
      <c r="V311" s="18">
        <f t="shared" si="49"/>
        <v>283</v>
      </c>
      <c r="W311" s="5">
        <f t="shared" si="50"/>
        <v>231</v>
      </c>
      <c r="X311" s="5">
        <f t="shared" si="51"/>
        <v>113</v>
      </c>
      <c r="Y311" s="5">
        <f t="shared" si="52"/>
        <v>0</v>
      </c>
      <c r="Z311" s="19">
        <f t="shared" si="53"/>
        <v>11</v>
      </c>
      <c r="AA311" s="20">
        <f>ABS(S311-SUMPRODUCT(('05B_가정검정'!$A$5:$A$19=B311)*('05B_가정검정'!$B$5:$B$19=C311)*'05B_가정검정'!$E$5:$E$19))</f>
        <v>7.0098797590226858E-2</v>
      </c>
      <c r="AB311" s="20">
        <f t="shared" si="54"/>
        <v>-5.3627465071194536E-2</v>
      </c>
    </row>
    <row r="312" spans="1:28">
      <c r="A312" s="15" t="s">
        <v>143</v>
      </c>
      <c r="B312" s="15" t="s">
        <v>122</v>
      </c>
      <c r="C312" s="15" t="s">
        <v>118</v>
      </c>
      <c r="D312" s="16">
        <v>0.34980988593155898</v>
      </c>
      <c r="E312" s="16">
        <v>0.42228739002932603</v>
      </c>
      <c r="F312" s="16">
        <v>0.13569321533923301</v>
      </c>
      <c r="G312" s="16">
        <v>0.30498533724340199</v>
      </c>
      <c r="H312" s="16">
        <v>0.31315855795251202</v>
      </c>
      <c r="I312" s="16">
        <v>0.31860034054663799</v>
      </c>
      <c r="J312" s="16">
        <v>0.72931842464667096</v>
      </c>
      <c r="K312" s="16">
        <v>0.68666581063028498</v>
      </c>
      <c r="L312" s="16">
        <v>0.87397859307126702</v>
      </c>
      <c r="M312" s="16">
        <v>0.580071174377224</v>
      </c>
      <c r="N312" s="16">
        <v>0.64900662251655605</v>
      </c>
      <c r="O312" s="16">
        <v>1</v>
      </c>
      <c r="P312" s="17">
        <f t="shared" si="44"/>
        <v>0.30742245450711164</v>
      </c>
      <c r="Q312" s="17">
        <f t="shared" si="45"/>
        <v>0.76332094278274099</v>
      </c>
      <c r="R312" s="17">
        <f t="shared" si="46"/>
        <v>0.74302593229792668</v>
      </c>
      <c r="S312" s="17">
        <f>'02_지표정의'!$C$22*P312+'02_지표정의'!$C$23*Q312+'02_지표정의'!$C$24*R312</f>
        <v>0.66503799145793008</v>
      </c>
      <c r="T312" s="5">
        <f t="shared" si="47"/>
        <v>1</v>
      </c>
      <c r="U312" s="5" t="str">
        <f t="shared" si="48"/>
        <v>특허</v>
      </c>
      <c r="V312" s="18">
        <f t="shared" si="49"/>
        <v>693</v>
      </c>
      <c r="W312" s="5">
        <f t="shared" si="50"/>
        <v>503</v>
      </c>
      <c r="X312" s="5">
        <f t="shared" si="51"/>
        <v>0</v>
      </c>
      <c r="Y312" s="5">
        <f t="shared" si="52"/>
        <v>510</v>
      </c>
      <c r="Z312" s="19">
        <f t="shared" si="53"/>
        <v>61</v>
      </c>
      <c r="AA312" s="20">
        <f>ABS(S312-SUMPRODUCT(('05B_가정검정'!$A$5:$A$19=B312)*('05B_가정검정'!$B$5:$B$19=C312)*'05B_가정검정'!$E$5:$E$19))</f>
        <v>7.8116055460771827E-2</v>
      </c>
      <c r="AB312" s="20">
        <f t="shared" si="54"/>
        <v>8.3814715240246307E-2</v>
      </c>
    </row>
    <row r="313" spans="1:28">
      <c r="A313" s="15" t="s">
        <v>143</v>
      </c>
      <c r="B313" s="15" t="s">
        <v>122</v>
      </c>
      <c r="C313" s="15" t="s">
        <v>119</v>
      </c>
      <c r="D313" s="16">
        <v>0.28031145717463901</v>
      </c>
      <c r="E313" s="16">
        <v>0.46527777777777801</v>
      </c>
      <c r="F313" s="16">
        <v>0.195804195804196</v>
      </c>
      <c r="G313" s="16">
        <v>0.34027777777777801</v>
      </c>
      <c r="H313" s="16">
        <v>0.34323115421265898</v>
      </c>
      <c r="I313" s="16">
        <v>0.28129572798298902</v>
      </c>
      <c r="J313" s="16">
        <v>0.72489126598893705</v>
      </c>
      <c r="K313" s="16">
        <v>0.63853132075644603</v>
      </c>
      <c r="L313" s="16">
        <v>0.860972322259975</v>
      </c>
      <c r="M313" s="16">
        <v>0.53736654804270501</v>
      </c>
      <c r="N313" s="16">
        <v>0.59602649006622499</v>
      </c>
      <c r="O313" s="16">
        <v>1</v>
      </c>
      <c r="P313" s="17">
        <f t="shared" si="44"/>
        <v>0.31769968178833979</v>
      </c>
      <c r="Q313" s="17">
        <f t="shared" si="45"/>
        <v>0.74146496966845277</v>
      </c>
      <c r="R313" s="17">
        <f t="shared" si="46"/>
        <v>0.71113101270297674</v>
      </c>
      <c r="S313" s="17">
        <f>'02_지표정의'!$C$22*P313+'02_지표정의'!$C$23*Q313+'02_지표정의'!$C$24*R313</f>
        <v>0.64609502715451361</v>
      </c>
      <c r="T313" s="5">
        <f t="shared" si="47"/>
        <v>0</v>
      </c>
      <c r="U313" s="5" t="str">
        <f t="shared" si="48"/>
        <v>특허</v>
      </c>
      <c r="V313" s="18">
        <f t="shared" si="49"/>
        <v>600</v>
      </c>
      <c r="W313" s="5">
        <f t="shared" si="50"/>
        <v>0</v>
      </c>
      <c r="X313" s="5">
        <f t="shared" si="51"/>
        <v>290</v>
      </c>
      <c r="Y313" s="5">
        <f t="shared" si="52"/>
        <v>449</v>
      </c>
      <c r="Z313" s="19">
        <f t="shared" si="53"/>
        <v>37</v>
      </c>
      <c r="AA313" s="20">
        <f>ABS(S313-SUMPRODUCT(('05B_가정검정'!$A$5:$A$19=B313)*('05B_가정검정'!$B$5:$B$19=C313)*'05B_가정검정'!$E$5:$E$19))</f>
        <v>1.048883925306221E-2</v>
      </c>
      <c r="AB313" s="20">
        <f t="shared" si="54"/>
        <v>1.4706160839627613E-2</v>
      </c>
    </row>
    <row r="314" spans="1:28">
      <c r="A314" s="15" t="s">
        <v>143</v>
      </c>
      <c r="B314" s="15" t="s">
        <v>123</v>
      </c>
      <c r="C314" s="15" t="s">
        <v>117</v>
      </c>
      <c r="D314" s="16">
        <v>0.249194414607948</v>
      </c>
      <c r="E314" s="16">
        <v>0.35205992509363299</v>
      </c>
      <c r="F314" s="16">
        <v>0.12075471698113199</v>
      </c>
      <c r="G314" s="16">
        <v>0.27715355805243502</v>
      </c>
      <c r="H314" s="16">
        <v>0.33885226999073997</v>
      </c>
      <c r="I314" s="16">
        <v>0.19518562527813699</v>
      </c>
      <c r="J314" s="16">
        <v>0.71813659853509504</v>
      </c>
      <c r="K314" s="16">
        <v>0.68622666986806502</v>
      </c>
      <c r="L314" s="16">
        <v>0.87769242213566001</v>
      </c>
      <c r="M314" s="16">
        <v>0.90654205607476601</v>
      </c>
      <c r="N314" s="16">
        <v>0.91666666666666696</v>
      </c>
      <c r="O314" s="16">
        <v>1</v>
      </c>
      <c r="P314" s="17">
        <f t="shared" si="44"/>
        <v>0.25553341833400417</v>
      </c>
      <c r="Q314" s="17">
        <f t="shared" si="45"/>
        <v>0.76068523017960665</v>
      </c>
      <c r="R314" s="17">
        <f t="shared" si="46"/>
        <v>0.94106957424714432</v>
      </c>
      <c r="S314" s="17">
        <f>'02_지표정의'!$C$22*P314+'02_지표정의'!$C$23*Q314+'02_지표정의'!$C$24*R314</f>
        <v>0.72278938823412431</v>
      </c>
      <c r="T314" s="5">
        <f t="shared" si="47"/>
        <v>0</v>
      </c>
      <c r="U314" s="5" t="str">
        <f t="shared" si="48"/>
        <v>특허</v>
      </c>
      <c r="V314" s="18">
        <f t="shared" si="49"/>
        <v>888</v>
      </c>
      <c r="W314" s="5">
        <f t="shared" si="50"/>
        <v>594</v>
      </c>
      <c r="X314" s="5">
        <f t="shared" si="51"/>
        <v>563</v>
      </c>
      <c r="Y314" s="5">
        <f t="shared" si="52"/>
        <v>0</v>
      </c>
      <c r="Z314" s="19">
        <f t="shared" si="53"/>
        <v>47</v>
      </c>
      <c r="AA314" s="20">
        <f>ABS(S314-SUMPRODUCT(('05B_가정검정'!$A$5:$A$19=B314)*('05B_가정검정'!$B$5:$B$19=C314)*'05B_가정검정'!$E$5:$E$19))</f>
        <v>7.8665054579005744E-3</v>
      </c>
      <c r="AB314" s="20">
        <f t="shared" si="54"/>
        <v>1.4803936422881137E-2</v>
      </c>
    </row>
    <row r="315" spans="1:28">
      <c r="A315" s="15" t="s">
        <v>143</v>
      </c>
      <c r="B315" s="15" t="s">
        <v>123</v>
      </c>
      <c r="C315" s="15" t="s">
        <v>118</v>
      </c>
      <c r="D315" s="16">
        <v>0.268326417704011</v>
      </c>
      <c r="E315" s="16">
        <v>0.32236842105263203</v>
      </c>
      <c r="F315" s="16">
        <v>0.12582781456953601</v>
      </c>
      <c r="G315" s="16">
        <v>0.25657894736842102</v>
      </c>
      <c r="H315" s="16">
        <v>0.229595067701899</v>
      </c>
      <c r="I315" s="16">
        <v>0.18274090402781901</v>
      </c>
      <c r="J315" s="16">
        <v>0.70635433069542297</v>
      </c>
      <c r="K315" s="16">
        <v>0.69184580039663102</v>
      </c>
      <c r="L315" s="16">
        <v>0.8585173650672</v>
      </c>
      <c r="M315" s="16">
        <v>0.402489626556017</v>
      </c>
      <c r="N315" s="16">
        <v>0.46610169491525399</v>
      </c>
      <c r="O315" s="16">
        <v>1</v>
      </c>
      <c r="P315" s="17">
        <f t="shared" si="44"/>
        <v>0.23090626207071965</v>
      </c>
      <c r="Q315" s="17">
        <f t="shared" si="45"/>
        <v>0.75223916538641811</v>
      </c>
      <c r="R315" s="17">
        <f t="shared" si="46"/>
        <v>0.62286377382375702</v>
      </c>
      <c r="S315" s="17">
        <f>'02_지표정의'!$C$22*P315+'02_지표정의'!$C$23*Q315+'02_지표정의'!$C$24*R315</f>
        <v>0.60269119767634705</v>
      </c>
      <c r="T315" s="5">
        <f t="shared" si="47"/>
        <v>0</v>
      </c>
      <c r="U315" s="5" t="str">
        <f t="shared" si="48"/>
        <v>특허</v>
      </c>
      <c r="V315" s="18">
        <f t="shared" si="49"/>
        <v>401</v>
      </c>
      <c r="W315" s="5">
        <f t="shared" si="50"/>
        <v>325</v>
      </c>
      <c r="X315" s="5">
        <f t="shared" si="51"/>
        <v>0</v>
      </c>
      <c r="Y315" s="5">
        <f t="shared" si="52"/>
        <v>306</v>
      </c>
      <c r="Z315" s="19">
        <f t="shared" si="53"/>
        <v>50</v>
      </c>
      <c r="AA315" s="20">
        <f>ABS(S315-SUMPRODUCT(('05B_가정검정'!$A$5:$A$19=B315)*('05B_가정검정'!$B$5:$B$19=C315)*'05B_가정검정'!$E$5:$E$19))</f>
        <v>2.739237079737733E-2</v>
      </c>
      <c r="AB315" s="20">
        <f t="shared" si="54"/>
        <v>4.2819589751855958E-2</v>
      </c>
    </row>
    <row r="316" spans="1:28">
      <c r="A316" s="15" t="s">
        <v>143</v>
      </c>
      <c r="B316" s="15" t="s">
        <v>123</v>
      </c>
      <c r="C316" s="15" t="s">
        <v>119</v>
      </c>
      <c r="D316" s="16">
        <v>0.29051620648259302</v>
      </c>
      <c r="E316" s="16">
        <v>0.39840637450199201</v>
      </c>
      <c r="F316" s="16">
        <v>0.14457831325301199</v>
      </c>
      <c r="G316" s="16">
        <v>0.30278884462151401</v>
      </c>
      <c r="H316" s="16">
        <v>0.36069964982682601</v>
      </c>
      <c r="I316" s="16">
        <v>0.25825516355106698</v>
      </c>
      <c r="J316" s="16">
        <v>0.73620763526905897</v>
      </c>
      <c r="K316" s="16">
        <v>0.68428414012327798</v>
      </c>
      <c r="L316" s="16">
        <v>0.87434110502598295</v>
      </c>
      <c r="M316" s="16">
        <v>0.56725146198830401</v>
      </c>
      <c r="N316" s="16">
        <v>0.53398058252427205</v>
      </c>
      <c r="O316" s="16">
        <v>1</v>
      </c>
      <c r="P316" s="17">
        <f t="shared" si="44"/>
        <v>0.2925407587061673</v>
      </c>
      <c r="Q316" s="17">
        <f t="shared" si="45"/>
        <v>0.76494429347277337</v>
      </c>
      <c r="R316" s="17">
        <f t="shared" si="46"/>
        <v>0.70041068150419206</v>
      </c>
      <c r="S316" s="17">
        <f>'02_지표정의'!$C$22*P316+'02_지표정의'!$C$23*Q316+'02_지표정의'!$C$24*R316</f>
        <v>0.64787682233044874</v>
      </c>
      <c r="T316" s="5">
        <f t="shared" si="47"/>
        <v>1</v>
      </c>
      <c r="U316" s="5" t="str">
        <f t="shared" si="48"/>
        <v>특허</v>
      </c>
      <c r="V316" s="18">
        <f t="shared" si="49"/>
        <v>609</v>
      </c>
      <c r="W316" s="5">
        <f t="shared" si="50"/>
        <v>0</v>
      </c>
      <c r="X316" s="5">
        <f t="shared" si="51"/>
        <v>296</v>
      </c>
      <c r="Y316" s="5">
        <f t="shared" si="52"/>
        <v>456</v>
      </c>
      <c r="Z316" s="19">
        <f t="shared" si="53"/>
        <v>14</v>
      </c>
      <c r="AA316" s="20">
        <f>ABS(S316-SUMPRODUCT(('05B_가정검정'!$A$5:$A$19=B316)*('05B_가정검정'!$B$5:$B$19=C316)*'05B_가정검정'!$E$5:$E$19))</f>
        <v>3.775297499377861E-2</v>
      </c>
      <c r="AB316" s="20">
        <f t="shared" si="54"/>
        <v>-3.4541910714553037E-2</v>
      </c>
    </row>
    <row r="317" spans="1:28">
      <c r="A317" s="15" t="s">
        <v>144</v>
      </c>
      <c r="B317" s="15" t="s">
        <v>116</v>
      </c>
      <c r="C317" s="15" t="s">
        <v>117</v>
      </c>
      <c r="D317" s="16">
        <v>0.206451612903226</v>
      </c>
      <c r="E317" s="16">
        <v>0.22881355932203401</v>
      </c>
      <c r="F317" s="16">
        <v>9.4017094017094002E-2</v>
      </c>
      <c r="G317" s="16">
        <v>0.21186440677966101</v>
      </c>
      <c r="H317" s="16">
        <v>0.212735756955375</v>
      </c>
      <c r="I317" s="16">
        <v>0.12805446639132601</v>
      </c>
      <c r="J317" s="16">
        <v>0.64690189050220603</v>
      </c>
      <c r="K317" s="16">
        <v>0.61313905032559901</v>
      </c>
      <c r="L317" s="16">
        <v>0.80247986959755202</v>
      </c>
      <c r="M317" s="16">
        <v>0.56291390728476798</v>
      </c>
      <c r="N317" s="16">
        <v>0.109756097560976</v>
      </c>
      <c r="O317" s="16">
        <v>1</v>
      </c>
      <c r="P317" s="17">
        <f t="shared" si="44"/>
        <v>0.18032281606145265</v>
      </c>
      <c r="Q317" s="17">
        <f t="shared" si="45"/>
        <v>0.68750693680845243</v>
      </c>
      <c r="R317" s="17">
        <f t="shared" si="46"/>
        <v>0.55755666828191464</v>
      </c>
      <c r="S317" s="17">
        <f>'02_지표정의'!$C$22*P317+'02_지표정의'!$C$23*Q317+'02_지표정의'!$C$24*R317</f>
        <v>0.54058751867476418</v>
      </c>
      <c r="T317" s="5">
        <f t="shared" si="47"/>
        <v>0</v>
      </c>
      <c r="U317" s="5" t="str">
        <f t="shared" si="48"/>
        <v>특허</v>
      </c>
      <c r="V317" s="18">
        <f t="shared" si="49"/>
        <v>173</v>
      </c>
      <c r="W317" s="5">
        <f t="shared" si="50"/>
        <v>150</v>
      </c>
      <c r="X317" s="5">
        <f t="shared" si="51"/>
        <v>42</v>
      </c>
      <c r="Y317" s="5">
        <f t="shared" si="52"/>
        <v>0</v>
      </c>
      <c r="Z317" s="19">
        <f t="shared" si="53"/>
        <v>17</v>
      </c>
      <c r="AA317" s="20">
        <f>ABS(S317-SUMPRODUCT(('05B_가정검정'!$A$5:$A$19=B317)*('05B_가정검정'!$B$5:$B$19=C317)*'05B_가정검정'!$E$5:$E$19))</f>
        <v>1.6816186310203096E-2</v>
      </c>
      <c r="AB317" s="20">
        <f t="shared" si="54"/>
        <v>-1.1963646737859213E-2</v>
      </c>
    </row>
    <row r="318" spans="1:28">
      <c r="A318" s="15" t="s">
        <v>144</v>
      </c>
      <c r="B318" s="15" t="s">
        <v>116</v>
      </c>
      <c r="C318" s="15" t="s">
        <v>118</v>
      </c>
      <c r="D318" s="16">
        <v>0.260614934114202</v>
      </c>
      <c r="E318" s="16">
        <v>0.26785714285714302</v>
      </c>
      <c r="F318" s="16">
        <v>0.117117117117117</v>
      </c>
      <c r="G318" s="16">
        <v>0.24107142857142899</v>
      </c>
      <c r="H318" s="16">
        <v>0.154782692232491</v>
      </c>
      <c r="I318" s="16">
        <v>0.21652716169441899</v>
      </c>
      <c r="J318" s="16">
        <v>0.64066111331702302</v>
      </c>
      <c r="K318" s="16">
        <v>0.66896329008926403</v>
      </c>
      <c r="L318" s="16">
        <v>0.82231601207244398</v>
      </c>
      <c r="M318" s="16">
        <v>0.53296703296703296</v>
      </c>
      <c r="N318" s="16">
        <v>0</v>
      </c>
      <c r="O318" s="16">
        <v>1</v>
      </c>
      <c r="P318" s="17">
        <f t="shared" si="44"/>
        <v>0.20966174609780017</v>
      </c>
      <c r="Q318" s="17">
        <f t="shared" si="45"/>
        <v>0.7106468051595769</v>
      </c>
      <c r="R318" s="17">
        <f t="shared" si="46"/>
        <v>0.51098901098901095</v>
      </c>
      <c r="S318" s="17">
        <f>'02_지표정의'!$C$22*P318+'02_지표정의'!$C$23*Q318+'02_지표정의'!$C$24*R318</f>
        <v>0.54056956538752343</v>
      </c>
      <c r="T318" s="5">
        <f t="shared" si="47"/>
        <v>0</v>
      </c>
      <c r="U318" s="5" t="str">
        <f t="shared" si="48"/>
        <v>특허</v>
      </c>
      <c r="V318" s="18">
        <f t="shared" si="49"/>
        <v>171</v>
      </c>
      <c r="W318" s="5">
        <f t="shared" si="50"/>
        <v>148</v>
      </c>
      <c r="X318" s="5">
        <f t="shared" si="51"/>
        <v>0</v>
      </c>
      <c r="Y318" s="5">
        <f t="shared" si="52"/>
        <v>154</v>
      </c>
      <c r="Z318" s="19">
        <f t="shared" si="53"/>
        <v>40</v>
      </c>
      <c r="AA318" s="20">
        <f>ABS(S318-SUMPRODUCT(('05B_가정검정'!$A$5:$A$19=B318)*('05B_가정검정'!$B$5:$B$19=C318)*'05B_가정검정'!$E$5:$E$19))</f>
        <v>9.2771436858017919E-3</v>
      </c>
      <c r="AB318" s="20">
        <f t="shared" si="54"/>
        <v>1.302053300893713E-2</v>
      </c>
    </row>
    <row r="319" spans="1:28">
      <c r="A319" s="15" t="s">
        <v>144</v>
      </c>
      <c r="B319" s="15" t="s">
        <v>116</v>
      </c>
      <c r="C319" s="15" t="s">
        <v>119</v>
      </c>
      <c r="D319" s="16">
        <v>0.27181688125894099</v>
      </c>
      <c r="E319" s="16">
        <v>0.36190476190476201</v>
      </c>
      <c r="F319" s="16">
        <v>0.16346153846153899</v>
      </c>
      <c r="G319" s="16">
        <v>0.29523809523809502</v>
      </c>
      <c r="H319" s="16">
        <v>0.21990453266992099</v>
      </c>
      <c r="I319" s="16">
        <v>0.34812622606243399</v>
      </c>
      <c r="J319" s="16">
        <v>0.71393254612824197</v>
      </c>
      <c r="K319" s="16">
        <v>0.68042539806068703</v>
      </c>
      <c r="L319" s="16">
        <v>0.82948504286140701</v>
      </c>
      <c r="M319" s="16">
        <v>0.39644970414201203</v>
      </c>
      <c r="N319" s="16">
        <v>0</v>
      </c>
      <c r="O319" s="16">
        <v>1</v>
      </c>
      <c r="P319" s="17">
        <f t="shared" si="44"/>
        <v>0.27674200593261533</v>
      </c>
      <c r="Q319" s="17">
        <f t="shared" si="45"/>
        <v>0.7412809956834453</v>
      </c>
      <c r="R319" s="17">
        <f t="shared" si="46"/>
        <v>0.46548323471400405</v>
      </c>
      <c r="S319" s="17">
        <f>'02_지표정의'!$C$22*P319+'02_지표정의'!$C$23*Q319+'02_지표정의'!$C$24*R319</f>
        <v>0.55184398139397484</v>
      </c>
      <c r="T319" s="5">
        <f t="shared" si="47"/>
        <v>0</v>
      </c>
      <c r="U319" s="5" t="str">
        <f t="shared" si="48"/>
        <v>특허</v>
      </c>
      <c r="V319" s="18">
        <f t="shared" si="49"/>
        <v>212</v>
      </c>
      <c r="W319" s="5">
        <f t="shared" si="50"/>
        <v>0</v>
      </c>
      <c r="X319" s="5">
        <f t="shared" si="51"/>
        <v>66</v>
      </c>
      <c r="Y319" s="5">
        <f t="shared" si="52"/>
        <v>183</v>
      </c>
      <c r="Z319" s="19">
        <f t="shared" si="53"/>
        <v>31</v>
      </c>
      <c r="AA319" s="20">
        <f>ABS(S319-SUMPRODUCT(('05B_가정검정'!$A$5:$A$19=B319)*('05B_가정검정'!$B$5:$B$19=C319)*'05B_가정검정'!$E$5:$E$19))</f>
        <v>1.1795353488077698E-3</v>
      </c>
      <c r="AB319" s="20">
        <f t="shared" si="54"/>
        <v>-4.608502282205218E-3</v>
      </c>
    </row>
    <row r="320" spans="1:28">
      <c r="A320" s="15" t="s">
        <v>144</v>
      </c>
      <c r="B320" s="15" t="s">
        <v>120</v>
      </c>
      <c r="C320" s="15" t="s">
        <v>117</v>
      </c>
      <c r="D320" s="16">
        <v>0.22381930184804899</v>
      </c>
      <c r="E320" s="16">
        <v>0.29893238434163699</v>
      </c>
      <c r="F320" s="16">
        <v>8.6021505376344107E-2</v>
      </c>
      <c r="G320" s="16">
        <v>0.199288256227758</v>
      </c>
      <c r="H320" s="16">
        <v>0.27708151041378798</v>
      </c>
      <c r="I320" s="16">
        <v>0.18126640996771501</v>
      </c>
      <c r="J320" s="16">
        <v>0.70168271993108899</v>
      </c>
      <c r="K320" s="16">
        <v>0.62333799731934503</v>
      </c>
      <c r="L320" s="16">
        <v>0.80446144141333897</v>
      </c>
      <c r="M320" s="16">
        <v>0.63265306122449005</v>
      </c>
      <c r="N320" s="16">
        <v>0.75714285714285701</v>
      </c>
      <c r="O320" s="16">
        <v>1</v>
      </c>
      <c r="P320" s="17">
        <f t="shared" si="44"/>
        <v>0.21106822802921518</v>
      </c>
      <c r="Q320" s="17">
        <f t="shared" si="45"/>
        <v>0.70982738622125774</v>
      </c>
      <c r="R320" s="17">
        <f t="shared" si="46"/>
        <v>0.79659863945578235</v>
      </c>
      <c r="S320" s="17">
        <f>'02_지표정의'!$C$22*P320+'02_지표정의'!$C$23*Q320+'02_지표정의'!$C$24*R320</f>
        <v>0.64044549321493283</v>
      </c>
      <c r="T320" s="5">
        <f t="shared" si="47"/>
        <v>0</v>
      </c>
      <c r="U320" s="5" t="str">
        <f t="shared" si="48"/>
        <v>특허</v>
      </c>
      <c r="V320" s="18">
        <f t="shared" si="49"/>
        <v>578</v>
      </c>
      <c r="W320" s="5">
        <f t="shared" si="50"/>
        <v>449</v>
      </c>
      <c r="X320" s="5">
        <f t="shared" si="51"/>
        <v>273</v>
      </c>
      <c r="Y320" s="5">
        <f t="shared" si="52"/>
        <v>0</v>
      </c>
      <c r="Z320" s="19">
        <f t="shared" si="53"/>
        <v>45</v>
      </c>
      <c r="AA320" s="20">
        <f>ABS(S320-SUMPRODUCT(('05B_가정검정'!$A$5:$A$19=B320)*('05B_가정검정'!$B$5:$B$19=C320)*'05B_가정검정'!$E$5:$E$19))</f>
        <v>1.2396533157811751E-2</v>
      </c>
      <c r="AB320" s="20">
        <f t="shared" si="54"/>
        <v>9.1427897901756872E-3</v>
      </c>
    </row>
    <row r="321" spans="1:28">
      <c r="A321" s="15" t="s">
        <v>144</v>
      </c>
      <c r="B321" s="15" t="s">
        <v>120</v>
      </c>
      <c r="C321" s="15" t="s">
        <v>118</v>
      </c>
      <c r="D321" s="16">
        <v>0.24716553287981899</v>
      </c>
      <c r="E321" s="16">
        <v>0.260223048327138</v>
      </c>
      <c r="F321" s="16">
        <v>8.98876404494382E-2</v>
      </c>
      <c r="G321" s="16">
        <v>0.215613382899628</v>
      </c>
      <c r="H321" s="16">
        <v>0.19603748268375701</v>
      </c>
      <c r="I321" s="16">
        <v>0.23363279496072401</v>
      </c>
      <c r="J321" s="16">
        <v>0.66847521009148403</v>
      </c>
      <c r="K321" s="16">
        <v>0.68595127954169099</v>
      </c>
      <c r="L321" s="16">
        <v>0.82172867237715397</v>
      </c>
      <c r="M321" s="16">
        <v>0.52197802197802201</v>
      </c>
      <c r="N321" s="16">
        <v>0.54081632653061196</v>
      </c>
      <c r="O321" s="16">
        <v>1</v>
      </c>
      <c r="P321" s="17">
        <f t="shared" si="44"/>
        <v>0.20709331370008402</v>
      </c>
      <c r="Q321" s="17">
        <f t="shared" si="45"/>
        <v>0.72538505400344311</v>
      </c>
      <c r="R321" s="17">
        <f t="shared" si="46"/>
        <v>0.68759811616954458</v>
      </c>
      <c r="S321" s="17">
        <f>'02_지표정의'!$C$22*P321+'02_지표정의'!$C$23*Q321+'02_지표정의'!$C$24*R321</f>
        <v>0.60850127770090678</v>
      </c>
      <c r="T321" s="5">
        <f t="shared" si="47"/>
        <v>0</v>
      </c>
      <c r="U321" s="5" t="str">
        <f t="shared" si="48"/>
        <v>특허</v>
      </c>
      <c r="V321" s="18">
        <f t="shared" si="49"/>
        <v>427</v>
      </c>
      <c r="W321" s="5">
        <f t="shared" si="50"/>
        <v>348</v>
      </c>
      <c r="X321" s="5">
        <f t="shared" si="51"/>
        <v>0</v>
      </c>
      <c r="Y321" s="5">
        <f t="shared" si="52"/>
        <v>325</v>
      </c>
      <c r="Z321" s="19">
        <f t="shared" si="53"/>
        <v>42</v>
      </c>
      <c r="AA321" s="20">
        <f>ABS(S321-SUMPRODUCT(('05B_가정검정'!$A$5:$A$19=B321)*('05B_가정검정'!$B$5:$B$19=C321)*'05B_가정검정'!$E$5:$E$19))</f>
        <v>1.7672429119278799E-2</v>
      </c>
      <c r="AB321" s="20">
        <f t="shared" si="54"/>
        <v>3.3610501738795984E-2</v>
      </c>
    </row>
    <row r="322" spans="1:28">
      <c r="A322" s="15" t="s">
        <v>144</v>
      </c>
      <c r="B322" s="15" t="s">
        <v>120</v>
      </c>
      <c r="C322" s="15" t="s">
        <v>119</v>
      </c>
      <c r="D322" s="16">
        <v>0.258351893095768</v>
      </c>
      <c r="E322" s="16">
        <v>0.34509803921568599</v>
      </c>
      <c r="F322" s="16">
        <v>0.110671936758893</v>
      </c>
      <c r="G322" s="16">
        <v>0.23529411764705899</v>
      </c>
      <c r="H322" s="16">
        <v>0.27872302701940799</v>
      </c>
      <c r="I322" s="16">
        <v>0.32698038898602699</v>
      </c>
      <c r="J322" s="16">
        <v>0.71754023989464499</v>
      </c>
      <c r="K322" s="16">
        <v>0.67791378005399405</v>
      </c>
      <c r="L322" s="16">
        <v>0.85125579402915597</v>
      </c>
      <c r="M322" s="16">
        <v>0.56213017751479299</v>
      </c>
      <c r="N322" s="16">
        <v>0.51960784313725505</v>
      </c>
      <c r="O322" s="16">
        <v>1</v>
      </c>
      <c r="P322" s="17">
        <f t="shared" ref="P322:P385" si="55">AVERAGE(D322:I322)</f>
        <v>0.2591865671204735</v>
      </c>
      <c r="Q322" s="17">
        <f t="shared" ref="Q322:Q385" si="56">AVERAGE(J322:L322)</f>
        <v>0.74890327132593171</v>
      </c>
      <c r="R322" s="17">
        <f t="shared" ref="R322:R385" si="57">AVERAGE(M322:O322)</f>
        <v>0.69391267355068276</v>
      </c>
      <c r="S322" s="17">
        <f>'02_지표정의'!$C$22*P322+'02_지표정의'!$C$23*Q322+'02_지표정의'!$C$24*R322</f>
        <v>0.63171322126350293</v>
      </c>
      <c r="T322" s="5">
        <f t="shared" ref="T322:T385" si="58">IF(OR(AND(B322="gemini",C322="gemma"),AND(B322="qwen3_6",C322="qwen"),AND(B322="mistral",C322="ministral")),1,0)</f>
        <v>0</v>
      </c>
      <c r="U322" s="5" t="str">
        <f t="shared" ref="U322:U385" si="59">IF(LEFT(A322,3)="PAT","특허","보고서")</f>
        <v>특허</v>
      </c>
      <c r="V322" s="18">
        <f t="shared" ref="V322:V385" si="60">COUNTIF($S$2:$S$976,"&lt;"&amp;S322)+(COUNTIF($S$2:$S$976,"="&amp;S322)+1)/2</f>
        <v>536</v>
      </c>
      <c r="W322" s="5">
        <f t="shared" ref="W322:W385" si="61">IF(C322="qwen",0,COUNTIFS($C$2:$C$976,"&lt;&gt;qwen",$S$2:$S$976,"&lt;"&amp;S322)+1)</f>
        <v>0</v>
      </c>
      <c r="X322" s="5">
        <f t="shared" ref="X322:X385" si="62">IF(C322="ministral",0,COUNTIFS($C$2:$C$976,"&lt;&gt;ministral",$S$2:$S$976,"&lt;"&amp;S322)+1)</f>
        <v>239</v>
      </c>
      <c r="Y322" s="5">
        <f t="shared" ref="Y322:Y385" si="63">IF(C322="gemma",0,COUNTIFS($C$2:$C$976,"&lt;&gt;gemma",$S$2:$S$976,"&lt;"&amp;S322)+1)</f>
        <v>405</v>
      </c>
      <c r="Z322" s="19">
        <f t="shared" ref="Z322:Z385" si="64">COUNTIFS($B$2:$B$976,B322,$C$2:$C$976,C322,$S$2:$S$976,"&lt;"&amp;S322)+1</f>
        <v>13</v>
      </c>
      <c r="AA322" s="20">
        <f>ABS(S322-SUMPRODUCT(('05B_가정검정'!$A$5:$A$19=B322)*('05B_가정검정'!$B$5:$B$19=C322)*'05B_가정검정'!$E$5:$E$19))</f>
        <v>3.1964095217883348E-2</v>
      </c>
      <c r="AB322" s="20">
        <f t="shared" ref="AB322:AB385" si="65">S322-AVERAGEIFS($S$2:$S$976,$B$2:$B$976,B322,$C$2:$C$976,C322)</f>
        <v>-2.6709786247312683E-2</v>
      </c>
    </row>
    <row r="323" spans="1:28">
      <c r="A323" s="15" t="s">
        <v>144</v>
      </c>
      <c r="B323" s="15" t="s">
        <v>121</v>
      </c>
      <c r="C323" s="15" t="s">
        <v>117</v>
      </c>
      <c r="D323" s="16">
        <v>0.223004694835681</v>
      </c>
      <c r="E323" s="16">
        <v>0.28451882845188298</v>
      </c>
      <c r="F323" s="16">
        <v>8.4388185654008394E-2</v>
      </c>
      <c r="G323" s="16">
        <v>0.20083682008368201</v>
      </c>
      <c r="H323" s="16">
        <v>0.27701428247165399</v>
      </c>
      <c r="I323" s="16">
        <v>0.185595806150952</v>
      </c>
      <c r="J323" s="16">
        <v>0.71724904081853003</v>
      </c>
      <c r="K323" s="16">
        <v>0.73394355757029095</v>
      </c>
      <c r="L323" s="16">
        <v>0.87919697591493495</v>
      </c>
      <c r="M323" s="16">
        <v>0.65986394557823103</v>
      </c>
      <c r="N323" s="16">
        <v>0.78571428571428603</v>
      </c>
      <c r="O323" s="16">
        <v>1</v>
      </c>
      <c r="P323" s="17">
        <f t="shared" si="55"/>
        <v>0.20922643627464341</v>
      </c>
      <c r="Q323" s="17">
        <f t="shared" si="56"/>
        <v>0.77679652476791861</v>
      </c>
      <c r="R323" s="17">
        <f t="shared" si="57"/>
        <v>0.81519274376417228</v>
      </c>
      <c r="S323" s="17">
        <f>'02_지표정의'!$C$22*P323+'02_지표정의'!$C$23*Q323+'02_지표정의'!$C$24*R323</f>
        <v>0.67672118371795231</v>
      </c>
      <c r="T323" s="5">
        <f t="shared" si="58"/>
        <v>1</v>
      </c>
      <c r="U323" s="5" t="str">
        <f t="shared" si="59"/>
        <v>특허</v>
      </c>
      <c r="V323" s="18">
        <f t="shared" si="60"/>
        <v>744</v>
      </c>
      <c r="W323" s="5">
        <f t="shared" si="61"/>
        <v>526</v>
      </c>
      <c r="X323" s="5">
        <f t="shared" si="62"/>
        <v>423</v>
      </c>
      <c r="Y323" s="5">
        <f t="shared" si="63"/>
        <v>0</v>
      </c>
      <c r="Z323" s="19">
        <f t="shared" si="64"/>
        <v>5</v>
      </c>
      <c r="AA323" s="20">
        <f>ABS(S323-SUMPRODUCT(('05B_가정검정'!$A$5:$A$19=B323)*('05B_가정검정'!$B$5:$B$19=C323)*'05B_가정검정'!$E$5:$E$19))</f>
        <v>5.271088766392884E-2</v>
      </c>
      <c r="AB323" s="20">
        <f t="shared" si="65"/>
        <v>-4.0930609354928649E-2</v>
      </c>
    </row>
    <row r="324" spans="1:28">
      <c r="A324" s="15" t="s">
        <v>144</v>
      </c>
      <c r="B324" s="15" t="s">
        <v>121</v>
      </c>
      <c r="C324" s="15" t="s">
        <v>118</v>
      </c>
      <c r="D324" s="16">
        <v>0.25789473684210501</v>
      </c>
      <c r="E324" s="16">
        <v>0.246696035242291</v>
      </c>
      <c r="F324" s="16">
        <v>9.7777777777777797E-2</v>
      </c>
      <c r="G324" s="16">
        <v>0.19383259911894299</v>
      </c>
      <c r="H324" s="16">
        <v>0.21184803291226001</v>
      </c>
      <c r="I324" s="16">
        <v>0.264849642668748</v>
      </c>
      <c r="J324" s="16">
        <v>0.716796831873453</v>
      </c>
      <c r="K324" s="16">
        <v>0.81190233333658102</v>
      </c>
      <c r="L324" s="16">
        <v>0.90702453922380899</v>
      </c>
      <c r="M324" s="16">
        <v>0.53296703296703296</v>
      </c>
      <c r="N324" s="16">
        <v>0.56122448979591799</v>
      </c>
      <c r="O324" s="16">
        <v>1</v>
      </c>
      <c r="P324" s="17">
        <f t="shared" si="55"/>
        <v>0.21214980409368747</v>
      </c>
      <c r="Q324" s="17">
        <f t="shared" si="56"/>
        <v>0.81190790147794767</v>
      </c>
      <c r="R324" s="17">
        <f t="shared" si="57"/>
        <v>0.69806384092098372</v>
      </c>
      <c r="S324" s="17">
        <f>'02_지표정의'!$C$22*P324+'02_지표정의'!$C$23*Q324+'02_지표정의'!$C$24*R324</f>
        <v>0.65211086080615832</v>
      </c>
      <c r="T324" s="5">
        <f t="shared" si="58"/>
        <v>0</v>
      </c>
      <c r="U324" s="5" t="str">
        <f t="shared" si="59"/>
        <v>특허</v>
      </c>
      <c r="V324" s="18">
        <f t="shared" si="60"/>
        <v>627</v>
      </c>
      <c r="W324" s="5">
        <f t="shared" si="61"/>
        <v>475</v>
      </c>
      <c r="X324" s="5">
        <f t="shared" si="62"/>
        <v>0</v>
      </c>
      <c r="Y324" s="5">
        <f t="shared" si="63"/>
        <v>468</v>
      </c>
      <c r="Z324" s="19">
        <f t="shared" si="64"/>
        <v>64</v>
      </c>
      <c r="AA324" s="20">
        <f>ABS(S324-SUMPRODUCT(('05B_가정검정'!$A$5:$A$19=B324)*('05B_가정검정'!$B$5:$B$19=C324)*'05B_가정검정'!$E$5:$E$19))</f>
        <v>5.353137063918989E-2</v>
      </c>
      <c r="AB324" s="20">
        <f t="shared" si="65"/>
        <v>7.2711786279345048E-2</v>
      </c>
    </row>
    <row r="325" spans="1:28">
      <c r="A325" s="15" t="s">
        <v>144</v>
      </c>
      <c r="B325" s="15" t="s">
        <v>121</v>
      </c>
      <c r="C325" s="15" t="s">
        <v>119</v>
      </c>
      <c r="D325" s="16">
        <v>0.26030927835051598</v>
      </c>
      <c r="E325" s="16">
        <v>0.34741784037558698</v>
      </c>
      <c r="F325" s="16">
        <v>0.123222748815166</v>
      </c>
      <c r="G325" s="16">
        <v>0.27230046948356801</v>
      </c>
      <c r="H325" s="16">
        <v>0.29398310112377002</v>
      </c>
      <c r="I325" s="16">
        <v>0.34548544273989601</v>
      </c>
      <c r="J325" s="16">
        <v>0.76154057047375201</v>
      </c>
      <c r="K325" s="16">
        <v>0.79397663820431297</v>
      </c>
      <c r="L325" s="16">
        <v>0.90566207218133199</v>
      </c>
      <c r="M325" s="16">
        <v>0.57396449704142005</v>
      </c>
      <c r="N325" s="16">
        <v>0.53921568627451</v>
      </c>
      <c r="O325" s="16">
        <v>1</v>
      </c>
      <c r="P325" s="17">
        <f t="shared" si="55"/>
        <v>0.27378648014808382</v>
      </c>
      <c r="Q325" s="17">
        <f t="shared" si="56"/>
        <v>0.82039309361979906</v>
      </c>
      <c r="R325" s="17">
        <f t="shared" si="57"/>
        <v>0.70439339443864346</v>
      </c>
      <c r="S325" s="17">
        <f>'02_지표정의'!$C$22*P325+'02_지표정의'!$C$23*Q325+'02_지표정의'!$C$24*R325</f>
        <v>0.67047187621205151</v>
      </c>
      <c r="T325" s="5">
        <f t="shared" si="58"/>
        <v>0</v>
      </c>
      <c r="U325" s="5" t="str">
        <f t="shared" si="59"/>
        <v>특허</v>
      </c>
      <c r="V325" s="18">
        <f t="shared" si="60"/>
        <v>719</v>
      </c>
      <c r="W325" s="5">
        <f t="shared" si="61"/>
        <v>0</v>
      </c>
      <c r="X325" s="5">
        <f t="shared" si="62"/>
        <v>398</v>
      </c>
      <c r="Y325" s="5">
        <f t="shared" si="63"/>
        <v>525</v>
      </c>
      <c r="Z325" s="19">
        <f t="shared" si="64"/>
        <v>25</v>
      </c>
      <c r="AA325" s="20">
        <f>ABS(S325-SUMPRODUCT(('05B_가정검정'!$A$5:$A$19=B325)*('05B_가정검정'!$B$5:$B$19=C325)*'05B_가정검정'!$E$5:$E$19))</f>
        <v>2.184796658380217E-2</v>
      </c>
      <c r="AB325" s="20">
        <f t="shared" si="65"/>
        <v>-1.7765099207559532E-2</v>
      </c>
    </row>
    <row r="326" spans="1:28">
      <c r="A326" s="15" t="s">
        <v>144</v>
      </c>
      <c r="B326" s="15" t="s">
        <v>122</v>
      </c>
      <c r="C326" s="15" t="s">
        <v>117</v>
      </c>
      <c r="D326" s="16">
        <v>0.241657077100115</v>
      </c>
      <c r="E326" s="16">
        <v>0.29710144927536197</v>
      </c>
      <c r="F326" s="16">
        <v>8.0291970802919693E-2</v>
      </c>
      <c r="G326" s="16">
        <v>0.21014492753623201</v>
      </c>
      <c r="H326" s="16">
        <v>0.30414973948107799</v>
      </c>
      <c r="I326" s="16">
        <v>0.17139251520012</v>
      </c>
      <c r="J326" s="16">
        <v>0.69202865284689996</v>
      </c>
      <c r="K326" s="16">
        <v>0.67342702581826497</v>
      </c>
      <c r="L326" s="16">
        <v>0.83706282683907995</v>
      </c>
      <c r="M326" s="16">
        <v>0.66666666666666696</v>
      </c>
      <c r="N326" s="16">
        <v>0.55294117647058805</v>
      </c>
      <c r="O326" s="16">
        <v>0.68421052631579005</v>
      </c>
      <c r="P326" s="17">
        <f t="shared" si="55"/>
        <v>0.21745627989930441</v>
      </c>
      <c r="Q326" s="17">
        <f t="shared" si="56"/>
        <v>0.73417283516808152</v>
      </c>
      <c r="R326" s="17">
        <f t="shared" si="57"/>
        <v>0.63460612315101506</v>
      </c>
      <c r="S326" s="17">
        <f>'02_지표정의'!$C$22*P326+'02_지표정의'!$C$23*Q326+'02_지표정의'!$C$24*R326</f>
        <v>0.59598117490835278</v>
      </c>
      <c r="T326" s="5">
        <f t="shared" si="58"/>
        <v>0</v>
      </c>
      <c r="U326" s="5" t="str">
        <f t="shared" si="59"/>
        <v>특허</v>
      </c>
      <c r="V326" s="18">
        <f t="shared" si="60"/>
        <v>377</v>
      </c>
      <c r="W326" s="5">
        <f t="shared" si="61"/>
        <v>304</v>
      </c>
      <c r="X326" s="5">
        <f t="shared" si="62"/>
        <v>161</v>
      </c>
      <c r="Y326" s="5">
        <f t="shared" si="63"/>
        <v>0</v>
      </c>
      <c r="Z326" s="19">
        <f t="shared" si="64"/>
        <v>20</v>
      </c>
      <c r="AA326" s="20">
        <f>ABS(S326-SUMPRODUCT(('05B_가정검정'!$A$5:$A$19=B326)*('05B_가정검정'!$B$5:$B$19=C326)*'05B_가정검정'!$E$5:$E$19))</f>
        <v>4.3371779800325694E-2</v>
      </c>
      <c r="AB326" s="20">
        <f t="shared" si="65"/>
        <v>-2.6900447281293371E-2</v>
      </c>
    </row>
    <row r="327" spans="1:28">
      <c r="A327" s="15" t="s">
        <v>144</v>
      </c>
      <c r="B327" s="15" t="s">
        <v>122</v>
      </c>
      <c r="C327" s="15" t="s">
        <v>118</v>
      </c>
      <c r="D327" s="16">
        <v>0.30630630630630601</v>
      </c>
      <c r="E327" s="16">
        <v>0.310606060606061</v>
      </c>
      <c r="F327" s="16">
        <v>9.9236641221374003E-2</v>
      </c>
      <c r="G327" s="16">
        <v>0.234848484848485</v>
      </c>
      <c r="H327" s="16">
        <v>0.25697031039575802</v>
      </c>
      <c r="I327" s="16">
        <v>0.27083981769821802</v>
      </c>
      <c r="J327" s="16">
        <v>0.71905931954957503</v>
      </c>
      <c r="K327" s="16">
        <v>0.76360874621679298</v>
      </c>
      <c r="L327" s="16">
        <v>0.88625226095986698</v>
      </c>
      <c r="M327" s="16">
        <v>0.65027322404371601</v>
      </c>
      <c r="N327" s="16">
        <v>0.43877551020408201</v>
      </c>
      <c r="O327" s="16">
        <v>0.68421052631579005</v>
      </c>
      <c r="P327" s="17">
        <f t="shared" si="55"/>
        <v>0.24646793684603371</v>
      </c>
      <c r="Q327" s="17">
        <f t="shared" si="56"/>
        <v>0.78964010890874503</v>
      </c>
      <c r="R327" s="17">
        <f t="shared" si="57"/>
        <v>0.59108642018786273</v>
      </c>
      <c r="S327" s="17">
        <f>'02_지표정의'!$C$22*P327+'02_지표정의'!$C$23*Q327+'02_지표정의'!$C$24*R327</f>
        <v>0.61151188344389396</v>
      </c>
      <c r="T327" s="5">
        <f t="shared" si="58"/>
        <v>1</v>
      </c>
      <c r="U327" s="5" t="str">
        <f t="shared" si="59"/>
        <v>특허</v>
      </c>
      <c r="V327" s="18">
        <f t="shared" si="60"/>
        <v>440</v>
      </c>
      <c r="W327" s="5">
        <f t="shared" si="61"/>
        <v>357</v>
      </c>
      <c r="X327" s="5">
        <f t="shared" si="62"/>
        <v>0</v>
      </c>
      <c r="Y327" s="5">
        <f t="shared" si="63"/>
        <v>336</v>
      </c>
      <c r="Z327" s="19">
        <f t="shared" si="64"/>
        <v>47</v>
      </c>
      <c r="AA327" s="20">
        <f>ABS(S327-SUMPRODUCT(('05B_가정검정'!$A$5:$A$19=B327)*('05B_가정검정'!$B$5:$B$19=C327)*'05B_가정검정'!$E$5:$E$19))</f>
        <v>2.4589947446735705E-2</v>
      </c>
      <c r="AB327" s="20">
        <f t="shared" si="65"/>
        <v>3.0288607226210185E-2</v>
      </c>
    </row>
    <row r="328" spans="1:28">
      <c r="A328" s="15" t="s">
        <v>144</v>
      </c>
      <c r="B328" s="15" t="s">
        <v>122</v>
      </c>
      <c r="C328" s="15" t="s">
        <v>119</v>
      </c>
      <c r="D328" s="16">
        <v>0.29255989911727598</v>
      </c>
      <c r="E328" s="16">
        <v>0.44800000000000001</v>
      </c>
      <c r="F328" s="16">
        <v>0.16935483870967699</v>
      </c>
      <c r="G328" s="16">
        <v>0.26400000000000001</v>
      </c>
      <c r="H328" s="16">
        <v>0.31276674862883203</v>
      </c>
      <c r="I328" s="16">
        <v>0.35872339303567202</v>
      </c>
      <c r="J328" s="16">
        <v>0.75195753997632697</v>
      </c>
      <c r="K328" s="16">
        <v>0.72459643300939502</v>
      </c>
      <c r="L328" s="16">
        <v>0.86482063860063696</v>
      </c>
      <c r="M328" s="16">
        <v>0.409836065573771</v>
      </c>
      <c r="N328" s="16">
        <v>0.11764705882352899</v>
      </c>
      <c r="O328" s="16">
        <v>0.68421052631579005</v>
      </c>
      <c r="P328" s="17">
        <f t="shared" si="55"/>
        <v>0.3075674799152428</v>
      </c>
      <c r="Q328" s="17">
        <f t="shared" si="56"/>
        <v>0.78045820386211961</v>
      </c>
      <c r="R328" s="17">
        <f t="shared" si="57"/>
        <v>0.40389788357103001</v>
      </c>
      <c r="S328" s="17">
        <f>'02_지표정의'!$C$22*P328+'02_지표정의'!$C$23*Q328+'02_지표정의'!$C$24*R328</f>
        <v>0.55408394697086283</v>
      </c>
      <c r="T328" s="5">
        <f t="shared" si="58"/>
        <v>0</v>
      </c>
      <c r="U328" s="5" t="str">
        <f t="shared" si="59"/>
        <v>특허</v>
      </c>
      <c r="V328" s="18">
        <f t="shared" si="60"/>
        <v>225</v>
      </c>
      <c r="W328" s="5">
        <f t="shared" si="61"/>
        <v>0</v>
      </c>
      <c r="X328" s="5">
        <f t="shared" si="62"/>
        <v>74</v>
      </c>
      <c r="Y328" s="5">
        <f t="shared" si="63"/>
        <v>192</v>
      </c>
      <c r="Z328" s="19">
        <f t="shared" si="64"/>
        <v>4</v>
      </c>
      <c r="AA328" s="20">
        <f>ABS(S328-SUMPRODUCT(('05B_가정검정'!$A$5:$A$19=B328)*('05B_가정검정'!$B$5:$B$19=C328)*'05B_가정검정'!$E$5:$E$19))</f>
        <v>8.1522240930588574E-2</v>
      </c>
      <c r="AB328" s="20">
        <f t="shared" si="65"/>
        <v>-7.7304919344023171E-2</v>
      </c>
    </row>
    <row r="329" spans="1:28">
      <c r="A329" s="15" t="s">
        <v>144</v>
      </c>
      <c r="B329" s="15" t="s">
        <v>123</v>
      </c>
      <c r="C329" s="15" t="s">
        <v>117</v>
      </c>
      <c r="D329" s="16">
        <v>0.23516237402015699</v>
      </c>
      <c r="E329" s="16">
        <v>0.291338582677165</v>
      </c>
      <c r="F329" s="16">
        <v>0.126984126984127</v>
      </c>
      <c r="G329" s="16">
        <v>0.25984251968503902</v>
      </c>
      <c r="H329" s="16">
        <v>0.30466182006167303</v>
      </c>
      <c r="I329" s="16">
        <v>0.14100052855732301</v>
      </c>
      <c r="J329" s="16">
        <v>0.70366819070339803</v>
      </c>
      <c r="K329" s="16">
        <v>0.67464792241985405</v>
      </c>
      <c r="L329" s="16">
        <v>0.81672171404495597</v>
      </c>
      <c r="M329" s="16">
        <v>0.65986394557823103</v>
      </c>
      <c r="N329" s="16">
        <v>0.78571428571428603</v>
      </c>
      <c r="O329" s="16">
        <v>1</v>
      </c>
      <c r="P329" s="17">
        <f t="shared" si="55"/>
        <v>0.22649832533091399</v>
      </c>
      <c r="Q329" s="17">
        <f t="shared" si="56"/>
        <v>0.73167927572273594</v>
      </c>
      <c r="R329" s="17">
        <f t="shared" si="57"/>
        <v>0.81519274376417228</v>
      </c>
      <c r="S329" s="17">
        <f>'02_지표정의'!$C$22*P329+'02_지표정의'!$C$23*Q329+'02_지표정의'!$C$24*R329</f>
        <v>0.65987279945887434</v>
      </c>
      <c r="T329" s="5">
        <f t="shared" si="58"/>
        <v>0</v>
      </c>
      <c r="U329" s="5" t="str">
        <f t="shared" si="59"/>
        <v>특허</v>
      </c>
      <c r="V329" s="18">
        <f t="shared" si="60"/>
        <v>669</v>
      </c>
      <c r="W329" s="5">
        <f t="shared" si="61"/>
        <v>494</v>
      </c>
      <c r="X329" s="5">
        <f t="shared" si="62"/>
        <v>350</v>
      </c>
      <c r="Y329" s="5">
        <f t="shared" si="63"/>
        <v>0</v>
      </c>
      <c r="Z329" s="19">
        <f t="shared" si="64"/>
        <v>3</v>
      </c>
      <c r="AA329" s="20">
        <f>ABS(S329-SUMPRODUCT(('05B_가정검정'!$A$5:$A$19=B329)*('05B_가정검정'!$B$5:$B$19=C329)*'05B_가정검정'!$E$5:$E$19))</f>
        <v>5.5050083317349396E-2</v>
      </c>
      <c r="AB329" s="20">
        <f t="shared" si="65"/>
        <v>-4.8112652352368834E-2</v>
      </c>
    </row>
    <row r="330" spans="1:28">
      <c r="A330" s="15" t="s">
        <v>144</v>
      </c>
      <c r="B330" s="15" t="s">
        <v>123</v>
      </c>
      <c r="C330" s="15" t="s">
        <v>118</v>
      </c>
      <c r="D330" s="16">
        <v>0.26716604244694098</v>
      </c>
      <c r="E330" s="16">
        <v>0.31404958677686001</v>
      </c>
      <c r="F330" s="16">
        <v>0.15</v>
      </c>
      <c r="G330" s="16">
        <v>0.26446280991735499</v>
      </c>
      <c r="H330" s="16">
        <v>0.23795459186507101</v>
      </c>
      <c r="I330" s="16">
        <v>0.25084858477310401</v>
      </c>
      <c r="J330" s="16">
        <v>0.67126057641581705</v>
      </c>
      <c r="K330" s="16">
        <v>0.69112437139741301</v>
      </c>
      <c r="L330" s="16">
        <v>0.83430899505434697</v>
      </c>
      <c r="M330" s="16">
        <v>0.53296703296703296</v>
      </c>
      <c r="N330" s="16">
        <v>0.56122448979591799</v>
      </c>
      <c r="O330" s="16">
        <v>1</v>
      </c>
      <c r="P330" s="17">
        <f t="shared" si="55"/>
        <v>0.24741360262988846</v>
      </c>
      <c r="Q330" s="17">
        <f t="shared" si="56"/>
        <v>0.73223131428919241</v>
      </c>
      <c r="R330" s="17">
        <f t="shared" si="57"/>
        <v>0.69806384092098372</v>
      </c>
      <c r="S330" s="17">
        <f>'02_지표정의'!$C$22*P330+'02_지표정의'!$C$23*Q330+'02_지표정의'!$C$24*R330</f>
        <v>0.62330915627845851</v>
      </c>
      <c r="T330" s="5">
        <f t="shared" si="58"/>
        <v>0</v>
      </c>
      <c r="U330" s="5" t="str">
        <f t="shared" si="59"/>
        <v>특허</v>
      </c>
      <c r="V330" s="18">
        <f t="shared" si="60"/>
        <v>505</v>
      </c>
      <c r="W330" s="5">
        <f t="shared" si="61"/>
        <v>407</v>
      </c>
      <c r="X330" s="5">
        <f t="shared" si="62"/>
        <v>0</v>
      </c>
      <c r="Y330" s="5">
        <f t="shared" si="63"/>
        <v>383</v>
      </c>
      <c r="Z330" s="19">
        <f t="shared" si="64"/>
        <v>63</v>
      </c>
      <c r="AA330" s="20">
        <f>ABS(S330-SUMPRODUCT(('05B_가정검정'!$A$5:$A$19=B330)*('05B_가정검정'!$B$5:$B$19=C330)*'05B_가정검정'!$E$5:$E$19))</f>
        <v>4.8010329399488794E-2</v>
      </c>
      <c r="AB330" s="20">
        <f t="shared" si="65"/>
        <v>6.3437548353967421E-2</v>
      </c>
    </row>
    <row r="331" spans="1:28">
      <c r="A331" s="15" t="s">
        <v>144</v>
      </c>
      <c r="B331" s="15" t="s">
        <v>123</v>
      </c>
      <c r="C331" s="15" t="s">
        <v>119</v>
      </c>
      <c r="D331" s="16">
        <v>0.28886168910648702</v>
      </c>
      <c r="E331" s="16">
        <v>0.40350877192982498</v>
      </c>
      <c r="F331" s="16">
        <v>0.17699115044247801</v>
      </c>
      <c r="G331" s="16">
        <v>0.28070175438596501</v>
      </c>
      <c r="H331" s="16">
        <v>0.332020985608663</v>
      </c>
      <c r="I331" s="16">
        <v>0.39595653171253298</v>
      </c>
      <c r="J331" s="16">
        <v>0.71768847724584695</v>
      </c>
      <c r="K331" s="16">
        <v>0.69762411724394502</v>
      </c>
      <c r="L331" s="16">
        <v>0.87260626305655198</v>
      </c>
      <c r="M331" s="16">
        <v>0.57396449704142005</v>
      </c>
      <c r="N331" s="16">
        <v>0.53921568627451</v>
      </c>
      <c r="O331" s="16">
        <v>1</v>
      </c>
      <c r="P331" s="17">
        <f t="shared" si="55"/>
        <v>0.31300681386432516</v>
      </c>
      <c r="Q331" s="17">
        <f t="shared" si="56"/>
        <v>0.76263961918211465</v>
      </c>
      <c r="R331" s="17">
        <f t="shared" si="57"/>
        <v>0.70439339443864346</v>
      </c>
      <c r="S331" s="17">
        <f>'02_지표정의'!$C$22*P331+'02_지표정의'!$C$23*Q331+'02_지표정의'!$C$24*R331</f>
        <v>0.65232687945834178</v>
      </c>
      <c r="T331" s="5">
        <f t="shared" si="58"/>
        <v>1</v>
      </c>
      <c r="U331" s="5" t="str">
        <f t="shared" si="59"/>
        <v>특허</v>
      </c>
      <c r="V331" s="18">
        <f t="shared" si="60"/>
        <v>629</v>
      </c>
      <c r="W331" s="5">
        <f t="shared" si="61"/>
        <v>0</v>
      </c>
      <c r="X331" s="5">
        <f t="shared" si="62"/>
        <v>312</v>
      </c>
      <c r="Y331" s="5">
        <f t="shared" si="63"/>
        <v>470</v>
      </c>
      <c r="Z331" s="19">
        <f t="shared" si="64"/>
        <v>18</v>
      </c>
      <c r="AA331" s="20">
        <f>ABS(S331-SUMPRODUCT(('05B_가정검정'!$A$5:$A$19=B331)*('05B_가정검정'!$B$5:$B$19=C331)*'05B_가정검정'!$E$5:$E$19))</f>
        <v>3.3302917865885573E-2</v>
      </c>
      <c r="AB331" s="20">
        <f t="shared" si="65"/>
        <v>-3.009185358666E-2</v>
      </c>
    </row>
    <row r="332" spans="1:28">
      <c r="A332" s="15" t="s">
        <v>145</v>
      </c>
      <c r="B332" s="15" t="s">
        <v>116</v>
      </c>
      <c r="C332" s="15" t="s">
        <v>117</v>
      </c>
      <c r="D332" s="16">
        <v>0.26331360946745602</v>
      </c>
      <c r="E332" s="16">
        <v>0.33333333333333298</v>
      </c>
      <c r="F332" s="16">
        <v>0.12871287128712899</v>
      </c>
      <c r="G332" s="16">
        <v>0.25490196078431399</v>
      </c>
      <c r="H332" s="16">
        <v>0.25211078851039198</v>
      </c>
      <c r="I332" s="16">
        <v>0.19270471880982501</v>
      </c>
      <c r="J332" s="16">
        <v>0.702901941827065</v>
      </c>
      <c r="K332" s="16">
        <v>0.60447585634104395</v>
      </c>
      <c r="L332" s="16">
        <v>0.81643618750956704</v>
      </c>
      <c r="M332" s="16">
        <v>0.56291390728476798</v>
      </c>
      <c r="N332" s="16">
        <v>0.23170731707317099</v>
      </c>
      <c r="O332" s="16">
        <v>1</v>
      </c>
      <c r="P332" s="17">
        <f t="shared" si="55"/>
        <v>0.23751288036540816</v>
      </c>
      <c r="Q332" s="17">
        <f t="shared" si="56"/>
        <v>0.70793799522589207</v>
      </c>
      <c r="R332" s="17">
        <f t="shared" si="57"/>
        <v>0.59820707478597968</v>
      </c>
      <c r="S332" s="17">
        <f>'02_지표정의'!$C$22*P332+'02_지표정의'!$C$23*Q332+'02_지표정의'!$C$24*R332</f>
        <v>0.57544715009982594</v>
      </c>
      <c r="T332" s="5">
        <f t="shared" si="58"/>
        <v>0</v>
      </c>
      <c r="U332" s="5" t="str">
        <f t="shared" si="59"/>
        <v>특허</v>
      </c>
      <c r="V332" s="18">
        <f t="shared" si="60"/>
        <v>309</v>
      </c>
      <c r="W332" s="5">
        <f t="shared" si="61"/>
        <v>250</v>
      </c>
      <c r="X332" s="5">
        <f t="shared" si="62"/>
        <v>131</v>
      </c>
      <c r="Y332" s="5">
        <f t="shared" si="63"/>
        <v>0</v>
      </c>
      <c r="Z332" s="19">
        <f t="shared" si="64"/>
        <v>57</v>
      </c>
      <c r="AA332" s="20">
        <f>ABS(S332-SUMPRODUCT(('05B_가정검정'!$A$5:$A$19=B332)*('05B_가정검정'!$B$5:$B$19=C332)*'05B_가정검정'!$E$5:$E$19))</f>
        <v>1.8043445114858669E-2</v>
      </c>
      <c r="AB332" s="20">
        <f t="shared" si="65"/>
        <v>2.2895984687202553E-2</v>
      </c>
    </row>
    <row r="333" spans="1:28">
      <c r="A333" s="15" t="s">
        <v>145</v>
      </c>
      <c r="B333" s="15" t="s">
        <v>116</v>
      </c>
      <c r="C333" s="15" t="s">
        <v>118</v>
      </c>
      <c r="D333" s="16">
        <v>0.286099865047233</v>
      </c>
      <c r="E333" s="16">
        <v>0.25249169435216001</v>
      </c>
      <c r="F333" s="16">
        <v>8.6956521739130405E-2</v>
      </c>
      <c r="G333" s="16">
        <v>0.20598006644518299</v>
      </c>
      <c r="H333" s="16">
        <v>0.16113121356319399</v>
      </c>
      <c r="I333" s="16">
        <v>0.20240036848908699</v>
      </c>
      <c r="J333" s="16">
        <v>0.67026392319611705</v>
      </c>
      <c r="K333" s="16">
        <v>0.64188888566137703</v>
      </c>
      <c r="L333" s="16">
        <v>0.81015769592817</v>
      </c>
      <c r="M333" s="16">
        <v>0.38028169014084501</v>
      </c>
      <c r="N333" s="16">
        <v>0</v>
      </c>
      <c r="O333" s="16">
        <v>0.52631578947368396</v>
      </c>
      <c r="P333" s="17">
        <f t="shared" si="55"/>
        <v>0.19917662160599789</v>
      </c>
      <c r="Q333" s="17">
        <f t="shared" si="56"/>
        <v>0.70743683492855469</v>
      </c>
      <c r="R333" s="17">
        <f t="shared" si="57"/>
        <v>0.30219915987150964</v>
      </c>
      <c r="S333" s="17">
        <f>'02_지표정의'!$C$22*P333+'02_지표정의'!$C$23*Q333+'02_지표정의'!$C$24*R333</f>
        <v>0.46395160599407759</v>
      </c>
      <c r="T333" s="5">
        <f t="shared" si="58"/>
        <v>0</v>
      </c>
      <c r="U333" s="5" t="str">
        <f t="shared" si="59"/>
        <v>특허</v>
      </c>
      <c r="V333" s="18">
        <f t="shared" si="60"/>
        <v>10</v>
      </c>
      <c r="W333" s="5">
        <f t="shared" si="61"/>
        <v>4</v>
      </c>
      <c r="X333" s="5">
        <f t="shared" si="62"/>
        <v>0</v>
      </c>
      <c r="Y333" s="5">
        <f t="shared" si="63"/>
        <v>9</v>
      </c>
      <c r="Z333" s="19">
        <f t="shared" si="64"/>
        <v>2</v>
      </c>
      <c r="AA333" s="20">
        <f>ABS(S333-SUMPRODUCT(('05B_가정검정'!$A$5:$A$19=B333)*('05B_가정검정'!$B$5:$B$19=C333)*'05B_가정검정'!$E$5:$E$19))</f>
        <v>6.7340815707644053E-2</v>
      </c>
      <c r="AB333" s="20">
        <f t="shared" si="65"/>
        <v>-6.3597426384508715E-2</v>
      </c>
    </row>
    <row r="334" spans="1:28">
      <c r="A334" s="15" t="s">
        <v>145</v>
      </c>
      <c r="B334" s="15" t="s">
        <v>116</v>
      </c>
      <c r="C334" s="15" t="s">
        <v>119</v>
      </c>
      <c r="D334" s="16">
        <v>0.24939467312348701</v>
      </c>
      <c r="E334" s="16">
        <v>0.31372549019607898</v>
      </c>
      <c r="F334" s="16">
        <v>8.6956521739130502E-2</v>
      </c>
      <c r="G334" s="16">
        <v>0.25882352941176501</v>
      </c>
      <c r="H334" s="16">
        <v>0.165926233493979</v>
      </c>
      <c r="I334" s="16">
        <v>0.33705522631757501</v>
      </c>
      <c r="J334" s="16">
        <v>0.65554586639131196</v>
      </c>
      <c r="K334" s="16">
        <v>0.56957757712124202</v>
      </c>
      <c r="L334" s="16">
        <v>0.78555001961313298</v>
      </c>
      <c r="M334" s="16">
        <v>0.49438202247190999</v>
      </c>
      <c r="N334" s="16">
        <v>0</v>
      </c>
      <c r="O334" s="16">
        <v>1</v>
      </c>
      <c r="P334" s="17">
        <f t="shared" si="55"/>
        <v>0.23531361238033591</v>
      </c>
      <c r="Q334" s="17">
        <f t="shared" si="56"/>
        <v>0.67022448770856224</v>
      </c>
      <c r="R334" s="17">
        <f t="shared" si="57"/>
        <v>0.49812734082396998</v>
      </c>
      <c r="S334" s="17">
        <f>'02_지표정의'!$C$22*P334+'02_지표정의'!$C$23*Q334+'02_지표정의'!$C$24*R334</f>
        <v>0.52300831123330971</v>
      </c>
      <c r="T334" s="5">
        <f t="shared" si="58"/>
        <v>0</v>
      </c>
      <c r="U334" s="5" t="str">
        <f t="shared" si="59"/>
        <v>특허</v>
      </c>
      <c r="V334" s="18">
        <f t="shared" si="60"/>
        <v>111</v>
      </c>
      <c r="W334" s="5">
        <f t="shared" si="61"/>
        <v>0</v>
      </c>
      <c r="X334" s="5">
        <f t="shared" si="62"/>
        <v>20</v>
      </c>
      <c r="Y334" s="5">
        <f t="shared" si="63"/>
        <v>102</v>
      </c>
      <c r="Z334" s="19">
        <f t="shared" si="64"/>
        <v>6</v>
      </c>
      <c r="AA334" s="20">
        <f>ABS(S334-SUMPRODUCT(('05B_가정검정'!$A$5:$A$19=B334)*('05B_가정검정'!$B$5:$B$19=C334)*'05B_가정검정'!$E$5:$E$19))</f>
        <v>3.0015205509472898E-2</v>
      </c>
      <c r="AB334" s="20">
        <f t="shared" si="65"/>
        <v>-3.3444172442870346E-2</v>
      </c>
    </row>
    <row r="335" spans="1:28">
      <c r="A335" s="15" t="s">
        <v>145</v>
      </c>
      <c r="B335" s="15" t="s">
        <v>120</v>
      </c>
      <c r="C335" s="15" t="s">
        <v>117</v>
      </c>
      <c r="D335" s="16">
        <v>0.22354104846686501</v>
      </c>
      <c r="E335" s="16">
        <v>0.34726688102893899</v>
      </c>
      <c r="F335" s="16">
        <v>9.0614886731391606E-2</v>
      </c>
      <c r="G335" s="16">
        <v>0.19292604501607699</v>
      </c>
      <c r="H335" s="16">
        <v>0.287859429434347</v>
      </c>
      <c r="I335" s="16">
        <v>0.165651554108491</v>
      </c>
      <c r="J335" s="16">
        <v>0.70659678153422001</v>
      </c>
      <c r="K335" s="16">
        <v>0.645507455857664</v>
      </c>
      <c r="L335" s="16">
        <v>0.84320093777625404</v>
      </c>
      <c r="M335" s="16">
        <v>0.56707317073170704</v>
      </c>
      <c r="N335" s="16">
        <v>0.52127659574468099</v>
      </c>
      <c r="O335" s="16">
        <v>1</v>
      </c>
      <c r="P335" s="17">
        <f t="shared" si="55"/>
        <v>0.21797664079768511</v>
      </c>
      <c r="Q335" s="17">
        <f t="shared" si="56"/>
        <v>0.73176839172271269</v>
      </c>
      <c r="R335" s="17">
        <f t="shared" si="57"/>
        <v>0.69611658882546268</v>
      </c>
      <c r="S335" s="17">
        <f>'02_지표정의'!$C$22*P335+'02_지표정의'!$C$23*Q335+'02_지표정의'!$C$24*R335</f>
        <v>0.61653191052366974</v>
      </c>
      <c r="T335" s="5">
        <f t="shared" si="58"/>
        <v>0</v>
      </c>
      <c r="U335" s="5" t="str">
        <f t="shared" si="59"/>
        <v>특허</v>
      </c>
      <c r="V335" s="18">
        <f t="shared" si="60"/>
        <v>468</v>
      </c>
      <c r="W335" s="5">
        <f t="shared" si="61"/>
        <v>381</v>
      </c>
      <c r="X335" s="5">
        <f t="shared" si="62"/>
        <v>203</v>
      </c>
      <c r="Y335" s="5">
        <f t="shared" si="63"/>
        <v>0</v>
      </c>
      <c r="Z335" s="19">
        <f t="shared" si="64"/>
        <v>24</v>
      </c>
      <c r="AA335" s="20">
        <f>ABS(S335-SUMPRODUCT(('05B_가정검정'!$A$5:$A$19=B335)*('05B_가정검정'!$B$5:$B$19=C335)*'05B_가정검정'!$E$5:$E$19))</f>
        <v>1.151704953345134E-2</v>
      </c>
      <c r="AB335" s="20">
        <f t="shared" si="65"/>
        <v>-1.4770792901087404E-2</v>
      </c>
    </row>
    <row r="336" spans="1:28">
      <c r="A336" s="15" t="s">
        <v>145</v>
      </c>
      <c r="B336" s="15" t="s">
        <v>120</v>
      </c>
      <c r="C336" s="15" t="s">
        <v>118</v>
      </c>
      <c r="D336" s="16">
        <v>0.27509293680297398</v>
      </c>
      <c r="E336" s="16">
        <v>0.32843137254902</v>
      </c>
      <c r="F336" s="16">
        <v>8.8669950738916301E-2</v>
      </c>
      <c r="G336" s="16">
        <v>0.20588235294117699</v>
      </c>
      <c r="H336" s="16">
        <v>0.27556978607579702</v>
      </c>
      <c r="I336" s="16">
        <v>0.20539113708499299</v>
      </c>
      <c r="J336" s="16">
        <v>0.709533674092935</v>
      </c>
      <c r="K336" s="16">
        <v>0.665275203023029</v>
      </c>
      <c r="L336" s="16">
        <v>0.84103301437385003</v>
      </c>
      <c r="M336" s="16">
        <v>0.42253521126760601</v>
      </c>
      <c r="N336" s="16">
        <v>0.20270270270270299</v>
      </c>
      <c r="O336" s="16">
        <v>0.52631578947368396</v>
      </c>
      <c r="P336" s="17">
        <f t="shared" si="55"/>
        <v>0.22983958936547955</v>
      </c>
      <c r="Q336" s="17">
        <f t="shared" si="56"/>
        <v>0.73861396382993805</v>
      </c>
      <c r="R336" s="17">
        <f t="shared" si="57"/>
        <v>0.38385123448133102</v>
      </c>
      <c r="S336" s="17">
        <f>'02_지표정의'!$C$22*P336+'02_지표정의'!$C$23*Q336+'02_지표정의'!$C$24*R336</f>
        <v>0.51269213366503386</v>
      </c>
      <c r="T336" s="5">
        <f t="shared" si="58"/>
        <v>0</v>
      </c>
      <c r="U336" s="5" t="str">
        <f t="shared" si="59"/>
        <v>특허</v>
      </c>
      <c r="V336" s="18">
        <f t="shared" si="60"/>
        <v>73</v>
      </c>
      <c r="W336" s="5">
        <f t="shared" si="61"/>
        <v>65</v>
      </c>
      <c r="X336" s="5">
        <f t="shared" si="62"/>
        <v>0</v>
      </c>
      <c r="Y336" s="5">
        <f t="shared" si="63"/>
        <v>66</v>
      </c>
      <c r="Z336" s="19">
        <f t="shared" si="64"/>
        <v>8</v>
      </c>
      <c r="AA336" s="20">
        <f>ABS(S336-SUMPRODUCT(('05B_가정검정'!$A$5:$A$19=B336)*('05B_가정검정'!$B$5:$B$19=C336)*'05B_가정검정'!$E$5:$E$19))</f>
        <v>7.813671491659413E-2</v>
      </c>
      <c r="AB336" s="20">
        <f t="shared" si="65"/>
        <v>-6.2198642297076945E-2</v>
      </c>
    </row>
    <row r="337" spans="1:28">
      <c r="A337" s="15" t="s">
        <v>145</v>
      </c>
      <c r="B337" s="15" t="s">
        <v>120</v>
      </c>
      <c r="C337" s="15" t="s">
        <v>119</v>
      </c>
      <c r="D337" s="16">
        <v>0.26012058570198099</v>
      </c>
      <c r="E337" s="16">
        <v>0.425414364640884</v>
      </c>
      <c r="F337" s="16">
        <v>0.105555555555556</v>
      </c>
      <c r="G337" s="16">
        <v>0.243093922651934</v>
      </c>
      <c r="H337" s="16">
        <v>0.31570485989389202</v>
      </c>
      <c r="I337" s="16">
        <v>0.36309350946587199</v>
      </c>
      <c r="J337" s="16">
        <v>0.70636762864839397</v>
      </c>
      <c r="K337" s="16">
        <v>0.66761029632090196</v>
      </c>
      <c r="L337" s="16">
        <v>0.80714973431353998</v>
      </c>
      <c r="M337" s="16">
        <v>0.73033707865168496</v>
      </c>
      <c r="N337" s="16">
        <v>0.62765957446808496</v>
      </c>
      <c r="O337" s="16">
        <v>1</v>
      </c>
      <c r="P337" s="17">
        <f t="shared" si="55"/>
        <v>0.28549713298501983</v>
      </c>
      <c r="Q337" s="17">
        <f t="shared" si="56"/>
        <v>0.72704255309427868</v>
      </c>
      <c r="R337" s="17">
        <f t="shared" si="57"/>
        <v>0.7859988843732566</v>
      </c>
      <c r="S337" s="17">
        <f>'02_지표정의'!$C$22*P337+'02_지표정의'!$C$23*Q337+'02_지표정의'!$C$24*R337</f>
        <v>0.65936818502006922</v>
      </c>
      <c r="T337" s="5">
        <f t="shared" si="58"/>
        <v>0</v>
      </c>
      <c r="U337" s="5" t="str">
        <f t="shared" si="59"/>
        <v>특허</v>
      </c>
      <c r="V337" s="18">
        <f t="shared" si="60"/>
        <v>668</v>
      </c>
      <c r="W337" s="5">
        <f t="shared" si="61"/>
        <v>0</v>
      </c>
      <c r="X337" s="5">
        <f t="shared" si="62"/>
        <v>349</v>
      </c>
      <c r="Y337" s="5">
        <f t="shared" si="63"/>
        <v>494</v>
      </c>
      <c r="Z337" s="19">
        <f t="shared" si="64"/>
        <v>28</v>
      </c>
      <c r="AA337" s="20">
        <f>ABS(S337-SUMPRODUCT(('05B_가정검정'!$A$5:$A$19=B337)*('05B_가정검정'!$B$5:$B$19=C337)*'05B_가정검정'!$E$5:$E$19))</f>
        <v>4.3091314613170617E-3</v>
      </c>
      <c r="AB337" s="20">
        <f t="shared" si="65"/>
        <v>9.45177509253603E-4</v>
      </c>
    </row>
    <row r="338" spans="1:28">
      <c r="A338" s="15" t="s">
        <v>145</v>
      </c>
      <c r="B338" s="15" t="s">
        <v>121</v>
      </c>
      <c r="C338" s="15" t="s">
        <v>117</v>
      </c>
      <c r="D338" s="16">
        <v>0.22341857335127899</v>
      </c>
      <c r="E338" s="16">
        <v>0.34234234234234201</v>
      </c>
      <c r="F338" s="16">
        <v>0.12727272727272701</v>
      </c>
      <c r="G338" s="16">
        <v>0.25225225225225201</v>
      </c>
      <c r="H338" s="16">
        <v>0.33298277368956802</v>
      </c>
      <c r="I338" s="16">
        <v>0.170991895463389</v>
      </c>
      <c r="J338" s="16">
        <v>0.750700936848127</v>
      </c>
      <c r="K338" s="16">
        <v>0.74228443734431404</v>
      </c>
      <c r="L338" s="16">
        <v>0.87343919583964802</v>
      </c>
      <c r="M338" s="16">
        <v>0.90654205607476601</v>
      </c>
      <c r="N338" s="16">
        <v>0.91666666666666696</v>
      </c>
      <c r="O338" s="16">
        <v>1</v>
      </c>
      <c r="P338" s="17">
        <f t="shared" si="55"/>
        <v>0.24154342739525947</v>
      </c>
      <c r="Q338" s="17">
        <f t="shared" si="56"/>
        <v>0.78880819001069635</v>
      </c>
      <c r="R338" s="17">
        <f t="shared" si="57"/>
        <v>0.94106957424714432</v>
      </c>
      <c r="S338" s="17">
        <f>'02_지표정의'!$C$22*P338+'02_지표정의'!$C$23*Q338+'02_지표정의'!$C$24*R338</f>
        <v>0.73264672197036573</v>
      </c>
      <c r="T338" s="5">
        <f t="shared" si="58"/>
        <v>1</v>
      </c>
      <c r="U338" s="5" t="str">
        <f t="shared" si="59"/>
        <v>특허</v>
      </c>
      <c r="V338" s="18">
        <f t="shared" si="60"/>
        <v>910</v>
      </c>
      <c r="W338" s="5">
        <f t="shared" si="61"/>
        <v>615</v>
      </c>
      <c r="X338" s="5">
        <f t="shared" si="62"/>
        <v>585</v>
      </c>
      <c r="Y338" s="5">
        <f t="shared" si="63"/>
        <v>0</v>
      </c>
      <c r="Z338" s="19">
        <f t="shared" si="64"/>
        <v>39</v>
      </c>
      <c r="AA338" s="20">
        <f>ABS(S338-SUMPRODUCT(('05B_가정검정'!$A$5:$A$19=B338)*('05B_가정검정'!$B$5:$B$19=C338)*'05B_가정검정'!$E$5:$E$19))</f>
        <v>3.21465058848458E-3</v>
      </c>
      <c r="AB338" s="20">
        <f t="shared" si="65"/>
        <v>1.4994928897484772E-2</v>
      </c>
    </row>
    <row r="339" spans="1:28">
      <c r="A339" s="15" t="s">
        <v>145</v>
      </c>
      <c r="B339" s="15" t="s">
        <v>121</v>
      </c>
      <c r="C339" s="15" t="s">
        <v>118</v>
      </c>
      <c r="D339" s="16">
        <v>0.25495049504950501</v>
      </c>
      <c r="E339" s="16">
        <v>0.23824451410658301</v>
      </c>
      <c r="F339" s="16">
        <v>9.4637223974763401E-2</v>
      </c>
      <c r="G339" s="16">
        <v>0.17554858934169301</v>
      </c>
      <c r="H339" s="16">
        <v>0.18268856543519299</v>
      </c>
      <c r="I339" s="16">
        <v>0.16553803272730999</v>
      </c>
      <c r="J339" s="16">
        <v>0.74343732539815499</v>
      </c>
      <c r="K339" s="16">
        <v>0.78088769029444705</v>
      </c>
      <c r="L339" s="16">
        <v>0.89731314942747697</v>
      </c>
      <c r="M339" s="16">
        <v>0.273239436619718</v>
      </c>
      <c r="N339" s="16">
        <v>0.25</v>
      </c>
      <c r="O339" s="16">
        <v>0.52631578947368396</v>
      </c>
      <c r="P339" s="17">
        <f t="shared" si="55"/>
        <v>0.18526790343917457</v>
      </c>
      <c r="Q339" s="17">
        <f t="shared" si="56"/>
        <v>0.807212721706693</v>
      </c>
      <c r="R339" s="17">
        <f t="shared" si="57"/>
        <v>0.34985174203113401</v>
      </c>
      <c r="S339" s="17">
        <f>'02_지표정의'!$C$22*P339+'02_지표정의'!$C$23*Q339+'02_지표정의'!$C$24*R339</f>
        <v>0.52274741516674372</v>
      </c>
      <c r="T339" s="5">
        <f t="shared" si="58"/>
        <v>0</v>
      </c>
      <c r="U339" s="5" t="str">
        <f t="shared" si="59"/>
        <v>특허</v>
      </c>
      <c r="V339" s="18">
        <f t="shared" si="60"/>
        <v>108</v>
      </c>
      <c r="W339" s="5">
        <f t="shared" si="61"/>
        <v>98</v>
      </c>
      <c r="X339" s="5">
        <f t="shared" si="62"/>
        <v>0</v>
      </c>
      <c r="Y339" s="5">
        <f t="shared" si="63"/>
        <v>99</v>
      </c>
      <c r="Z339" s="19">
        <f t="shared" si="64"/>
        <v>9</v>
      </c>
      <c r="AA339" s="20">
        <f>ABS(S339-SUMPRODUCT(('05B_가정검정'!$A$5:$A$19=B339)*('05B_가정검정'!$B$5:$B$19=C339)*'05B_가정검정'!$E$5:$E$19))</f>
        <v>7.5832075000224708E-2</v>
      </c>
      <c r="AB339" s="20">
        <f t="shared" si="65"/>
        <v>-5.6651659360069551E-2</v>
      </c>
    </row>
    <row r="340" spans="1:28">
      <c r="A340" s="15" t="s">
        <v>145</v>
      </c>
      <c r="B340" s="15" t="s">
        <v>121</v>
      </c>
      <c r="C340" s="15" t="s">
        <v>119</v>
      </c>
      <c r="D340" s="16">
        <v>0.26875699888017901</v>
      </c>
      <c r="E340" s="16">
        <v>0.35897435897435898</v>
      </c>
      <c r="F340" s="16">
        <v>0.118081180811808</v>
      </c>
      <c r="G340" s="16">
        <v>0.22710622710622699</v>
      </c>
      <c r="H340" s="16">
        <v>0.22879470700761301</v>
      </c>
      <c r="I340" s="16">
        <v>0.38132594423466198</v>
      </c>
      <c r="J340" s="16">
        <v>0.74127026022877995</v>
      </c>
      <c r="K340" s="16">
        <v>0.78505703398300097</v>
      </c>
      <c r="L340" s="16">
        <v>0.90049958349458603</v>
      </c>
      <c r="M340" s="16">
        <v>0.54494382022471899</v>
      </c>
      <c r="N340" s="16">
        <v>0.60439560439560502</v>
      </c>
      <c r="O340" s="16">
        <v>1</v>
      </c>
      <c r="P340" s="17">
        <f t="shared" si="55"/>
        <v>0.26383990283580799</v>
      </c>
      <c r="Q340" s="17">
        <f t="shared" si="56"/>
        <v>0.80894229256878891</v>
      </c>
      <c r="R340" s="17">
        <f t="shared" si="57"/>
        <v>0.71644647487344137</v>
      </c>
      <c r="S340" s="17">
        <f>'02_지표정의'!$C$22*P340+'02_지표정의'!$C$23*Q340+'02_지표정의'!$C$24*R340</f>
        <v>0.66754827842882114</v>
      </c>
      <c r="T340" s="5">
        <f t="shared" si="58"/>
        <v>0</v>
      </c>
      <c r="U340" s="5" t="str">
        <f t="shared" si="59"/>
        <v>특허</v>
      </c>
      <c r="V340" s="18">
        <f t="shared" si="60"/>
        <v>705</v>
      </c>
      <c r="W340" s="5">
        <f t="shared" si="61"/>
        <v>0</v>
      </c>
      <c r="X340" s="5">
        <f t="shared" si="62"/>
        <v>385</v>
      </c>
      <c r="Y340" s="5">
        <f t="shared" si="63"/>
        <v>519</v>
      </c>
      <c r="Z340" s="19">
        <f t="shared" si="64"/>
        <v>22</v>
      </c>
      <c r="AA340" s="20">
        <f>ABS(S340-SUMPRODUCT(('05B_가정검정'!$A$5:$A$19=B340)*('05B_가정검정'!$B$5:$B$19=C340)*'05B_가정검정'!$E$5:$E$19))</f>
        <v>2.4771564367032539E-2</v>
      </c>
      <c r="AB340" s="20">
        <f t="shared" si="65"/>
        <v>-2.0688696990789901E-2</v>
      </c>
    </row>
    <row r="341" spans="1:28">
      <c r="A341" s="15" t="s">
        <v>145</v>
      </c>
      <c r="B341" s="15" t="s">
        <v>122</v>
      </c>
      <c r="C341" s="15" t="s">
        <v>117</v>
      </c>
      <c r="D341" s="16">
        <v>0.259675405742822</v>
      </c>
      <c r="E341" s="16">
        <v>0.34482758620689702</v>
      </c>
      <c r="F341" s="16">
        <v>0.115830115830116</v>
      </c>
      <c r="G341" s="16">
        <v>0.24521072796934901</v>
      </c>
      <c r="H341" s="16">
        <v>0.35101489388603102</v>
      </c>
      <c r="I341" s="16">
        <v>0.19126503813326201</v>
      </c>
      <c r="J341" s="16">
        <v>0.70717080738913796</v>
      </c>
      <c r="K341" s="16">
        <v>0.62106858686973698</v>
      </c>
      <c r="L341" s="16">
        <v>0.82950472538174003</v>
      </c>
      <c r="M341" s="16">
        <v>0.447236180904523</v>
      </c>
      <c r="N341" s="16">
        <v>0.40217391304347799</v>
      </c>
      <c r="O341" s="16">
        <v>0.68421052631579005</v>
      </c>
      <c r="P341" s="17">
        <f t="shared" si="55"/>
        <v>0.25130396129474614</v>
      </c>
      <c r="Q341" s="17">
        <f t="shared" si="56"/>
        <v>0.71924803988020491</v>
      </c>
      <c r="R341" s="17">
        <f t="shared" si="57"/>
        <v>0.5112068734212637</v>
      </c>
      <c r="S341" s="17">
        <f>'02_지표정의'!$C$22*P341+'02_지표정의'!$C$23*Q341+'02_지표정의'!$C$24*R341</f>
        <v>0.55284481590248369</v>
      </c>
      <c r="T341" s="5">
        <f t="shared" si="58"/>
        <v>0</v>
      </c>
      <c r="U341" s="5" t="str">
        <f t="shared" si="59"/>
        <v>특허</v>
      </c>
      <c r="V341" s="18">
        <f t="shared" si="60"/>
        <v>218</v>
      </c>
      <c r="W341" s="5">
        <f t="shared" si="61"/>
        <v>180</v>
      </c>
      <c r="X341" s="5">
        <f t="shared" si="62"/>
        <v>69</v>
      </c>
      <c r="Y341" s="5">
        <f t="shared" si="63"/>
        <v>0</v>
      </c>
      <c r="Z341" s="19">
        <f t="shared" si="64"/>
        <v>5</v>
      </c>
      <c r="AA341" s="20">
        <f>ABS(S341-SUMPRODUCT(('05B_가정검정'!$A$5:$A$19=B341)*('05B_가정검정'!$B$5:$B$19=C341)*'05B_가정검정'!$E$5:$E$19))</f>
        <v>8.650813880619479E-2</v>
      </c>
      <c r="AB341" s="20">
        <f t="shared" si="65"/>
        <v>-7.0036806287162467E-2</v>
      </c>
    </row>
    <row r="342" spans="1:28">
      <c r="A342" s="15" t="s">
        <v>145</v>
      </c>
      <c r="B342" s="15" t="s">
        <v>122</v>
      </c>
      <c r="C342" s="15" t="s">
        <v>118</v>
      </c>
      <c r="D342" s="16">
        <v>0.31408775981524301</v>
      </c>
      <c r="E342" s="16">
        <v>0.32960893854748602</v>
      </c>
      <c r="F342" s="16">
        <v>0.112359550561798</v>
      </c>
      <c r="G342" s="16">
        <v>0.206703910614525</v>
      </c>
      <c r="H342" s="16">
        <v>0.28588758681791299</v>
      </c>
      <c r="I342" s="16">
        <v>0.22692029710602399</v>
      </c>
      <c r="J342" s="16">
        <v>0.70598944980414902</v>
      </c>
      <c r="K342" s="16">
        <v>0.68796341253820303</v>
      </c>
      <c r="L342" s="16">
        <v>0.83291861723550797</v>
      </c>
      <c r="M342" s="16">
        <v>0.46197183098591599</v>
      </c>
      <c r="N342" s="16">
        <v>0.29729729729729698</v>
      </c>
      <c r="O342" s="16">
        <v>0.76923076923076905</v>
      </c>
      <c r="P342" s="17">
        <f t="shared" si="55"/>
        <v>0.24592800724383149</v>
      </c>
      <c r="Q342" s="17">
        <f t="shared" si="56"/>
        <v>0.74229049319262008</v>
      </c>
      <c r="R342" s="17">
        <f t="shared" si="57"/>
        <v>0.50949996583799395</v>
      </c>
      <c r="S342" s="17">
        <f>'02_지표정의'!$C$22*P342+'02_지표정의'!$C$23*Q342+'02_지표정의'!$C$24*R342</f>
        <v>0.5615413114287432</v>
      </c>
      <c r="T342" s="5">
        <f t="shared" si="58"/>
        <v>1</v>
      </c>
      <c r="U342" s="5" t="str">
        <f t="shared" si="59"/>
        <v>특허</v>
      </c>
      <c r="V342" s="18">
        <f t="shared" si="60"/>
        <v>255</v>
      </c>
      <c r="W342" s="5">
        <f t="shared" si="61"/>
        <v>209</v>
      </c>
      <c r="X342" s="5">
        <f t="shared" si="62"/>
        <v>0</v>
      </c>
      <c r="Y342" s="5">
        <f t="shared" si="63"/>
        <v>208</v>
      </c>
      <c r="Z342" s="19">
        <f t="shared" si="64"/>
        <v>26</v>
      </c>
      <c r="AA342" s="20">
        <f>ABS(S342-SUMPRODUCT(('05B_가정검정'!$A$5:$A$19=B342)*('05B_가정검정'!$B$5:$B$19=C342)*'05B_가정검정'!$E$5:$E$19))</f>
        <v>2.5380624568415056E-2</v>
      </c>
      <c r="AB342" s="20">
        <f t="shared" si="65"/>
        <v>-1.9681964788940576E-2</v>
      </c>
    </row>
    <row r="343" spans="1:28">
      <c r="A343" s="15" t="s">
        <v>145</v>
      </c>
      <c r="B343" s="15" t="s">
        <v>122</v>
      </c>
      <c r="C343" s="15" t="s">
        <v>119</v>
      </c>
      <c r="D343" s="16">
        <v>0.26288117770767599</v>
      </c>
      <c r="E343" s="16">
        <v>0.42948717948718002</v>
      </c>
      <c r="F343" s="16">
        <v>0.16774193548387101</v>
      </c>
      <c r="G343" s="16">
        <v>0.29487179487179499</v>
      </c>
      <c r="H343" s="16">
        <v>0.26459720592286401</v>
      </c>
      <c r="I343" s="16">
        <v>0.38436737596227999</v>
      </c>
      <c r="J343" s="16">
        <v>0.68193591587876501</v>
      </c>
      <c r="K343" s="16">
        <v>0.64966343079899802</v>
      </c>
      <c r="L343" s="16">
        <v>0.808484410974873</v>
      </c>
      <c r="M343" s="16">
        <v>0.58793969849246197</v>
      </c>
      <c r="N343" s="16">
        <v>0.282608695652174</v>
      </c>
      <c r="O343" s="16">
        <v>0.68421052631579005</v>
      </c>
      <c r="P343" s="17">
        <f t="shared" si="55"/>
        <v>0.30065777823927764</v>
      </c>
      <c r="Q343" s="17">
        <f t="shared" si="56"/>
        <v>0.71336125255087879</v>
      </c>
      <c r="R343" s="17">
        <f t="shared" si="57"/>
        <v>0.51825297348680865</v>
      </c>
      <c r="S343" s="17">
        <f>'02_지표정의'!$C$22*P343+'02_지표정의'!$C$23*Q343+'02_지표정의'!$C$24*R343</f>
        <v>0.562532660016134</v>
      </c>
      <c r="T343" s="5">
        <f t="shared" si="58"/>
        <v>0</v>
      </c>
      <c r="U343" s="5" t="str">
        <f t="shared" si="59"/>
        <v>특허</v>
      </c>
      <c r="V343" s="18">
        <f t="shared" si="60"/>
        <v>259</v>
      </c>
      <c r="W343" s="5">
        <f t="shared" si="61"/>
        <v>0</v>
      </c>
      <c r="X343" s="5">
        <f t="shared" si="62"/>
        <v>95</v>
      </c>
      <c r="Y343" s="5">
        <f t="shared" si="63"/>
        <v>211</v>
      </c>
      <c r="Z343" s="19">
        <f t="shared" si="64"/>
        <v>5</v>
      </c>
      <c r="AA343" s="20">
        <f>ABS(S343-SUMPRODUCT(('05B_가정검정'!$A$5:$A$19=B343)*('05B_가정검정'!$B$5:$B$19=C343)*'05B_가정검정'!$E$5:$E$19))</f>
        <v>7.3073527885317402E-2</v>
      </c>
      <c r="AB343" s="20">
        <f t="shared" si="65"/>
        <v>-6.8856206298751998E-2</v>
      </c>
    </row>
    <row r="344" spans="1:28">
      <c r="A344" s="15" t="s">
        <v>145</v>
      </c>
      <c r="B344" s="15" t="s">
        <v>123</v>
      </c>
      <c r="C344" s="15" t="s">
        <v>117</v>
      </c>
      <c r="D344" s="16">
        <v>0.26151930261519302</v>
      </c>
      <c r="E344" s="16">
        <v>0.39830508474576298</v>
      </c>
      <c r="F344" s="16">
        <v>0.145299145299145</v>
      </c>
      <c r="G344" s="16">
        <v>0.27966101694915302</v>
      </c>
      <c r="H344" s="16">
        <v>0.37759453220768702</v>
      </c>
      <c r="I344" s="16">
        <v>0.208867188275245</v>
      </c>
      <c r="J344" s="16">
        <v>0.72591600394366396</v>
      </c>
      <c r="K344" s="16">
        <v>0.65450245471962198</v>
      </c>
      <c r="L344" s="16">
        <v>0.87376742957466702</v>
      </c>
      <c r="M344" s="16">
        <v>0.90654205607476601</v>
      </c>
      <c r="N344" s="16">
        <v>0.91666666666666696</v>
      </c>
      <c r="O344" s="16">
        <v>1</v>
      </c>
      <c r="P344" s="17">
        <f t="shared" si="55"/>
        <v>0.27854104501536436</v>
      </c>
      <c r="Q344" s="17">
        <f t="shared" si="56"/>
        <v>0.75139529607931765</v>
      </c>
      <c r="R344" s="17">
        <f t="shared" si="57"/>
        <v>0.94106957424714432</v>
      </c>
      <c r="S344" s="17">
        <f>'02_지표정의'!$C$22*P344+'02_지표정의'!$C$23*Q344+'02_지표정의'!$C$24*R344</f>
        <v>0.72321044322526629</v>
      </c>
      <c r="T344" s="5">
        <f t="shared" si="58"/>
        <v>0</v>
      </c>
      <c r="U344" s="5" t="str">
        <f t="shared" si="59"/>
        <v>특허</v>
      </c>
      <c r="V344" s="18">
        <f t="shared" si="60"/>
        <v>890</v>
      </c>
      <c r="W344" s="5">
        <f t="shared" si="61"/>
        <v>596</v>
      </c>
      <c r="X344" s="5">
        <f t="shared" si="62"/>
        <v>565</v>
      </c>
      <c r="Y344" s="5">
        <f t="shared" si="63"/>
        <v>0</v>
      </c>
      <c r="Z344" s="19">
        <f t="shared" si="64"/>
        <v>48</v>
      </c>
      <c r="AA344" s="20">
        <f>ABS(S344-SUMPRODUCT(('05B_가정검정'!$A$5:$A$19=B344)*('05B_가정검정'!$B$5:$B$19=C344)*'05B_가정검정'!$E$5:$E$19))</f>
        <v>8.2875604490425525E-3</v>
      </c>
      <c r="AB344" s="20">
        <f t="shared" si="65"/>
        <v>1.5224991414023115E-2</v>
      </c>
    </row>
    <row r="345" spans="1:28">
      <c r="A345" s="15" t="s">
        <v>145</v>
      </c>
      <c r="B345" s="15" t="s">
        <v>123</v>
      </c>
      <c r="C345" s="15" t="s">
        <v>118</v>
      </c>
      <c r="D345" s="16">
        <v>0.26036866359446997</v>
      </c>
      <c r="E345" s="16">
        <v>0.25825825825825799</v>
      </c>
      <c r="F345" s="16">
        <v>0.108761329305136</v>
      </c>
      <c r="G345" s="16">
        <v>0.20420420420420399</v>
      </c>
      <c r="H345" s="16">
        <v>0.210376876432781</v>
      </c>
      <c r="I345" s="16">
        <v>0.16917200369763399</v>
      </c>
      <c r="J345" s="16">
        <v>0.71804437627483497</v>
      </c>
      <c r="K345" s="16">
        <v>0.67236974677756201</v>
      </c>
      <c r="L345" s="16">
        <v>0.827052678075341</v>
      </c>
      <c r="M345" s="16">
        <v>0.273239436619718</v>
      </c>
      <c r="N345" s="16">
        <v>0.25</v>
      </c>
      <c r="O345" s="16">
        <v>0.52631578947368396</v>
      </c>
      <c r="P345" s="17">
        <f t="shared" si="55"/>
        <v>0.20185688924874715</v>
      </c>
      <c r="Q345" s="17">
        <f t="shared" si="56"/>
        <v>0.73915560037591266</v>
      </c>
      <c r="R345" s="17">
        <f t="shared" si="57"/>
        <v>0.34985174203113401</v>
      </c>
      <c r="S345" s="17">
        <f>'02_지표정의'!$C$22*P345+'02_지표정의'!$C$23*Q345+'02_지표정의'!$C$24*R345</f>
        <v>0.49543950772980705</v>
      </c>
      <c r="T345" s="5">
        <f t="shared" si="58"/>
        <v>0</v>
      </c>
      <c r="U345" s="5" t="str">
        <f t="shared" si="59"/>
        <v>특허</v>
      </c>
      <c r="V345" s="18">
        <f t="shared" si="60"/>
        <v>39</v>
      </c>
      <c r="W345" s="5">
        <f t="shared" si="61"/>
        <v>33</v>
      </c>
      <c r="X345" s="5">
        <f t="shared" si="62"/>
        <v>0</v>
      </c>
      <c r="Y345" s="5">
        <f t="shared" si="63"/>
        <v>34</v>
      </c>
      <c r="Z345" s="19">
        <f t="shared" si="64"/>
        <v>5</v>
      </c>
      <c r="AA345" s="20">
        <f>ABS(S345-SUMPRODUCT(('05B_가정검정'!$A$5:$A$19=B345)*('05B_가정검정'!$B$5:$B$19=C345)*'05B_가정검정'!$E$5:$E$19))</f>
        <v>7.9859319149162666E-2</v>
      </c>
      <c r="AB345" s="20">
        <f t="shared" si="65"/>
        <v>-6.4432100194684039E-2</v>
      </c>
    </row>
    <row r="346" spans="1:28">
      <c r="A346" s="15" t="s">
        <v>145</v>
      </c>
      <c r="B346" s="15" t="s">
        <v>123</v>
      </c>
      <c r="C346" s="15" t="s">
        <v>119</v>
      </c>
      <c r="D346" s="16">
        <v>0.28541448058761798</v>
      </c>
      <c r="E346" s="16">
        <v>0.41811846689895499</v>
      </c>
      <c r="F346" s="16">
        <v>0.16140350877192999</v>
      </c>
      <c r="G346" s="16">
        <v>0.32752613240418099</v>
      </c>
      <c r="H346" s="16">
        <v>0.263225533609727</v>
      </c>
      <c r="I346" s="16">
        <v>0.35345737706027802</v>
      </c>
      <c r="J346" s="16">
        <v>0.70440949610875803</v>
      </c>
      <c r="K346" s="16">
        <v>0.65987485203887897</v>
      </c>
      <c r="L346" s="16">
        <v>0.82989837320609305</v>
      </c>
      <c r="M346" s="16">
        <v>0.54494382022471899</v>
      </c>
      <c r="N346" s="16">
        <v>0.60439560439560502</v>
      </c>
      <c r="O346" s="16">
        <v>1</v>
      </c>
      <c r="P346" s="17">
        <f t="shared" si="55"/>
        <v>0.30152424988878151</v>
      </c>
      <c r="Q346" s="17">
        <f t="shared" si="56"/>
        <v>0.73139424045124335</v>
      </c>
      <c r="R346" s="17">
        <f t="shared" si="57"/>
        <v>0.71644647487344137</v>
      </c>
      <c r="S346" s="17">
        <f>'02_지표정의'!$C$22*P346+'02_지표정의'!$C$23*Q346+'02_지표정의'!$C$24*R346</f>
        <v>0.6401885243865203</v>
      </c>
      <c r="T346" s="5">
        <f t="shared" si="58"/>
        <v>1</v>
      </c>
      <c r="U346" s="5" t="str">
        <f t="shared" si="59"/>
        <v>특허</v>
      </c>
      <c r="V346" s="18">
        <f t="shared" si="60"/>
        <v>575</v>
      </c>
      <c r="W346" s="5">
        <f t="shared" si="61"/>
        <v>0</v>
      </c>
      <c r="X346" s="5">
        <f t="shared" si="62"/>
        <v>271</v>
      </c>
      <c r="Y346" s="5">
        <f t="shared" si="63"/>
        <v>433</v>
      </c>
      <c r="Z346" s="19">
        <f t="shared" si="64"/>
        <v>11</v>
      </c>
      <c r="AA346" s="20">
        <f>ABS(S346-SUMPRODUCT(('05B_가정검정'!$A$5:$A$19=B346)*('05B_가정검정'!$B$5:$B$19=C346)*'05B_가정검정'!$E$5:$E$19))</f>
        <v>4.5441272937707056E-2</v>
      </c>
      <c r="AB346" s="20">
        <f t="shared" si="65"/>
        <v>-4.2230208658481483E-2</v>
      </c>
    </row>
    <row r="347" spans="1:28">
      <c r="A347" s="15" t="s">
        <v>146</v>
      </c>
      <c r="B347" s="15" t="s">
        <v>116</v>
      </c>
      <c r="C347" s="15" t="s">
        <v>117</v>
      </c>
      <c r="D347" s="16">
        <v>0.23192360163710801</v>
      </c>
      <c r="E347" s="16">
        <v>0.340659340659341</v>
      </c>
      <c r="F347" s="16">
        <v>0.133333333333333</v>
      </c>
      <c r="G347" s="16">
        <v>0.27472527472527503</v>
      </c>
      <c r="H347" s="16">
        <v>0.252467135855589</v>
      </c>
      <c r="I347" s="16">
        <v>0.35032354303271301</v>
      </c>
      <c r="J347" s="16">
        <v>0.71301852346250305</v>
      </c>
      <c r="K347" s="16">
        <v>0.69295503546468196</v>
      </c>
      <c r="L347" s="16">
        <v>0.81130063227270099</v>
      </c>
      <c r="M347" s="16">
        <v>0.56291390728476798</v>
      </c>
      <c r="N347" s="16">
        <v>0.23170731707317099</v>
      </c>
      <c r="O347" s="16">
        <v>1</v>
      </c>
      <c r="P347" s="17">
        <f t="shared" si="55"/>
        <v>0.26390537154055982</v>
      </c>
      <c r="Q347" s="17">
        <f t="shared" si="56"/>
        <v>0.73909139706662863</v>
      </c>
      <c r="R347" s="17">
        <f t="shared" si="57"/>
        <v>0.59820707478597968</v>
      </c>
      <c r="S347" s="17">
        <f>'02_지표정의'!$C$22*P347+'02_지표정의'!$C$23*Q347+'02_지표정의'!$C$24*R347</f>
        <v>0.59474467916318774</v>
      </c>
      <c r="T347" s="5">
        <f t="shared" si="58"/>
        <v>0</v>
      </c>
      <c r="U347" s="5" t="str">
        <f t="shared" si="59"/>
        <v>특허</v>
      </c>
      <c r="V347" s="18">
        <f t="shared" si="60"/>
        <v>365</v>
      </c>
      <c r="W347" s="5">
        <f t="shared" si="61"/>
        <v>294</v>
      </c>
      <c r="X347" s="5">
        <f t="shared" si="62"/>
        <v>156</v>
      </c>
      <c r="Y347" s="5">
        <f t="shared" si="63"/>
        <v>0</v>
      </c>
      <c r="Z347" s="19">
        <f t="shared" si="64"/>
        <v>63</v>
      </c>
      <c r="AA347" s="20">
        <f>ABS(S347-SUMPRODUCT(('05B_가정검정'!$A$5:$A$19=B347)*('05B_가정검정'!$B$5:$B$19=C347)*'05B_가정검정'!$E$5:$E$19))</f>
        <v>3.7340974178220465E-2</v>
      </c>
      <c r="AB347" s="20">
        <f t="shared" si="65"/>
        <v>4.2193513750564349E-2</v>
      </c>
    </row>
    <row r="348" spans="1:28">
      <c r="A348" s="15" t="s">
        <v>146</v>
      </c>
      <c r="B348" s="15" t="s">
        <v>116</v>
      </c>
      <c r="C348" s="15" t="s">
        <v>118</v>
      </c>
      <c r="D348" s="16">
        <v>0.325806451612903</v>
      </c>
      <c r="E348" s="16">
        <v>0.36734693877551</v>
      </c>
      <c r="F348" s="16">
        <v>0.164948453608247</v>
      </c>
      <c r="G348" s="16">
        <v>0.31632653061224503</v>
      </c>
      <c r="H348" s="16">
        <v>0.19568853511356801</v>
      </c>
      <c r="I348" s="16">
        <v>0.43076052033161799</v>
      </c>
      <c r="J348" s="16">
        <v>0.67910025502817095</v>
      </c>
      <c r="K348" s="16">
        <v>0.66112867804990805</v>
      </c>
      <c r="L348" s="16">
        <v>0.818648990000997</v>
      </c>
      <c r="M348" s="16">
        <v>0.452380952380952</v>
      </c>
      <c r="N348" s="16">
        <v>0</v>
      </c>
      <c r="O348" s="16">
        <v>0.52631578947368396</v>
      </c>
      <c r="P348" s="17">
        <f t="shared" si="55"/>
        <v>0.30014623834234849</v>
      </c>
      <c r="Q348" s="17">
        <f t="shared" si="56"/>
        <v>0.71962597435969189</v>
      </c>
      <c r="R348" s="17">
        <f t="shared" si="57"/>
        <v>0.32623224728487865</v>
      </c>
      <c r="S348" s="17">
        <f>'02_지표정의'!$C$22*P348+'02_지표정의'!$C$23*Q348+'02_지표정의'!$C$24*R348</f>
        <v>0.4980422226800385</v>
      </c>
      <c r="T348" s="5">
        <f t="shared" si="58"/>
        <v>0</v>
      </c>
      <c r="U348" s="5" t="str">
        <f t="shared" si="59"/>
        <v>특허</v>
      </c>
      <c r="V348" s="18">
        <f t="shared" si="60"/>
        <v>42</v>
      </c>
      <c r="W348" s="5">
        <f t="shared" si="61"/>
        <v>36</v>
      </c>
      <c r="X348" s="5">
        <f t="shared" si="62"/>
        <v>0</v>
      </c>
      <c r="Y348" s="5">
        <f t="shared" si="63"/>
        <v>37</v>
      </c>
      <c r="Z348" s="19">
        <f t="shared" si="64"/>
        <v>20</v>
      </c>
      <c r="AA348" s="20">
        <f>ABS(S348-SUMPRODUCT(('05B_가정검정'!$A$5:$A$19=B348)*('05B_가정검정'!$B$5:$B$19=C348)*'05B_가정검정'!$E$5:$E$19))</f>
        <v>3.3250199021683136E-2</v>
      </c>
      <c r="AB348" s="20">
        <f t="shared" si="65"/>
        <v>-2.9506809698547798E-2</v>
      </c>
    </row>
    <row r="349" spans="1:28">
      <c r="A349" s="15" t="s">
        <v>146</v>
      </c>
      <c r="B349" s="15" t="s">
        <v>116</v>
      </c>
      <c r="C349" s="15" t="s">
        <v>119</v>
      </c>
      <c r="D349" s="16">
        <v>0.296503496503497</v>
      </c>
      <c r="E349" s="16">
        <v>0.40449438202247201</v>
      </c>
      <c r="F349" s="16">
        <v>0.19318181818181801</v>
      </c>
      <c r="G349" s="16">
        <v>0.325842696629214</v>
      </c>
      <c r="H349" s="16">
        <v>0.251509070600198</v>
      </c>
      <c r="I349" s="16">
        <v>0.53575537518009797</v>
      </c>
      <c r="J349" s="16">
        <v>0.72539535399192401</v>
      </c>
      <c r="K349" s="16">
        <v>0.63978405454696996</v>
      </c>
      <c r="L349" s="16">
        <v>0.84168426759744697</v>
      </c>
      <c r="M349" s="16">
        <v>0.49006622516556297</v>
      </c>
      <c r="N349" s="16">
        <v>0</v>
      </c>
      <c r="O349" s="16">
        <v>1</v>
      </c>
      <c r="P349" s="17">
        <f t="shared" si="55"/>
        <v>0.33454780651954952</v>
      </c>
      <c r="Q349" s="17">
        <f t="shared" si="56"/>
        <v>0.73562122537878027</v>
      </c>
      <c r="R349" s="17">
        <f t="shared" si="57"/>
        <v>0.49668874172185434</v>
      </c>
      <c r="S349" s="17">
        <f>'02_지표정의'!$C$22*P349+'02_지표정의'!$C$23*Q349+'02_지표정의'!$C$24*R349</f>
        <v>0.57178017232701006</v>
      </c>
      <c r="T349" s="5">
        <f t="shared" si="58"/>
        <v>0</v>
      </c>
      <c r="U349" s="5" t="str">
        <f t="shared" si="59"/>
        <v>특허</v>
      </c>
      <c r="V349" s="18">
        <f t="shared" si="60"/>
        <v>294</v>
      </c>
      <c r="W349" s="5">
        <f t="shared" si="61"/>
        <v>0</v>
      </c>
      <c r="X349" s="5">
        <f t="shared" si="62"/>
        <v>122</v>
      </c>
      <c r="Y349" s="5">
        <f t="shared" si="63"/>
        <v>229</v>
      </c>
      <c r="Z349" s="19">
        <f t="shared" si="64"/>
        <v>48</v>
      </c>
      <c r="AA349" s="20">
        <f>ABS(S349-SUMPRODUCT(('05B_가정검정'!$A$5:$A$19=B349)*('05B_가정검정'!$B$5:$B$19=C349)*'05B_가정검정'!$E$5:$E$19))</f>
        <v>1.8756655584227455E-2</v>
      </c>
      <c r="AB349" s="20">
        <f t="shared" si="65"/>
        <v>1.5327688650830007E-2</v>
      </c>
    </row>
    <row r="350" spans="1:28">
      <c r="A350" s="15" t="s">
        <v>146</v>
      </c>
      <c r="B350" s="15" t="s">
        <v>120</v>
      </c>
      <c r="C350" s="15" t="s">
        <v>117</v>
      </c>
      <c r="D350" s="16">
        <v>0.233265720081136</v>
      </c>
      <c r="E350" s="16">
        <v>0.35251798561151099</v>
      </c>
      <c r="F350" s="16">
        <v>8.6956521739130502E-2</v>
      </c>
      <c r="G350" s="16">
        <v>0.215827338129496</v>
      </c>
      <c r="H350" s="16">
        <v>0.31443872115249599</v>
      </c>
      <c r="I350" s="16">
        <v>0.37939290514111101</v>
      </c>
      <c r="J350" s="16">
        <v>0.68204844851090896</v>
      </c>
      <c r="K350" s="16">
        <v>0.68153996635055403</v>
      </c>
      <c r="L350" s="16">
        <v>0.83321214757895301</v>
      </c>
      <c r="M350" s="16">
        <v>0.64583333333333304</v>
      </c>
      <c r="N350" s="16">
        <v>0.58333333333333304</v>
      </c>
      <c r="O350" s="16">
        <v>1</v>
      </c>
      <c r="P350" s="17">
        <f t="shared" si="55"/>
        <v>0.26373319864248007</v>
      </c>
      <c r="Q350" s="17">
        <f t="shared" si="56"/>
        <v>0.73226685414680537</v>
      </c>
      <c r="R350" s="17">
        <f t="shared" si="57"/>
        <v>0.74305555555555536</v>
      </c>
      <c r="S350" s="17">
        <f>'02_지표정의'!$C$22*P350+'02_지표정의'!$C$23*Q350+'02_지표정의'!$C$24*R350</f>
        <v>0.64233616853900277</v>
      </c>
      <c r="T350" s="5">
        <f t="shared" si="58"/>
        <v>0</v>
      </c>
      <c r="U350" s="5" t="str">
        <f t="shared" si="59"/>
        <v>특허</v>
      </c>
      <c r="V350" s="18">
        <f t="shared" si="60"/>
        <v>584</v>
      </c>
      <c r="W350" s="5">
        <f t="shared" si="61"/>
        <v>453</v>
      </c>
      <c r="X350" s="5">
        <f t="shared" si="62"/>
        <v>277</v>
      </c>
      <c r="Y350" s="5">
        <f t="shared" si="63"/>
        <v>0</v>
      </c>
      <c r="Z350" s="19">
        <f t="shared" si="64"/>
        <v>46</v>
      </c>
      <c r="AA350" s="20">
        <f>ABS(S350-SUMPRODUCT(('05B_가정검정'!$A$5:$A$19=B350)*('05B_가정검정'!$B$5:$B$19=C350)*'05B_가정검정'!$E$5:$E$19))</f>
        <v>1.4287208481881697E-2</v>
      </c>
      <c r="AB350" s="20">
        <f t="shared" si="65"/>
        <v>1.1033465114245633E-2</v>
      </c>
    </row>
    <row r="351" spans="1:28">
      <c r="A351" s="15" t="s">
        <v>146</v>
      </c>
      <c r="B351" s="15" t="s">
        <v>120</v>
      </c>
      <c r="C351" s="15" t="s">
        <v>118</v>
      </c>
      <c r="D351" s="16">
        <v>0.28178694158075601</v>
      </c>
      <c r="E351" s="16">
        <v>0.41095890410958902</v>
      </c>
      <c r="F351" s="16">
        <v>0.16551724137931001</v>
      </c>
      <c r="G351" s="16">
        <v>0.30821917808219201</v>
      </c>
      <c r="H351" s="16">
        <v>0.310745215055034</v>
      </c>
      <c r="I351" s="16">
        <v>0.477478075507202</v>
      </c>
      <c r="J351" s="16">
        <v>0.69966929754998797</v>
      </c>
      <c r="K351" s="16">
        <v>0.69389322663411801</v>
      </c>
      <c r="L351" s="16">
        <v>0.83815234283502604</v>
      </c>
      <c r="M351" s="16">
        <v>0.53174603174603197</v>
      </c>
      <c r="N351" s="16">
        <v>0.31304347826086998</v>
      </c>
      <c r="O351" s="16">
        <v>0.52631578947368396</v>
      </c>
      <c r="P351" s="17">
        <f t="shared" si="55"/>
        <v>0.3257842592856805</v>
      </c>
      <c r="Q351" s="17">
        <f t="shared" si="56"/>
        <v>0.74390495567304404</v>
      </c>
      <c r="R351" s="17">
        <f t="shared" si="57"/>
        <v>0.45703509982686197</v>
      </c>
      <c r="S351" s="17">
        <f>'02_지표정의'!$C$22*P351+'02_지표정의'!$C$23*Q351+'02_지표정의'!$C$24*R351</f>
        <v>0.55987636684940756</v>
      </c>
      <c r="T351" s="5">
        <f t="shared" si="58"/>
        <v>0</v>
      </c>
      <c r="U351" s="5" t="str">
        <f t="shared" si="59"/>
        <v>특허</v>
      </c>
      <c r="V351" s="18">
        <f t="shared" si="60"/>
        <v>249</v>
      </c>
      <c r="W351" s="5">
        <f t="shared" si="61"/>
        <v>203</v>
      </c>
      <c r="X351" s="5">
        <f t="shared" si="62"/>
        <v>0</v>
      </c>
      <c r="Y351" s="5">
        <f t="shared" si="63"/>
        <v>206</v>
      </c>
      <c r="Z351" s="19">
        <f t="shared" si="64"/>
        <v>26</v>
      </c>
      <c r="AA351" s="20">
        <f>ABS(S351-SUMPRODUCT(('05B_가정검정'!$A$5:$A$19=B351)*('05B_가정검정'!$B$5:$B$19=C351)*'05B_가정검정'!$E$5:$E$19))</f>
        <v>3.0952481732220427E-2</v>
      </c>
      <c r="AB351" s="20">
        <f t="shared" si="65"/>
        <v>-1.5014409112703242E-2</v>
      </c>
    </row>
    <row r="352" spans="1:28">
      <c r="A352" s="15" t="s">
        <v>146</v>
      </c>
      <c r="B352" s="15" t="s">
        <v>120</v>
      </c>
      <c r="C352" s="15" t="s">
        <v>119</v>
      </c>
      <c r="D352" s="16">
        <v>0.30165289256198402</v>
      </c>
      <c r="E352" s="16">
        <v>0.49635036496350399</v>
      </c>
      <c r="F352" s="16">
        <v>0.19852941176470601</v>
      </c>
      <c r="G352" s="16">
        <v>0.32846715328467202</v>
      </c>
      <c r="H352" s="16">
        <v>0.372647459878026</v>
      </c>
      <c r="I352" s="16">
        <v>0.65603875970896897</v>
      </c>
      <c r="J352" s="16">
        <v>0.73987541835798498</v>
      </c>
      <c r="K352" s="16">
        <v>0.67219113626022997</v>
      </c>
      <c r="L352" s="16">
        <v>0.84652312200385005</v>
      </c>
      <c r="M352" s="16">
        <v>0.79166666666666696</v>
      </c>
      <c r="N352" s="16">
        <v>0.82142857142857095</v>
      </c>
      <c r="O352" s="16">
        <v>1</v>
      </c>
      <c r="P352" s="17">
        <f t="shared" si="55"/>
        <v>0.39228100702697688</v>
      </c>
      <c r="Q352" s="17">
        <f t="shared" si="56"/>
        <v>0.7528632255406883</v>
      </c>
      <c r="R352" s="17">
        <f t="shared" si="57"/>
        <v>0.87103174603174605</v>
      </c>
      <c r="S352" s="17">
        <f>'02_지표정의'!$C$22*P352+'02_지표정의'!$C$23*Q352+'02_지표정의'!$C$24*R352</f>
        <v>0.72210576400981619</v>
      </c>
      <c r="T352" s="5">
        <f t="shared" si="58"/>
        <v>0</v>
      </c>
      <c r="U352" s="5" t="str">
        <f t="shared" si="59"/>
        <v>특허</v>
      </c>
      <c r="V352" s="18">
        <f t="shared" si="60"/>
        <v>886</v>
      </c>
      <c r="W352" s="5">
        <f t="shared" si="61"/>
        <v>0</v>
      </c>
      <c r="X352" s="5">
        <f t="shared" si="62"/>
        <v>561</v>
      </c>
      <c r="Y352" s="5">
        <f t="shared" si="63"/>
        <v>619</v>
      </c>
      <c r="Z352" s="19">
        <f t="shared" si="64"/>
        <v>65</v>
      </c>
      <c r="AA352" s="20">
        <f>ABS(S352-SUMPRODUCT(('05B_가정검정'!$A$5:$A$19=B352)*('05B_가정검정'!$B$5:$B$19=C352)*'05B_가정검정'!$E$5:$E$19))</f>
        <v>5.8428447528429905E-2</v>
      </c>
      <c r="AB352" s="20">
        <f t="shared" si="65"/>
        <v>6.368275649900057E-2</v>
      </c>
    </row>
    <row r="353" spans="1:28">
      <c r="A353" s="15" t="s">
        <v>146</v>
      </c>
      <c r="B353" s="15" t="s">
        <v>121</v>
      </c>
      <c r="C353" s="15" t="s">
        <v>117</v>
      </c>
      <c r="D353" s="16">
        <v>0.25911949685534602</v>
      </c>
      <c r="E353" s="16">
        <v>0.32989690721649501</v>
      </c>
      <c r="F353" s="16">
        <v>0.114583333333333</v>
      </c>
      <c r="G353" s="16">
        <v>0.25773195876288701</v>
      </c>
      <c r="H353" s="16">
        <v>0.31648373766737098</v>
      </c>
      <c r="I353" s="16">
        <v>0.34268031717640901</v>
      </c>
      <c r="J353" s="16">
        <v>0.74874021499777699</v>
      </c>
      <c r="K353" s="16">
        <v>0.79263523776470801</v>
      </c>
      <c r="L353" s="16">
        <v>0.91000329116136902</v>
      </c>
      <c r="M353" s="16">
        <v>0.90654205607476601</v>
      </c>
      <c r="N353" s="16">
        <v>0.91666666666666696</v>
      </c>
      <c r="O353" s="16">
        <v>1</v>
      </c>
      <c r="P353" s="17">
        <f t="shared" si="55"/>
        <v>0.27008262516864018</v>
      </c>
      <c r="Q353" s="17">
        <f t="shared" si="56"/>
        <v>0.81712624797461808</v>
      </c>
      <c r="R353" s="17">
        <f t="shared" si="57"/>
        <v>0.94106957424714432</v>
      </c>
      <c r="S353" s="17">
        <f>'02_지표정의'!$C$22*P353+'02_지표정의'!$C$23*Q353+'02_지표정의'!$C$24*R353</f>
        <v>0.75109768760880669</v>
      </c>
      <c r="T353" s="5">
        <f t="shared" si="58"/>
        <v>1</v>
      </c>
      <c r="U353" s="5" t="str">
        <f t="shared" si="59"/>
        <v>특허</v>
      </c>
      <c r="V353" s="18">
        <f t="shared" si="60"/>
        <v>955</v>
      </c>
      <c r="W353" s="5">
        <f t="shared" si="61"/>
        <v>649</v>
      </c>
      <c r="X353" s="5">
        <f t="shared" si="62"/>
        <v>630</v>
      </c>
      <c r="Y353" s="5">
        <f t="shared" si="63"/>
        <v>0</v>
      </c>
      <c r="Z353" s="19">
        <f t="shared" si="64"/>
        <v>64</v>
      </c>
      <c r="AA353" s="20">
        <f>ABS(S353-SUMPRODUCT(('05B_가정검정'!$A$5:$A$19=B353)*('05B_가정검정'!$B$5:$B$19=C353)*'05B_가정검정'!$E$5:$E$19))</f>
        <v>2.1665616226925533E-2</v>
      </c>
      <c r="AB353" s="20">
        <f t="shared" si="65"/>
        <v>3.3445894535925724E-2</v>
      </c>
    </row>
    <row r="354" spans="1:28">
      <c r="A354" s="15" t="s">
        <v>146</v>
      </c>
      <c r="B354" s="15" t="s">
        <v>121</v>
      </c>
      <c r="C354" s="15" t="s">
        <v>118</v>
      </c>
      <c r="D354" s="16">
        <v>0.27565982404692102</v>
      </c>
      <c r="E354" s="16">
        <v>0.27884615384615402</v>
      </c>
      <c r="F354" s="16">
        <v>0.116504854368932</v>
      </c>
      <c r="G354" s="16">
        <v>0.230769230769231</v>
      </c>
      <c r="H354" s="16">
        <v>0.217277246111964</v>
      </c>
      <c r="I354" s="16">
        <v>0.38838120565577899</v>
      </c>
      <c r="J354" s="16">
        <v>0.72438896368641104</v>
      </c>
      <c r="K354" s="16">
        <v>0.70565488511539398</v>
      </c>
      <c r="L354" s="16">
        <v>0.85973612345745298</v>
      </c>
      <c r="M354" s="16">
        <v>0.384920634920635</v>
      </c>
      <c r="N354" s="16">
        <v>0.32173913043478303</v>
      </c>
      <c r="O354" s="16">
        <v>0.52631578947368396</v>
      </c>
      <c r="P354" s="17">
        <f t="shared" si="55"/>
        <v>0.25123975246649682</v>
      </c>
      <c r="Q354" s="17">
        <f t="shared" si="56"/>
        <v>0.76325999075308604</v>
      </c>
      <c r="R354" s="17">
        <f t="shared" si="57"/>
        <v>0.41099185160970064</v>
      </c>
      <c r="S354" s="17">
        <f>'02_지표정의'!$C$22*P354+'02_지표정의'!$C$23*Q354+'02_지표정의'!$C$24*R354</f>
        <v>0.53756209439558333</v>
      </c>
      <c r="T354" s="5">
        <f t="shared" si="58"/>
        <v>0</v>
      </c>
      <c r="U354" s="5" t="str">
        <f t="shared" si="59"/>
        <v>특허</v>
      </c>
      <c r="V354" s="18">
        <f t="shared" si="60"/>
        <v>160</v>
      </c>
      <c r="W354" s="5">
        <f t="shared" si="61"/>
        <v>140</v>
      </c>
      <c r="X354" s="5">
        <f t="shared" si="62"/>
        <v>0</v>
      </c>
      <c r="Y354" s="5">
        <f t="shared" si="63"/>
        <v>145</v>
      </c>
      <c r="Z354" s="19">
        <f t="shared" si="64"/>
        <v>19</v>
      </c>
      <c r="AA354" s="20">
        <f>ABS(S354-SUMPRODUCT(('05B_가정검정'!$A$5:$A$19=B354)*('05B_가정검정'!$B$5:$B$19=C354)*'05B_가정검정'!$E$5:$E$19))</f>
        <v>6.1017395771385097E-2</v>
      </c>
      <c r="AB354" s="20">
        <f t="shared" si="65"/>
        <v>-4.1836980131229939E-2</v>
      </c>
    </row>
    <row r="355" spans="1:28">
      <c r="A355" s="15" t="s">
        <v>146</v>
      </c>
      <c r="B355" s="15" t="s">
        <v>121</v>
      </c>
      <c r="C355" s="15" t="s">
        <v>119</v>
      </c>
      <c r="D355" s="16">
        <v>0.32689832689832699</v>
      </c>
      <c r="E355" s="16">
        <v>0.34736842105263199</v>
      </c>
      <c r="F355" s="16">
        <v>0.117021276595745</v>
      </c>
      <c r="G355" s="16">
        <v>0.26315789473684198</v>
      </c>
      <c r="H355" s="16">
        <v>0.30573936084772502</v>
      </c>
      <c r="I355" s="16">
        <v>0.497001625627849</v>
      </c>
      <c r="J355" s="16">
        <v>0.77548344120587198</v>
      </c>
      <c r="K355" s="16">
        <v>0.77241226028612897</v>
      </c>
      <c r="L355" s="16">
        <v>0.89854010426399999</v>
      </c>
      <c r="M355" s="16">
        <v>0.71323529411764697</v>
      </c>
      <c r="N355" s="16">
        <v>0.6875</v>
      </c>
      <c r="O355" s="16">
        <v>1</v>
      </c>
      <c r="P355" s="17">
        <f t="shared" si="55"/>
        <v>0.30953115095985334</v>
      </c>
      <c r="Q355" s="17">
        <f t="shared" si="56"/>
        <v>0.81547860191866695</v>
      </c>
      <c r="R355" s="17">
        <f t="shared" si="57"/>
        <v>0.80024509803921562</v>
      </c>
      <c r="S355" s="17">
        <f>'02_지표정의'!$C$22*P355+'02_지표정의'!$C$23*Q355+'02_지표정의'!$C$24*R355</f>
        <v>0.70895738536909625</v>
      </c>
      <c r="T355" s="5">
        <f t="shared" si="58"/>
        <v>0</v>
      </c>
      <c r="U355" s="5" t="str">
        <f t="shared" si="59"/>
        <v>특허</v>
      </c>
      <c r="V355" s="18">
        <f t="shared" si="60"/>
        <v>841</v>
      </c>
      <c r="W355" s="5">
        <f t="shared" si="61"/>
        <v>0</v>
      </c>
      <c r="X355" s="5">
        <f t="shared" si="62"/>
        <v>516</v>
      </c>
      <c r="Y355" s="5">
        <f t="shared" si="63"/>
        <v>604</v>
      </c>
      <c r="Z355" s="19">
        <f t="shared" si="64"/>
        <v>43</v>
      </c>
      <c r="AA355" s="20">
        <f>ABS(S355-SUMPRODUCT(('05B_가정검정'!$A$5:$A$19=B355)*('05B_가정검정'!$B$5:$B$19=C355)*'05B_가정검정'!$E$5:$E$19))</f>
        <v>1.663754257324257E-2</v>
      </c>
      <c r="AB355" s="20">
        <f t="shared" si="65"/>
        <v>2.0720409949485208E-2</v>
      </c>
    </row>
    <row r="356" spans="1:28">
      <c r="A356" s="15" t="s">
        <v>146</v>
      </c>
      <c r="B356" s="15" t="s">
        <v>122</v>
      </c>
      <c r="C356" s="15" t="s">
        <v>117</v>
      </c>
      <c r="D356" s="16">
        <v>0.28136882129277602</v>
      </c>
      <c r="E356" s="16">
        <v>0.36036036036036001</v>
      </c>
      <c r="F356" s="16">
        <v>0.13636363636363599</v>
      </c>
      <c r="G356" s="16">
        <v>0.25225225225225201</v>
      </c>
      <c r="H356" s="16">
        <v>0.313421938000571</v>
      </c>
      <c r="I356" s="16">
        <v>0.175063341882923</v>
      </c>
      <c r="J356" s="16">
        <v>0.69234262145235204</v>
      </c>
      <c r="K356" s="16">
        <v>0.71471682235220702</v>
      </c>
      <c r="L356" s="16">
        <v>0.85336249520649898</v>
      </c>
      <c r="M356" s="16">
        <v>0.747899159663866</v>
      </c>
      <c r="N356" s="16">
        <v>0.74242424242424199</v>
      </c>
      <c r="O356" s="16">
        <v>1</v>
      </c>
      <c r="P356" s="17">
        <f t="shared" si="55"/>
        <v>0.25313839169208635</v>
      </c>
      <c r="Q356" s="17">
        <f t="shared" si="56"/>
        <v>0.75347397967035279</v>
      </c>
      <c r="R356" s="17">
        <f t="shared" si="57"/>
        <v>0.83010780069603596</v>
      </c>
      <c r="S356" s="17">
        <f>'02_지표정의'!$C$22*P356+'02_지표정의'!$C$23*Q356+'02_지표정의'!$C$24*R356</f>
        <v>0.68022869943368858</v>
      </c>
      <c r="T356" s="5">
        <f t="shared" si="58"/>
        <v>0</v>
      </c>
      <c r="U356" s="5" t="str">
        <f t="shared" si="59"/>
        <v>특허</v>
      </c>
      <c r="V356" s="18">
        <f t="shared" si="60"/>
        <v>759</v>
      </c>
      <c r="W356" s="5">
        <f t="shared" si="61"/>
        <v>533</v>
      </c>
      <c r="X356" s="5">
        <f t="shared" si="62"/>
        <v>435</v>
      </c>
      <c r="Y356" s="5">
        <f t="shared" si="63"/>
        <v>0</v>
      </c>
      <c r="Z356" s="19">
        <f t="shared" si="64"/>
        <v>64</v>
      </c>
      <c r="AA356" s="20">
        <f>ABS(S356-SUMPRODUCT(('05B_가정검정'!$A$5:$A$19=B356)*('05B_가정검정'!$B$5:$B$19=C356)*'05B_가정검정'!$E$5:$E$19))</f>
        <v>4.0875744725010099E-2</v>
      </c>
      <c r="AB356" s="20">
        <f t="shared" si="65"/>
        <v>5.7347077244042421E-2</v>
      </c>
    </row>
    <row r="357" spans="1:28">
      <c r="A357" s="15" t="s">
        <v>146</v>
      </c>
      <c r="B357" s="15" t="s">
        <v>122</v>
      </c>
      <c r="C357" s="15" t="s">
        <v>118</v>
      </c>
      <c r="D357" s="16">
        <v>0.34023668639053301</v>
      </c>
      <c r="E357" s="16">
        <v>0.39830508474576298</v>
      </c>
      <c r="F357" s="16">
        <v>0.13675213675213699</v>
      </c>
      <c r="G357" s="16">
        <v>0.27118644067796599</v>
      </c>
      <c r="H357" s="16">
        <v>0.248286385239992</v>
      </c>
      <c r="I357" s="16">
        <v>0.22305842625750699</v>
      </c>
      <c r="J357" s="16">
        <v>0.72867868033805105</v>
      </c>
      <c r="K357" s="16">
        <v>0.69192194982856803</v>
      </c>
      <c r="L357" s="16">
        <v>0.82594129071341404</v>
      </c>
      <c r="M357" s="16">
        <v>0.42460317460317498</v>
      </c>
      <c r="N357" s="16">
        <v>0.25217391304347803</v>
      </c>
      <c r="O357" s="16">
        <v>0.52631578947368396</v>
      </c>
      <c r="P357" s="17">
        <f t="shared" si="55"/>
        <v>0.26963752667731633</v>
      </c>
      <c r="Q357" s="17">
        <f t="shared" si="56"/>
        <v>0.74884730696001112</v>
      </c>
      <c r="R357" s="17">
        <f t="shared" si="57"/>
        <v>0.40103095904011238</v>
      </c>
      <c r="S357" s="17">
        <f>'02_지표정의'!$C$22*P357+'02_지표정의'!$C$23*Q357+'02_지표정의'!$C$24*R357</f>
        <v>0.53126962913150755</v>
      </c>
      <c r="T357" s="5">
        <f t="shared" si="58"/>
        <v>1</v>
      </c>
      <c r="U357" s="5" t="str">
        <f t="shared" si="59"/>
        <v>특허</v>
      </c>
      <c r="V357" s="18">
        <f t="shared" si="60"/>
        <v>137</v>
      </c>
      <c r="W357" s="5">
        <f t="shared" si="61"/>
        <v>123</v>
      </c>
      <c r="X357" s="5">
        <f t="shared" si="62"/>
        <v>0</v>
      </c>
      <c r="Y357" s="5">
        <f t="shared" si="63"/>
        <v>124</v>
      </c>
      <c r="Z357" s="19">
        <f t="shared" si="64"/>
        <v>16</v>
      </c>
      <c r="AA357" s="20">
        <f>ABS(S357-SUMPRODUCT(('05B_가정검정'!$A$5:$A$19=B357)*('05B_가정검정'!$B$5:$B$19=C357)*'05B_가정검정'!$E$5:$E$19))</f>
        <v>5.5652306865650703E-2</v>
      </c>
      <c r="AB357" s="20">
        <f t="shared" si="65"/>
        <v>-4.9953647086176223E-2</v>
      </c>
    </row>
    <row r="358" spans="1:28">
      <c r="A358" s="15" t="s">
        <v>146</v>
      </c>
      <c r="B358" s="15" t="s">
        <v>122</v>
      </c>
      <c r="C358" s="15" t="s">
        <v>119</v>
      </c>
      <c r="D358" s="16">
        <v>0.293125810635538</v>
      </c>
      <c r="E358" s="16">
        <v>0.35779816513761498</v>
      </c>
      <c r="F358" s="16">
        <v>0.12962962962963001</v>
      </c>
      <c r="G358" s="16">
        <v>0.28440366972477099</v>
      </c>
      <c r="H358" s="16">
        <v>0.293592971743662</v>
      </c>
      <c r="I358" s="16">
        <v>0.24218495774436799</v>
      </c>
      <c r="J358" s="16">
        <v>0.71602904472298501</v>
      </c>
      <c r="K358" s="16">
        <v>0.65709809321748203</v>
      </c>
      <c r="L358" s="16">
        <v>0.85187881754228001</v>
      </c>
      <c r="M358" s="16">
        <v>0.58088235294117596</v>
      </c>
      <c r="N358" s="16">
        <v>0.53749999999999998</v>
      </c>
      <c r="O358" s="16">
        <v>1</v>
      </c>
      <c r="P358" s="17">
        <f t="shared" si="55"/>
        <v>0.26678920076926399</v>
      </c>
      <c r="Q358" s="17">
        <f t="shared" si="56"/>
        <v>0.74166865182758235</v>
      </c>
      <c r="R358" s="17">
        <f t="shared" si="57"/>
        <v>0.70612745098039198</v>
      </c>
      <c r="S358" s="17">
        <f>'02_지표정의'!$C$22*P358+'02_지표정의'!$C$23*Q358+'02_지표정의'!$C$24*R358</f>
        <v>0.63425334131940203</v>
      </c>
      <c r="T358" s="5">
        <f t="shared" si="58"/>
        <v>0</v>
      </c>
      <c r="U358" s="5" t="str">
        <f t="shared" si="59"/>
        <v>특허</v>
      </c>
      <c r="V358" s="18">
        <f t="shared" si="60"/>
        <v>549</v>
      </c>
      <c r="W358" s="5">
        <f t="shared" si="61"/>
        <v>0</v>
      </c>
      <c r="X358" s="5">
        <f t="shared" si="62"/>
        <v>252</v>
      </c>
      <c r="Y358" s="5">
        <f t="shared" si="63"/>
        <v>414</v>
      </c>
      <c r="Z358" s="19">
        <f t="shared" si="64"/>
        <v>30</v>
      </c>
      <c r="AA358" s="20">
        <f>ABS(S358-SUMPRODUCT(('05B_가정검정'!$A$5:$A$19=B358)*('05B_가정검정'!$B$5:$B$19=C358)*'05B_가정검정'!$E$5:$E$19))</f>
        <v>1.3528465820493718E-3</v>
      </c>
      <c r="AB358" s="20">
        <f t="shared" si="65"/>
        <v>2.8644750045160317E-3</v>
      </c>
    </row>
    <row r="359" spans="1:28">
      <c r="A359" s="15" t="s">
        <v>146</v>
      </c>
      <c r="B359" s="15" t="s">
        <v>123</v>
      </c>
      <c r="C359" s="15" t="s">
        <v>117</v>
      </c>
      <c r="D359" s="16">
        <v>0.25355450236966798</v>
      </c>
      <c r="E359" s="16">
        <v>0.39069767441860498</v>
      </c>
      <c r="F359" s="16">
        <v>0.13145539906103301</v>
      </c>
      <c r="G359" s="16">
        <v>0.288372093023256</v>
      </c>
      <c r="H359" s="16">
        <v>0.34474781477075001</v>
      </c>
      <c r="I359" s="16">
        <v>0.30036559208807601</v>
      </c>
      <c r="J359" s="16">
        <v>0.70052107263181596</v>
      </c>
      <c r="K359" s="16">
        <v>0.66786216302219403</v>
      </c>
      <c r="L359" s="16">
        <v>0.85580041826658204</v>
      </c>
      <c r="M359" s="16">
        <v>0.90654205607476601</v>
      </c>
      <c r="N359" s="16">
        <v>0.91666666666666696</v>
      </c>
      <c r="O359" s="16">
        <v>1</v>
      </c>
      <c r="P359" s="17">
        <f t="shared" si="55"/>
        <v>0.28486551262189802</v>
      </c>
      <c r="Q359" s="17">
        <f t="shared" si="56"/>
        <v>0.74139455130686394</v>
      </c>
      <c r="R359" s="17">
        <f t="shared" si="57"/>
        <v>0.94106957424714432</v>
      </c>
      <c r="S359" s="17">
        <f>'02_지표정의'!$C$22*P359+'02_지표정의'!$C$23*Q359+'02_지표정의'!$C$24*R359</f>
        <v>0.71997500159896877</v>
      </c>
      <c r="T359" s="5">
        <f t="shared" si="58"/>
        <v>0</v>
      </c>
      <c r="U359" s="5" t="str">
        <f t="shared" si="59"/>
        <v>특허</v>
      </c>
      <c r="V359" s="18">
        <f t="shared" si="60"/>
        <v>879</v>
      </c>
      <c r="W359" s="5">
        <f t="shared" si="61"/>
        <v>587</v>
      </c>
      <c r="X359" s="5">
        <f t="shared" si="62"/>
        <v>554</v>
      </c>
      <c r="Y359" s="5">
        <f t="shared" si="63"/>
        <v>0</v>
      </c>
      <c r="Z359" s="19">
        <f t="shared" si="64"/>
        <v>43</v>
      </c>
      <c r="AA359" s="20">
        <f>ABS(S359-SUMPRODUCT(('05B_가정검정'!$A$5:$A$19=B359)*('05B_가정검정'!$B$5:$B$19=C359)*'05B_가정검정'!$E$5:$E$19))</f>
        <v>5.0521188227450331E-3</v>
      </c>
      <c r="AB359" s="20">
        <f t="shared" si="65"/>
        <v>1.1989549787725595E-2</v>
      </c>
    </row>
    <row r="360" spans="1:28">
      <c r="A360" s="15" t="s">
        <v>146</v>
      </c>
      <c r="B360" s="15" t="s">
        <v>123</v>
      </c>
      <c r="C360" s="15" t="s">
        <v>118</v>
      </c>
      <c r="D360" s="16">
        <v>0.26812585499316</v>
      </c>
      <c r="E360" s="16">
        <v>0.37554585152838399</v>
      </c>
      <c r="F360" s="16">
        <v>0.14977973568281899</v>
      </c>
      <c r="G360" s="16">
        <v>0.27947598253275102</v>
      </c>
      <c r="H360" s="16">
        <v>0.24795175276128301</v>
      </c>
      <c r="I360" s="16">
        <v>0.34123773478903802</v>
      </c>
      <c r="J360" s="16">
        <v>0.71356478847817295</v>
      </c>
      <c r="K360" s="16">
        <v>0.63201670114338104</v>
      </c>
      <c r="L360" s="16">
        <v>0.80034662895319097</v>
      </c>
      <c r="M360" s="16">
        <v>0.384920634920635</v>
      </c>
      <c r="N360" s="16">
        <v>0.32173913043478303</v>
      </c>
      <c r="O360" s="16">
        <v>0.52631578947368396</v>
      </c>
      <c r="P360" s="17">
        <f t="shared" si="55"/>
        <v>0.27701948538123916</v>
      </c>
      <c r="Q360" s="17">
        <f t="shared" si="56"/>
        <v>0.71530937285824836</v>
      </c>
      <c r="R360" s="17">
        <f t="shared" si="57"/>
        <v>0.41099185160970064</v>
      </c>
      <c r="S360" s="17">
        <f>'02_지표정의'!$C$22*P360+'02_지표정의'!$C$23*Q360+'02_지표정의'!$C$24*R360</f>
        <v>0.5211402629258548</v>
      </c>
      <c r="T360" s="5">
        <f t="shared" si="58"/>
        <v>0</v>
      </c>
      <c r="U360" s="5" t="str">
        <f t="shared" si="59"/>
        <v>특허</v>
      </c>
      <c r="V360" s="18">
        <f t="shared" si="60"/>
        <v>95</v>
      </c>
      <c r="W360" s="5">
        <f t="shared" si="61"/>
        <v>86</v>
      </c>
      <c r="X360" s="5">
        <f t="shared" si="62"/>
        <v>0</v>
      </c>
      <c r="Y360" s="5">
        <f t="shared" si="63"/>
        <v>87</v>
      </c>
      <c r="Z360" s="19">
        <f t="shared" si="64"/>
        <v>23</v>
      </c>
      <c r="AA360" s="20">
        <f>ABS(S360-SUMPRODUCT(('05B_가정검정'!$A$5:$A$19=B360)*('05B_가정검정'!$B$5:$B$19=C360)*'05B_가정검정'!$E$5:$E$19))</f>
        <v>5.4158563953114913E-2</v>
      </c>
      <c r="AB360" s="20">
        <f t="shared" si="65"/>
        <v>-3.8731344998636286E-2</v>
      </c>
    </row>
    <row r="361" spans="1:28">
      <c r="A361" s="15" t="s">
        <v>146</v>
      </c>
      <c r="B361" s="15" t="s">
        <v>123</v>
      </c>
      <c r="C361" s="15" t="s">
        <v>119</v>
      </c>
      <c r="D361" s="16">
        <v>0.30992736077481797</v>
      </c>
      <c r="E361" s="16">
        <v>0.464454976303318</v>
      </c>
      <c r="F361" s="16">
        <v>0.13397129186602899</v>
      </c>
      <c r="G361" s="16">
        <v>0.31279620853080597</v>
      </c>
      <c r="H361" s="16">
        <v>0.35684964615327203</v>
      </c>
      <c r="I361" s="16">
        <v>0.52250869416598</v>
      </c>
      <c r="J361" s="16">
        <v>0.72187350397011896</v>
      </c>
      <c r="K361" s="16">
        <v>0.696205894325722</v>
      </c>
      <c r="L361" s="16">
        <v>0.88819871020693697</v>
      </c>
      <c r="M361" s="16">
        <v>0.71323529411764697</v>
      </c>
      <c r="N361" s="16">
        <v>0.6875</v>
      </c>
      <c r="O361" s="16">
        <v>1</v>
      </c>
      <c r="P361" s="17">
        <f t="shared" si="55"/>
        <v>0.35008469629903716</v>
      </c>
      <c r="Q361" s="17">
        <f t="shared" si="56"/>
        <v>0.76875936950092594</v>
      </c>
      <c r="R361" s="17">
        <f t="shared" si="57"/>
        <v>0.80024509803921562</v>
      </c>
      <c r="S361" s="17">
        <f>'02_지표정의'!$C$22*P361+'02_지표정의'!$C$23*Q361+'02_지표정의'!$C$24*R361</f>
        <v>0.69604443984894959</v>
      </c>
      <c r="T361" s="5">
        <f t="shared" si="58"/>
        <v>1</v>
      </c>
      <c r="U361" s="5" t="str">
        <f t="shared" si="59"/>
        <v>특허</v>
      </c>
      <c r="V361" s="18">
        <f t="shared" si="60"/>
        <v>809</v>
      </c>
      <c r="W361" s="5">
        <f t="shared" si="61"/>
        <v>0</v>
      </c>
      <c r="X361" s="5">
        <f t="shared" si="62"/>
        <v>484</v>
      </c>
      <c r="Y361" s="5">
        <f t="shared" si="63"/>
        <v>584</v>
      </c>
      <c r="Z361" s="19">
        <f t="shared" si="64"/>
        <v>41</v>
      </c>
      <c r="AA361" s="20">
        <f>ABS(S361-SUMPRODUCT(('05B_가정검정'!$A$5:$A$19=B361)*('05B_가정검정'!$B$5:$B$19=C361)*'05B_가정검정'!$E$5:$E$19))</f>
        <v>1.041464252472224E-2</v>
      </c>
      <c r="AB361" s="20">
        <f t="shared" si="65"/>
        <v>1.3625706803947812E-2</v>
      </c>
    </row>
    <row r="362" spans="1:28">
      <c r="A362" s="15" t="s">
        <v>147</v>
      </c>
      <c r="B362" s="15" t="s">
        <v>116</v>
      </c>
      <c r="C362" s="15" t="s">
        <v>117</v>
      </c>
      <c r="D362" s="16">
        <v>0.23749999999999999</v>
      </c>
      <c r="E362" s="16">
        <v>0.34449760765550203</v>
      </c>
      <c r="F362" s="16">
        <v>0.106280193236715</v>
      </c>
      <c r="G362" s="16">
        <v>0.23923444976076599</v>
      </c>
      <c r="H362" s="16">
        <v>0.22886486348652099</v>
      </c>
      <c r="I362" s="16">
        <v>0.282332366604305</v>
      </c>
      <c r="J362" s="16">
        <v>0.65925819533211905</v>
      </c>
      <c r="K362" s="16">
        <v>0.64147296764631401</v>
      </c>
      <c r="L362" s="16">
        <v>0.80391683883242604</v>
      </c>
      <c r="M362" s="16">
        <v>0.50310559006211197</v>
      </c>
      <c r="N362" s="16">
        <v>0.207317073170732</v>
      </c>
      <c r="O362" s="16">
        <v>1</v>
      </c>
      <c r="P362" s="17">
        <f t="shared" si="55"/>
        <v>0.23978491345730149</v>
      </c>
      <c r="Q362" s="17">
        <f t="shared" si="56"/>
        <v>0.70154933393695307</v>
      </c>
      <c r="R362" s="17">
        <f t="shared" si="57"/>
        <v>0.5701408877442814</v>
      </c>
      <c r="S362" s="17">
        <f>'02_지표정의'!$C$22*P362+'02_지표정의'!$C$23*Q362+'02_지표정의'!$C$24*R362</f>
        <v>0.56320349367358769</v>
      </c>
      <c r="T362" s="5">
        <f t="shared" si="58"/>
        <v>0</v>
      </c>
      <c r="U362" s="5" t="str">
        <f t="shared" si="59"/>
        <v>특허</v>
      </c>
      <c r="V362" s="18">
        <f t="shared" si="60"/>
        <v>261</v>
      </c>
      <c r="W362" s="5">
        <f t="shared" si="61"/>
        <v>213</v>
      </c>
      <c r="X362" s="5">
        <f t="shared" si="62"/>
        <v>97</v>
      </c>
      <c r="Y362" s="5">
        <f t="shared" si="63"/>
        <v>0</v>
      </c>
      <c r="Z362" s="19">
        <f t="shared" si="64"/>
        <v>40</v>
      </c>
      <c r="AA362" s="20">
        <f>ABS(S362-SUMPRODUCT(('05B_가정검정'!$A$5:$A$19=B362)*('05B_가정검정'!$B$5:$B$19=C362)*'05B_가정검정'!$E$5:$E$19))</f>
        <v>5.7997886886204109E-3</v>
      </c>
      <c r="AB362" s="20">
        <f t="shared" si="65"/>
        <v>1.0652328260964294E-2</v>
      </c>
    </row>
    <row r="363" spans="1:28">
      <c r="A363" s="15" t="s">
        <v>147</v>
      </c>
      <c r="B363" s="15" t="s">
        <v>116</v>
      </c>
      <c r="C363" s="15" t="s">
        <v>118</v>
      </c>
      <c r="D363" s="16">
        <v>0.3392</v>
      </c>
      <c r="E363" s="16">
        <v>0.21086261980830701</v>
      </c>
      <c r="F363" s="16">
        <v>8.3601286173633493E-2</v>
      </c>
      <c r="G363" s="16">
        <v>0.191693290734824</v>
      </c>
      <c r="H363" s="16">
        <v>0.168482122208332</v>
      </c>
      <c r="I363" s="16">
        <v>0.27912766461725702</v>
      </c>
      <c r="J363" s="16">
        <v>0.71462443334109305</v>
      </c>
      <c r="K363" s="16">
        <v>0.69053979057167703</v>
      </c>
      <c r="L363" s="16">
        <v>0.83841294245118103</v>
      </c>
      <c r="M363" s="16">
        <v>0.46067415730337102</v>
      </c>
      <c r="N363" s="16">
        <v>7.0866141732283505E-2</v>
      </c>
      <c r="O363" s="16">
        <v>1</v>
      </c>
      <c r="P363" s="17">
        <f t="shared" si="55"/>
        <v>0.21216116392372561</v>
      </c>
      <c r="Q363" s="17">
        <f t="shared" si="56"/>
        <v>0.74785905545465037</v>
      </c>
      <c r="R363" s="17">
        <f t="shared" si="57"/>
        <v>0.5105134330118849</v>
      </c>
      <c r="S363" s="17">
        <f>'02_지표정의'!$C$22*P363+'02_지표정의'!$C$23*Q363+'02_지표정의'!$C$24*R363</f>
        <v>0.55764850929349752</v>
      </c>
      <c r="T363" s="5">
        <f t="shared" si="58"/>
        <v>0</v>
      </c>
      <c r="U363" s="5" t="str">
        <f t="shared" si="59"/>
        <v>특허</v>
      </c>
      <c r="V363" s="18">
        <f t="shared" si="60"/>
        <v>242</v>
      </c>
      <c r="W363" s="5">
        <f t="shared" si="61"/>
        <v>197</v>
      </c>
      <c r="X363" s="5">
        <f t="shared" si="62"/>
        <v>0</v>
      </c>
      <c r="Y363" s="5">
        <f t="shared" si="63"/>
        <v>200</v>
      </c>
      <c r="Z363" s="19">
        <f t="shared" si="64"/>
        <v>52</v>
      </c>
      <c r="AA363" s="20">
        <f>ABS(S363-SUMPRODUCT(('05B_가정검정'!$A$5:$A$19=B363)*('05B_가정검정'!$B$5:$B$19=C363)*'05B_가정검정'!$E$5:$E$19))</f>
        <v>2.6356087591775879E-2</v>
      </c>
      <c r="AB363" s="20">
        <f t="shared" si="65"/>
        <v>3.0099476914911216E-2</v>
      </c>
    </row>
    <row r="364" spans="1:28">
      <c r="A364" s="15" t="s">
        <v>147</v>
      </c>
      <c r="B364" s="15" t="s">
        <v>116</v>
      </c>
      <c r="C364" s="15" t="s">
        <v>119</v>
      </c>
      <c r="D364" s="16">
        <v>0.28213166144200602</v>
      </c>
      <c r="E364" s="16">
        <v>0.404371584699454</v>
      </c>
      <c r="F364" s="16">
        <v>0.22099447513812201</v>
      </c>
      <c r="G364" s="16">
        <v>0.34972677595628399</v>
      </c>
      <c r="H364" s="16">
        <v>0.29990331449711799</v>
      </c>
      <c r="I364" s="16">
        <v>0.47147650994965801</v>
      </c>
      <c r="J364" s="16">
        <v>0.73492801307676803</v>
      </c>
      <c r="K364" s="16">
        <v>0.65298861551712695</v>
      </c>
      <c r="L364" s="16">
        <v>0.86179871299756095</v>
      </c>
      <c r="M364" s="16">
        <v>0.49438202247190999</v>
      </c>
      <c r="N364" s="16">
        <v>0</v>
      </c>
      <c r="O364" s="16">
        <v>1</v>
      </c>
      <c r="P364" s="17">
        <f t="shared" si="55"/>
        <v>0.3381007202804403</v>
      </c>
      <c r="Q364" s="17">
        <f t="shared" si="56"/>
        <v>0.74990511386381853</v>
      </c>
      <c r="R364" s="17">
        <f t="shared" si="57"/>
        <v>0.49812734082396998</v>
      </c>
      <c r="S364" s="17">
        <f>'02_지표정의'!$C$22*P364+'02_지표정의'!$C$23*Q364+'02_지표정의'!$C$24*R364</f>
        <v>0.57942201458319587</v>
      </c>
      <c r="T364" s="5">
        <f t="shared" si="58"/>
        <v>0</v>
      </c>
      <c r="U364" s="5" t="str">
        <f t="shared" si="59"/>
        <v>특허</v>
      </c>
      <c r="V364" s="18">
        <f t="shared" si="60"/>
        <v>320</v>
      </c>
      <c r="W364" s="5">
        <f t="shared" si="61"/>
        <v>0</v>
      </c>
      <c r="X364" s="5">
        <f t="shared" si="62"/>
        <v>138</v>
      </c>
      <c r="Y364" s="5">
        <f t="shared" si="63"/>
        <v>243</v>
      </c>
      <c r="Z364" s="19">
        <f t="shared" si="64"/>
        <v>52</v>
      </c>
      <c r="AA364" s="20">
        <f>ABS(S364-SUMPRODUCT(('05B_가정검정'!$A$5:$A$19=B364)*('05B_가정검정'!$B$5:$B$19=C364)*'05B_가정검정'!$E$5:$E$19))</f>
        <v>2.639849784041326E-2</v>
      </c>
      <c r="AB364" s="20">
        <f t="shared" si="65"/>
        <v>2.2969530907015812E-2</v>
      </c>
    </row>
    <row r="365" spans="1:28">
      <c r="A365" s="15" t="s">
        <v>147</v>
      </c>
      <c r="B365" s="15" t="s">
        <v>120</v>
      </c>
      <c r="C365" s="15" t="s">
        <v>117</v>
      </c>
      <c r="D365" s="16">
        <v>0.224281742354032</v>
      </c>
      <c r="E365" s="16">
        <v>0.36153846153846197</v>
      </c>
      <c r="F365" s="16">
        <v>0.108527131782946</v>
      </c>
      <c r="G365" s="16">
        <v>0.253846153846154</v>
      </c>
      <c r="H365" s="16">
        <v>0.33198550182130498</v>
      </c>
      <c r="I365" s="16">
        <v>0.30070455675530999</v>
      </c>
      <c r="J365" s="16">
        <v>0.71168488750518</v>
      </c>
      <c r="K365" s="16">
        <v>0.64800183654865695</v>
      </c>
      <c r="L365" s="16">
        <v>0.85777375761383901</v>
      </c>
      <c r="M365" s="16">
        <v>0.48447204968944102</v>
      </c>
      <c r="N365" s="16">
        <v>0.35955056179775302</v>
      </c>
      <c r="O365" s="16">
        <v>1</v>
      </c>
      <c r="P365" s="17">
        <f t="shared" si="55"/>
        <v>0.26348059134970148</v>
      </c>
      <c r="Q365" s="17">
        <f t="shared" si="56"/>
        <v>0.73915349388922535</v>
      </c>
      <c r="R365" s="17">
        <f t="shared" si="57"/>
        <v>0.61467420382906468</v>
      </c>
      <c r="S365" s="17">
        <f>'02_지표정의'!$C$22*P365+'02_지표정의'!$C$23*Q365+'02_지표정의'!$C$24*R365</f>
        <v>0.60045116186026437</v>
      </c>
      <c r="T365" s="5">
        <f t="shared" si="58"/>
        <v>0</v>
      </c>
      <c r="U365" s="5" t="str">
        <f t="shared" si="59"/>
        <v>특허</v>
      </c>
      <c r="V365" s="18">
        <f t="shared" si="60"/>
        <v>391</v>
      </c>
      <c r="W365" s="5">
        <f t="shared" si="61"/>
        <v>316</v>
      </c>
      <c r="X365" s="5">
        <f t="shared" si="62"/>
        <v>168</v>
      </c>
      <c r="Y365" s="5">
        <f t="shared" si="63"/>
        <v>0</v>
      </c>
      <c r="Z365" s="19">
        <f t="shared" si="64"/>
        <v>6</v>
      </c>
      <c r="AA365" s="20">
        <f>ABS(S365-SUMPRODUCT(('05B_가정검정'!$A$5:$A$19=B365)*('05B_가정검정'!$B$5:$B$19=C365)*'05B_가정검정'!$E$5:$E$19))</f>
        <v>2.7597798196856704E-2</v>
      </c>
      <c r="AB365" s="20">
        <f t="shared" si="65"/>
        <v>-3.0851541564492768E-2</v>
      </c>
    </row>
    <row r="366" spans="1:28">
      <c r="A366" s="15" t="s">
        <v>147</v>
      </c>
      <c r="B366" s="15" t="s">
        <v>120</v>
      </c>
      <c r="C366" s="15" t="s">
        <v>118</v>
      </c>
      <c r="D366" s="16">
        <v>0.25663716814159299</v>
      </c>
      <c r="E366" s="16">
        <v>0.225274725274725</v>
      </c>
      <c r="F366" s="16">
        <v>8.2872928176795604E-2</v>
      </c>
      <c r="G366" s="16">
        <v>0.19780219780219799</v>
      </c>
      <c r="H366" s="16">
        <v>0.25002997013168898</v>
      </c>
      <c r="I366" s="16">
        <v>0.237073123055942</v>
      </c>
      <c r="J366" s="16">
        <v>0.71339437877639</v>
      </c>
      <c r="K366" s="16">
        <v>0.66578769514031899</v>
      </c>
      <c r="L366" s="16">
        <v>0.84813490794040503</v>
      </c>
      <c r="M366" s="16">
        <v>0.531835205992509</v>
      </c>
      <c r="N366" s="16">
        <v>0.57480314960629897</v>
      </c>
      <c r="O366" s="16">
        <v>1</v>
      </c>
      <c r="P366" s="17">
        <f t="shared" si="55"/>
        <v>0.20828168543049042</v>
      </c>
      <c r="Q366" s="17">
        <f t="shared" si="56"/>
        <v>0.74243899395237134</v>
      </c>
      <c r="R366" s="17">
        <f t="shared" si="57"/>
        <v>0.70221278519960262</v>
      </c>
      <c r="S366" s="17">
        <f>'02_지표정의'!$C$22*P366+'02_지표정의'!$C$23*Q366+'02_지표정의'!$C$24*R366</f>
        <v>0.62152835918452609</v>
      </c>
      <c r="T366" s="5">
        <f t="shared" si="58"/>
        <v>0</v>
      </c>
      <c r="U366" s="5" t="str">
        <f t="shared" si="59"/>
        <v>특허</v>
      </c>
      <c r="V366" s="18">
        <f t="shared" si="60"/>
        <v>495</v>
      </c>
      <c r="W366" s="5">
        <f t="shared" si="61"/>
        <v>399</v>
      </c>
      <c r="X366" s="5">
        <f t="shared" si="62"/>
        <v>0</v>
      </c>
      <c r="Y366" s="5">
        <f t="shared" si="63"/>
        <v>374</v>
      </c>
      <c r="Z366" s="19">
        <f t="shared" si="64"/>
        <v>50</v>
      </c>
      <c r="AA366" s="20">
        <f>ABS(S366-SUMPRODUCT(('05B_가정검정'!$A$5:$A$19=B366)*('05B_가정검정'!$B$5:$B$19=C366)*'05B_가정검정'!$E$5:$E$19))</f>
        <v>3.0699510602898106E-2</v>
      </c>
      <c r="AB366" s="20">
        <f t="shared" si="65"/>
        <v>4.6637583222415291E-2</v>
      </c>
    </row>
    <row r="367" spans="1:28">
      <c r="A367" s="15" t="s">
        <v>147</v>
      </c>
      <c r="B367" s="15" t="s">
        <v>120</v>
      </c>
      <c r="C367" s="15" t="s">
        <v>119</v>
      </c>
      <c r="D367" s="16">
        <v>0.287895310796074</v>
      </c>
      <c r="E367" s="16">
        <v>0.47863247863247899</v>
      </c>
      <c r="F367" s="16">
        <v>0.20689655172413801</v>
      </c>
      <c r="G367" s="16">
        <v>0.38461538461538503</v>
      </c>
      <c r="H367" s="16">
        <v>0.33918706833525097</v>
      </c>
      <c r="I367" s="16">
        <v>0.54100697383817697</v>
      </c>
      <c r="J367" s="16">
        <v>0.74414706475634895</v>
      </c>
      <c r="K367" s="16">
        <v>0.69796088487089802</v>
      </c>
      <c r="L367" s="16">
        <v>0.872640518015808</v>
      </c>
      <c r="M367" s="16">
        <v>0.67415730337078705</v>
      </c>
      <c r="N367" s="16">
        <v>0.67032967032966995</v>
      </c>
      <c r="O367" s="16">
        <v>1</v>
      </c>
      <c r="P367" s="17">
        <f t="shared" si="55"/>
        <v>0.373038961323584</v>
      </c>
      <c r="Q367" s="17">
        <f t="shared" si="56"/>
        <v>0.77158282254768507</v>
      </c>
      <c r="R367" s="17">
        <f t="shared" si="57"/>
        <v>0.7814956579001523</v>
      </c>
      <c r="S367" s="17">
        <f>'02_지표정의'!$C$22*P367+'02_지표정의'!$C$23*Q367+'02_지표정의'!$C$24*R367</f>
        <v>0.69534354267622844</v>
      </c>
      <c r="T367" s="5">
        <f t="shared" si="58"/>
        <v>0</v>
      </c>
      <c r="U367" s="5" t="str">
        <f t="shared" si="59"/>
        <v>특허</v>
      </c>
      <c r="V367" s="18">
        <f t="shared" si="60"/>
        <v>807</v>
      </c>
      <c r="W367" s="5">
        <f t="shared" si="61"/>
        <v>0</v>
      </c>
      <c r="X367" s="5">
        <f t="shared" si="62"/>
        <v>482</v>
      </c>
      <c r="Y367" s="5">
        <f t="shared" si="63"/>
        <v>582</v>
      </c>
      <c r="Z367" s="19">
        <f t="shared" si="64"/>
        <v>53</v>
      </c>
      <c r="AA367" s="20">
        <f>ABS(S367-SUMPRODUCT(('05B_가정검정'!$A$5:$A$19=B367)*('05B_가정검정'!$B$5:$B$19=C367)*'05B_가정검정'!$E$5:$E$19))</f>
        <v>3.1666226194842162E-2</v>
      </c>
      <c r="AB367" s="20">
        <f t="shared" si="65"/>
        <v>3.6920535165412827E-2</v>
      </c>
    </row>
    <row r="368" spans="1:28">
      <c r="A368" s="15" t="s">
        <v>147</v>
      </c>
      <c r="B368" s="15" t="s">
        <v>121</v>
      </c>
      <c r="C368" s="15" t="s">
        <v>117</v>
      </c>
      <c r="D368" s="16">
        <v>0.23771428571428599</v>
      </c>
      <c r="E368" s="16">
        <v>0.33183856502242198</v>
      </c>
      <c r="F368" s="16">
        <v>9.9547511312217202E-2</v>
      </c>
      <c r="G368" s="16">
        <v>0.224215246636771</v>
      </c>
      <c r="H368" s="16">
        <v>0.28429397544454399</v>
      </c>
      <c r="I368" s="16">
        <v>0.27016821182099399</v>
      </c>
      <c r="J368" s="16">
        <v>0.74022017429112197</v>
      </c>
      <c r="K368" s="16">
        <v>0.77578378785092295</v>
      </c>
      <c r="L368" s="16">
        <v>0.90886289607546</v>
      </c>
      <c r="M368" s="16">
        <v>0.60248447204969002</v>
      </c>
      <c r="N368" s="16">
        <v>0.71428571428571397</v>
      </c>
      <c r="O368" s="16">
        <v>1</v>
      </c>
      <c r="P368" s="17">
        <f t="shared" si="55"/>
        <v>0.24129629932520569</v>
      </c>
      <c r="Q368" s="17">
        <f t="shared" si="56"/>
        <v>0.80828895273916823</v>
      </c>
      <c r="R368" s="17">
        <f t="shared" si="57"/>
        <v>0.77225672877846796</v>
      </c>
      <c r="S368" s="17">
        <f>'02_지표정의'!$C$22*P368+'02_지표정의'!$C$23*Q368+'02_지표정의'!$C$24*R368</f>
        <v>0.68227914367013065</v>
      </c>
      <c r="T368" s="5">
        <f t="shared" si="58"/>
        <v>1</v>
      </c>
      <c r="U368" s="5" t="str">
        <f t="shared" si="59"/>
        <v>특허</v>
      </c>
      <c r="V368" s="18">
        <f t="shared" si="60"/>
        <v>764</v>
      </c>
      <c r="W368" s="5">
        <f t="shared" si="61"/>
        <v>536</v>
      </c>
      <c r="X368" s="5">
        <f t="shared" si="62"/>
        <v>440</v>
      </c>
      <c r="Y368" s="5">
        <f t="shared" si="63"/>
        <v>0</v>
      </c>
      <c r="Z368" s="19">
        <f t="shared" si="64"/>
        <v>8</v>
      </c>
      <c r="AA368" s="20">
        <f>ABS(S368-SUMPRODUCT(('05B_가정검정'!$A$5:$A$19=B368)*('05B_가정검정'!$B$5:$B$19=C368)*'05B_가정검정'!$E$5:$E$19))</f>
        <v>4.7152927711750503E-2</v>
      </c>
      <c r="AB368" s="20">
        <f t="shared" si="65"/>
        <v>-3.5372649402750311E-2</v>
      </c>
    </row>
    <row r="369" spans="1:28">
      <c r="A369" s="15" t="s">
        <v>147</v>
      </c>
      <c r="B369" s="15" t="s">
        <v>121</v>
      </c>
      <c r="C369" s="15" t="s">
        <v>118</v>
      </c>
      <c r="D369" s="16">
        <v>0.27142857142857102</v>
      </c>
      <c r="E369" s="16">
        <v>0.17125382262996899</v>
      </c>
      <c r="F369" s="16">
        <v>5.53846153846154E-2</v>
      </c>
      <c r="G369" s="16">
        <v>0.159021406727829</v>
      </c>
      <c r="H369" s="16">
        <v>0.18233213770201001</v>
      </c>
      <c r="I369" s="16">
        <v>0.221559564206771</v>
      </c>
      <c r="J369" s="16">
        <v>0.75483053495866503</v>
      </c>
      <c r="K369" s="16">
        <v>0.76530491429948899</v>
      </c>
      <c r="L369" s="16">
        <v>0.89921819332009201</v>
      </c>
      <c r="M369" s="16">
        <v>0.36329588014981301</v>
      </c>
      <c r="N369" s="16">
        <v>0.43307086614173201</v>
      </c>
      <c r="O369" s="16">
        <v>1</v>
      </c>
      <c r="P369" s="17">
        <f t="shared" si="55"/>
        <v>0.1768300196799609</v>
      </c>
      <c r="Q369" s="17">
        <f t="shared" si="56"/>
        <v>0.80645121419274857</v>
      </c>
      <c r="R369" s="17">
        <f t="shared" si="57"/>
        <v>0.59878891543051493</v>
      </c>
      <c r="S369" s="17">
        <f>'02_지표정의'!$C$22*P369+'02_지표정의'!$C$23*Q369+'02_지표정의'!$C$24*R369</f>
        <v>0.60784517072340927</v>
      </c>
      <c r="T369" s="5">
        <f t="shared" si="58"/>
        <v>0</v>
      </c>
      <c r="U369" s="5" t="str">
        <f t="shared" si="59"/>
        <v>특허</v>
      </c>
      <c r="V369" s="18">
        <f t="shared" si="60"/>
        <v>423</v>
      </c>
      <c r="W369" s="5">
        <f t="shared" si="61"/>
        <v>344</v>
      </c>
      <c r="X369" s="5">
        <f t="shared" si="62"/>
        <v>0</v>
      </c>
      <c r="Y369" s="5">
        <f t="shared" si="63"/>
        <v>322</v>
      </c>
      <c r="Z369" s="19">
        <f t="shared" si="64"/>
        <v>38</v>
      </c>
      <c r="AA369" s="20">
        <f>ABS(S369-SUMPRODUCT(('05B_가정검정'!$A$5:$A$19=B369)*('05B_가정검정'!$B$5:$B$19=C369)*'05B_가정검정'!$E$5:$E$19))</f>
        <v>9.2656805564408362E-3</v>
      </c>
      <c r="AB369" s="20">
        <f t="shared" si="65"/>
        <v>2.8446096196595994E-2</v>
      </c>
    </row>
    <row r="370" spans="1:28">
      <c r="A370" s="15" t="s">
        <v>147</v>
      </c>
      <c r="B370" s="15" t="s">
        <v>121</v>
      </c>
      <c r="C370" s="15" t="s">
        <v>119</v>
      </c>
      <c r="D370" s="16">
        <v>0.316970546984572</v>
      </c>
      <c r="E370" s="16">
        <v>0.46700507614213199</v>
      </c>
      <c r="F370" s="16">
        <v>0.18461538461538499</v>
      </c>
      <c r="G370" s="16">
        <v>0.35532994923857902</v>
      </c>
      <c r="H370" s="16">
        <v>0.38047881961661201</v>
      </c>
      <c r="I370" s="16">
        <v>0.49877584409502101</v>
      </c>
      <c r="J370" s="16">
        <v>0.78510256624606101</v>
      </c>
      <c r="K370" s="16">
        <v>0.77303004367959405</v>
      </c>
      <c r="L370" s="16">
        <v>0.88075546220566903</v>
      </c>
      <c r="M370" s="16">
        <v>0.54494382022471899</v>
      </c>
      <c r="N370" s="16">
        <v>0.60439560439560502</v>
      </c>
      <c r="O370" s="16">
        <v>1</v>
      </c>
      <c r="P370" s="17">
        <f t="shared" si="55"/>
        <v>0.36719593678205015</v>
      </c>
      <c r="Q370" s="17">
        <f t="shared" si="56"/>
        <v>0.81296269071044136</v>
      </c>
      <c r="R370" s="17">
        <f t="shared" si="57"/>
        <v>0.71644647487344137</v>
      </c>
      <c r="S370" s="17">
        <f>'02_지표정의'!$C$22*P370+'02_지표정의'!$C$23*Q370+'02_지표정의'!$C$24*R370</f>
        <v>0.69002866438181309</v>
      </c>
      <c r="T370" s="5">
        <f t="shared" si="58"/>
        <v>0</v>
      </c>
      <c r="U370" s="5" t="str">
        <f t="shared" si="59"/>
        <v>특허</v>
      </c>
      <c r="V370" s="18">
        <f t="shared" si="60"/>
        <v>786</v>
      </c>
      <c r="W370" s="5">
        <f t="shared" si="61"/>
        <v>0</v>
      </c>
      <c r="X370" s="5">
        <f t="shared" si="62"/>
        <v>462</v>
      </c>
      <c r="Y370" s="5">
        <f t="shared" si="63"/>
        <v>568</v>
      </c>
      <c r="Z370" s="19">
        <f t="shared" si="64"/>
        <v>31</v>
      </c>
      <c r="AA370" s="20">
        <f>ABS(S370-SUMPRODUCT(('05B_가정검정'!$A$5:$A$19=B370)*('05B_가정검정'!$B$5:$B$19=C370)*'05B_가정검정'!$E$5:$E$19))</f>
        <v>2.2911784140405844E-3</v>
      </c>
      <c r="AB370" s="20">
        <f t="shared" si="65"/>
        <v>1.7916889622020538E-3</v>
      </c>
    </row>
    <row r="371" spans="1:28">
      <c r="A371" s="15" t="s">
        <v>147</v>
      </c>
      <c r="B371" s="15" t="s">
        <v>122</v>
      </c>
      <c r="C371" s="15" t="s">
        <v>117</v>
      </c>
      <c r="D371" s="16">
        <v>0.23349056603773599</v>
      </c>
      <c r="E371" s="16">
        <v>0.27722772277227697</v>
      </c>
      <c r="F371" s="16">
        <v>0.1</v>
      </c>
      <c r="G371" s="16">
        <v>0.22772277227722801</v>
      </c>
      <c r="H371" s="16">
        <v>0.30745562601529902</v>
      </c>
      <c r="I371" s="16">
        <v>0.26171967318143102</v>
      </c>
      <c r="J371" s="16">
        <v>0.71339980047291396</v>
      </c>
      <c r="K371" s="16">
        <v>0.60869019799579904</v>
      </c>
      <c r="L371" s="16">
        <v>0.76199375878169595</v>
      </c>
      <c r="M371" s="16">
        <v>0.39459459459459501</v>
      </c>
      <c r="N371" s="16">
        <v>0.4</v>
      </c>
      <c r="O371" s="16">
        <v>1</v>
      </c>
      <c r="P371" s="17">
        <f t="shared" si="55"/>
        <v>0.23460272671399518</v>
      </c>
      <c r="Q371" s="17">
        <f t="shared" si="56"/>
        <v>0.69469458575013643</v>
      </c>
      <c r="R371" s="17">
        <f t="shared" si="57"/>
        <v>0.59819819819819831</v>
      </c>
      <c r="S371" s="17">
        <f>'02_지표정의'!$C$22*P371+'02_지표정의'!$C$23*Q371+'02_지표정의'!$C$24*R371</f>
        <v>0.56890247829972984</v>
      </c>
      <c r="T371" s="5">
        <f t="shared" si="58"/>
        <v>0</v>
      </c>
      <c r="U371" s="5" t="str">
        <f t="shared" si="59"/>
        <v>특허</v>
      </c>
      <c r="V371" s="18">
        <f t="shared" si="60"/>
        <v>279</v>
      </c>
      <c r="W371" s="5">
        <f t="shared" si="61"/>
        <v>227</v>
      </c>
      <c r="X371" s="5">
        <f t="shared" si="62"/>
        <v>110</v>
      </c>
      <c r="Y371" s="5">
        <f t="shared" si="63"/>
        <v>0</v>
      </c>
      <c r="Z371" s="19">
        <f t="shared" si="64"/>
        <v>9</v>
      </c>
      <c r="AA371" s="20">
        <f>ABS(S371-SUMPRODUCT(('05B_가정검정'!$A$5:$A$19=B371)*('05B_가정검정'!$B$5:$B$19=C371)*'05B_가정검정'!$E$5:$E$19))</f>
        <v>7.0450476408948637E-2</v>
      </c>
      <c r="AB371" s="20">
        <f t="shared" si="65"/>
        <v>-5.3979143889916315E-2</v>
      </c>
    </row>
    <row r="372" spans="1:28">
      <c r="A372" s="15" t="s">
        <v>147</v>
      </c>
      <c r="B372" s="15" t="s">
        <v>122</v>
      </c>
      <c r="C372" s="15" t="s">
        <v>118</v>
      </c>
      <c r="D372" s="16">
        <v>0.35958395245170899</v>
      </c>
      <c r="E372" s="16">
        <v>0.28758169934640498</v>
      </c>
      <c r="F372" s="16">
        <v>0.125</v>
      </c>
      <c r="G372" s="16">
        <v>0.26143790849673199</v>
      </c>
      <c r="H372" s="16">
        <v>0.27715588801785201</v>
      </c>
      <c r="I372" s="16">
        <v>0.262238440893725</v>
      </c>
      <c r="J372" s="16">
        <v>0.74839835140822397</v>
      </c>
      <c r="K372" s="16">
        <v>0.66545404135470698</v>
      </c>
      <c r="L372" s="16">
        <v>0.80983560411503097</v>
      </c>
      <c r="M372" s="16">
        <v>0.59550561797752799</v>
      </c>
      <c r="N372" s="16">
        <v>0.64566929133858297</v>
      </c>
      <c r="O372" s="16">
        <v>1</v>
      </c>
      <c r="P372" s="17">
        <f t="shared" si="55"/>
        <v>0.26216631486773717</v>
      </c>
      <c r="Q372" s="17">
        <f t="shared" si="56"/>
        <v>0.74122933229265398</v>
      </c>
      <c r="R372" s="17">
        <f t="shared" si="57"/>
        <v>0.74705830310537025</v>
      </c>
      <c r="S372" s="17">
        <f>'02_지표정의'!$C$22*P372+'02_지표정의'!$C$23*Q372+'02_지표정의'!$C$24*R372</f>
        <v>0.64745686859212137</v>
      </c>
      <c r="T372" s="5">
        <f t="shared" si="58"/>
        <v>1</v>
      </c>
      <c r="U372" s="5" t="str">
        <f t="shared" si="59"/>
        <v>특허</v>
      </c>
      <c r="V372" s="18">
        <f t="shared" si="60"/>
        <v>606</v>
      </c>
      <c r="W372" s="5">
        <f t="shared" si="61"/>
        <v>465</v>
      </c>
      <c r="X372" s="5">
        <f t="shared" si="62"/>
        <v>0</v>
      </c>
      <c r="Y372" s="5">
        <f t="shared" si="63"/>
        <v>453</v>
      </c>
      <c r="Z372" s="19">
        <f t="shared" si="64"/>
        <v>58</v>
      </c>
      <c r="AA372" s="20">
        <f>ABS(S372-SUMPRODUCT(('05B_가정검정'!$A$5:$A$19=B372)*('05B_가정검정'!$B$5:$B$19=C372)*'05B_가정검정'!$E$5:$E$19))</f>
        <v>6.053493259496312E-2</v>
      </c>
      <c r="AB372" s="20">
        <f t="shared" si="65"/>
        <v>6.62335923744376E-2</v>
      </c>
    </row>
    <row r="373" spans="1:28">
      <c r="A373" s="15" t="s">
        <v>147</v>
      </c>
      <c r="B373" s="15" t="s">
        <v>122</v>
      </c>
      <c r="C373" s="15" t="s">
        <v>119</v>
      </c>
      <c r="D373" s="16">
        <v>0.30903790087463601</v>
      </c>
      <c r="E373" s="16">
        <v>0.40909090909090901</v>
      </c>
      <c r="F373" s="16">
        <v>0.160919540229885</v>
      </c>
      <c r="G373" s="16">
        <v>0.36363636363636398</v>
      </c>
      <c r="H373" s="16">
        <v>0.40385978303549502</v>
      </c>
      <c r="I373" s="16">
        <v>0.38556194905961999</v>
      </c>
      <c r="J373" s="16">
        <v>0.759723496982602</v>
      </c>
      <c r="K373" s="16">
        <v>0.644604898187085</v>
      </c>
      <c r="L373" s="16">
        <v>0.83862712232457803</v>
      </c>
      <c r="M373" s="16">
        <v>0.60540540540540499</v>
      </c>
      <c r="N373" s="16">
        <v>0.53636363636363604</v>
      </c>
      <c r="O373" s="16">
        <v>1</v>
      </c>
      <c r="P373" s="17">
        <f t="shared" si="55"/>
        <v>0.33868440765448482</v>
      </c>
      <c r="Q373" s="17">
        <f t="shared" si="56"/>
        <v>0.74765183916475497</v>
      </c>
      <c r="R373" s="17">
        <f t="shared" si="57"/>
        <v>0.71392301392301372</v>
      </c>
      <c r="S373" s="17">
        <f>'02_지표정의'!$C$22*P373+'02_지표정의'!$C$23*Q373+'02_지표정의'!$C$24*R373</f>
        <v>0.6540532640280915</v>
      </c>
      <c r="T373" s="5">
        <f t="shared" si="58"/>
        <v>0</v>
      </c>
      <c r="U373" s="5" t="str">
        <f t="shared" si="59"/>
        <v>특허</v>
      </c>
      <c r="V373" s="18">
        <f t="shared" si="60"/>
        <v>637</v>
      </c>
      <c r="W373" s="5">
        <f t="shared" si="61"/>
        <v>0</v>
      </c>
      <c r="X373" s="5">
        <f t="shared" si="62"/>
        <v>319</v>
      </c>
      <c r="Y373" s="5">
        <f t="shared" si="63"/>
        <v>475</v>
      </c>
      <c r="Z373" s="19">
        <f t="shared" si="64"/>
        <v>42</v>
      </c>
      <c r="AA373" s="20">
        <f>ABS(S373-SUMPRODUCT(('05B_가정검정'!$A$5:$A$19=B373)*('05B_가정검정'!$B$5:$B$19=C373)*'05B_가정검정'!$E$5:$E$19))</f>
        <v>1.8447076126640094E-2</v>
      </c>
      <c r="AB373" s="20">
        <f t="shared" si="65"/>
        <v>2.2664397713205497E-2</v>
      </c>
    </row>
    <row r="374" spans="1:28">
      <c r="A374" s="15" t="s">
        <v>147</v>
      </c>
      <c r="B374" s="15" t="s">
        <v>123</v>
      </c>
      <c r="C374" s="15" t="s">
        <v>117</v>
      </c>
      <c r="D374" s="16">
        <v>0.230769230769231</v>
      </c>
      <c r="E374" s="16">
        <v>0.35744680851063798</v>
      </c>
      <c r="F374" s="16">
        <v>0.137339055793991</v>
      </c>
      <c r="G374" s="16">
        <v>0.28936170212765999</v>
      </c>
      <c r="H374" s="16">
        <v>0.31409557434470903</v>
      </c>
      <c r="I374" s="16">
        <v>0.28858258055244801</v>
      </c>
      <c r="J374" s="16">
        <v>0.73340949495276297</v>
      </c>
      <c r="K374" s="16">
        <v>0.70144758854445599</v>
      </c>
      <c r="L374" s="16">
        <v>0.88316584974800705</v>
      </c>
      <c r="M374" s="16">
        <v>0.60248447204969002</v>
      </c>
      <c r="N374" s="16">
        <v>0.71428571428571397</v>
      </c>
      <c r="O374" s="16">
        <v>1</v>
      </c>
      <c r="P374" s="17">
        <f t="shared" si="55"/>
        <v>0.26959915868311285</v>
      </c>
      <c r="Q374" s="17">
        <f t="shared" si="56"/>
        <v>0.772674311081742</v>
      </c>
      <c r="R374" s="17">
        <f t="shared" si="57"/>
        <v>0.77225672877846796</v>
      </c>
      <c r="S374" s="17">
        <f>'02_지표정의'!$C$22*P374+'02_지표정의'!$C$23*Q374+'02_지표정의'!$C$24*R374</f>
        <v>0.67191312679587023</v>
      </c>
      <c r="T374" s="5">
        <f t="shared" si="58"/>
        <v>0</v>
      </c>
      <c r="U374" s="5" t="str">
        <f t="shared" si="59"/>
        <v>특허</v>
      </c>
      <c r="V374" s="18">
        <f t="shared" si="60"/>
        <v>725</v>
      </c>
      <c r="W374" s="5">
        <f t="shared" si="61"/>
        <v>517</v>
      </c>
      <c r="X374" s="5">
        <f t="shared" si="62"/>
        <v>404</v>
      </c>
      <c r="Y374" s="5">
        <f t="shared" si="63"/>
        <v>0</v>
      </c>
      <c r="Z374" s="19">
        <f t="shared" si="64"/>
        <v>9</v>
      </c>
      <c r="AA374" s="20">
        <f>ABS(S374-SUMPRODUCT(('05B_가정검정'!$A$5:$A$19=B374)*('05B_가정검정'!$B$5:$B$19=C374)*'05B_가정검정'!$E$5:$E$19))</f>
        <v>4.3009755980353503E-2</v>
      </c>
      <c r="AB374" s="20">
        <f t="shared" si="65"/>
        <v>-3.6072325015372941E-2</v>
      </c>
    </row>
    <row r="375" spans="1:28">
      <c r="A375" s="15" t="s">
        <v>147</v>
      </c>
      <c r="B375" s="15" t="s">
        <v>123</v>
      </c>
      <c r="C375" s="15" t="s">
        <v>118</v>
      </c>
      <c r="D375" s="16">
        <v>0.28843537414965997</v>
      </c>
      <c r="E375" s="16">
        <v>0.21828908554572299</v>
      </c>
      <c r="F375" s="16">
        <v>9.4955489614243299E-2</v>
      </c>
      <c r="G375" s="16">
        <v>0.20058997050147501</v>
      </c>
      <c r="H375" s="16">
        <v>0.207392480517511</v>
      </c>
      <c r="I375" s="16">
        <v>0.258062143690927</v>
      </c>
      <c r="J375" s="16">
        <v>0.71248615447845198</v>
      </c>
      <c r="K375" s="16">
        <v>0.71625288106974605</v>
      </c>
      <c r="L375" s="16">
        <v>0.86426316146220505</v>
      </c>
      <c r="M375" s="16">
        <v>0.36329588014981301</v>
      </c>
      <c r="N375" s="16">
        <v>0.43307086614173201</v>
      </c>
      <c r="O375" s="16">
        <v>1</v>
      </c>
      <c r="P375" s="17">
        <f t="shared" si="55"/>
        <v>0.21128742400325651</v>
      </c>
      <c r="Q375" s="17">
        <f t="shared" si="56"/>
        <v>0.7643340656701344</v>
      </c>
      <c r="R375" s="17">
        <f t="shared" si="57"/>
        <v>0.59878891543051493</v>
      </c>
      <c r="S375" s="17">
        <f>'02_지표정의'!$C$22*P375+'02_지표정의'!$C$23*Q375+'02_지표정의'!$C$24*R375</f>
        <v>0.59578393475289193</v>
      </c>
      <c r="T375" s="5">
        <f t="shared" si="58"/>
        <v>0</v>
      </c>
      <c r="U375" s="5" t="str">
        <f t="shared" si="59"/>
        <v>특허</v>
      </c>
      <c r="V375" s="18">
        <f t="shared" si="60"/>
        <v>374</v>
      </c>
      <c r="W375" s="5">
        <f t="shared" si="61"/>
        <v>302</v>
      </c>
      <c r="X375" s="5">
        <f t="shared" si="62"/>
        <v>0</v>
      </c>
      <c r="Y375" s="5">
        <f t="shared" si="63"/>
        <v>288</v>
      </c>
      <c r="Z375" s="19">
        <f t="shared" si="64"/>
        <v>46</v>
      </c>
      <c r="AA375" s="20">
        <f>ABS(S375-SUMPRODUCT(('05B_가정검정'!$A$5:$A$19=B375)*('05B_가정검정'!$B$5:$B$19=C375)*'05B_가정검정'!$E$5:$E$19))</f>
        <v>2.0485107873922215E-2</v>
      </c>
      <c r="AB375" s="20">
        <f t="shared" si="65"/>
        <v>3.5912326828400842E-2</v>
      </c>
    </row>
    <row r="376" spans="1:28">
      <c r="A376" s="15" t="s">
        <v>147</v>
      </c>
      <c r="B376" s="15" t="s">
        <v>123</v>
      </c>
      <c r="C376" s="15" t="s">
        <v>119</v>
      </c>
      <c r="D376" s="16">
        <v>0.32620320855614998</v>
      </c>
      <c r="E376" s="16">
        <v>0.48803827751196199</v>
      </c>
      <c r="F376" s="16">
        <v>0.22222222222222199</v>
      </c>
      <c r="G376" s="16">
        <v>0.36363636363636398</v>
      </c>
      <c r="H376" s="16">
        <v>0.42024212776424902</v>
      </c>
      <c r="I376" s="16">
        <v>0.56220570206122</v>
      </c>
      <c r="J376" s="16">
        <v>0.72699256246751098</v>
      </c>
      <c r="K376" s="16">
        <v>0.68220545216914297</v>
      </c>
      <c r="L376" s="16">
        <v>0.88394553828219302</v>
      </c>
      <c r="M376" s="16">
        <v>0.54494382022471899</v>
      </c>
      <c r="N376" s="16">
        <v>0.60439560439560502</v>
      </c>
      <c r="O376" s="16">
        <v>1</v>
      </c>
      <c r="P376" s="17">
        <f t="shared" si="55"/>
        <v>0.39709131695869448</v>
      </c>
      <c r="Q376" s="17">
        <f t="shared" si="56"/>
        <v>0.76438118430628244</v>
      </c>
      <c r="R376" s="17">
        <f t="shared" si="57"/>
        <v>0.71644647487344137</v>
      </c>
      <c r="S376" s="17">
        <f>'02_지표정의'!$C$22*P376+'02_지표정의'!$C$23*Q376+'02_지표정의'!$C$24*R376</f>
        <v>0.67414606253527043</v>
      </c>
      <c r="T376" s="5">
        <f t="shared" si="58"/>
        <v>1</v>
      </c>
      <c r="U376" s="5" t="str">
        <f t="shared" si="59"/>
        <v>특허</v>
      </c>
      <c r="V376" s="18">
        <f t="shared" si="60"/>
        <v>735</v>
      </c>
      <c r="W376" s="5">
        <f t="shared" si="61"/>
        <v>0</v>
      </c>
      <c r="X376" s="5">
        <f t="shared" si="62"/>
        <v>414</v>
      </c>
      <c r="Y376" s="5">
        <f t="shared" si="63"/>
        <v>535</v>
      </c>
      <c r="Z376" s="19">
        <f t="shared" si="64"/>
        <v>28</v>
      </c>
      <c r="AA376" s="20">
        <f>ABS(S376-SUMPRODUCT(('05B_가정검정'!$A$5:$A$19=B376)*('05B_가정검정'!$B$5:$B$19=C376)*'05B_가정검정'!$E$5:$E$19))</f>
        <v>1.1483734788956923E-2</v>
      </c>
      <c r="AB376" s="20">
        <f t="shared" si="65"/>
        <v>-8.2726705097313502E-3</v>
      </c>
    </row>
    <row r="377" spans="1:28">
      <c r="A377" s="15" t="s">
        <v>148</v>
      </c>
      <c r="B377" s="15" t="s">
        <v>116</v>
      </c>
      <c r="C377" s="15" t="s">
        <v>117</v>
      </c>
      <c r="D377" s="16">
        <v>0.244295302013423</v>
      </c>
      <c r="E377" s="16">
        <v>0.26794258373205698</v>
      </c>
      <c r="F377" s="16">
        <v>0.115942028985507</v>
      </c>
      <c r="G377" s="16">
        <v>0.248803827751196</v>
      </c>
      <c r="H377" s="16">
        <v>0.23724170297431699</v>
      </c>
      <c r="I377" s="16">
        <v>9.8510638316297902E-2</v>
      </c>
      <c r="J377" s="16">
        <v>0.70022620910940403</v>
      </c>
      <c r="K377" s="16">
        <v>0.62719653638777895</v>
      </c>
      <c r="L377" s="16">
        <v>0.80206521587548496</v>
      </c>
      <c r="M377" s="16">
        <v>0.56291390728476798</v>
      </c>
      <c r="N377" s="16">
        <v>0.23170731707317099</v>
      </c>
      <c r="O377" s="16">
        <v>1</v>
      </c>
      <c r="P377" s="17">
        <f t="shared" si="55"/>
        <v>0.20212268062879965</v>
      </c>
      <c r="Q377" s="17">
        <f t="shared" si="56"/>
        <v>0.70982932045755598</v>
      </c>
      <c r="R377" s="17">
        <f t="shared" si="57"/>
        <v>0.59820707478597968</v>
      </c>
      <c r="S377" s="17">
        <f>'02_지표정의'!$C$22*P377+'02_지표정의'!$C$23*Q377+'02_지표정의'!$C$24*R377</f>
        <v>0.56922020650675298</v>
      </c>
      <c r="T377" s="5">
        <f t="shared" si="58"/>
        <v>0</v>
      </c>
      <c r="U377" s="5" t="str">
        <f t="shared" si="59"/>
        <v>특허</v>
      </c>
      <c r="V377" s="18">
        <f t="shared" si="60"/>
        <v>282</v>
      </c>
      <c r="W377" s="5">
        <f t="shared" si="61"/>
        <v>230</v>
      </c>
      <c r="X377" s="5">
        <f t="shared" si="62"/>
        <v>112</v>
      </c>
      <c r="Y377" s="5">
        <f t="shared" si="63"/>
        <v>0</v>
      </c>
      <c r="Z377" s="19">
        <f t="shared" si="64"/>
        <v>49</v>
      </c>
      <c r="AA377" s="20">
        <f>ABS(S377-SUMPRODUCT(('05B_가정검정'!$A$5:$A$19=B377)*('05B_가정검정'!$B$5:$B$19=C377)*'05B_가정검정'!$E$5:$E$19))</f>
        <v>1.1816501521785705E-2</v>
      </c>
      <c r="AB377" s="20">
        <f t="shared" si="65"/>
        <v>1.6669041094129589E-2</v>
      </c>
    </row>
    <row r="378" spans="1:28">
      <c r="A378" s="15" t="s">
        <v>148</v>
      </c>
      <c r="B378" s="15" t="s">
        <v>116</v>
      </c>
      <c r="C378" s="15" t="s">
        <v>118</v>
      </c>
      <c r="D378" s="16">
        <v>0.26330532212885199</v>
      </c>
      <c r="E378" s="16">
        <v>0.209302325581395</v>
      </c>
      <c r="F378" s="16">
        <v>8.7719298245614002E-2</v>
      </c>
      <c r="G378" s="16">
        <v>0.19186046511627899</v>
      </c>
      <c r="H378" s="16">
        <v>0.12686203938127599</v>
      </c>
      <c r="I378" s="16">
        <v>0.12320289032235</v>
      </c>
      <c r="J378" s="16">
        <v>0.67255027599642203</v>
      </c>
      <c r="K378" s="16">
        <v>0.668098663298342</v>
      </c>
      <c r="L378" s="16">
        <v>0.81880540105723898</v>
      </c>
      <c r="M378" s="16">
        <v>0.43642611683848798</v>
      </c>
      <c r="N378" s="16">
        <v>6.6666666666666693E-2</v>
      </c>
      <c r="O378" s="16">
        <v>1</v>
      </c>
      <c r="P378" s="17">
        <f t="shared" si="55"/>
        <v>0.16704205679596099</v>
      </c>
      <c r="Q378" s="17">
        <f t="shared" si="56"/>
        <v>0.7198181134506676</v>
      </c>
      <c r="R378" s="17">
        <f t="shared" si="57"/>
        <v>0.50103092783505154</v>
      </c>
      <c r="S378" s="17">
        <f>'02_지표정의'!$C$22*P378+'02_지표정의'!$C$23*Q378+'02_지표정의'!$C$24*R378</f>
        <v>0.53268738715426067</v>
      </c>
      <c r="T378" s="5">
        <f t="shared" si="58"/>
        <v>0</v>
      </c>
      <c r="U378" s="5" t="str">
        <f t="shared" si="59"/>
        <v>특허</v>
      </c>
      <c r="V378" s="18">
        <f t="shared" si="60"/>
        <v>141</v>
      </c>
      <c r="W378" s="5">
        <f t="shared" si="61"/>
        <v>127</v>
      </c>
      <c r="X378" s="5">
        <f t="shared" si="62"/>
        <v>0</v>
      </c>
      <c r="Y378" s="5">
        <f t="shared" si="63"/>
        <v>127</v>
      </c>
      <c r="Z378" s="19">
        <f t="shared" si="64"/>
        <v>34</v>
      </c>
      <c r="AA378" s="20">
        <f>ABS(S378-SUMPRODUCT(('05B_가정검정'!$A$5:$A$19=B378)*('05B_가정검정'!$B$5:$B$19=C378)*'05B_가정검정'!$E$5:$E$19))</f>
        <v>1.394965452539032E-3</v>
      </c>
      <c r="AB378" s="20">
        <f t="shared" si="65"/>
        <v>5.1383547756743697E-3</v>
      </c>
    </row>
    <row r="379" spans="1:28">
      <c r="A379" s="15" t="s">
        <v>148</v>
      </c>
      <c r="B379" s="15" t="s">
        <v>116</v>
      </c>
      <c r="C379" s="15" t="s">
        <v>119</v>
      </c>
      <c r="D379" s="16">
        <v>0.31525423728813601</v>
      </c>
      <c r="E379" s="16">
        <v>0.49696969696969701</v>
      </c>
      <c r="F379" s="16">
        <v>0.17177914110429501</v>
      </c>
      <c r="G379" s="16">
        <v>0.36363636363636398</v>
      </c>
      <c r="H379" s="16">
        <v>0.30142686287042297</v>
      </c>
      <c r="I379" s="16">
        <v>0.28565324571841599</v>
      </c>
      <c r="J379" s="16">
        <v>0.71985312262184697</v>
      </c>
      <c r="K379" s="16">
        <v>0.65365759099485299</v>
      </c>
      <c r="L379" s="16">
        <v>0.86840646532282395</v>
      </c>
      <c r="M379" s="16">
        <v>0.56291390728476798</v>
      </c>
      <c r="N379" s="16">
        <v>0.23170731707317099</v>
      </c>
      <c r="O379" s="16">
        <v>1</v>
      </c>
      <c r="P379" s="17">
        <f t="shared" si="55"/>
        <v>0.32245325793122187</v>
      </c>
      <c r="Q379" s="17">
        <f t="shared" si="56"/>
        <v>0.74730572631317471</v>
      </c>
      <c r="R379" s="17">
        <f t="shared" si="57"/>
        <v>0.59820707478597968</v>
      </c>
      <c r="S379" s="17">
        <f>'02_지표정의'!$C$22*P379+'02_지표정의'!$C$23*Q379+'02_지표정의'!$C$24*R379</f>
        <v>0.61015070460226595</v>
      </c>
      <c r="T379" s="5">
        <f t="shared" si="58"/>
        <v>0</v>
      </c>
      <c r="U379" s="5" t="str">
        <f t="shared" si="59"/>
        <v>특허</v>
      </c>
      <c r="V379" s="18">
        <f t="shared" si="60"/>
        <v>431</v>
      </c>
      <c r="W379" s="5">
        <f t="shared" si="61"/>
        <v>0</v>
      </c>
      <c r="X379" s="5">
        <f t="shared" si="62"/>
        <v>183</v>
      </c>
      <c r="Y379" s="5">
        <f t="shared" si="63"/>
        <v>329</v>
      </c>
      <c r="Z379" s="19">
        <f t="shared" si="64"/>
        <v>58</v>
      </c>
      <c r="AA379" s="20">
        <f>ABS(S379-SUMPRODUCT(('05B_가정검정'!$A$5:$A$19=B379)*('05B_가정검정'!$B$5:$B$19=C379)*'05B_가정검정'!$E$5:$E$19))</f>
        <v>5.7127187859483342E-2</v>
      </c>
      <c r="AB379" s="20">
        <f t="shared" si="65"/>
        <v>5.3698220926085893E-2</v>
      </c>
    </row>
    <row r="380" spans="1:28">
      <c r="A380" s="15" t="s">
        <v>148</v>
      </c>
      <c r="B380" s="15" t="s">
        <v>120</v>
      </c>
      <c r="C380" s="15" t="s">
        <v>117</v>
      </c>
      <c r="D380" s="16">
        <v>0.20125786163522</v>
      </c>
      <c r="E380" s="16">
        <v>0.25270758122743697</v>
      </c>
      <c r="F380" s="16">
        <v>0.08</v>
      </c>
      <c r="G380" s="16">
        <v>0.180505415162455</v>
      </c>
      <c r="H380" s="16">
        <v>0.30393849118948402</v>
      </c>
      <c r="I380" s="16">
        <v>7.5433473653810201E-2</v>
      </c>
      <c r="J380" s="16">
        <v>0.68530542500580705</v>
      </c>
      <c r="K380" s="16">
        <v>0.68228268575368201</v>
      </c>
      <c r="L380" s="16">
        <v>0.85693017054489995</v>
      </c>
      <c r="M380" s="16">
        <v>0.76576576576576605</v>
      </c>
      <c r="N380" s="16">
        <v>0.79032258064516103</v>
      </c>
      <c r="O380" s="16">
        <v>1</v>
      </c>
      <c r="P380" s="17">
        <f t="shared" si="55"/>
        <v>0.18230713714473437</v>
      </c>
      <c r="Q380" s="17">
        <f t="shared" si="56"/>
        <v>0.74150609376812981</v>
      </c>
      <c r="R380" s="17">
        <f t="shared" si="57"/>
        <v>0.85202944880364229</v>
      </c>
      <c r="S380" s="17">
        <f>'02_지표정의'!$C$22*P380+'02_지표정의'!$C$23*Q380+'02_지표정의'!$C$24*R380</f>
        <v>0.66834947670588007</v>
      </c>
      <c r="T380" s="5">
        <f t="shared" si="58"/>
        <v>0</v>
      </c>
      <c r="U380" s="5" t="str">
        <f t="shared" si="59"/>
        <v>특허</v>
      </c>
      <c r="V380" s="18">
        <f t="shared" si="60"/>
        <v>710</v>
      </c>
      <c r="W380" s="5">
        <f t="shared" si="61"/>
        <v>508</v>
      </c>
      <c r="X380" s="5">
        <f t="shared" si="62"/>
        <v>390</v>
      </c>
      <c r="Y380" s="5">
        <f t="shared" si="63"/>
        <v>0</v>
      </c>
      <c r="Z380" s="19">
        <f t="shared" si="64"/>
        <v>58</v>
      </c>
      <c r="AA380" s="20">
        <f>ABS(S380-SUMPRODUCT(('05B_가정검정'!$A$5:$A$19=B380)*('05B_가정검정'!$B$5:$B$19=C380)*'05B_가정검정'!$E$5:$E$19))</f>
        <v>4.0300516648758999E-2</v>
      </c>
      <c r="AB380" s="20">
        <f t="shared" si="65"/>
        <v>3.7046773281122936E-2</v>
      </c>
    </row>
    <row r="381" spans="1:28">
      <c r="A381" s="15" t="s">
        <v>148</v>
      </c>
      <c r="B381" s="15" t="s">
        <v>120</v>
      </c>
      <c r="C381" s="15" t="s">
        <v>118</v>
      </c>
      <c r="D381" s="16">
        <v>0.229685807150596</v>
      </c>
      <c r="E381" s="16">
        <v>0.213592233009709</v>
      </c>
      <c r="F381" s="16">
        <v>6.3414634146341506E-2</v>
      </c>
      <c r="G381" s="16">
        <v>0.16019417475728201</v>
      </c>
      <c r="H381" s="16">
        <v>0.16793431749180901</v>
      </c>
      <c r="I381" s="16">
        <v>0.114709599153418</v>
      </c>
      <c r="J381" s="16">
        <v>0.67788004110418698</v>
      </c>
      <c r="K381" s="16">
        <v>0.69404998360767001</v>
      </c>
      <c r="L381" s="16">
        <v>0.83618492708914305</v>
      </c>
      <c r="M381" s="16">
        <v>0.37457044673539502</v>
      </c>
      <c r="N381" s="16">
        <v>0.437037037037037</v>
      </c>
      <c r="O381" s="16">
        <v>1</v>
      </c>
      <c r="P381" s="17">
        <f t="shared" si="55"/>
        <v>0.1582551276181926</v>
      </c>
      <c r="Q381" s="17">
        <f t="shared" si="56"/>
        <v>0.73603831726699998</v>
      </c>
      <c r="R381" s="17">
        <f t="shared" si="57"/>
        <v>0.60386916125747736</v>
      </c>
      <c r="S381" s="17">
        <f>'02_지표정의'!$C$22*P381+'02_지표정의'!$C$23*Q381+'02_지표정의'!$C$24*R381</f>
        <v>0.57422247473390564</v>
      </c>
      <c r="T381" s="5">
        <f t="shared" si="58"/>
        <v>0</v>
      </c>
      <c r="U381" s="5" t="str">
        <f t="shared" si="59"/>
        <v>특허</v>
      </c>
      <c r="V381" s="18">
        <f t="shared" si="60"/>
        <v>304</v>
      </c>
      <c r="W381" s="5">
        <f t="shared" si="61"/>
        <v>246</v>
      </c>
      <c r="X381" s="5">
        <f t="shared" si="62"/>
        <v>0</v>
      </c>
      <c r="Y381" s="5">
        <f t="shared" si="63"/>
        <v>234</v>
      </c>
      <c r="Z381" s="19">
        <f t="shared" si="64"/>
        <v>30</v>
      </c>
      <c r="AA381" s="20">
        <f>ABS(S381-SUMPRODUCT(('05B_가정검정'!$A$5:$A$19=B381)*('05B_가정검정'!$B$5:$B$19=C381)*'05B_가정검정'!$E$5:$E$19))</f>
        <v>1.6606373847722344E-2</v>
      </c>
      <c r="AB381" s="20">
        <f t="shared" si="65"/>
        <v>-6.6830122820515925E-4</v>
      </c>
    </row>
    <row r="382" spans="1:28">
      <c r="A382" s="15" t="s">
        <v>148</v>
      </c>
      <c r="B382" s="15" t="s">
        <v>120</v>
      </c>
      <c r="C382" s="15" t="s">
        <v>119</v>
      </c>
      <c r="D382" s="16">
        <v>0.25531914893617003</v>
      </c>
      <c r="E382" s="16">
        <v>0.37768240343347598</v>
      </c>
      <c r="F382" s="16">
        <v>0.147186147186147</v>
      </c>
      <c r="G382" s="16">
        <v>0.26609442060085797</v>
      </c>
      <c r="H382" s="16">
        <v>0.338183883638908</v>
      </c>
      <c r="I382" s="16">
        <v>0.239934640404905</v>
      </c>
      <c r="J382" s="16">
        <v>0.72045669616011598</v>
      </c>
      <c r="K382" s="16">
        <v>0.682420755249593</v>
      </c>
      <c r="L382" s="16">
        <v>0.87519517398569502</v>
      </c>
      <c r="M382" s="16">
        <v>0.76576576576576605</v>
      </c>
      <c r="N382" s="16">
        <v>0.79032258064516103</v>
      </c>
      <c r="O382" s="16">
        <v>1</v>
      </c>
      <c r="P382" s="17">
        <f t="shared" si="55"/>
        <v>0.27073344070007732</v>
      </c>
      <c r="Q382" s="17">
        <f t="shared" si="56"/>
        <v>0.75935754179846793</v>
      </c>
      <c r="R382" s="17">
        <f t="shared" si="57"/>
        <v>0.85202944880364229</v>
      </c>
      <c r="S382" s="17">
        <f>'02_지표정의'!$C$22*P382+'02_지표정의'!$C$23*Q382+'02_지표정의'!$C$24*R382</f>
        <v>0.6940678890306009</v>
      </c>
      <c r="T382" s="5">
        <f t="shared" si="58"/>
        <v>0</v>
      </c>
      <c r="U382" s="5" t="str">
        <f t="shared" si="59"/>
        <v>특허</v>
      </c>
      <c r="V382" s="18">
        <f t="shared" si="60"/>
        <v>801</v>
      </c>
      <c r="W382" s="5">
        <f t="shared" si="61"/>
        <v>0</v>
      </c>
      <c r="X382" s="5">
        <f t="shared" si="62"/>
        <v>476</v>
      </c>
      <c r="Y382" s="5">
        <f t="shared" si="63"/>
        <v>577</v>
      </c>
      <c r="Z382" s="19">
        <f t="shared" si="64"/>
        <v>51</v>
      </c>
      <c r="AA382" s="20">
        <f>ABS(S382-SUMPRODUCT(('05B_가정검정'!$A$5:$A$19=B382)*('05B_가정검정'!$B$5:$B$19=C382)*'05B_가정검정'!$E$5:$E$19))</f>
        <v>3.0390572549214623E-2</v>
      </c>
      <c r="AB382" s="20">
        <f t="shared" si="65"/>
        <v>3.5644881519785288E-2</v>
      </c>
    </row>
    <row r="383" spans="1:28">
      <c r="A383" s="15" t="s">
        <v>148</v>
      </c>
      <c r="B383" s="15" t="s">
        <v>121</v>
      </c>
      <c r="C383" s="15" t="s">
        <v>117</v>
      </c>
      <c r="D383" s="16">
        <v>0.192161820480405</v>
      </c>
      <c r="E383" s="16">
        <v>0.25837320574162698</v>
      </c>
      <c r="F383" s="16">
        <v>9.6618357487922704E-2</v>
      </c>
      <c r="G383" s="16">
        <v>0.22009569377990401</v>
      </c>
      <c r="H383" s="16">
        <v>0.27411038309284702</v>
      </c>
      <c r="I383" s="16">
        <v>7.7402832493842999E-2</v>
      </c>
      <c r="J383" s="16">
        <v>0.72548386875568105</v>
      </c>
      <c r="K383" s="16">
        <v>0.74715058429335002</v>
      </c>
      <c r="L383" s="16">
        <v>0.88482161699954698</v>
      </c>
      <c r="M383" s="16">
        <v>0.90654205607476601</v>
      </c>
      <c r="N383" s="16">
        <v>0.91666666666666696</v>
      </c>
      <c r="O383" s="16">
        <v>1</v>
      </c>
      <c r="P383" s="17">
        <f t="shared" si="55"/>
        <v>0.18646038217942476</v>
      </c>
      <c r="Q383" s="17">
        <f t="shared" si="56"/>
        <v>0.78581869001619264</v>
      </c>
      <c r="R383" s="17">
        <f t="shared" si="57"/>
        <v>0.94106957424714432</v>
      </c>
      <c r="S383" s="17">
        <f>'02_지표정의'!$C$22*P383+'02_지표정의'!$C$23*Q383+'02_지표정의'!$C$24*R383</f>
        <v>0.72028483792967213</v>
      </c>
      <c r="T383" s="5">
        <f t="shared" si="58"/>
        <v>1</v>
      </c>
      <c r="U383" s="5" t="str">
        <f t="shared" si="59"/>
        <v>특허</v>
      </c>
      <c r="V383" s="18">
        <f t="shared" si="60"/>
        <v>881</v>
      </c>
      <c r="W383" s="5">
        <f t="shared" si="61"/>
        <v>588</v>
      </c>
      <c r="X383" s="5">
        <f t="shared" si="62"/>
        <v>556</v>
      </c>
      <c r="Y383" s="5">
        <f t="shared" si="63"/>
        <v>0</v>
      </c>
      <c r="Z383" s="19">
        <f t="shared" si="64"/>
        <v>25</v>
      </c>
      <c r="AA383" s="20">
        <f>ABS(S383-SUMPRODUCT(('05B_가정검정'!$A$5:$A$19=B383)*('05B_가정검정'!$B$5:$B$19=C383)*'05B_가정검정'!$E$5:$E$19))</f>
        <v>9.1472334522090248E-3</v>
      </c>
      <c r="AB383" s="20">
        <f t="shared" si="65"/>
        <v>2.6330448567911668E-3</v>
      </c>
    </row>
    <row r="384" spans="1:28">
      <c r="A384" s="15" t="s">
        <v>148</v>
      </c>
      <c r="B384" s="15" t="s">
        <v>121</v>
      </c>
      <c r="C384" s="15" t="s">
        <v>118</v>
      </c>
      <c r="D384" s="16">
        <v>0.21052631578947401</v>
      </c>
      <c r="E384" s="16">
        <v>0.162790697674419</v>
      </c>
      <c r="F384" s="16">
        <v>5.8479532163742701E-2</v>
      </c>
      <c r="G384" s="16">
        <v>0.15116279069767399</v>
      </c>
      <c r="H384" s="16">
        <v>0.14248007743746599</v>
      </c>
      <c r="I384" s="16">
        <v>0.124816155264279</v>
      </c>
      <c r="J384" s="16">
        <v>0.71626568772560995</v>
      </c>
      <c r="K384" s="16">
        <v>0.74705543924585105</v>
      </c>
      <c r="L384" s="16">
        <v>0.87713700886262103</v>
      </c>
      <c r="M384" s="16">
        <v>0.33333333333333298</v>
      </c>
      <c r="N384" s="16">
        <v>0.407407407407407</v>
      </c>
      <c r="O384" s="16">
        <v>1</v>
      </c>
      <c r="P384" s="17">
        <f t="shared" si="55"/>
        <v>0.14170926150450913</v>
      </c>
      <c r="Q384" s="17">
        <f t="shared" si="56"/>
        <v>0.78015271194469404</v>
      </c>
      <c r="R384" s="17">
        <f t="shared" si="57"/>
        <v>0.58024691358024671</v>
      </c>
      <c r="S384" s="17">
        <f>'02_지표정의'!$C$22*P384+'02_지표정의'!$C$23*Q384+'02_지표정의'!$C$24*R384</f>
        <v>0.58249699242910047</v>
      </c>
      <c r="T384" s="5">
        <f t="shared" si="58"/>
        <v>0</v>
      </c>
      <c r="U384" s="5" t="str">
        <f t="shared" si="59"/>
        <v>특허</v>
      </c>
      <c r="V384" s="18">
        <f t="shared" si="60"/>
        <v>330</v>
      </c>
      <c r="W384" s="5">
        <f t="shared" si="61"/>
        <v>269</v>
      </c>
      <c r="X384" s="5">
        <f t="shared" si="62"/>
        <v>0</v>
      </c>
      <c r="Y384" s="5">
        <f t="shared" si="63"/>
        <v>249</v>
      </c>
      <c r="Z384" s="19">
        <f t="shared" si="64"/>
        <v>31</v>
      </c>
      <c r="AA384" s="20">
        <f>ABS(S384-SUMPRODUCT(('05B_가정검정'!$A$5:$A$19=B384)*('05B_가정검정'!$B$5:$B$19=C384)*'05B_가정검정'!$E$5:$E$19))</f>
        <v>1.6082497737867962E-2</v>
      </c>
      <c r="AB384" s="20">
        <f t="shared" si="65"/>
        <v>3.097917902287195E-3</v>
      </c>
    </row>
    <row r="385" spans="1:28">
      <c r="A385" s="15" t="s">
        <v>148</v>
      </c>
      <c r="B385" s="15" t="s">
        <v>121</v>
      </c>
      <c r="C385" s="15" t="s">
        <v>119</v>
      </c>
      <c r="D385" s="16">
        <v>0.330188679245283</v>
      </c>
      <c r="E385" s="16">
        <v>0.46060606060606102</v>
      </c>
      <c r="F385" s="16">
        <v>0.20858895705521499</v>
      </c>
      <c r="G385" s="16">
        <v>0.37575757575757601</v>
      </c>
      <c r="H385" s="16">
        <v>0.37930827045742299</v>
      </c>
      <c r="I385" s="16">
        <v>0.33029863475662402</v>
      </c>
      <c r="J385" s="16">
        <v>0.78642322489183403</v>
      </c>
      <c r="K385" s="16">
        <v>0.79399592093850702</v>
      </c>
      <c r="L385" s="16">
        <v>0.89941119848128603</v>
      </c>
      <c r="M385" s="16">
        <v>0.90654205607476601</v>
      </c>
      <c r="N385" s="16">
        <v>0.91666666666666696</v>
      </c>
      <c r="O385" s="16">
        <v>1</v>
      </c>
      <c r="P385" s="17">
        <f t="shared" si="55"/>
        <v>0.34745802964636369</v>
      </c>
      <c r="Q385" s="17">
        <f t="shared" si="56"/>
        <v>0.82661011477054236</v>
      </c>
      <c r="R385" s="17">
        <f t="shared" si="57"/>
        <v>0.94106957424714432</v>
      </c>
      <c r="S385" s="17">
        <f>'02_지표정의'!$C$22*P385+'02_지표정의'!$C$23*Q385+'02_지표정의'!$C$24*R385</f>
        <v>0.77084050856251729</v>
      </c>
      <c r="T385" s="5">
        <f t="shared" si="58"/>
        <v>0</v>
      </c>
      <c r="U385" s="5" t="str">
        <f t="shared" si="59"/>
        <v>특허</v>
      </c>
      <c r="V385" s="18">
        <f t="shared" si="60"/>
        <v>972</v>
      </c>
      <c r="W385" s="5">
        <f t="shared" si="61"/>
        <v>0</v>
      </c>
      <c r="X385" s="5">
        <f t="shared" si="62"/>
        <v>647</v>
      </c>
      <c r="Y385" s="5">
        <f t="shared" si="63"/>
        <v>647</v>
      </c>
      <c r="Z385" s="19">
        <f t="shared" si="64"/>
        <v>63</v>
      </c>
      <c r="AA385" s="20">
        <f>ABS(S385-SUMPRODUCT(('05B_가정검정'!$A$5:$A$19=B385)*('05B_가정검정'!$B$5:$B$19=C385)*'05B_가정검정'!$E$5:$E$19))</f>
        <v>7.8520665766663611E-2</v>
      </c>
      <c r="AB385" s="20">
        <f t="shared" si="65"/>
        <v>8.2603533142906249E-2</v>
      </c>
    </row>
    <row r="386" spans="1:28">
      <c r="A386" s="15" t="s">
        <v>148</v>
      </c>
      <c r="B386" s="15" t="s">
        <v>122</v>
      </c>
      <c r="C386" s="15" t="s">
        <v>117</v>
      </c>
      <c r="D386" s="16">
        <v>0.213296398891967</v>
      </c>
      <c r="E386" s="16">
        <v>0.31794871794871798</v>
      </c>
      <c r="F386" s="16">
        <v>0.10362694300518099</v>
      </c>
      <c r="G386" s="16">
        <v>0.256410256410256</v>
      </c>
      <c r="H386" s="16">
        <v>0.25266031108559001</v>
      </c>
      <c r="I386" s="16">
        <v>0.157339008815538</v>
      </c>
      <c r="J386" s="16">
        <v>0.72342870890914102</v>
      </c>
      <c r="K386" s="16">
        <v>0.68235380957823899</v>
      </c>
      <c r="L386" s="16">
        <v>0.83775604106992596</v>
      </c>
      <c r="M386" s="16">
        <v>0.747899159663866</v>
      </c>
      <c r="N386" s="16">
        <v>0.74242424242424199</v>
      </c>
      <c r="O386" s="16">
        <v>1</v>
      </c>
      <c r="P386" s="17">
        <f t="shared" ref="P386:P449" si="66">AVERAGE(D386:I386)</f>
        <v>0.21688027269287499</v>
      </c>
      <c r="Q386" s="17">
        <f t="shared" ref="Q386:Q449" si="67">AVERAGE(J386:L386)</f>
        <v>0.74784618651910195</v>
      </c>
      <c r="R386" s="17">
        <f t="shared" ref="R386:R449" si="68">AVERAGE(M386:O386)</f>
        <v>0.83010780069603596</v>
      </c>
      <c r="S386" s="17">
        <f>'02_지표정의'!$C$22*P386+'02_지표정의'!$C$23*Q386+'02_지표정의'!$C$24*R386</f>
        <v>0.6704445687157834</v>
      </c>
      <c r="T386" s="5">
        <f t="shared" ref="T386:T449" si="69">IF(OR(AND(B386="gemini",C386="gemma"),AND(B386="qwen3_6",C386="qwen"),AND(B386="mistral",C386="ministral")),1,0)</f>
        <v>0</v>
      </c>
      <c r="U386" s="5" t="str">
        <f t="shared" ref="U386:U449" si="70">IF(LEFT(A386,3)="PAT","특허","보고서")</f>
        <v>특허</v>
      </c>
      <c r="V386" s="18">
        <f t="shared" ref="V386:V449" si="71">COUNTIF($S$2:$S$976,"&lt;"&amp;S386)+(COUNTIF($S$2:$S$976,"="&amp;S386)+1)/2</f>
        <v>718</v>
      </c>
      <c r="W386" s="5">
        <f t="shared" ref="W386:W449" si="72">IF(C386="qwen",0,COUNTIFS($C$2:$C$976,"&lt;&gt;qwen",$S$2:$S$976,"&lt;"&amp;S386)+1)</f>
        <v>515</v>
      </c>
      <c r="X386" s="5">
        <f t="shared" ref="X386:X449" si="73">IF(C386="ministral",0,COUNTIFS($C$2:$C$976,"&lt;&gt;ministral",$S$2:$S$976,"&lt;"&amp;S386)+1)</f>
        <v>397</v>
      </c>
      <c r="Y386" s="5">
        <f t="shared" ref="Y386:Y449" si="74">IF(C386="gemma",0,COUNTIFS($C$2:$C$976,"&lt;&gt;gemma",$S$2:$S$976,"&lt;"&amp;S386)+1)</f>
        <v>0</v>
      </c>
      <c r="Z386" s="19">
        <f t="shared" ref="Z386:Z449" si="75">COUNTIFS($B$2:$B$976,B386,$C$2:$C$976,C386,$S$2:$S$976,"&lt;"&amp;S386)+1</f>
        <v>62</v>
      </c>
      <c r="AA386" s="20">
        <f>ABS(S386-SUMPRODUCT(('05B_가정검정'!$A$5:$A$19=B386)*('05B_가정검정'!$B$5:$B$19=C386)*'05B_가정검정'!$E$5:$E$19))</f>
        <v>3.1091614007104917E-2</v>
      </c>
      <c r="AB386" s="20">
        <f t="shared" ref="AB386:AB449" si="76">S386-AVERAGEIFS($S$2:$S$976,$B$2:$B$976,B386,$C$2:$C$976,C386)</f>
        <v>4.756294652613724E-2</v>
      </c>
    </row>
    <row r="387" spans="1:28">
      <c r="A387" s="15" t="s">
        <v>148</v>
      </c>
      <c r="B387" s="15" t="s">
        <v>122</v>
      </c>
      <c r="C387" s="15" t="s">
        <v>118</v>
      </c>
      <c r="D387" s="16">
        <v>0.29522431259044901</v>
      </c>
      <c r="E387" s="16">
        <v>0.248484848484849</v>
      </c>
      <c r="F387" s="16">
        <v>0.115853658536585</v>
      </c>
      <c r="G387" s="16">
        <v>0.18181818181818199</v>
      </c>
      <c r="H387" s="16">
        <v>0.15090141956242201</v>
      </c>
      <c r="I387" s="16">
        <v>0.23162458338099201</v>
      </c>
      <c r="J387" s="16">
        <v>0.71382405952689998</v>
      </c>
      <c r="K387" s="16">
        <v>0.74949102125455902</v>
      </c>
      <c r="L387" s="16">
        <v>0.87592438716709797</v>
      </c>
      <c r="M387" s="16">
        <v>0.36769759450171802</v>
      </c>
      <c r="N387" s="16">
        <v>0.32592592592592601</v>
      </c>
      <c r="O387" s="16">
        <v>1</v>
      </c>
      <c r="P387" s="17">
        <f t="shared" si="66"/>
        <v>0.20398450072891317</v>
      </c>
      <c r="Q387" s="17">
        <f t="shared" si="67"/>
        <v>0.77974648931618562</v>
      </c>
      <c r="R387" s="17">
        <f t="shared" si="68"/>
        <v>0.56454117347588129</v>
      </c>
      <c r="S387" s="17">
        <f>'02_지표정의'!$C$22*P387+'02_지표정의'!$C$23*Q387+'02_지표정의'!$C$24*R387</f>
        <v>0.58927223105462456</v>
      </c>
      <c r="T387" s="5">
        <f t="shared" si="69"/>
        <v>1</v>
      </c>
      <c r="U387" s="5" t="str">
        <f t="shared" si="70"/>
        <v>특허</v>
      </c>
      <c r="V387" s="18">
        <f t="shared" si="71"/>
        <v>350</v>
      </c>
      <c r="W387" s="5">
        <f t="shared" si="72"/>
        <v>284</v>
      </c>
      <c r="X387" s="5">
        <f t="shared" si="73"/>
        <v>0</v>
      </c>
      <c r="Y387" s="5">
        <f t="shared" si="74"/>
        <v>267</v>
      </c>
      <c r="Z387" s="19">
        <f t="shared" si="75"/>
        <v>35</v>
      </c>
      <c r="AA387" s="20">
        <f>ABS(S387-SUMPRODUCT(('05B_가정검정'!$A$5:$A$19=B387)*('05B_가정검정'!$B$5:$B$19=C387)*'05B_가정검정'!$E$5:$E$19))</f>
        <v>2.3502950574663117E-3</v>
      </c>
      <c r="AB387" s="20">
        <f t="shared" si="76"/>
        <v>8.0489548369407915E-3</v>
      </c>
    </row>
    <row r="388" spans="1:28">
      <c r="A388" s="15" t="s">
        <v>148</v>
      </c>
      <c r="B388" s="15" t="s">
        <v>122</v>
      </c>
      <c r="C388" s="15" t="s">
        <v>119</v>
      </c>
      <c r="D388" s="16">
        <v>0.289241622574956</v>
      </c>
      <c r="E388" s="16">
        <v>0.43708609271523202</v>
      </c>
      <c r="F388" s="16">
        <v>0.20134228187919501</v>
      </c>
      <c r="G388" s="16">
        <v>0.33112582781457001</v>
      </c>
      <c r="H388" s="16">
        <v>0.29733357591077397</v>
      </c>
      <c r="I388" s="16">
        <v>0.14480654378010499</v>
      </c>
      <c r="J388" s="16">
        <v>0.76473473632173505</v>
      </c>
      <c r="K388" s="16">
        <v>0.72398718097233306</v>
      </c>
      <c r="L388" s="16">
        <v>0.86421217830693198</v>
      </c>
      <c r="M388" s="16">
        <v>0.747899159663866</v>
      </c>
      <c r="N388" s="16">
        <v>0.74242424242424199</v>
      </c>
      <c r="O388" s="16">
        <v>1</v>
      </c>
      <c r="P388" s="17">
        <f t="shared" si="66"/>
        <v>0.28348932411247202</v>
      </c>
      <c r="Q388" s="17">
        <f t="shared" si="67"/>
        <v>0.7843113652003334</v>
      </c>
      <c r="R388" s="17">
        <f t="shared" si="68"/>
        <v>0.83010780069603596</v>
      </c>
      <c r="S388" s="17">
        <f>'02_지표정의'!$C$22*P388+'02_지표정의'!$C$23*Q388+'02_지표정의'!$C$24*R388</f>
        <v>0.70017570940625706</v>
      </c>
      <c r="T388" s="5">
        <f t="shared" si="69"/>
        <v>0</v>
      </c>
      <c r="U388" s="5" t="str">
        <f t="shared" si="70"/>
        <v>특허</v>
      </c>
      <c r="V388" s="18">
        <f t="shared" si="71"/>
        <v>823</v>
      </c>
      <c r="W388" s="5">
        <f t="shared" si="72"/>
        <v>0</v>
      </c>
      <c r="X388" s="5">
        <f t="shared" si="73"/>
        <v>498</v>
      </c>
      <c r="Y388" s="5">
        <f t="shared" si="74"/>
        <v>594</v>
      </c>
      <c r="Z388" s="19">
        <f t="shared" si="75"/>
        <v>65</v>
      </c>
      <c r="AA388" s="20">
        <f>ABS(S388-SUMPRODUCT(('05B_가정검정'!$A$5:$A$19=B388)*('05B_가정검정'!$B$5:$B$19=C388)*'05B_가정검정'!$E$5:$E$19))</f>
        <v>6.456952150480566E-2</v>
      </c>
      <c r="AB388" s="20">
        <f t="shared" si="76"/>
        <v>6.8786843091371064E-2</v>
      </c>
    </row>
    <row r="389" spans="1:28">
      <c r="A389" s="15" t="s">
        <v>148</v>
      </c>
      <c r="B389" s="15" t="s">
        <v>123</v>
      </c>
      <c r="C389" s="15" t="s">
        <v>117</v>
      </c>
      <c r="D389" s="16">
        <v>0.17945690672963399</v>
      </c>
      <c r="E389" s="16">
        <v>0.27966101694915302</v>
      </c>
      <c r="F389" s="16">
        <v>0.102564102564103</v>
      </c>
      <c r="G389" s="16">
        <v>0.26271186440678002</v>
      </c>
      <c r="H389" s="16">
        <v>0.31325240650383102</v>
      </c>
      <c r="I389" s="16">
        <v>5.8045667756723998E-2</v>
      </c>
      <c r="J389" s="16">
        <v>0.67713823389693695</v>
      </c>
      <c r="K389" s="16">
        <v>0.67128007392418199</v>
      </c>
      <c r="L389" s="16">
        <v>0.86124803078925505</v>
      </c>
      <c r="M389" s="16">
        <v>0.90654205607476601</v>
      </c>
      <c r="N389" s="16">
        <v>0.91666666666666696</v>
      </c>
      <c r="O389" s="16">
        <v>1</v>
      </c>
      <c r="P389" s="17">
        <f t="shared" si="66"/>
        <v>0.19928199415170419</v>
      </c>
      <c r="Q389" s="17">
        <f t="shared" si="67"/>
        <v>0.73655544620345792</v>
      </c>
      <c r="R389" s="17">
        <f t="shared" si="68"/>
        <v>0.94106957424714432</v>
      </c>
      <c r="S389" s="17">
        <f>'02_지표정의'!$C$22*P389+'02_지표정의'!$C$23*Q389+'02_지표정의'!$C$24*R389</f>
        <v>0.70068070060839738</v>
      </c>
      <c r="T389" s="5">
        <f t="shared" si="69"/>
        <v>0</v>
      </c>
      <c r="U389" s="5" t="str">
        <f t="shared" si="70"/>
        <v>특허</v>
      </c>
      <c r="V389" s="18">
        <f t="shared" si="71"/>
        <v>825</v>
      </c>
      <c r="W389" s="5">
        <f t="shared" si="72"/>
        <v>555</v>
      </c>
      <c r="X389" s="5">
        <f t="shared" si="73"/>
        <v>500</v>
      </c>
      <c r="Y389" s="5">
        <f t="shared" si="74"/>
        <v>0</v>
      </c>
      <c r="Z389" s="19">
        <f t="shared" si="75"/>
        <v>21</v>
      </c>
      <c r="AA389" s="20">
        <f>ABS(S389-SUMPRODUCT(('05B_가정검정'!$A$5:$A$19=B389)*('05B_가정검정'!$B$5:$B$19=C389)*'05B_가정검정'!$E$5:$E$19))</f>
        <v>1.4242182167826356E-2</v>
      </c>
      <c r="AB389" s="20">
        <f t="shared" si="76"/>
        <v>-7.3047512028457939E-3</v>
      </c>
    </row>
    <row r="390" spans="1:28">
      <c r="A390" s="15" t="s">
        <v>148</v>
      </c>
      <c r="B390" s="15" t="s">
        <v>123</v>
      </c>
      <c r="C390" s="15" t="s">
        <v>118</v>
      </c>
      <c r="D390" s="16">
        <v>0.22549019607843099</v>
      </c>
      <c r="E390" s="16">
        <v>0.22641509433962301</v>
      </c>
      <c r="F390" s="16">
        <v>8.1300813008130093E-2</v>
      </c>
      <c r="G390" s="16">
        <v>0.18328840970350399</v>
      </c>
      <c r="H390" s="16">
        <v>0.176221508404167</v>
      </c>
      <c r="I390" s="16">
        <v>0.109372920978051</v>
      </c>
      <c r="J390" s="16">
        <v>0.67775006122086501</v>
      </c>
      <c r="K390" s="16">
        <v>0.68515896100282003</v>
      </c>
      <c r="L390" s="16">
        <v>0.84462090472095797</v>
      </c>
      <c r="M390" s="16">
        <v>0.33333333333333298</v>
      </c>
      <c r="N390" s="16">
        <v>0.407407407407407</v>
      </c>
      <c r="O390" s="16">
        <v>1</v>
      </c>
      <c r="P390" s="17">
        <f t="shared" si="66"/>
        <v>0.16701482375198437</v>
      </c>
      <c r="Q390" s="17">
        <f t="shared" si="67"/>
        <v>0.73584330898154759</v>
      </c>
      <c r="R390" s="17">
        <f t="shared" si="68"/>
        <v>0.58024691358024671</v>
      </c>
      <c r="S390" s="17">
        <f>'02_지표정의'!$C$22*P390+'02_지표정의'!$C$23*Q390+'02_지표정의'!$C$24*R390</f>
        <v>0.5676188735451797</v>
      </c>
      <c r="T390" s="5">
        <f t="shared" si="69"/>
        <v>0</v>
      </c>
      <c r="U390" s="5" t="str">
        <f t="shared" si="70"/>
        <v>특허</v>
      </c>
      <c r="V390" s="18">
        <f t="shared" si="71"/>
        <v>275</v>
      </c>
      <c r="W390" s="5">
        <f t="shared" si="72"/>
        <v>223</v>
      </c>
      <c r="X390" s="5">
        <f t="shared" si="73"/>
        <v>0</v>
      </c>
      <c r="Y390" s="5">
        <f t="shared" si="74"/>
        <v>220</v>
      </c>
      <c r="Z390" s="19">
        <f t="shared" si="75"/>
        <v>30</v>
      </c>
      <c r="AA390" s="20">
        <f>ABS(S390-SUMPRODUCT(('05B_가정검정'!$A$5:$A$19=B390)*('05B_가정검정'!$B$5:$B$19=C390)*'05B_가정검정'!$E$5:$E$19))</f>
        <v>7.6799533337900128E-3</v>
      </c>
      <c r="AB390" s="20">
        <f t="shared" si="76"/>
        <v>7.7472656206886148E-3</v>
      </c>
    </row>
    <row r="391" spans="1:28">
      <c r="A391" s="15" t="s">
        <v>148</v>
      </c>
      <c r="B391" s="15" t="s">
        <v>123</v>
      </c>
      <c r="C391" s="15" t="s">
        <v>119</v>
      </c>
      <c r="D391" s="16">
        <v>0.30635838150289002</v>
      </c>
      <c r="E391" s="16">
        <v>0.42708333333333298</v>
      </c>
      <c r="F391" s="16">
        <v>0.168421052631579</v>
      </c>
      <c r="G391" s="16">
        <v>0.35416666666666702</v>
      </c>
      <c r="H391" s="16">
        <v>0.423539009473479</v>
      </c>
      <c r="I391" s="16">
        <v>0.29954113403756399</v>
      </c>
      <c r="J391" s="16">
        <v>0.72736815927732401</v>
      </c>
      <c r="K391" s="16">
        <v>0.73886456427512404</v>
      </c>
      <c r="L391" s="16">
        <v>0.91268152019193904</v>
      </c>
      <c r="M391" s="16">
        <v>0.90654205607476601</v>
      </c>
      <c r="N391" s="16">
        <v>0.91666666666666696</v>
      </c>
      <c r="O391" s="16">
        <v>1</v>
      </c>
      <c r="P391" s="17">
        <f t="shared" si="66"/>
        <v>0.32985159627425203</v>
      </c>
      <c r="Q391" s="17">
        <f t="shared" si="67"/>
        <v>0.79297141458146225</v>
      </c>
      <c r="R391" s="17">
        <f t="shared" si="68"/>
        <v>0.94106957424714432</v>
      </c>
      <c r="S391" s="17">
        <f>'02_지표정의'!$C$22*P391+'02_지표정의'!$C$23*Q391+'02_지표정의'!$C$24*R391</f>
        <v>0.75218180680300883</v>
      </c>
      <c r="T391" s="5">
        <f t="shared" si="69"/>
        <v>1</v>
      </c>
      <c r="U391" s="5" t="str">
        <f t="shared" si="70"/>
        <v>특허</v>
      </c>
      <c r="V391" s="18">
        <f t="shared" si="71"/>
        <v>957</v>
      </c>
      <c r="W391" s="5">
        <f t="shared" si="72"/>
        <v>0</v>
      </c>
      <c r="X391" s="5">
        <f t="shared" si="73"/>
        <v>632</v>
      </c>
      <c r="Y391" s="5">
        <f t="shared" si="74"/>
        <v>633</v>
      </c>
      <c r="Z391" s="19">
        <f t="shared" si="75"/>
        <v>60</v>
      </c>
      <c r="AA391" s="20">
        <f>ABS(S391-SUMPRODUCT(('05B_가정검정'!$A$5:$A$19=B391)*('05B_가정검정'!$B$5:$B$19=C391)*'05B_가정검정'!$E$5:$E$19))</f>
        <v>6.6552009478781482E-2</v>
      </c>
      <c r="AB391" s="20">
        <f t="shared" si="76"/>
        <v>6.9763073758007055E-2</v>
      </c>
    </row>
    <row r="392" spans="1:28">
      <c r="A392" s="15" t="s">
        <v>149</v>
      </c>
      <c r="B392" s="15" t="s">
        <v>116</v>
      </c>
      <c r="C392" s="15" t="s">
        <v>117</v>
      </c>
      <c r="D392" s="16">
        <v>0.30662983425414397</v>
      </c>
      <c r="E392" s="16">
        <v>0.412121212121212</v>
      </c>
      <c r="F392" s="16">
        <v>0.17177914110429501</v>
      </c>
      <c r="G392" s="16">
        <v>0.32727272727272699</v>
      </c>
      <c r="H392" s="16">
        <v>0.26943448974512102</v>
      </c>
      <c r="I392" s="16">
        <v>0.28228921413798402</v>
      </c>
      <c r="J392" s="16">
        <v>0.71037852741809304</v>
      </c>
      <c r="K392" s="16">
        <v>0.662684187958273</v>
      </c>
      <c r="L392" s="16">
        <v>0.81435489699347596</v>
      </c>
      <c r="M392" s="16">
        <v>0.56291390728476798</v>
      </c>
      <c r="N392" s="16">
        <v>9.7560975609756101E-2</v>
      </c>
      <c r="O392" s="16">
        <v>1</v>
      </c>
      <c r="P392" s="17">
        <f t="shared" si="66"/>
        <v>0.29492110310591385</v>
      </c>
      <c r="Q392" s="17">
        <f t="shared" si="67"/>
        <v>0.72913920412328059</v>
      </c>
      <c r="R392" s="17">
        <f t="shared" si="68"/>
        <v>0.55349162763150794</v>
      </c>
      <c r="S392" s="17">
        <f>'02_지표정의'!$C$22*P392+'02_지표정의'!$C$23*Q392+'02_지표정의'!$C$24*R392</f>
        <v>0.58081893214768687</v>
      </c>
      <c r="T392" s="5">
        <f t="shared" si="69"/>
        <v>0</v>
      </c>
      <c r="U392" s="5" t="str">
        <f t="shared" si="70"/>
        <v>특허</v>
      </c>
      <c r="V392" s="18">
        <f t="shared" si="71"/>
        <v>323</v>
      </c>
      <c r="W392" s="5">
        <f t="shared" si="72"/>
        <v>262</v>
      </c>
      <c r="X392" s="5">
        <f t="shared" si="73"/>
        <v>139</v>
      </c>
      <c r="Y392" s="5">
        <f t="shared" si="74"/>
        <v>0</v>
      </c>
      <c r="Z392" s="19">
        <f t="shared" si="75"/>
        <v>59</v>
      </c>
      <c r="AA392" s="20">
        <f>ABS(S392-SUMPRODUCT(('05B_가정검정'!$A$5:$A$19=B392)*('05B_가정검정'!$B$5:$B$19=C392)*'05B_가정검정'!$E$5:$E$19))</f>
        <v>2.3415227162719598E-2</v>
      </c>
      <c r="AB392" s="20">
        <f t="shared" si="76"/>
        <v>2.8267766735063482E-2</v>
      </c>
    </row>
    <row r="393" spans="1:28">
      <c r="A393" s="15" t="s">
        <v>149</v>
      </c>
      <c r="B393" s="15" t="s">
        <v>116</v>
      </c>
      <c r="C393" s="15" t="s">
        <v>118</v>
      </c>
      <c r="D393" s="16">
        <v>0.32</v>
      </c>
      <c r="E393" s="16">
        <v>0.22307692307692301</v>
      </c>
      <c r="F393" s="16">
        <v>9.3023255813953501E-2</v>
      </c>
      <c r="G393" s="16">
        <v>0.21538461538461501</v>
      </c>
      <c r="H393" s="16">
        <v>0.177529208981203</v>
      </c>
      <c r="I393" s="16">
        <v>0.30335627709005297</v>
      </c>
      <c r="J393" s="16">
        <v>0.71738274499161603</v>
      </c>
      <c r="K393" s="16">
        <v>0.67180111671084697</v>
      </c>
      <c r="L393" s="16">
        <v>0.82918709964034998</v>
      </c>
      <c r="M393" s="16">
        <v>0.44549763033175399</v>
      </c>
      <c r="N393" s="16">
        <v>2.54237288135594E-2</v>
      </c>
      <c r="O393" s="16">
        <v>1</v>
      </c>
      <c r="P393" s="17">
        <f t="shared" si="66"/>
        <v>0.2220617133911246</v>
      </c>
      <c r="Q393" s="17">
        <f t="shared" si="67"/>
        <v>0.73945698711427099</v>
      </c>
      <c r="R393" s="17">
        <f t="shared" si="68"/>
        <v>0.49030711971510449</v>
      </c>
      <c r="S393" s="17">
        <f>'02_지표정의'!$C$22*P393+'02_지표정의'!$C$23*Q393+'02_지표정의'!$C$24*R393</f>
        <v>0.54877547877993349</v>
      </c>
      <c r="T393" s="5">
        <f t="shared" si="69"/>
        <v>0</v>
      </c>
      <c r="U393" s="5" t="str">
        <f t="shared" si="70"/>
        <v>특허</v>
      </c>
      <c r="V393" s="18">
        <f t="shared" si="71"/>
        <v>200</v>
      </c>
      <c r="W393" s="5">
        <f t="shared" si="72"/>
        <v>164</v>
      </c>
      <c r="X393" s="5">
        <f t="shared" si="73"/>
        <v>0</v>
      </c>
      <c r="Y393" s="5">
        <f t="shared" si="74"/>
        <v>174</v>
      </c>
      <c r="Z393" s="19">
        <f t="shared" si="75"/>
        <v>43</v>
      </c>
      <c r="AA393" s="20">
        <f>ABS(S393-SUMPRODUCT(('05B_가정검정'!$A$5:$A$19=B393)*('05B_가정검정'!$B$5:$B$19=C393)*'05B_가정검정'!$E$5:$E$19))</f>
        <v>1.748305707821185E-2</v>
      </c>
      <c r="AB393" s="20">
        <f t="shared" si="76"/>
        <v>2.1226446401347188E-2</v>
      </c>
    </row>
    <row r="394" spans="1:28">
      <c r="A394" s="15" t="s">
        <v>149</v>
      </c>
      <c r="B394" s="15" t="s">
        <v>116</v>
      </c>
      <c r="C394" s="15" t="s">
        <v>119</v>
      </c>
      <c r="D394" s="16">
        <v>0.33507853403141402</v>
      </c>
      <c r="E394" s="16">
        <v>0.50746268656716398</v>
      </c>
      <c r="F394" s="16">
        <v>0.24242424242424199</v>
      </c>
      <c r="G394" s="16">
        <v>0.41791044776119401</v>
      </c>
      <c r="H394" s="16">
        <v>0.36599278175929001</v>
      </c>
      <c r="I394" s="16">
        <v>0.25262422487351499</v>
      </c>
      <c r="J394" s="16">
        <v>0.76106771791307304</v>
      </c>
      <c r="K394" s="16">
        <v>0.63096727173175404</v>
      </c>
      <c r="L394" s="16">
        <v>0.86802789860545804</v>
      </c>
      <c r="M394" s="16">
        <v>0.56291390728476798</v>
      </c>
      <c r="N394" s="16">
        <v>0.23170731707317099</v>
      </c>
      <c r="O394" s="16">
        <v>1</v>
      </c>
      <c r="P394" s="17">
        <f t="shared" si="66"/>
        <v>0.35358215290280315</v>
      </c>
      <c r="Q394" s="17">
        <f t="shared" si="67"/>
        <v>0.75335429608342841</v>
      </c>
      <c r="R394" s="17">
        <f t="shared" si="68"/>
        <v>0.59820707478597968</v>
      </c>
      <c r="S394" s="17">
        <f>'02_지표정의'!$C$22*P394+'02_지표정의'!$C$23*Q394+'02_지표정의'!$C$24*R394</f>
        <v>0.6190983399931963</v>
      </c>
      <c r="T394" s="5">
        <f t="shared" si="69"/>
        <v>0</v>
      </c>
      <c r="U394" s="5" t="str">
        <f t="shared" si="70"/>
        <v>특허</v>
      </c>
      <c r="V394" s="18">
        <f t="shared" si="71"/>
        <v>485</v>
      </c>
      <c r="W394" s="5">
        <f t="shared" si="72"/>
        <v>0</v>
      </c>
      <c r="X394" s="5">
        <f t="shared" si="73"/>
        <v>214</v>
      </c>
      <c r="Y394" s="5">
        <f t="shared" si="74"/>
        <v>365</v>
      </c>
      <c r="Z394" s="19">
        <f t="shared" si="75"/>
        <v>63</v>
      </c>
      <c r="AA394" s="20">
        <f>ABS(S394-SUMPRODUCT(('05B_가정검정'!$A$5:$A$19=B394)*('05B_가정검정'!$B$5:$B$19=C394)*'05B_가정검정'!$E$5:$E$19))</f>
        <v>6.6074823250413695E-2</v>
      </c>
      <c r="AB394" s="20">
        <f t="shared" si="76"/>
        <v>6.2645856317016246E-2</v>
      </c>
    </row>
    <row r="395" spans="1:28">
      <c r="A395" s="15" t="s">
        <v>149</v>
      </c>
      <c r="B395" s="15" t="s">
        <v>120</v>
      </c>
      <c r="C395" s="15" t="s">
        <v>117</v>
      </c>
      <c r="D395" s="16">
        <v>0.26831785345717202</v>
      </c>
      <c r="E395" s="16">
        <v>0.36893203883495201</v>
      </c>
      <c r="F395" s="16">
        <v>0.13725490196078399</v>
      </c>
      <c r="G395" s="16">
        <v>0.27184466019417503</v>
      </c>
      <c r="H395" s="16">
        <v>0.36351338514700199</v>
      </c>
      <c r="I395" s="16">
        <v>0.209455350893163</v>
      </c>
      <c r="J395" s="16">
        <v>0.72478807256414102</v>
      </c>
      <c r="K395" s="16">
        <v>0.68298435595338702</v>
      </c>
      <c r="L395" s="16">
        <v>0.86344468298121202</v>
      </c>
      <c r="M395" s="16">
        <v>0.65771812080536896</v>
      </c>
      <c r="N395" s="16">
        <v>0.66197183098591605</v>
      </c>
      <c r="O395" s="16">
        <v>1</v>
      </c>
      <c r="P395" s="17">
        <f t="shared" si="66"/>
        <v>0.269886365081208</v>
      </c>
      <c r="Q395" s="17">
        <f t="shared" si="67"/>
        <v>0.75707237049957998</v>
      </c>
      <c r="R395" s="17">
        <f t="shared" si="68"/>
        <v>0.77322998393042841</v>
      </c>
      <c r="S395" s="17">
        <f>'02_지표정의'!$C$22*P395+'02_지표정의'!$C$23*Q395+'02_지표정의'!$C$24*R395</f>
        <v>0.66529033411670246</v>
      </c>
      <c r="T395" s="5">
        <f t="shared" si="69"/>
        <v>0</v>
      </c>
      <c r="U395" s="5" t="str">
        <f t="shared" si="70"/>
        <v>특허</v>
      </c>
      <c r="V395" s="18">
        <f t="shared" si="71"/>
        <v>694</v>
      </c>
      <c r="W395" s="5">
        <f t="shared" si="72"/>
        <v>504</v>
      </c>
      <c r="X395" s="5">
        <f t="shared" si="73"/>
        <v>374</v>
      </c>
      <c r="Y395" s="5">
        <f t="shared" si="74"/>
        <v>0</v>
      </c>
      <c r="Z395" s="19">
        <f t="shared" si="75"/>
        <v>57</v>
      </c>
      <c r="AA395" s="20">
        <f>ABS(S395-SUMPRODUCT(('05B_가정검정'!$A$5:$A$19=B395)*('05B_가정검정'!$B$5:$B$19=C395)*'05B_가정검정'!$E$5:$E$19))</f>
        <v>3.7241374059581389E-2</v>
      </c>
      <c r="AB395" s="20">
        <f t="shared" si="76"/>
        <v>3.3987630691945325E-2</v>
      </c>
    </row>
    <row r="396" spans="1:28">
      <c r="A396" s="15" t="s">
        <v>149</v>
      </c>
      <c r="B396" s="15" t="s">
        <v>120</v>
      </c>
      <c r="C396" s="15" t="s">
        <v>118</v>
      </c>
      <c r="D396" s="16">
        <v>0.23902439024390201</v>
      </c>
      <c r="E396" s="16">
        <v>0.19269102990033199</v>
      </c>
      <c r="F396" s="16">
        <v>7.3578595317725801E-2</v>
      </c>
      <c r="G396" s="16">
        <v>0.159468438538206</v>
      </c>
      <c r="H396" s="16">
        <v>0.252385841689579</v>
      </c>
      <c r="I396" s="16">
        <v>0.32047595864673101</v>
      </c>
      <c r="J396" s="16">
        <v>0.71040393218701003</v>
      </c>
      <c r="K396" s="16">
        <v>0.68135966413336502</v>
      </c>
      <c r="L396" s="16">
        <v>0.83584287893838105</v>
      </c>
      <c r="M396" s="16">
        <v>0.47867298578199102</v>
      </c>
      <c r="N396" s="16">
        <v>0.39830508474576298</v>
      </c>
      <c r="O396" s="16">
        <v>1</v>
      </c>
      <c r="P396" s="17">
        <f t="shared" si="66"/>
        <v>0.20627070905607933</v>
      </c>
      <c r="Q396" s="17">
        <f t="shared" si="67"/>
        <v>0.74253549175291866</v>
      </c>
      <c r="R396" s="17">
        <f t="shared" si="68"/>
        <v>0.62565935684258467</v>
      </c>
      <c r="S396" s="17">
        <f>'02_지표정의'!$C$22*P396+'02_지표정의'!$C$23*Q396+'02_지표정의'!$C$24*R396</f>
        <v>0.5943758879949339</v>
      </c>
      <c r="T396" s="5">
        <f t="shared" si="69"/>
        <v>0</v>
      </c>
      <c r="U396" s="5" t="str">
        <f t="shared" si="70"/>
        <v>특허</v>
      </c>
      <c r="V396" s="18">
        <f t="shared" si="71"/>
        <v>362</v>
      </c>
      <c r="W396" s="5">
        <f t="shared" si="72"/>
        <v>292</v>
      </c>
      <c r="X396" s="5">
        <f t="shared" si="73"/>
        <v>0</v>
      </c>
      <c r="Y396" s="5">
        <f t="shared" si="74"/>
        <v>278</v>
      </c>
      <c r="Z396" s="19">
        <f t="shared" si="75"/>
        <v>35</v>
      </c>
      <c r="AA396" s="20">
        <f>ABS(S396-SUMPRODUCT(('05B_가정검정'!$A$5:$A$19=B396)*('05B_가정검정'!$B$5:$B$19=C396)*'05B_가정검정'!$E$5:$E$19))</f>
        <v>3.5470394133059191E-3</v>
      </c>
      <c r="AB396" s="20">
        <f t="shared" si="76"/>
        <v>1.9485112032823104E-2</v>
      </c>
    </row>
    <row r="397" spans="1:28">
      <c r="A397" s="15" t="s">
        <v>149</v>
      </c>
      <c r="B397" s="15" t="s">
        <v>120</v>
      </c>
      <c r="C397" s="15" t="s">
        <v>119</v>
      </c>
      <c r="D397" s="16">
        <v>0.305623471882641</v>
      </c>
      <c r="E397" s="16">
        <v>0.42285714285714299</v>
      </c>
      <c r="F397" s="16">
        <v>0.184971098265896</v>
      </c>
      <c r="G397" s="16">
        <v>0.32</v>
      </c>
      <c r="H397" s="16">
        <v>0.30895396354752003</v>
      </c>
      <c r="I397" s="16">
        <v>0.245271626588101</v>
      </c>
      <c r="J397" s="16">
        <v>0.73094987972818704</v>
      </c>
      <c r="K397" s="16">
        <v>0.61837953077889996</v>
      </c>
      <c r="L397" s="16">
        <v>0.846964963219904</v>
      </c>
      <c r="M397" s="16">
        <v>0.76576576576576605</v>
      </c>
      <c r="N397" s="16">
        <v>0.79032258064516103</v>
      </c>
      <c r="O397" s="16">
        <v>1</v>
      </c>
      <c r="P397" s="17">
        <f t="shared" si="66"/>
        <v>0.2979462171902168</v>
      </c>
      <c r="Q397" s="17">
        <f t="shared" si="67"/>
        <v>0.7320981245756637</v>
      </c>
      <c r="R397" s="17">
        <f t="shared" si="68"/>
        <v>0.85202944880364229</v>
      </c>
      <c r="S397" s="17">
        <f>'02_지표정의'!$C$22*P397+'02_지표정의'!$C$23*Q397+'02_지표정의'!$C$24*R397</f>
        <v>0.68724370657836675</v>
      </c>
      <c r="T397" s="5">
        <f t="shared" si="69"/>
        <v>0</v>
      </c>
      <c r="U397" s="5" t="str">
        <f t="shared" si="70"/>
        <v>특허</v>
      </c>
      <c r="V397" s="18">
        <f t="shared" si="71"/>
        <v>776</v>
      </c>
      <c r="W397" s="5">
        <f t="shared" si="72"/>
        <v>0</v>
      </c>
      <c r="X397" s="5">
        <f t="shared" si="73"/>
        <v>452</v>
      </c>
      <c r="Y397" s="5">
        <f t="shared" si="74"/>
        <v>560</v>
      </c>
      <c r="Z397" s="19">
        <f t="shared" si="75"/>
        <v>48</v>
      </c>
      <c r="AA397" s="20">
        <f>ABS(S397-SUMPRODUCT(('05B_가정검정'!$A$5:$A$19=B397)*('05B_가정검정'!$B$5:$B$19=C397)*'05B_가정검정'!$E$5:$E$19))</f>
        <v>2.3566390096980472E-2</v>
      </c>
      <c r="AB397" s="20">
        <f t="shared" si="76"/>
        <v>2.8820699067551137E-2</v>
      </c>
    </row>
    <row r="398" spans="1:28">
      <c r="A398" s="15" t="s">
        <v>149</v>
      </c>
      <c r="B398" s="15" t="s">
        <v>121</v>
      </c>
      <c r="C398" s="15" t="s">
        <v>117</v>
      </c>
      <c r="D398" s="16">
        <v>0.24331550802138999</v>
      </c>
      <c r="E398" s="16">
        <v>0.35714285714285698</v>
      </c>
      <c r="F398" s="16">
        <v>0.132530120481928</v>
      </c>
      <c r="G398" s="16">
        <v>0.273809523809524</v>
      </c>
      <c r="H398" s="16">
        <v>0.30799501154341102</v>
      </c>
      <c r="I398" s="16">
        <v>0.23914391191701001</v>
      </c>
      <c r="J398" s="16">
        <v>0.75492338942920201</v>
      </c>
      <c r="K398" s="16">
        <v>0.753735695959876</v>
      </c>
      <c r="L398" s="16">
        <v>0.87834730705324204</v>
      </c>
      <c r="M398" s="16">
        <v>0.65100671140939603</v>
      </c>
      <c r="N398" s="16">
        <v>0.77464788732394396</v>
      </c>
      <c r="O398" s="16">
        <v>1</v>
      </c>
      <c r="P398" s="17">
        <f t="shared" si="66"/>
        <v>0.2589894888193533</v>
      </c>
      <c r="Q398" s="17">
        <f t="shared" si="67"/>
        <v>0.79566879748077335</v>
      </c>
      <c r="R398" s="17">
        <f t="shared" si="68"/>
        <v>0.80855153291111337</v>
      </c>
      <c r="S398" s="17">
        <f>'02_지표정의'!$C$22*P398+'02_지표정의'!$C$23*Q398+'02_지표정의'!$C$24*R398</f>
        <v>0.69284189314910838</v>
      </c>
      <c r="T398" s="5">
        <f t="shared" si="69"/>
        <v>1</v>
      </c>
      <c r="U398" s="5" t="str">
        <f t="shared" si="70"/>
        <v>특허</v>
      </c>
      <c r="V398" s="18">
        <f t="shared" si="71"/>
        <v>796</v>
      </c>
      <c r="W398" s="5">
        <f t="shared" si="72"/>
        <v>547</v>
      </c>
      <c r="X398" s="5">
        <f t="shared" si="73"/>
        <v>471</v>
      </c>
      <c r="Y398" s="5">
        <f t="shared" si="74"/>
        <v>0</v>
      </c>
      <c r="Z398" s="19">
        <f t="shared" si="75"/>
        <v>13</v>
      </c>
      <c r="AA398" s="20">
        <f>ABS(S398-SUMPRODUCT(('05B_가정검정'!$A$5:$A$19=B398)*('05B_가정검정'!$B$5:$B$19=C398)*'05B_가정검정'!$E$5:$E$19))</f>
        <v>3.6590178232772774E-2</v>
      </c>
      <c r="AB398" s="20">
        <f t="shared" si="76"/>
        <v>-2.4809899923772583E-2</v>
      </c>
    </row>
    <row r="399" spans="1:28">
      <c r="A399" s="15" t="s">
        <v>149</v>
      </c>
      <c r="B399" s="15" t="s">
        <v>121</v>
      </c>
      <c r="C399" s="15" t="s">
        <v>118</v>
      </c>
      <c r="D399" s="16">
        <v>0.25375626043405702</v>
      </c>
      <c r="E399" s="16">
        <v>0.22053231939163501</v>
      </c>
      <c r="F399" s="16">
        <v>9.1954022988505801E-2</v>
      </c>
      <c r="G399" s="16">
        <v>0.16730038022813701</v>
      </c>
      <c r="H399" s="16">
        <v>0.20853408424775</v>
      </c>
      <c r="I399" s="16">
        <v>0.18830779320608099</v>
      </c>
      <c r="J399" s="16">
        <v>0.75235901040739095</v>
      </c>
      <c r="K399" s="16">
        <v>0.75263645839828897</v>
      </c>
      <c r="L399" s="16">
        <v>0.87696863274817105</v>
      </c>
      <c r="M399" s="16">
        <v>0.45971563981042701</v>
      </c>
      <c r="N399" s="16">
        <v>0.46610169491525399</v>
      </c>
      <c r="O399" s="16">
        <v>1</v>
      </c>
      <c r="P399" s="17">
        <f t="shared" si="66"/>
        <v>0.18839747674936094</v>
      </c>
      <c r="Q399" s="17">
        <f t="shared" si="67"/>
        <v>0.79398803385128369</v>
      </c>
      <c r="R399" s="17">
        <f t="shared" si="68"/>
        <v>0.64193911157522698</v>
      </c>
      <c r="S399" s="17">
        <f>'02_지표정의'!$C$22*P399+'02_지표정의'!$C$23*Q399+'02_지표정의'!$C$24*R399</f>
        <v>0.61965279963427933</v>
      </c>
      <c r="T399" s="5">
        <f t="shared" si="69"/>
        <v>0</v>
      </c>
      <c r="U399" s="5" t="str">
        <f t="shared" si="70"/>
        <v>특허</v>
      </c>
      <c r="V399" s="18">
        <f t="shared" si="71"/>
        <v>487</v>
      </c>
      <c r="W399" s="5">
        <f t="shared" si="72"/>
        <v>393</v>
      </c>
      <c r="X399" s="5">
        <f t="shared" si="73"/>
        <v>0</v>
      </c>
      <c r="Y399" s="5">
        <f t="shared" si="74"/>
        <v>367</v>
      </c>
      <c r="Z399" s="19">
        <f t="shared" si="75"/>
        <v>49</v>
      </c>
      <c r="AA399" s="20">
        <f>ABS(S399-SUMPRODUCT(('05B_가정검정'!$A$5:$A$19=B399)*('05B_가정검정'!$B$5:$B$19=C399)*'05B_가정검정'!$E$5:$E$19))</f>
        <v>2.1073309467310897E-2</v>
      </c>
      <c r="AB399" s="20">
        <f t="shared" si="76"/>
        <v>4.0253725107466054E-2</v>
      </c>
    </row>
    <row r="400" spans="1:28">
      <c r="A400" s="15" t="s">
        <v>149</v>
      </c>
      <c r="B400" s="15" t="s">
        <v>121</v>
      </c>
      <c r="C400" s="15" t="s">
        <v>119</v>
      </c>
      <c r="D400" s="16">
        <v>0.33500837520937998</v>
      </c>
      <c r="E400" s="16">
        <v>0.452554744525547</v>
      </c>
      <c r="F400" s="16">
        <v>0.17777777777777801</v>
      </c>
      <c r="G400" s="16">
        <v>0.33576642335766399</v>
      </c>
      <c r="H400" s="16">
        <v>0.42534865748834799</v>
      </c>
      <c r="I400" s="16">
        <v>0.206261491434023</v>
      </c>
      <c r="J400" s="16">
        <v>0.79766948252779701</v>
      </c>
      <c r="K400" s="16">
        <v>0.76565848034897499</v>
      </c>
      <c r="L400" s="16">
        <v>0.88466439484973203</v>
      </c>
      <c r="M400" s="16">
        <v>0.90654205607476601</v>
      </c>
      <c r="N400" s="16">
        <v>0.91666666666666696</v>
      </c>
      <c r="O400" s="16">
        <v>1</v>
      </c>
      <c r="P400" s="17">
        <f t="shared" si="66"/>
        <v>0.32211957829879001</v>
      </c>
      <c r="Q400" s="17">
        <f t="shared" si="67"/>
        <v>0.81599745257550138</v>
      </c>
      <c r="R400" s="17">
        <f t="shared" si="68"/>
        <v>0.94106957424714432</v>
      </c>
      <c r="S400" s="17">
        <f>'02_지표정의'!$C$22*P400+'02_지표정의'!$C$23*Q400+'02_지표정의'!$C$24*R400</f>
        <v>0.76099712030523414</v>
      </c>
      <c r="T400" s="5">
        <f t="shared" si="69"/>
        <v>0</v>
      </c>
      <c r="U400" s="5" t="str">
        <f t="shared" si="70"/>
        <v>특허</v>
      </c>
      <c r="V400" s="18">
        <f t="shared" si="71"/>
        <v>966</v>
      </c>
      <c r="W400" s="5">
        <f t="shared" si="72"/>
        <v>0</v>
      </c>
      <c r="X400" s="5">
        <f t="shared" si="73"/>
        <v>641</v>
      </c>
      <c r="Y400" s="5">
        <f t="shared" si="74"/>
        <v>641</v>
      </c>
      <c r="Z400" s="19">
        <f t="shared" si="75"/>
        <v>59</v>
      </c>
      <c r="AA400" s="20">
        <f>ABS(S400-SUMPRODUCT(('05B_가정검정'!$A$5:$A$19=B400)*('05B_가정검정'!$B$5:$B$19=C400)*'05B_가정검정'!$E$5:$E$19))</f>
        <v>6.8677277509380463E-2</v>
      </c>
      <c r="AB400" s="20">
        <f t="shared" si="76"/>
        <v>7.2760144885623101E-2</v>
      </c>
    </row>
    <row r="401" spans="1:28">
      <c r="A401" s="15" t="s">
        <v>149</v>
      </c>
      <c r="B401" s="15" t="s">
        <v>122</v>
      </c>
      <c r="C401" s="15" t="s">
        <v>117</v>
      </c>
      <c r="D401" s="16">
        <v>0.26684636118598398</v>
      </c>
      <c r="E401" s="16">
        <v>0.33513513513513499</v>
      </c>
      <c r="F401" s="16">
        <v>9.8360655737704902E-2</v>
      </c>
      <c r="G401" s="16">
        <v>0.28108108108108099</v>
      </c>
      <c r="H401" s="16">
        <v>0.32263843634202399</v>
      </c>
      <c r="I401" s="16">
        <v>0.220108278815419</v>
      </c>
      <c r="J401" s="16">
        <v>0.73007661929243295</v>
      </c>
      <c r="K401" s="16">
        <v>0.68463248293955703</v>
      </c>
      <c r="L401" s="16">
        <v>0.87685842554128202</v>
      </c>
      <c r="M401" s="16">
        <v>0.70285714285714296</v>
      </c>
      <c r="N401" s="16">
        <v>0.65909090909090895</v>
      </c>
      <c r="O401" s="16">
        <v>1</v>
      </c>
      <c r="P401" s="17">
        <f t="shared" si="66"/>
        <v>0.25402832471622466</v>
      </c>
      <c r="Q401" s="17">
        <f t="shared" si="67"/>
        <v>0.76385584259109063</v>
      </c>
      <c r="R401" s="17">
        <f t="shared" si="68"/>
        <v>0.7873160173160173</v>
      </c>
      <c r="S401" s="17">
        <f>'02_지표정의'!$C$22*P401+'02_지표정의'!$C$23*Q401+'02_지표정의'!$C$24*R401</f>
        <v>0.67010140016984177</v>
      </c>
      <c r="T401" s="5">
        <f t="shared" si="69"/>
        <v>0</v>
      </c>
      <c r="U401" s="5" t="str">
        <f t="shared" si="70"/>
        <v>특허</v>
      </c>
      <c r="V401" s="18">
        <f t="shared" si="71"/>
        <v>716</v>
      </c>
      <c r="W401" s="5">
        <f t="shared" si="72"/>
        <v>513</v>
      </c>
      <c r="X401" s="5">
        <f t="shared" si="73"/>
        <v>395</v>
      </c>
      <c r="Y401" s="5">
        <f t="shared" si="74"/>
        <v>0</v>
      </c>
      <c r="Z401" s="19">
        <f t="shared" si="75"/>
        <v>60</v>
      </c>
      <c r="AA401" s="20">
        <f>ABS(S401-SUMPRODUCT(('05B_가정검정'!$A$5:$A$19=B401)*('05B_가정검정'!$B$5:$B$19=C401)*'05B_가정검정'!$E$5:$E$19))</f>
        <v>3.0748445461163287E-2</v>
      </c>
      <c r="AB401" s="20">
        <f t="shared" si="76"/>
        <v>4.721977798019561E-2</v>
      </c>
    </row>
    <row r="402" spans="1:28">
      <c r="A402" s="15" t="s">
        <v>149</v>
      </c>
      <c r="B402" s="15" t="s">
        <v>122</v>
      </c>
      <c r="C402" s="15" t="s">
        <v>118</v>
      </c>
      <c r="D402" s="16">
        <v>0.32377740303541303</v>
      </c>
      <c r="E402" s="16">
        <v>0.307142857142857</v>
      </c>
      <c r="F402" s="16">
        <v>0.12230215827338101</v>
      </c>
      <c r="G402" s="16">
        <v>0.26428571428571401</v>
      </c>
      <c r="H402" s="16">
        <v>0.26457412133378</v>
      </c>
      <c r="I402" s="16">
        <v>0.31383234796658199</v>
      </c>
      <c r="J402" s="16">
        <v>0.72509494395906704</v>
      </c>
      <c r="K402" s="16">
        <v>0.71669959974330999</v>
      </c>
      <c r="L402" s="16">
        <v>0.87337609664348104</v>
      </c>
      <c r="M402" s="16">
        <v>0.49763033175355498</v>
      </c>
      <c r="N402" s="16">
        <v>0.38983050847457601</v>
      </c>
      <c r="O402" s="16">
        <v>1</v>
      </c>
      <c r="P402" s="17">
        <f t="shared" si="66"/>
        <v>0.26598576700628779</v>
      </c>
      <c r="Q402" s="17">
        <f t="shared" si="67"/>
        <v>0.77172354678195276</v>
      </c>
      <c r="R402" s="17">
        <f t="shared" si="68"/>
        <v>0.62915361340937703</v>
      </c>
      <c r="S402" s="17">
        <f>'02_지표정의'!$C$22*P402+'02_지표정의'!$C$23*Q402+'02_지표정의'!$C$24*R402</f>
        <v>0.62067651414641833</v>
      </c>
      <c r="T402" s="5">
        <f t="shared" si="69"/>
        <v>1</v>
      </c>
      <c r="U402" s="5" t="str">
        <f t="shared" si="70"/>
        <v>특허</v>
      </c>
      <c r="V402" s="18">
        <f t="shared" si="71"/>
        <v>491</v>
      </c>
      <c r="W402" s="5">
        <f t="shared" si="72"/>
        <v>396</v>
      </c>
      <c r="X402" s="5">
        <f t="shared" si="73"/>
        <v>0</v>
      </c>
      <c r="Y402" s="5">
        <f t="shared" si="74"/>
        <v>370</v>
      </c>
      <c r="Z402" s="19">
        <f t="shared" si="75"/>
        <v>50</v>
      </c>
      <c r="AA402" s="20">
        <f>ABS(S402-SUMPRODUCT(('05B_가정검정'!$A$5:$A$19=B402)*('05B_가정검정'!$B$5:$B$19=C402)*'05B_가정검정'!$E$5:$E$19))</f>
        <v>3.3754578149260084E-2</v>
      </c>
      <c r="AB402" s="20">
        <f t="shared" si="76"/>
        <v>3.9453237928734564E-2</v>
      </c>
    </row>
    <row r="403" spans="1:28">
      <c r="A403" s="15" t="s">
        <v>149</v>
      </c>
      <c r="B403" s="15" t="s">
        <v>122</v>
      </c>
      <c r="C403" s="15" t="s">
        <v>119</v>
      </c>
      <c r="D403" s="16">
        <v>0.31472081218274101</v>
      </c>
      <c r="E403" s="16">
        <v>0.42857142857142899</v>
      </c>
      <c r="F403" s="16">
        <v>0.144736842105263</v>
      </c>
      <c r="G403" s="16">
        <v>0.32467532467532501</v>
      </c>
      <c r="H403" s="16">
        <v>0.39026490233473998</v>
      </c>
      <c r="I403" s="16">
        <v>0.14482706867988501</v>
      </c>
      <c r="J403" s="16">
        <v>0.72610142988702298</v>
      </c>
      <c r="K403" s="16">
        <v>0.64091604719409601</v>
      </c>
      <c r="L403" s="16">
        <v>0.86621555843315401</v>
      </c>
      <c r="M403" s="16">
        <v>0.50857142857142901</v>
      </c>
      <c r="N403" s="16">
        <v>0.55681818181818199</v>
      </c>
      <c r="O403" s="16">
        <v>1</v>
      </c>
      <c r="P403" s="17">
        <f t="shared" si="66"/>
        <v>0.29129939642489716</v>
      </c>
      <c r="Q403" s="17">
        <f t="shared" si="67"/>
        <v>0.744411011838091</v>
      </c>
      <c r="R403" s="17">
        <f t="shared" si="68"/>
        <v>0.68846320346320367</v>
      </c>
      <c r="S403" s="17">
        <f>'02_지표정의'!$C$22*P403+'02_지표정의'!$C$23*Q403+'02_지표정의'!$C$24*R403</f>
        <v>0.63420695582424169</v>
      </c>
      <c r="T403" s="5">
        <f t="shared" si="69"/>
        <v>0</v>
      </c>
      <c r="U403" s="5" t="str">
        <f t="shared" si="70"/>
        <v>특허</v>
      </c>
      <c r="V403" s="18">
        <f t="shared" si="71"/>
        <v>547</v>
      </c>
      <c r="W403" s="5">
        <f t="shared" si="72"/>
        <v>0</v>
      </c>
      <c r="X403" s="5">
        <f t="shared" si="73"/>
        <v>250</v>
      </c>
      <c r="Y403" s="5">
        <f t="shared" si="74"/>
        <v>412</v>
      </c>
      <c r="Z403" s="19">
        <f t="shared" si="75"/>
        <v>29</v>
      </c>
      <c r="AA403" s="20">
        <f>ABS(S403-SUMPRODUCT(('05B_가정검정'!$A$5:$A$19=B403)*('05B_가정검정'!$B$5:$B$19=C403)*'05B_가정검정'!$E$5:$E$19))</f>
        <v>1.3992320772097111E-3</v>
      </c>
      <c r="AB403" s="20">
        <f t="shared" si="76"/>
        <v>2.8180895093556924E-3</v>
      </c>
    </row>
    <row r="404" spans="1:28">
      <c r="A404" s="15" t="s">
        <v>149</v>
      </c>
      <c r="B404" s="15" t="s">
        <v>123</v>
      </c>
      <c r="C404" s="15" t="s">
        <v>117</v>
      </c>
      <c r="D404" s="16">
        <v>0.25119617224880397</v>
      </c>
      <c r="E404" s="16">
        <v>0.42553191489361702</v>
      </c>
      <c r="F404" s="16">
        <v>0.19354838709677399</v>
      </c>
      <c r="G404" s="16">
        <v>0.36170212765957399</v>
      </c>
      <c r="H404" s="16">
        <v>0.36679214829629903</v>
      </c>
      <c r="I404" s="16">
        <v>0.22170572608744701</v>
      </c>
      <c r="J404" s="16">
        <v>0.73102064908217201</v>
      </c>
      <c r="K404" s="16">
        <v>0.72999980723930202</v>
      </c>
      <c r="L404" s="16">
        <v>0.89967474642813205</v>
      </c>
      <c r="M404" s="16">
        <v>0.65100671140939603</v>
      </c>
      <c r="N404" s="16">
        <v>0.77464788732394396</v>
      </c>
      <c r="O404" s="16">
        <v>1</v>
      </c>
      <c r="P404" s="17">
        <f t="shared" si="66"/>
        <v>0.30341274604708585</v>
      </c>
      <c r="Q404" s="17">
        <f t="shared" si="67"/>
        <v>0.7868984009165354</v>
      </c>
      <c r="R404" s="17">
        <f t="shared" si="68"/>
        <v>0.80855153291111337</v>
      </c>
      <c r="S404" s="17">
        <f>'02_지표정의'!$C$22*P404+'02_지표정의'!$C$23*Q404+'02_지표정의'!$C$24*R404</f>
        <v>0.69777986614074783</v>
      </c>
      <c r="T404" s="5">
        <f t="shared" si="69"/>
        <v>0</v>
      </c>
      <c r="U404" s="5" t="str">
        <f t="shared" si="70"/>
        <v>특허</v>
      </c>
      <c r="V404" s="18">
        <f t="shared" si="71"/>
        <v>818</v>
      </c>
      <c r="W404" s="5">
        <f t="shared" si="72"/>
        <v>554</v>
      </c>
      <c r="X404" s="5">
        <f t="shared" si="73"/>
        <v>493</v>
      </c>
      <c r="Y404" s="5">
        <f t="shared" si="74"/>
        <v>0</v>
      </c>
      <c r="Z404" s="19">
        <f t="shared" si="75"/>
        <v>20</v>
      </c>
      <c r="AA404" s="20">
        <f>ABS(S404-SUMPRODUCT(('05B_가정검정'!$A$5:$A$19=B404)*('05B_가정검정'!$B$5:$B$19=C404)*'05B_가정검정'!$E$5:$E$19))</f>
        <v>1.7143016635475905E-2</v>
      </c>
      <c r="AB404" s="20">
        <f t="shared" si="76"/>
        <v>-1.0205585670495343E-2</v>
      </c>
    </row>
    <row r="405" spans="1:28">
      <c r="A405" s="15" t="s">
        <v>149</v>
      </c>
      <c r="B405" s="15" t="s">
        <v>123</v>
      </c>
      <c r="C405" s="15" t="s">
        <v>118</v>
      </c>
      <c r="D405" s="16">
        <v>0.27656477438136801</v>
      </c>
      <c r="E405" s="16">
        <v>0.28268551236749101</v>
      </c>
      <c r="F405" s="16">
        <v>0.120996441281139</v>
      </c>
      <c r="G405" s="16">
        <v>0.26148409893992902</v>
      </c>
      <c r="H405" s="16">
        <v>0.25538007897180698</v>
      </c>
      <c r="I405" s="16">
        <v>0.262318886222631</v>
      </c>
      <c r="J405" s="16">
        <v>0.70775723226851395</v>
      </c>
      <c r="K405" s="16">
        <v>0.682078769088867</v>
      </c>
      <c r="L405" s="16">
        <v>0.86545941214880195</v>
      </c>
      <c r="M405" s="16">
        <v>0.45971563981042701</v>
      </c>
      <c r="N405" s="16">
        <v>0.46610169491525399</v>
      </c>
      <c r="O405" s="16">
        <v>1</v>
      </c>
      <c r="P405" s="17">
        <f t="shared" si="66"/>
        <v>0.2432382986940608</v>
      </c>
      <c r="Q405" s="17">
        <f t="shared" si="67"/>
        <v>0.75176513783539434</v>
      </c>
      <c r="R405" s="17">
        <f t="shared" si="68"/>
        <v>0.64193911157522698</v>
      </c>
      <c r="S405" s="17">
        <f>'02_지표정의'!$C$22*P405+'02_지표정의'!$C$23*Q405+'02_지표정의'!$C$24*R405</f>
        <v>0.61162066081606903</v>
      </c>
      <c r="T405" s="5">
        <f t="shared" si="69"/>
        <v>0</v>
      </c>
      <c r="U405" s="5" t="str">
        <f t="shared" si="70"/>
        <v>특허</v>
      </c>
      <c r="V405" s="18">
        <f t="shared" si="71"/>
        <v>442</v>
      </c>
      <c r="W405" s="5">
        <f t="shared" si="72"/>
        <v>359</v>
      </c>
      <c r="X405" s="5">
        <f t="shared" si="73"/>
        <v>0</v>
      </c>
      <c r="Y405" s="5">
        <f t="shared" si="74"/>
        <v>338</v>
      </c>
      <c r="Z405" s="19">
        <f t="shared" si="75"/>
        <v>57</v>
      </c>
      <c r="AA405" s="20">
        <f>ABS(S405-SUMPRODUCT(('05B_가정검정'!$A$5:$A$19=B405)*('05B_가정검정'!$B$5:$B$19=C405)*'05B_가정검정'!$E$5:$E$19))</f>
        <v>3.6321833937099313E-2</v>
      </c>
      <c r="AB405" s="20">
        <f t="shared" si="76"/>
        <v>5.174905289157794E-2</v>
      </c>
    </row>
    <row r="406" spans="1:28">
      <c r="A406" s="15" t="s">
        <v>149</v>
      </c>
      <c r="B406" s="15" t="s">
        <v>123</v>
      </c>
      <c r="C406" s="15" t="s">
        <v>119</v>
      </c>
      <c r="D406" s="16">
        <v>0.32408759124087599</v>
      </c>
      <c r="E406" s="16">
        <v>0.484076433121019</v>
      </c>
      <c r="F406" s="16">
        <v>0.23225806451612899</v>
      </c>
      <c r="G406" s="16">
        <v>0.35668789808917201</v>
      </c>
      <c r="H406" s="16">
        <v>0.46299672588276503</v>
      </c>
      <c r="I406" s="16">
        <v>0.26811051367092997</v>
      </c>
      <c r="J406" s="16">
        <v>0.73908449066089399</v>
      </c>
      <c r="K406" s="16">
        <v>0.70077910322488901</v>
      </c>
      <c r="L406" s="16">
        <v>0.90471775045142</v>
      </c>
      <c r="M406" s="16">
        <v>0.90654205607476601</v>
      </c>
      <c r="N406" s="16">
        <v>0.91666666666666696</v>
      </c>
      <c r="O406" s="16">
        <v>1</v>
      </c>
      <c r="P406" s="17">
        <f t="shared" si="66"/>
        <v>0.35470287108681514</v>
      </c>
      <c r="Q406" s="17">
        <f t="shared" si="67"/>
        <v>0.78152711477906767</v>
      </c>
      <c r="R406" s="17">
        <f t="shared" si="68"/>
        <v>0.94106957424714432</v>
      </c>
      <c r="S406" s="17">
        <f>'02_지표정의'!$C$22*P406+'02_지표정의'!$C$23*Q406+'02_지표정의'!$C$24*R406</f>
        <v>0.75200212685444401</v>
      </c>
      <c r="T406" s="5">
        <f t="shared" si="69"/>
        <v>1</v>
      </c>
      <c r="U406" s="5" t="str">
        <f t="shared" si="70"/>
        <v>특허</v>
      </c>
      <c r="V406" s="18">
        <f t="shared" si="71"/>
        <v>956</v>
      </c>
      <c r="W406" s="5">
        <f t="shared" si="72"/>
        <v>0</v>
      </c>
      <c r="X406" s="5">
        <f t="shared" si="73"/>
        <v>631</v>
      </c>
      <c r="Y406" s="5">
        <f t="shared" si="74"/>
        <v>632</v>
      </c>
      <c r="Z406" s="19">
        <f t="shared" si="75"/>
        <v>59</v>
      </c>
      <c r="AA406" s="20">
        <f>ABS(S406-SUMPRODUCT(('05B_가정검정'!$A$5:$A$19=B406)*('05B_가정검정'!$B$5:$B$19=C406)*'05B_가정검정'!$E$5:$E$19))</f>
        <v>6.6372329530216656E-2</v>
      </c>
      <c r="AB406" s="20">
        <f t="shared" si="76"/>
        <v>6.9583393809442229E-2</v>
      </c>
    </row>
    <row r="407" spans="1:28">
      <c r="A407" s="15" t="s">
        <v>150</v>
      </c>
      <c r="B407" s="15" t="s">
        <v>116</v>
      </c>
      <c r="C407" s="15" t="s">
        <v>117</v>
      </c>
      <c r="D407" s="16">
        <v>0.27166276346604201</v>
      </c>
      <c r="E407" s="16">
        <v>0.35074626865671599</v>
      </c>
      <c r="F407" s="16">
        <v>0.105263157894737</v>
      </c>
      <c r="G407" s="16">
        <v>0.201492537313433</v>
      </c>
      <c r="H407" s="16">
        <v>0.26305551737864902</v>
      </c>
      <c r="I407" s="16">
        <v>0.340687150722154</v>
      </c>
      <c r="J407" s="16">
        <v>0.66385242697880598</v>
      </c>
      <c r="K407" s="16">
        <v>0.68552487119871097</v>
      </c>
      <c r="L407" s="16">
        <v>0.81694264922801696</v>
      </c>
      <c r="M407" s="16">
        <v>0.579617834394904</v>
      </c>
      <c r="N407" s="16">
        <v>4.8780487804878099E-2</v>
      </c>
      <c r="O407" s="16">
        <v>1</v>
      </c>
      <c r="P407" s="17">
        <f t="shared" si="66"/>
        <v>0.25548456590528851</v>
      </c>
      <c r="Q407" s="17">
        <f t="shared" si="67"/>
        <v>0.72210664913517808</v>
      </c>
      <c r="R407" s="17">
        <f t="shared" si="68"/>
        <v>0.5427994407332607</v>
      </c>
      <c r="S407" s="17">
        <f>'02_지표정의'!$C$22*P407+'02_지표정의'!$C$23*Q407+'02_지표정의'!$C$24*R407</f>
        <v>0.56602470954852913</v>
      </c>
      <c r="T407" s="5">
        <f t="shared" si="69"/>
        <v>0</v>
      </c>
      <c r="U407" s="5" t="str">
        <f t="shared" si="70"/>
        <v>특허</v>
      </c>
      <c r="V407" s="18">
        <f t="shared" si="71"/>
        <v>270</v>
      </c>
      <c r="W407" s="5">
        <f t="shared" si="72"/>
        <v>219</v>
      </c>
      <c r="X407" s="5">
        <f t="shared" si="73"/>
        <v>104</v>
      </c>
      <c r="Y407" s="5">
        <f t="shared" si="74"/>
        <v>0</v>
      </c>
      <c r="Z407" s="19">
        <f t="shared" si="75"/>
        <v>44</v>
      </c>
      <c r="AA407" s="20">
        <f>ABS(S407-SUMPRODUCT(('05B_가정검정'!$A$5:$A$19=B407)*('05B_가정검정'!$B$5:$B$19=C407)*'05B_가정검정'!$E$5:$E$19))</f>
        <v>8.6210045635618515E-3</v>
      </c>
      <c r="AB407" s="20">
        <f t="shared" si="76"/>
        <v>1.3473544135905735E-2</v>
      </c>
    </row>
    <row r="408" spans="1:28">
      <c r="A408" s="15" t="s">
        <v>150</v>
      </c>
      <c r="B408" s="15" t="s">
        <v>116</v>
      </c>
      <c r="C408" s="15" t="s">
        <v>118</v>
      </c>
      <c r="D408" s="16">
        <v>0.34836702954898902</v>
      </c>
      <c r="E408" s="16">
        <v>0.30721003134796199</v>
      </c>
      <c r="F408" s="16">
        <v>0.10094637223974801</v>
      </c>
      <c r="G408" s="16">
        <v>0.23824451410658301</v>
      </c>
      <c r="H408" s="16">
        <v>0.220182534413256</v>
      </c>
      <c r="I408" s="16">
        <v>0.33916323542905102</v>
      </c>
      <c r="J408" s="16">
        <v>0.70679810596663495</v>
      </c>
      <c r="K408" s="16">
        <v>0.69871083739460504</v>
      </c>
      <c r="L408" s="16">
        <v>0.83269024080780496</v>
      </c>
      <c r="M408" s="16">
        <v>0.47058823529411797</v>
      </c>
      <c r="N408" s="16">
        <v>2.4390243902439102E-2</v>
      </c>
      <c r="O408" s="16">
        <v>1</v>
      </c>
      <c r="P408" s="17">
        <f t="shared" si="66"/>
        <v>0.25901895284759818</v>
      </c>
      <c r="Q408" s="17">
        <f t="shared" si="67"/>
        <v>0.74606639472301506</v>
      </c>
      <c r="R408" s="17">
        <f t="shared" si="68"/>
        <v>0.49832615973218569</v>
      </c>
      <c r="S408" s="17">
        <f>'02_지표정의'!$C$22*P408+'02_지표정의'!$C$23*Q408+'02_지표정의'!$C$24*R408</f>
        <v>0.56194782410114141</v>
      </c>
      <c r="T408" s="5">
        <f t="shared" si="69"/>
        <v>0</v>
      </c>
      <c r="U408" s="5" t="str">
        <f t="shared" si="70"/>
        <v>특허</v>
      </c>
      <c r="V408" s="18">
        <f t="shared" si="71"/>
        <v>257</v>
      </c>
      <c r="W408" s="5">
        <f t="shared" si="72"/>
        <v>211</v>
      </c>
      <c r="X408" s="5">
        <f t="shared" si="73"/>
        <v>0</v>
      </c>
      <c r="Y408" s="5">
        <f t="shared" si="74"/>
        <v>209</v>
      </c>
      <c r="Z408" s="19">
        <f t="shared" si="75"/>
        <v>53</v>
      </c>
      <c r="AA408" s="20">
        <f>ABS(S408-SUMPRODUCT(('05B_가정검정'!$A$5:$A$19=B408)*('05B_가정검정'!$B$5:$B$19=C408)*'05B_가정검정'!$E$5:$E$19))</f>
        <v>3.0655402399419773E-2</v>
      </c>
      <c r="AB408" s="20">
        <f t="shared" si="76"/>
        <v>3.4398791722555111E-2</v>
      </c>
    </row>
    <row r="409" spans="1:28">
      <c r="A409" s="15" t="s">
        <v>150</v>
      </c>
      <c r="B409" s="15" t="s">
        <v>116</v>
      </c>
      <c r="C409" s="15" t="s">
        <v>119</v>
      </c>
      <c r="D409" s="16">
        <v>0.33821571238348902</v>
      </c>
      <c r="E409" s="16">
        <v>0.42361111111111099</v>
      </c>
      <c r="F409" s="16">
        <v>0.17482517482517501</v>
      </c>
      <c r="G409" s="16">
        <v>0.29166666666666702</v>
      </c>
      <c r="H409" s="16">
        <v>0.26806377242103102</v>
      </c>
      <c r="I409" s="16">
        <v>0.50030090420919004</v>
      </c>
      <c r="J409" s="16">
        <v>0.70190861272884697</v>
      </c>
      <c r="K409" s="16">
        <v>0.659391695821547</v>
      </c>
      <c r="L409" s="16">
        <v>0.81378961242039904</v>
      </c>
      <c r="M409" s="16">
        <v>0.45812807881773399</v>
      </c>
      <c r="N409" s="16">
        <v>0</v>
      </c>
      <c r="O409" s="16">
        <v>1</v>
      </c>
      <c r="P409" s="17">
        <f t="shared" si="66"/>
        <v>0.33278055693611047</v>
      </c>
      <c r="Q409" s="17">
        <f t="shared" si="67"/>
        <v>0.72502997365693111</v>
      </c>
      <c r="R409" s="17">
        <f t="shared" si="68"/>
        <v>0.48604269293924468</v>
      </c>
      <c r="S409" s="17">
        <f>'02_지표정의'!$C$22*P409+'02_지표정의'!$C$23*Q409+'02_지표정의'!$C$24*R409</f>
        <v>0.56293454206157678</v>
      </c>
      <c r="T409" s="5">
        <f t="shared" si="69"/>
        <v>0</v>
      </c>
      <c r="U409" s="5" t="str">
        <f t="shared" si="70"/>
        <v>특허</v>
      </c>
      <c r="V409" s="18">
        <f t="shared" si="71"/>
        <v>260</v>
      </c>
      <c r="W409" s="5">
        <f t="shared" si="72"/>
        <v>0</v>
      </c>
      <c r="X409" s="5">
        <f t="shared" si="73"/>
        <v>96</v>
      </c>
      <c r="Y409" s="5">
        <f t="shared" si="74"/>
        <v>212</v>
      </c>
      <c r="Z409" s="19">
        <f t="shared" si="75"/>
        <v>39</v>
      </c>
      <c r="AA409" s="20">
        <f>ABS(S409-SUMPRODUCT(('05B_가정검정'!$A$5:$A$19=B409)*('05B_가정검정'!$B$5:$B$19=C409)*'05B_가정검정'!$E$5:$E$19))</f>
        <v>9.9110253187941755E-3</v>
      </c>
      <c r="AB409" s="20">
        <f t="shared" si="76"/>
        <v>6.4820583853967273E-3</v>
      </c>
    </row>
    <row r="410" spans="1:28">
      <c r="A410" s="15" t="s">
        <v>150</v>
      </c>
      <c r="B410" s="15" t="s">
        <v>120</v>
      </c>
      <c r="C410" s="15" t="s">
        <v>117</v>
      </c>
      <c r="D410" s="16">
        <v>0.25945945945945997</v>
      </c>
      <c r="E410" s="16">
        <v>0.314285714285714</v>
      </c>
      <c r="F410" s="16">
        <v>8.6206896551724102E-2</v>
      </c>
      <c r="G410" s="16">
        <v>0.16571428571428601</v>
      </c>
      <c r="H410" s="16">
        <v>0.35613013056284099</v>
      </c>
      <c r="I410" s="16">
        <v>0.32965263020692298</v>
      </c>
      <c r="J410" s="16">
        <v>0.70533905960896004</v>
      </c>
      <c r="K410" s="16">
        <v>0.69211453391017896</v>
      </c>
      <c r="L410" s="16">
        <v>0.88861817471844695</v>
      </c>
      <c r="M410" s="16">
        <v>0.57324840764331197</v>
      </c>
      <c r="N410" s="16">
        <v>0.40476190476190499</v>
      </c>
      <c r="O410" s="16">
        <v>1</v>
      </c>
      <c r="P410" s="17">
        <f t="shared" si="66"/>
        <v>0.25190818613015803</v>
      </c>
      <c r="Q410" s="17">
        <f t="shared" si="67"/>
        <v>0.76202392274586206</v>
      </c>
      <c r="R410" s="17">
        <f t="shared" si="68"/>
        <v>0.65933677080173902</v>
      </c>
      <c r="S410" s="17">
        <f>'02_지표정의'!$C$22*P410+'02_지표정의'!$C$23*Q410+'02_지표정의'!$C$24*R410</f>
        <v>0.62406027224227822</v>
      </c>
      <c r="T410" s="5">
        <f t="shared" si="69"/>
        <v>0</v>
      </c>
      <c r="U410" s="5" t="str">
        <f t="shared" si="70"/>
        <v>특허</v>
      </c>
      <c r="V410" s="18">
        <f t="shared" si="71"/>
        <v>507</v>
      </c>
      <c r="W410" s="5">
        <f t="shared" si="72"/>
        <v>409</v>
      </c>
      <c r="X410" s="5">
        <f t="shared" si="73"/>
        <v>222</v>
      </c>
      <c r="Y410" s="5">
        <f t="shared" si="74"/>
        <v>0</v>
      </c>
      <c r="Z410" s="19">
        <f t="shared" si="75"/>
        <v>29</v>
      </c>
      <c r="AA410" s="20">
        <f>ABS(S410-SUMPRODUCT(('05B_가정검정'!$A$5:$A$19=B410)*('05B_가정검정'!$B$5:$B$19=C410)*'05B_가정검정'!$E$5:$E$19))</f>
        <v>3.9886878148428506E-3</v>
      </c>
      <c r="AB410" s="20">
        <f t="shared" si="76"/>
        <v>-7.2424311824789145E-3</v>
      </c>
    </row>
    <row r="411" spans="1:28">
      <c r="A411" s="15" t="s">
        <v>150</v>
      </c>
      <c r="B411" s="15" t="s">
        <v>120</v>
      </c>
      <c r="C411" s="15" t="s">
        <v>118</v>
      </c>
      <c r="D411" s="16">
        <v>0.27808676307007801</v>
      </c>
      <c r="E411" s="16">
        <v>0.28927680798005001</v>
      </c>
      <c r="F411" s="16">
        <v>0.10025062656641601</v>
      </c>
      <c r="G411" s="16">
        <v>0.219451371571072</v>
      </c>
      <c r="H411" s="16">
        <v>0.275521260621574</v>
      </c>
      <c r="I411" s="16">
        <v>0.32586231154404</v>
      </c>
      <c r="J411" s="16">
        <v>0.71555850600160797</v>
      </c>
      <c r="K411" s="16">
        <v>0.68273814042709502</v>
      </c>
      <c r="L411" s="16">
        <v>0.86191680572773599</v>
      </c>
      <c r="M411" s="16">
        <v>0.58371040723981904</v>
      </c>
      <c r="N411" s="16">
        <v>0.53658536585365901</v>
      </c>
      <c r="O411" s="16">
        <v>1</v>
      </c>
      <c r="P411" s="17">
        <f t="shared" si="66"/>
        <v>0.24807485689220499</v>
      </c>
      <c r="Q411" s="17">
        <f t="shared" si="67"/>
        <v>0.75340448405214622</v>
      </c>
      <c r="R411" s="17">
        <f t="shared" si="68"/>
        <v>0.70676525769782605</v>
      </c>
      <c r="S411" s="17">
        <f>'02_지표정의'!$C$22*P411+'02_지표정의'!$C$23*Q411+'02_지표정의'!$C$24*R411</f>
        <v>0.63601482939614595</v>
      </c>
      <c r="T411" s="5">
        <f t="shared" si="69"/>
        <v>0</v>
      </c>
      <c r="U411" s="5" t="str">
        <f t="shared" si="70"/>
        <v>특허</v>
      </c>
      <c r="V411" s="18">
        <f t="shared" si="71"/>
        <v>565</v>
      </c>
      <c r="W411" s="5">
        <f t="shared" si="72"/>
        <v>440</v>
      </c>
      <c r="X411" s="5">
        <f t="shared" si="73"/>
        <v>0</v>
      </c>
      <c r="Y411" s="5">
        <f t="shared" si="74"/>
        <v>427</v>
      </c>
      <c r="Z411" s="19">
        <f t="shared" si="75"/>
        <v>60</v>
      </c>
      <c r="AA411" s="20">
        <f>ABS(S411-SUMPRODUCT(('05B_가정검정'!$A$5:$A$19=B411)*('05B_가정검정'!$B$5:$B$19=C411)*'05B_가정검정'!$E$5:$E$19))</f>
        <v>4.5185980814517968E-2</v>
      </c>
      <c r="AB411" s="20">
        <f t="shared" si="76"/>
        <v>6.1124053434035153E-2</v>
      </c>
    </row>
    <row r="412" spans="1:28">
      <c r="A412" s="15" t="s">
        <v>150</v>
      </c>
      <c r="B412" s="15" t="s">
        <v>120</v>
      </c>
      <c r="C412" s="15" t="s">
        <v>119</v>
      </c>
      <c r="D412" s="16">
        <v>0.31777557100297898</v>
      </c>
      <c r="E412" s="16">
        <v>0.50270270270270301</v>
      </c>
      <c r="F412" s="16">
        <v>0.201086956521739</v>
      </c>
      <c r="G412" s="16">
        <v>0.31351351351351398</v>
      </c>
      <c r="H412" s="16">
        <v>0.401933826619985</v>
      </c>
      <c r="I412" s="16">
        <v>0.525095132160047</v>
      </c>
      <c r="J412" s="16">
        <v>0.72971620223601596</v>
      </c>
      <c r="K412" s="16">
        <v>0.70763493486902296</v>
      </c>
      <c r="L412" s="16">
        <v>0.87337934315830301</v>
      </c>
      <c r="M412" s="16">
        <v>0.61576354679803003</v>
      </c>
      <c r="N412" s="16">
        <v>0.57894736842105299</v>
      </c>
      <c r="O412" s="16">
        <v>1</v>
      </c>
      <c r="P412" s="17">
        <f t="shared" si="66"/>
        <v>0.37701795042016117</v>
      </c>
      <c r="Q412" s="17">
        <f t="shared" si="67"/>
        <v>0.77024349342111398</v>
      </c>
      <c r="R412" s="17">
        <f t="shared" si="68"/>
        <v>0.73157030507302767</v>
      </c>
      <c r="S412" s="17">
        <f>'02_지표정의'!$C$22*P412+'02_지표정의'!$C$23*Q412+'02_지표정의'!$C$24*R412</f>
        <v>0.67806276889909323</v>
      </c>
      <c r="T412" s="5">
        <f t="shared" si="69"/>
        <v>0</v>
      </c>
      <c r="U412" s="5" t="str">
        <f t="shared" si="70"/>
        <v>특허</v>
      </c>
      <c r="V412" s="18">
        <f t="shared" si="71"/>
        <v>749</v>
      </c>
      <c r="W412" s="5">
        <f t="shared" si="72"/>
        <v>0</v>
      </c>
      <c r="X412" s="5">
        <f t="shared" si="73"/>
        <v>427</v>
      </c>
      <c r="Y412" s="5">
        <f t="shared" si="74"/>
        <v>543</v>
      </c>
      <c r="Z412" s="19">
        <f t="shared" si="75"/>
        <v>44</v>
      </c>
      <c r="AA412" s="20">
        <f>ABS(S412-SUMPRODUCT(('05B_가정검정'!$A$5:$A$19=B412)*('05B_가정검정'!$B$5:$B$19=C412)*'05B_가정검정'!$E$5:$E$19))</f>
        <v>1.4385452417706945E-2</v>
      </c>
      <c r="AB412" s="20">
        <f t="shared" si="76"/>
        <v>1.963976138827761E-2</v>
      </c>
    </row>
    <row r="413" spans="1:28">
      <c r="A413" s="15" t="s">
        <v>150</v>
      </c>
      <c r="B413" s="15" t="s">
        <v>121</v>
      </c>
      <c r="C413" s="15" t="s">
        <v>117</v>
      </c>
      <c r="D413" s="16">
        <v>0.26589595375722502</v>
      </c>
      <c r="E413" s="16">
        <v>0.32452830188679199</v>
      </c>
      <c r="F413" s="16">
        <v>9.1254752851711002E-2</v>
      </c>
      <c r="G413" s="16">
        <v>0.211320754716981</v>
      </c>
      <c r="H413" s="16">
        <v>0.28145797706796399</v>
      </c>
      <c r="I413" s="16">
        <v>0.30780824219682701</v>
      </c>
      <c r="J413" s="16">
        <v>0.75480694658826497</v>
      </c>
      <c r="K413" s="16">
        <v>0.73145508807530102</v>
      </c>
      <c r="L413" s="16">
        <v>0.86811660343896901</v>
      </c>
      <c r="M413" s="16">
        <v>0.61783439490445902</v>
      </c>
      <c r="N413" s="16">
        <v>0.73333333333333295</v>
      </c>
      <c r="O413" s="16">
        <v>1</v>
      </c>
      <c r="P413" s="17">
        <f t="shared" si="66"/>
        <v>0.24704433041291671</v>
      </c>
      <c r="Q413" s="17">
        <f t="shared" si="67"/>
        <v>0.78479287936751163</v>
      </c>
      <c r="R413" s="17">
        <f t="shared" si="68"/>
        <v>0.78372257607926399</v>
      </c>
      <c r="S413" s="17">
        <f>'02_지표정의'!$C$22*P413+'02_지표정의'!$C$23*Q413+'02_지표정의'!$C$24*R413</f>
        <v>0.67686856342570589</v>
      </c>
      <c r="T413" s="5">
        <f t="shared" si="69"/>
        <v>1</v>
      </c>
      <c r="U413" s="5" t="str">
        <f t="shared" si="70"/>
        <v>특허</v>
      </c>
      <c r="V413" s="18">
        <f t="shared" si="71"/>
        <v>746</v>
      </c>
      <c r="W413" s="5">
        <f t="shared" si="72"/>
        <v>527</v>
      </c>
      <c r="X413" s="5">
        <f t="shared" si="73"/>
        <v>425</v>
      </c>
      <c r="Y413" s="5">
        <f t="shared" si="74"/>
        <v>0</v>
      </c>
      <c r="Z413" s="19">
        <f t="shared" si="75"/>
        <v>6</v>
      </c>
      <c r="AA413" s="20">
        <f>ABS(S413-SUMPRODUCT(('05B_가정검정'!$A$5:$A$19=B413)*('05B_가정검정'!$B$5:$B$19=C413)*'05B_가정검정'!$E$5:$E$19))</f>
        <v>5.2563507956175259E-2</v>
      </c>
      <c r="AB413" s="20">
        <f t="shared" si="76"/>
        <v>-4.0783229647175068E-2</v>
      </c>
    </row>
    <row r="414" spans="1:28">
      <c r="A414" s="15" t="s">
        <v>150</v>
      </c>
      <c r="B414" s="15" t="s">
        <v>121</v>
      </c>
      <c r="C414" s="15" t="s">
        <v>118</v>
      </c>
      <c r="D414" s="16">
        <v>0.28440366972477099</v>
      </c>
      <c r="E414" s="16">
        <v>0.272151898734177</v>
      </c>
      <c r="F414" s="16">
        <v>7.0063694267515894E-2</v>
      </c>
      <c r="G414" s="16">
        <v>0.189873417721519</v>
      </c>
      <c r="H414" s="16">
        <v>0.22715702996215001</v>
      </c>
      <c r="I414" s="16">
        <v>0.28411666349597198</v>
      </c>
      <c r="J414" s="16">
        <v>0.76411047396992404</v>
      </c>
      <c r="K414" s="16">
        <v>0.82185999557183598</v>
      </c>
      <c r="L414" s="16">
        <v>0.92501936204053603</v>
      </c>
      <c r="M414" s="16">
        <v>0.43891402714932098</v>
      </c>
      <c r="N414" s="16">
        <v>0.44715447154471499</v>
      </c>
      <c r="O414" s="16">
        <v>1</v>
      </c>
      <c r="P414" s="17">
        <f t="shared" si="66"/>
        <v>0.22129439565101749</v>
      </c>
      <c r="Q414" s="17">
        <f t="shared" si="67"/>
        <v>0.83699661052743191</v>
      </c>
      <c r="R414" s="17">
        <f t="shared" si="68"/>
        <v>0.62868949956467868</v>
      </c>
      <c r="S414" s="17">
        <f>'02_지표정의'!$C$22*P414+'02_지표정의'!$C$23*Q414+'02_지표정의'!$C$24*R414</f>
        <v>0.64094867871518535</v>
      </c>
      <c r="T414" s="5">
        <f t="shared" si="69"/>
        <v>0</v>
      </c>
      <c r="U414" s="5" t="str">
        <f t="shared" si="70"/>
        <v>특허</v>
      </c>
      <c r="V414" s="18">
        <f t="shared" si="71"/>
        <v>581</v>
      </c>
      <c r="W414" s="5">
        <f t="shared" si="72"/>
        <v>451</v>
      </c>
      <c r="X414" s="5">
        <f t="shared" si="73"/>
        <v>0</v>
      </c>
      <c r="Y414" s="5">
        <f t="shared" si="74"/>
        <v>436</v>
      </c>
      <c r="Z414" s="19">
        <f t="shared" si="75"/>
        <v>62</v>
      </c>
      <c r="AA414" s="20">
        <f>ABS(S414-SUMPRODUCT(('05B_가정검정'!$A$5:$A$19=B414)*('05B_가정검정'!$B$5:$B$19=C414)*'05B_가정검정'!$E$5:$E$19))</f>
        <v>4.2369188548216918E-2</v>
      </c>
      <c r="AB414" s="20">
        <f t="shared" si="76"/>
        <v>6.1549604188372076E-2</v>
      </c>
    </row>
    <row r="415" spans="1:28">
      <c r="A415" s="15" t="s">
        <v>150</v>
      </c>
      <c r="B415" s="15" t="s">
        <v>121</v>
      </c>
      <c r="C415" s="15" t="s">
        <v>119</v>
      </c>
      <c r="D415" s="16">
        <v>0.29396325459317602</v>
      </c>
      <c r="E415" s="16">
        <v>0.38596491228070201</v>
      </c>
      <c r="F415" s="16">
        <v>0.12720848056537101</v>
      </c>
      <c r="G415" s="16">
        <v>0.25964912280701802</v>
      </c>
      <c r="H415" s="16">
        <v>0.289129761909103</v>
      </c>
      <c r="I415" s="16">
        <v>0.44791522055815097</v>
      </c>
      <c r="J415" s="16">
        <v>0.78638091358199402</v>
      </c>
      <c r="K415" s="16">
        <v>0.82376883611785501</v>
      </c>
      <c r="L415" s="16">
        <v>0.930665065615781</v>
      </c>
      <c r="M415" s="16">
        <v>0.47783251231527102</v>
      </c>
      <c r="N415" s="16">
        <v>0.48245614035087703</v>
      </c>
      <c r="O415" s="16">
        <v>1</v>
      </c>
      <c r="P415" s="17">
        <f t="shared" si="66"/>
        <v>0.30063845878558682</v>
      </c>
      <c r="Q415" s="17">
        <f t="shared" si="67"/>
        <v>0.84693827177187675</v>
      </c>
      <c r="R415" s="17">
        <f t="shared" si="68"/>
        <v>0.65342955088871602</v>
      </c>
      <c r="S415" s="17">
        <f>'02_지표정의'!$C$22*P415+'02_지표정의'!$C$23*Q415+'02_지표정의'!$C$24*R415</f>
        <v>0.66995025686551246</v>
      </c>
      <c r="T415" s="5">
        <f t="shared" si="69"/>
        <v>0</v>
      </c>
      <c r="U415" s="5" t="str">
        <f t="shared" si="70"/>
        <v>특허</v>
      </c>
      <c r="V415" s="18">
        <f t="shared" si="71"/>
        <v>715</v>
      </c>
      <c r="W415" s="5">
        <f t="shared" si="72"/>
        <v>0</v>
      </c>
      <c r="X415" s="5">
        <f t="shared" si="73"/>
        <v>394</v>
      </c>
      <c r="Y415" s="5">
        <f t="shared" si="74"/>
        <v>524</v>
      </c>
      <c r="Z415" s="19">
        <f t="shared" si="75"/>
        <v>24</v>
      </c>
      <c r="AA415" s="20">
        <f>ABS(S415-SUMPRODUCT(('05B_가정검정'!$A$5:$A$19=B415)*('05B_가정검정'!$B$5:$B$19=C415)*'05B_가정검정'!$E$5:$E$19))</f>
        <v>2.2369585930341218E-2</v>
      </c>
      <c r="AB415" s="20">
        <f t="shared" si="76"/>
        <v>-1.828671855409858E-2</v>
      </c>
    </row>
    <row r="416" spans="1:28">
      <c r="A416" s="15" t="s">
        <v>150</v>
      </c>
      <c r="B416" s="15" t="s">
        <v>122</v>
      </c>
      <c r="C416" s="15" t="s">
        <v>117</v>
      </c>
      <c r="D416" s="16">
        <v>0.30248306997742702</v>
      </c>
      <c r="E416" s="16">
        <v>0.37547892720306503</v>
      </c>
      <c r="F416" s="16">
        <v>0.123552123552124</v>
      </c>
      <c r="G416" s="16">
        <v>0.229885057471264</v>
      </c>
      <c r="H416" s="16">
        <v>0.32181602246597102</v>
      </c>
      <c r="I416" s="16">
        <v>0.25825790259949299</v>
      </c>
      <c r="J416" s="16">
        <v>0.71792708082440504</v>
      </c>
      <c r="K416" s="16">
        <v>0.67839574125218505</v>
      </c>
      <c r="L416" s="16">
        <v>0.85315841759092503</v>
      </c>
      <c r="M416" s="16">
        <v>0.66878980891719797</v>
      </c>
      <c r="N416" s="16">
        <v>0.57333333333333303</v>
      </c>
      <c r="O416" s="16">
        <v>1</v>
      </c>
      <c r="P416" s="17">
        <f t="shared" si="66"/>
        <v>0.26857885054489067</v>
      </c>
      <c r="Q416" s="17">
        <f t="shared" si="67"/>
        <v>0.74982707988917163</v>
      </c>
      <c r="R416" s="17">
        <f t="shared" si="68"/>
        <v>0.74737438075017693</v>
      </c>
      <c r="S416" s="17">
        <f>'02_지표정의'!$C$22*P416+'02_지표정의'!$C$23*Q416+'02_지표정의'!$C$24*R416</f>
        <v>0.65271898932166739</v>
      </c>
      <c r="T416" s="5">
        <f t="shared" si="69"/>
        <v>0</v>
      </c>
      <c r="U416" s="5" t="str">
        <f t="shared" si="70"/>
        <v>특허</v>
      </c>
      <c r="V416" s="18">
        <f t="shared" si="71"/>
        <v>631</v>
      </c>
      <c r="W416" s="5">
        <f t="shared" si="72"/>
        <v>477</v>
      </c>
      <c r="X416" s="5">
        <f t="shared" si="73"/>
        <v>314</v>
      </c>
      <c r="Y416" s="5">
        <f t="shared" si="74"/>
        <v>0</v>
      </c>
      <c r="Z416" s="19">
        <f t="shared" si="75"/>
        <v>41</v>
      </c>
      <c r="AA416" s="20">
        <f>ABS(S416-SUMPRODUCT(('05B_가정검정'!$A$5:$A$19=B416)*('05B_가정검정'!$B$5:$B$19=C416)*'05B_가정검정'!$E$5:$E$19))</f>
        <v>1.3366034612988908E-2</v>
      </c>
      <c r="AB416" s="20">
        <f t="shared" si="76"/>
        <v>2.9837367132021231E-2</v>
      </c>
    </row>
    <row r="417" spans="1:28">
      <c r="A417" s="15" t="s">
        <v>150</v>
      </c>
      <c r="B417" s="15" t="s">
        <v>122</v>
      </c>
      <c r="C417" s="15" t="s">
        <v>118</v>
      </c>
      <c r="D417" s="16">
        <v>0.31703703703703701</v>
      </c>
      <c r="E417" s="16">
        <v>0.28205128205128199</v>
      </c>
      <c r="F417" s="16">
        <v>0.103225806451613</v>
      </c>
      <c r="G417" s="16">
        <v>0.19871794871794901</v>
      </c>
      <c r="H417" s="16">
        <v>0.25368755989051001</v>
      </c>
      <c r="I417" s="16">
        <v>0.28921872623914502</v>
      </c>
      <c r="J417" s="16">
        <v>0.71280101850907795</v>
      </c>
      <c r="K417" s="16">
        <v>0.67927787463179501</v>
      </c>
      <c r="L417" s="16">
        <v>0.85175332671190795</v>
      </c>
      <c r="M417" s="16">
        <v>0.46606334841628999</v>
      </c>
      <c r="N417" s="16">
        <v>0.35772357723577197</v>
      </c>
      <c r="O417" s="16">
        <v>1</v>
      </c>
      <c r="P417" s="17">
        <f t="shared" si="66"/>
        <v>0.24065639339792266</v>
      </c>
      <c r="Q417" s="17">
        <f t="shared" si="67"/>
        <v>0.74794407328426027</v>
      </c>
      <c r="R417" s="17">
        <f t="shared" si="68"/>
        <v>0.60792897521735401</v>
      </c>
      <c r="S417" s="17">
        <f>'02_지표정의'!$C$22*P417+'02_지표정의'!$C$23*Q417+'02_지표정의'!$C$24*R417</f>
        <v>0.59748125298357557</v>
      </c>
      <c r="T417" s="5">
        <f t="shared" si="69"/>
        <v>1</v>
      </c>
      <c r="U417" s="5" t="str">
        <f t="shared" si="70"/>
        <v>특허</v>
      </c>
      <c r="V417" s="18">
        <f t="shared" si="71"/>
        <v>385</v>
      </c>
      <c r="W417" s="5">
        <f t="shared" si="72"/>
        <v>311</v>
      </c>
      <c r="X417" s="5">
        <f t="shared" si="73"/>
        <v>0</v>
      </c>
      <c r="Y417" s="5">
        <f t="shared" si="74"/>
        <v>294</v>
      </c>
      <c r="Z417" s="19">
        <f t="shared" si="75"/>
        <v>44</v>
      </c>
      <c r="AA417" s="20">
        <f>ABS(S417-SUMPRODUCT(('05B_가정검정'!$A$5:$A$19=B417)*('05B_가정검정'!$B$5:$B$19=C417)*'05B_가정검정'!$E$5:$E$19))</f>
        <v>1.0559316986417322E-2</v>
      </c>
      <c r="AB417" s="20">
        <f t="shared" si="76"/>
        <v>1.6257976765891802E-2</v>
      </c>
    </row>
    <row r="418" spans="1:28">
      <c r="A418" s="15" t="s">
        <v>150</v>
      </c>
      <c r="B418" s="15" t="s">
        <v>122</v>
      </c>
      <c r="C418" s="15" t="s">
        <v>119</v>
      </c>
      <c r="D418" s="16">
        <v>0.33716475095785398</v>
      </c>
      <c r="E418" s="16">
        <v>0.37722419928825601</v>
      </c>
      <c r="F418" s="16">
        <v>0.17921146953405001</v>
      </c>
      <c r="G418" s="16">
        <v>0.29181494661921697</v>
      </c>
      <c r="H418" s="16">
        <v>0.31788874734623701</v>
      </c>
      <c r="I418" s="16">
        <v>0.44149340398154402</v>
      </c>
      <c r="J418" s="16">
        <v>0.74274654876369295</v>
      </c>
      <c r="K418" s="16">
        <v>0.70265849806948699</v>
      </c>
      <c r="L418" s="16">
        <v>0.86056055197793402</v>
      </c>
      <c r="M418" s="16">
        <v>0.50738916256157596</v>
      </c>
      <c r="N418" s="16">
        <v>0.37719298245614002</v>
      </c>
      <c r="O418" s="16">
        <v>1</v>
      </c>
      <c r="P418" s="17">
        <f t="shared" si="66"/>
        <v>0.32413291962119301</v>
      </c>
      <c r="Q418" s="17">
        <f t="shared" si="67"/>
        <v>0.76865519960370465</v>
      </c>
      <c r="R418" s="17">
        <f t="shared" si="68"/>
        <v>0.62819404833923864</v>
      </c>
      <c r="S418" s="17">
        <f>'02_지표정의'!$C$22*P418+'02_지표정의'!$C$23*Q418+'02_지표정의'!$C$24*R418</f>
        <v>0.63058934066463923</v>
      </c>
      <c r="T418" s="5">
        <f t="shared" si="69"/>
        <v>0</v>
      </c>
      <c r="U418" s="5" t="str">
        <f t="shared" si="70"/>
        <v>특허</v>
      </c>
      <c r="V418" s="18">
        <f t="shared" si="71"/>
        <v>528</v>
      </c>
      <c r="W418" s="5">
        <f t="shared" si="72"/>
        <v>0</v>
      </c>
      <c r="X418" s="5">
        <f t="shared" si="73"/>
        <v>234</v>
      </c>
      <c r="Y418" s="5">
        <f t="shared" si="74"/>
        <v>399</v>
      </c>
      <c r="Z418" s="19">
        <f t="shared" si="75"/>
        <v>25</v>
      </c>
      <c r="AA418" s="20">
        <f>ABS(S418-SUMPRODUCT(('05B_가정검정'!$A$5:$A$19=B418)*('05B_가정검정'!$B$5:$B$19=C418)*'05B_가정검정'!$E$5:$E$19))</f>
        <v>5.0168472368121719E-3</v>
      </c>
      <c r="AB418" s="20">
        <f t="shared" si="76"/>
        <v>-7.9952565024676847E-4</v>
      </c>
    </row>
    <row r="419" spans="1:28">
      <c r="A419" s="15" t="s">
        <v>150</v>
      </c>
      <c r="B419" s="15" t="s">
        <v>123</v>
      </c>
      <c r="C419" s="15" t="s">
        <v>117</v>
      </c>
      <c r="D419" s="16">
        <v>0.25289778714436301</v>
      </c>
      <c r="E419" s="16">
        <v>0.34504792332268402</v>
      </c>
      <c r="F419" s="16">
        <v>0.12861736334405099</v>
      </c>
      <c r="G419" s="16">
        <v>0.22364217252396201</v>
      </c>
      <c r="H419" s="16">
        <v>0.33598243995011001</v>
      </c>
      <c r="I419" s="16">
        <v>0.35113262185666799</v>
      </c>
      <c r="J419" s="16">
        <v>0.72710274665173502</v>
      </c>
      <c r="K419" s="16">
        <v>0.72354482148044097</v>
      </c>
      <c r="L419" s="16">
        <v>0.89804146600786905</v>
      </c>
      <c r="M419" s="16">
        <v>0.61783439490445902</v>
      </c>
      <c r="N419" s="16">
        <v>0.73333333333333295</v>
      </c>
      <c r="O419" s="16">
        <v>1</v>
      </c>
      <c r="P419" s="17">
        <f t="shared" si="66"/>
        <v>0.27288671802363967</v>
      </c>
      <c r="Q419" s="17">
        <f t="shared" si="67"/>
        <v>0.78289634471334824</v>
      </c>
      <c r="R419" s="17">
        <f t="shared" si="68"/>
        <v>0.78372257607926399</v>
      </c>
      <c r="S419" s="17">
        <f>'02_지표정의'!$C$22*P419+'02_지표정의'!$C$23*Q419+'02_지표정의'!$C$24*R419</f>
        <v>0.68118360035347703</v>
      </c>
      <c r="T419" s="5">
        <f t="shared" si="69"/>
        <v>0</v>
      </c>
      <c r="U419" s="5" t="str">
        <f t="shared" si="70"/>
        <v>특허</v>
      </c>
      <c r="V419" s="18">
        <f t="shared" si="71"/>
        <v>762</v>
      </c>
      <c r="W419" s="5">
        <f t="shared" si="72"/>
        <v>535</v>
      </c>
      <c r="X419" s="5">
        <f t="shared" si="73"/>
        <v>438</v>
      </c>
      <c r="Y419" s="5">
        <f t="shared" si="74"/>
        <v>0</v>
      </c>
      <c r="Z419" s="19">
        <f t="shared" si="75"/>
        <v>13</v>
      </c>
      <c r="AA419" s="20">
        <f>ABS(S419-SUMPRODUCT(('05B_가정검정'!$A$5:$A$19=B419)*('05B_가정검정'!$B$5:$B$19=C419)*'05B_가정검정'!$E$5:$E$19))</f>
        <v>3.3739282422746708E-2</v>
      </c>
      <c r="AB419" s="20">
        <f t="shared" si="76"/>
        <v>-2.6801851457766146E-2</v>
      </c>
    </row>
    <row r="420" spans="1:28">
      <c r="A420" s="15" t="s">
        <v>150</v>
      </c>
      <c r="B420" s="15" t="s">
        <v>123</v>
      </c>
      <c r="C420" s="15" t="s">
        <v>118</v>
      </c>
      <c r="D420" s="16">
        <v>0.29539295392953901</v>
      </c>
      <c r="E420" s="16">
        <v>0.32967032967033</v>
      </c>
      <c r="F420" s="16">
        <v>0.121546961325967</v>
      </c>
      <c r="G420" s="16">
        <v>0.23626373626373601</v>
      </c>
      <c r="H420" s="16">
        <v>0.27844948911158002</v>
      </c>
      <c r="I420" s="16">
        <v>0.36322578533348698</v>
      </c>
      <c r="J420" s="16">
        <v>0.71717735569779795</v>
      </c>
      <c r="K420" s="16">
        <v>0.71422107682269598</v>
      </c>
      <c r="L420" s="16">
        <v>0.870530408015605</v>
      </c>
      <c r="M420" s="16">
        <v>0.43891402714932098</v>
      </c>
      <c r="N420" s="16">
        <v>0.44715447154471499</v>
      </c>
      <c r="O420" s="16">
        <v>1</v>
      </c>
      <c r="P420" s="17">
        <f t="shared" si="66"/>
        <v>0.27075820927243982</v>
      </c>
      <c r="Q420" s="17">
        <f t="shared" si="67"/>
        <v>0.76730961351203286</v>
      </c>
      <c r="R420" s="17">
        <f t="shared" si="68"/>
        <v>0.62868949956467868</v>
      </c>
      <c r="S420" s="17">
        <f>'02_지표정의'!$C$22*P420+'02_지표정의'!$C$23*Q420+'02_지표정의'!$C$24*R420</f>
        <v>0.6194822927825403</v>
      </c>
      <c r="T420" s="5">
        <f t="shared" si="69"/>
        <v>0</v>
      </c>
      <c r="U420" s="5" t="str">
        <f t="shared" si="70"/>
        <v>특허</v>
      </c>
      <c r="V420" s="18">
        <f t="shared" si="71"/>
        <v>486</v>
      </c>
      <c r="W420" s="5">
        <f t="shared" si="72"/>
        <v>392</v>
      </c>
      <c r="X420" s="5">
        <f t="shared" si="73"/>
        <v>0</v>
      </c>
      <c r="Y420" s="5">
        <f t="shared" si="74"/>
        <v>366</v>
      </c>
      <c r="Z420" s="19">
        <f t="shared" si="75"/>
        <v>61</v>
      </c>
      <c r="AA420" s="20">
        <f>ABS(S420-SUMPRODUCT(('05B_가정검정'!$A$5:$A$19=B420)*('05B_가정검정'!$B$5:$B$19=C420)*'05B_가정검정'!$E$5:$E$19))</f>
        <v>4.4183465903570585E-2</v>
      </c>
      <c r="AB420" s="20">
        <f t="shared" si="76"/>
        <v>5.9610684858049212E-2</v>
      </c>
    </row>
    <row r="421" spans="1:28">
      <c r="A421" s="15" t="s">
        <v>150</v>
      </c>
      <c r="B421" s="15" t="s">
        <v>123</v>
      </c>
      <c r="C421" s="15" t="s">
        <v>119</v>
      </c>
      <c r="D421" s="16">
        <v>0.34278959810874698</v>
      </c>
      <c r="E421" s="16">
        <v>0.474474474474474</v>
      </c>
      <c r="F421" s="16">
        <v>0.18731117824773399</v>
      </c>
      <c r="G421" s="16">
        <v>0.30030030030030003</v>
      </c>
      <c r="H421" s="16">
        <v>0.36159967651903901</v>
      </c>
      <c r="I421" s="16">
        <v>0.55558100405636002</v>
      </c>
      <c r="J421" s="16">
        <v>0.74420035466929502</v>
      </c>
      <c r="K421" s="16">
        <v>0.72406841253584797</v>
      </c>
      <c r="L421" s="16">
        <v>0.88953375593356898</v>
      </c>
      <c r="M421" s="16">
        <v>0.47783251231527102</v>
      </c>
      <c r="N421" s="16">
        <v>0.48245614035087703</v>
      </c>
      <c r="O421" s="16">
        <v>1</v>
      </c>
      <c r="P421" s="17">
        <f t="shared" si="66"/>
        <v>0.37034270528444235</v>
      </c>
      <c r="Q421" s="17">
        <f t="shared" si="67"/>
        <v>0.7859341743795708</v>
      </c>
      <c r="R421" s="17">
        <f t="shared" si="68"/>
        <v>0.65342955088871602</v>
      </c>
      <c r="S421" s="17">
        <f>'02_지표정의'!$C$22*P421+'02_지표정의'!$C$23*Q421+'02_지표정의'!$C$24*R421</f>
        <v>0.65643926233874594</v>
      </c>
      <c r="T421" s="5">
        <f t="shared" si="69"/>
        <v>1</v>
      </c>
      <c r="U421" s="5" t="str">
        <f t="shared" si="70"/>
        <v>특허</v>
      </c>
      <c r="V421" s="18">
        <f t="shared" si="71"/>
        <v>651</v>
      </c>
      <c r="W421" s="5">
        <f t="shared" si="72"/>
        <v>0</v>
      </c>
      <c r="X421" s="5">
        <f t="shared" si="73"/>
        <v>332</v>
      </c>
      <c r="Y421" s="5">
        <f t="shared" si="74"/>
        <v>483</v>
      </c>
      <c r="Z421" s="19">
        <f t="shared" si="75"/>
        <v>21</v>
      </c>
      <c r="AA421" s="20">
        <f>ABS(S421-SUMPRODUCT(('05B_가정검정'!$A$5:$A$19=B421)*('05B_가정검정'!$B$5:$B$19=C421)*'05B_가정검정'!$E$5:$E$19))</f>
        <v>2.9190534985481409E-2</v>
      </c>
      <c r="AB421" s="20">
        <f t="shared" si="76"/>
        <v>-2.5979470706255836E-2</v>
      </c>
    </row>
    <row r="422" spans="1:28">
      <c r="A422" s="15" t="s">
        <v>151</v>
      </c>
      <c r="B422" s="15" t="s">
        <v>116</v>
      </c>
      <c r="C422" s="15" t="s">
        <v>117</v>
      </c>
      <c r="D422" s="16">
        <v>0.25879682179341701</v>
      </c>
      <c r="E422" s="16">
        <v>0.36</v>
      </c>
      <c r="F422" s="16">
        <v>0.14516129032258099</v>
      </c>
      <c r="G422" s="16">
        <v>0.20799999999999999</v>
      </c>
      <c r="H422" s="16">
        <v>0.33314086164555601</v>
      </c>
      <c r="I422" s="16">
        <v>0.16452768728161299</v>
      </c>
      <c r="J422" s="16">
        <v>0.68563225984884302</v>
      </c>
      <c r="K422" s="16">
        <v>0.57448009168929504</v>
      </c>
      <c r="L422" s="16">
        <v>0.847565281042297</v>
      </c>
      <c r="M422" s="16">
        <v>0.35227272727272702</v>
      </c>
      <c r="N422" s="16">
        <v>0.12258064516129</v>
      </c>
      <c r="O422" s="16">
        <v>1</v>
      </c>
      <c r="P422" s="17">
        <f t="shared" si="66"/>
        <v>0.24493777684052784</v>
      </c>
      <c r="Q422" s="17">
        <f t="shared" si="67"/>
        <v>0.70255921086014494</v>
      </c>
      <c r="R422" s="17">
        <f t="shared" si="68"/>
        <v>0.49161779081133899</v>
      </c>
      <c r="S422" s="17">
        <f>'02_지표정의'!$C$22*P422+'02_지표정의'!$C$23*Q422+'02_지표정의'!$C$24*R422</f>
        <v>0.53720542703913943</v>
      </c>
      <c r="T422" s="5">
        <f t="shared" si="69"/>
        <v>0</v>
      </c>
      <c r="U422" s="5" t="str">
        <f t="shared" si="70"/>
        <v>특허</v>
      </c>
      <c r="V422" s="18">
        <f t="shared" si="71"/>
        <v>158</v>
      </c>
      <c r="W422" s="5">
        <f t="shared" si="72"/>
        <v>139</v>
      </c>
      <c r="X422" s="5">
        <f t="shared" si="73"/>
        <v>34</v>
      </c>
      <c r="Y422" s="5">
        <f t="shared" si="74"/>
        <v>0</v>
      </c>
      <c r="Z422" s="19">
        <f t="shared" si="75"/>
        <v>14</v>
      </c>
      <c r="AA422" s="20">
        <f>ABS(S422-SUMPRODUCT(('05B_가정검정'!$A$5:$A$19=B422)*('05B_가정검정'!$B$5:$B$19=C422)*'05B_가정검정'!$E$5:$E$19))</f>
        <v>2.0198277945827847E-2</v>
      </c>
      <c r="AB422" s="20">
        <f t="shared" si="76"/>
        <v>-1.5345738373483964E-2</v>
      </c>
    </row>
    <row r="423" spans="1:28">
      <c r="A423" s="15" t="s">
        <v>151</v>
      </c>
      <c r="B423" s="15" t="s">
        <v>116</v>
      </c>
      <c r="C423" s="15" t="s">
        <v>118</v>
      </c>
      <c r="D423" s="16">
        <v>0.296688741721854</v>
      </c>
      <c r="E423" s="16">
        <v>0.41533546325878601</v>
      </c>
      <c r="F423" s="16">
        <v>0.18649517684887501</v>
      </c>
      <c r="G423" s="16">
        <v>0.31948881789137401</v>
      </c>
      <c r="H423" s="16">
        <v>0.36015253984089401</v>
      </c>
      <c r="I423" s="16">
        <v>0.23418955864756499</v>
      </c>
      <c r="J423" s="16">
        <v>0.73111561560513805</v>
      </c>
      <c r="K423" s="16">
        <v>0.64018010852245599</v>
      </c>
      <c r="L423" s="16">
        <v>0.83995651742456301</v>
      </c>
      <c r="M423" s="16">
        <v>0.59848484848484895</v>
      </c>
      <c r="N423" s="16">
        <v>0.28387096774193499</v>
      </c>
      <c r="O423" s="16">
        <v>1</v>
      </c>
      <c r="P423" s="17">
        <f t="shared" si="66"/>
        <v>0.30205838303489135</v>
      </c>
      <c r="Q423" s="17">
        <f t="shared" si="67"/>
        <v>0.73708408051738561</v>
      </c>
      <c r="R423" s="17">
        <f t="shared" si="68"/>
        <v>0.62745193874226135</v>
      </c>
      <c r="S423" s="17">
        <f>'02_지표정의'!$C$22*P423+'02_지표정의'!$C$23*Q423+'02_지표정의'!$C$24*R423</f>
        <v>0.61170769139959325</v>
      </c>
      <c r="T423" s="5">
        <f t="shared" si="69"/>
        <v>0</v>
      </c>
      <c r="U423" s="5" t="str">
        <f t="shared" si="70"/>
        <v>특허</v>
      </c>
      <c r="V423" s="18">
        <f t="shared" si="71"/>
        <v>443</v>
      </c>
      <c r="W423" s="5">
        <f t="shared" si="72"/>
        <v>360</v>
      </c>
      <c r="X423" s="5">
        <f t="shared" si="73"/>
        <v>0</v>
      </c>
      <c r="Y423" s="5">
        <f t="shared" si="74"/>
        <v>339</v>
      </c>
      <c r="Z423" s="19">
        <f t="shared" si="75"/>
        <v>65</v>
      </c>
      <c r="AA423" s="20">
        <f>ABS(S423-SUMPRODUCT(('05B_가정검정'!$A$5:$A$19=B423)*('05B_가정검정'!$B$5:$B$19=C423)*'05B_가정검정'!$E$5:$E$19))</f>
        <v>8.0415269697871605E-2</v>
      </c>
      <c r="AB423" s="20">
        <f t="shared" si="76"/>
        <v>8.4158659021006943E-2</v>
      </c>
    </row>
    <row r="424" spans="1:28">
      <c r="A424" s="15" t="s">
        <v>151</v>
      </c>
      <c r="B424" s="15" t="s">
        <v>116</v>
      </c>
      <c r="C424" s="15" t="s">
        <v>119</v>
      </c>
      <c r="D424" s="16">
        <v>0.29193341869398198</v>
      </c>
      <c r="E424" s="16">
        <v>0.39814814814814797</v>
      </c>
      <c r="F424" s="16">
        <v>0.15887850467289699</v>
      </c>
      <c r="G424" s="16">
        <v>0.28703703703703698</v>
      </c>
      <c r="H424" s="16">
        <v>0.274814258316181</v>
      </c>
      <c r="I424" s="16">
        <v>0.240730244913191</v>
      </c>
      <c r="J424" s="16">
        <v>0.67784217130707802</v>
      </c>
      <c r="K424" s="16">
        <v>0.581620423259541</v>
      </c>
      <c r="L424" s="16">
        <v>0.85720032096597698</v>
      </c>
      <c r="M424" s="16">
        <v>0.35227272727272702</v>
      </c>
      <c r="N424" s="16">
        <v>0.12258064516129</v>
      </c>
      <c r="O424" s="16">
        <v>1</v>
      </c>
      <c r="P424" s="17">
        <f t="shared" si="66"/>
        <v>0.27525693529690598</v>
      </c>
      <c r="Q424" s="17">
        <f t="shared" si="67"/>
        <v>0.70555430517753204</v>
      </c>
      <c r="R424" s="17">
        <f t="shared" si="68"/>
        <v>0.49161779081133899</v>
      </c>
      <c r="S424" s="17">
        <f>'02_지표정의'!$C$22*P424+'02_지표정의'!$C$23*Q424+'02_지표정의'!$C$24*R424</f>
        <v>0.54461705117323933</v>
      </c>
      <c r="T424" s="5">
        <f t="shared" si="69"/>
        <v>0</v>
      </c>
      <c r="U424" s="5" t="str">
        <f t="shared" si="70"/>
        <v>특허</v>
      </c>
      <c r="V424" s="18">
        <f t="shared" si="71"/>
        <v>184</v>
      </c>
      <c r="W424" s="5">
        <f t="shared" si="72"/>
        <v>0</v>
      </c>
      <c r="X424" s="5">
        <f t="shared" si="73"/>
        <v>50</v>
      </c>
      <c r="Y424" s="5">
        <f t="shared" si="74"/>
        <v>162</v>
      </c>
      <c r="Z424" s="19">
        <f t="shared" si="75"/>
        <v>23</v>
      </c>
      <c r="AA424" s="20">
        <f>ABS(S424-SUMPRODUCT(('05B_가정검정'!$A$5:$A$19=B424)*('05B_가정검정'!$B$5:$B$19=C424)*'05B_가정검정'!$E$5:$E$19))</f>
        <v>8.4064655695432755E-3</v>
      </c>
      <c r="AB424" s="20">
        <f t="shared" si="76"/>
        <v>-1.1835432502940724E-2</v>
      </c>
    </row>
    <row r="425" spans="1:28">
      <c r="A425" s="15" t="s">
        <v>151</v>
      </c>
      <c r="B425" s="15" t="s">
        <v>120</v>
      </c>
      <c r="C425" s="15" t="s">
        <v>117</v>
      </c>
      <c r="D425" s="16">
        <v>0.26596858638743498</v>
      </c>
      <c r="E425" s="16">
        <v>0.38059701492537301</v>
      </c>
      <c r="F425" s="16">
        <v>0.13533834586466201</v>
      </c>
      <c r="G425" s="16">
        <v>0.18656716417910499</v>
      </c>
      <c r="H425" s="16">
        <v>0.34389701224555402</v>
      </c>
      <c r="I425" s="16">
        <v>0.13736317054929301</v>
      </c>
      <c r="J425" s="16">
        <v>0.72014894257361795</v>
      </c>
      <c r="K425" s="16">
        <v>0.64757654029426004</v>
      </c>
      <c r="L425" s="16">
        <v>0.84863099086591398</v>
      </c>
      <c r="M425" s="16">
        <v>0.76576576576576605</v>
      </c>
      <c r="N425" s="16">
        <v>0.79032258064516103</v>
      </c>
      <c r="O425" s="16">
        <v>1</v>
      </c>
      <c r="P425" s="17">
        <f t="shared" si="66"/>
        <v>0.24162188235857038</v>
      </c>
      <c r="Q425" s="17">
        <f t="shared" si="67"/>
        <v>0.73878549124459736</v>
      </c>
      <c r="R425" s="17">
        <f t="shared" si="68"/>
        <v>0.85202944880364229</v>
      </c>
      <c r="S425" s="17">
        <f>'02_지표정의'!$C$22*P425+'02_지표정의'!$C$23*Q425+'02_지표정의'!$C$24*R425</f>
        <v>0.67898815461305762</v>
      </c>
      <c r="T425" s="5">
        <f t="shared" si="69"/>
        <v>0</v>
      </c>
      <c r="U425" s="5" t="str">
        <f t="shared" si="70"/>
        <v>특허</v>
      </c>
      <c r="V425" s="18">
        <f t="shared" si="71"/>
        <v>756</v>
      </c>
      <c r="W425" s="5">
        <f t="shared" si="72"/>
        <v>532</v>
      </c>
      <c r="X425" s="5">
        <f t="shared" si="73"/>
        <v>432</v>
      </c>
      <c r="Y425" s="5">
        <f t="shared" si="74"/>
        <v>0</v>
      </c>
      <c r="Z425" s="19">
        <f t="shared" si="75"/>
        <v>61</v>
      </c>
      <c r="AA425" s="20">
        <f>ABS(S425-SUMPRODUCT(('05B_가정검정'!$A$5:$A$19=B425)*('05B_가정검정'!$B$5:$B$19=C425)*'05B_가정검정'!$E$5:$E$19))</f>
        <v>5.093919455593654E-2</v>
      </c>
      <c r="AB425" s="20">
        <f t="shared" si="76"/>
        <v>4.7685451188300476E-2</v>
      </c>
    </row>
    <row r="426" spans="1:28">
      <c r="A426" s="15" t="s">
        <v>151</v>
      </c>
      <c r="B426" s="15" t="s">
        <v>120</v>
      </c>
      <c r="C426" s="15" t="s">
        <v>118</v>
      </c>
      <c r="D426" s="16">
        <v>0.22919179734619999</v>
      </c>
      <c r="E426" s="16">
        <v>0.35649546827794598</v>
      </c>
      <c r="F426" s="16">
        <v>0.14589665653495401</v>
      </c>
      <c r="G426" s="16">
        <v>0.259818731117825</v>
      </c>
      <c r="H426" s="16">
        <v>0.24875114708177201</v>
      </c>
      <c r="I426" s="16">
        <v>0.18310983453881499</v>
      </c>
      <c r="J426" s="16">
        <v>0.71352741865803004</v>
      </c>
      <c r="K426" s="16">
        <v>0.71019086685946098</v>
      </c>
      <c r="L426" s="16">
        <v>0.85838184183703103</v>
      </c>
      <c r="M426" s="16">
        <v>0.45161290322580699</v>
      </c>
      <c r="N426" s="16">
        <v>0.38842975206611602</v>
      </c>
      <c r="O426" s="16">
        <v>1</v>
      </c>
      <c r="P426" s="17">
        <f t="shared" si="66"/>
        <v>0.23721060581625197</v>
      </c>
      <c r="Q426" s="17">
        <f t="shared" si="67"/>
        <v>0.76070004245150746</v>
      </c>
      <c r="R426" s="17">
        <f t="shared" si="68"/>
        <v>0.61334755176397426</v>
      </c>
      <c r="S426" s="17">
        <f>'02_지표정의'!$C$22*P426+'02_지표정의'!$C$23*Q426+'02_지표정의'!$C$24*R426</f>
        <v>0.60442878338381978</v>
      </c>
      <c r="T426" s="5">
        <f t="shared" si="69"/>
        <v>0</v>
      </c>
      <c r="U426" s="5" t="str">
        <f t="shared" si="70"/>
        <v>특허</v>
      </c>
      <c r="V426" s="18">
        <f t="shared" si="71"/>
        <v>409</v>
      </c>
      <c r="W426" s="5">
        <f t="shared" si="72"/>
        <v>331</v>
      </c>
      <c r="X426" s="5">
        <f t="shared" si="73"/>
        <v>0</v>
      </c>
      <c r="Y426" s="5">
        <f t="shared" si="74"/>
        <v>311</v>
      </c>
      <c r="Z426" s="19">
        <f t="shared" si="75"/>
        <v>39</v>
      </c>
      <c r="AA426" s="20">
        <f>ABS(S426-SUMPRODUCT(('05B_가정검정'!$A$5:$A$19=B426)*('05B_가정검정'!$B$5:$B$19=C426)*'05B_가정검정'!$E$5:$E$19))</f>
        <v>1.3599934802191793E-2</v>
      </c>
      <c r="AB426" s="20">
        <f t="shared" si="76"/>
        <v>2.9538007421708978E-2</v>
      </c>
    </row>
    <row r="427" spans="1:28">
      <c r="A427" s="15" t="s">
        <v>151</v>
      </c>
      <c r="B427" s="15" t="s">
        <v>120</v>
      </c>
      <c r="C427" s="15" t="s">
        <v>119</v>
      </c>
      <c r="D427" s="16">
        <v>0.301754385964912</v>
      </c>
      <c r="E427" s="16">
        <v>0.41880341880341898</v>
      </c>
      <c r="F427" s="16">
        <v>0.163793103448276</v>
      </c>
      <c r="G427" s="16">
        <v>0.27350427350427398</v>
      </c>
      <c r="H427" s="16">
        <v>0.32669471491707502</v>
      </c>
      <c r="I427" s="16">
        <v>0.27599895112482398</v>
      </c>
      <c r="J427" s="16">
        <v>0.72227681260926901</v>
      </c>
      <c r="K427" s="16">
        <v>0.70730747912473002</v>
      </c>
      <c r="L427" s="16">
        <v>0.88096020083933801</v>
      </c>
      <c r="M427" s="16">
        <v>0.76576576576576605</v>
      </c>
      <c r="N427" s="16">
        <v>0.79032258064516103</v>
      </c>
      <c r="O427" s="16">
        <v>1</v>
      </c>
      <c r="P427" s="17">
        <f t="shared" si="66"/>
        <v>0.29342480796046339</v>
      </c>
      <c r="Q427" s="17">
        <f t="shared" si="67"/>
        <v>0.77018149752444565</v>
      </c>
      <c r="R427" s="17">
        <f t="shared" si="68"/>
        <v>0.85202944880364229</v>
      </c>
      <c r="S427" s="17">
        <f>'02_지표정의'!$C$22*P427+'02_지표정의'!$C$23*Q427+'02_지표정의'!$C$24*R427</f>
        <v>0.70347694255936799</v>
      </c>
      <c r="T427" s="5">
        <f t="shared" si="69"/>
        <v>0</v>
      </c>
      <c r="U427" s="5" t="str">
        <f t="shared" si="70"/>
        <v>특허</v>
      </c>
      <c r="V427" s="18">
        <f t="shared" si="71"/>
        <v>831</v>
      </c>
      <c r="W427" s="5">
        <f t="shared" si="72"/>
        <v>0</v>
      </c>
      <c r="X427" s="5">
        <f t="shared" si="73"/>
        <v>506</v>
      </c>
      <c r="Y427" s="5">
        <f t="shared" si="74"/>
        <v>600</v>
      </c>
      <c r="Z427" s="19">
        <f t="shared" si="75"/>
        <v>59</v>
      </c>
      <c r="AA427" s="20">
        <f>ABS(S427-SUMPRODUCT(('05B_가정검정'!$A$5:$A$19=B427)*('05B_가정검정'!$B$5:$B$19=C427)*'05B_가정검정'!$E$5:$E$19))</f>
        <v>3.9799626077981709E-2</v>
      </c>
      <c r="AB427" s="20">
        <f t="shared" si="76"/>
        <v>4.5053935048552374E-2</v>
      </c>
    </row>
    <row r="428" spans="1:28">
      <c r="A428" s="15" t="s">
        <v>151</v>
      </c>
      <c r="B428" s="15" t="s">
        <v>121</v>
      </c>
      <c r="C428" s="15" t="s">
        <v>117</v>
      </c>
      <c r="D428" s="16">
        <v>0.254641909814324</v>
      </c>
      <c r="E428" s="16">
        <v>0.38613861386138598</v>
      </c>
      <c r="F428" s="16">
        <v>0.15</v>
      </c>
      <c r="G428" s="16">
        <v>0.25742574257425699</v>
      </c>
      <c r="H428" s="16">
        <v>0.28884674827715601</v>
      </c>
      <c r="I428" s="16">
        <v>0.14349039200192301</v>
      </c>
      <c r="J428" s="16">
        <v>0.74347207248680602</v>
      </c>
      <c r="K428" s="16">
        <v>0.69344300210028498</v>
      </c>
      <c r="L428" s="16">
        <v>0.85907721677995397</v>
      </c>
      <c r="M428" s="16">
        <v>0.90654205607476601</v>
      </c>
      <c r="N428" s="16">
        <v>0.91666666666666696</v>
      </c>
      <c r="O428" s="16">
        <v>1</v>
      </c>
      <c r="P428" s="17">
        <f t="shared" si="66"/>
        <v>0.24675723442150765</v>
      </c>
      <c r="Q428" s="17">
        <f t="shared" si="67"/>
        <v>0.7653307637890151</v>
      </c>
      <c r="R428" s="17">
        <f t="shared" si="68"/>
        <v>0.94106957424714432</v>
      </c>
      <c r="S428" s="17">
        <f>'02_지표정의'!$C$22*P428+'02_지표정의'!$C$23*Q428+'02_지표정의'!$C$24*R428</f>
        <v>0.72312464157585876</v>
      </c>
      <c r="T428" s="5">
        <f t="shared" si="69"/>
        <v>1</v>
      </c>
      <c r="U428" s="5" t="str">
        <f t="shared" si="70"/>
        <v>특허</v>
      </c>
      <c r="V428" s="18">
        <f t="shared" si="71"/>
        <v>889</v>
      </c>
      <c r="W428" s="5">
        <f t="shared" si="72"/>
        <v>595</v>
      </c>
      <c r="X428" s="5">
        <f t="shared" si="73"/>
        <v>564</v>
      </c>
      <c r="Y428" s="5">
        <f t="shared" si="74"/>
        <v>0</v>
      </c>
      <c r="Z428" s="19">
        <f t="shared" si="75"/>
        <v>28</v>
      </c>
      <c r="AA428" s="20">
        <f>ABS(S428-SUMPRODUCT(('05B_가정검정'!$A$5:$A$19=B428)*('05B_가정검정'!$B$5:$B$19=C428)*'05B_가정검정'!$E$5:$E$19))</f>
        <v>6.307429806022391E-3</v>
      </c>
      <c r="AB428" s="20">
        <f t="shared" si="76"/>
        <v>5.4728485029778007E-3</v>
      </c>
    </row>
    <row r="429" spans="1:28">
      <c r="A429" s="15" t="s">
        <v>151</v>
      </c>
      <c r="B429" s="15" t="s">
        <v>121</v>
      </c>
      <c r="C429" s="15" t="s">
        <v>118</v>
      </c>
      <c r="D429" s="16">
        <v>0.26751592356687898</v>
      </c>
      <c r="E429" s="16">
        <v>0.30943396226415099</v>
      </c>
      <c r="F429" s="16">
        <v>0.106463878326996</v>
      </c>
      <c r="G429" s="16">
        <v>0.218867924528302</v>
      </c>
      <c r="H429" s="16">
        <v>0.201702775180813</v>
      </c>
      <c r="I429" s="16">
        <v>0.20513754052974301</v>
      </c>
      <c r="J429" s="16">
        <v>0.75133784663373304</v>
      </c>
      <c r="K429" s="16">
        <v>0.747281293641607</v>
      </c>
      <c r="L429" s="16">
        <v>0.88430301241861897</v>
      </c>
      <c r="M429" s="16">
        <v>0.44700460829493099</v>
      </c>
      <c r="N429" s="16">
        <v>0.45454545454545497</v>
      </c>
      <c r="O429" s="16">
        <v>1</v>
      </c>
      <c r="P429" s="17">
        <f t="shared" si="66"/>
        <v>0.21818700073281402</v>
      </c>
      <c r="Q429" s="17">
        <f t="shared" si="67"/>
        <v>0.79430738423131964</v>
      </c>
      <c r="R429" s="17">
        <f t="shared" si="68"/>
        <v>0.63385002094679532</v>
      </c>
      <c r="S429" s="17">
        <f>'02_지표정의'!$C$22*P429+'02_지표정의'!$C$23*Q429+'02_지표정의'!$C$24*R429</f>
        <v>0.62292323038203501</v>
      </c>
      <c r="T429" s="5">
        <f t="shared" si="69"/>
        <v>0</v>
      </c>
      <c r="U429" s="5" t="str">
        <f t="shared" si="70"/>
        <v>특허</v>
      </c>
      <c r="V429" s="18">
        <f t="shared" si="71"/>
        <v>503</v>
      </c>
      <c r="W429" s="5">
        <f t="shared" si="72"/>
        <v>405</v>
      </c>
      <c r="X429" s="5">
        <f t="shared" si="73"/>
        <v>0</v>
      </c>
      <c r="Y429" s="5">
        <f t="shared" si="74"/>
        <v>381</v>
      </c>
      <c r="Z429" s="19">
        <f t="shared" si="75"/>
        <v>53</v>
      </c>
      <c r="AA429" s="20">
        <f>ABS(S429-SUMPRODUCT(('05B_가정검정'!$A$5:$A$19=B429)*('05B_가정검정'!$B$5:$B$19=C429)*'05B_가정검정'!$E$5:$E$19))</f>
        <v>2.4343740215066578E-2</v>
      </c>
      <c r="AB429" s="20">
        <f t="shared" si="76"/>
        <v>4.3524155855221736E-2</v>
      </c>
    </row>
    <row r="430" spans="1:28">
      <c r="A430" s="15" t="s">
        <v>151</v>
      </c>
      <c r="B430" s="15" t="s">
        <v>121</v>
      </c>
      <c r="C430" s="15" t="s">
        <v>119</v>
      </c>
      <c r="D430" s="16">
        <v>0.293577981651376</v>
      </c>
      <c r="E430" s="16">
        <v>0.46428571428571402</v>
      </c>
      <c r="F430" s="16">
        <v>0.20481927710843401</v>
      </c>
      <c r="G430" s="16">
        <v>0.33333333333333298</v>
      </c>
      <c r="H430" s="16">
        <v>0.37434236396684201</v>
      </c>
      <c r="I430" s="16">
        <v>0.185360650319185</v>
      </c>
      <c r="J430" s="16">
        <v>0.74676334279151302</v>
      </c>
      <c r="K430" s="16">
        <v>0.74060763278456698</v>
      </c>
      <c r="L430" s="16">
        <v>0.87233134579822003</v>
      </c>
      <c r="M430" s="16">
        <v>0.90654205607476601</v>
      </c>
      <c r="N430" s="16">
        <v>0.91666666666666696</v>
      </c>
      <c r="O430" s="16">
        <v>1</v>
      </c>
      <c r="P430" s="17">
        <f t="shared" si="66"/>
        <v>0.30928655344414729</v>
      </c>
      <c r="Q430" s="17">
        <f t="shared" si="67"/>
        <v>0.78656744045810001</v>
      </c>
      <c r="R430" s="17">
        <f t="shared" si="68"/>
        <v>0.94106957424714432</v>
      </c>
      <c r="S430" s="17">
        <f>'02_지표정의'!$C$22*P430+'02_지표정의'!$C$23*Q430+'02_지표정의'!$C$24*R430</f>
        <v>0.7451870098814749</v>
      </c>
      <c r="T430" s="5">
        <f t="shared" si="69"/>
        <v>0</v>
      </c>
      <c r="U430" s="5" t="str">
        <f t="shared" si="70"/>
        <v>특허</v>
      </c>
      <c r="V430" s="18">
        <f t="shared" si="71"/>
        <v>942</v>
      </c>
      <c r="W430" s="5">
        <f t="shared" si="72"/>
        <v>0</v>
      </c>
      <c r="X430" s="5">
        <f t="shared" si="73"/>
        <v>617</v>
      </c>
      <c r="Y430" s="5">
        <f t="shared" si="74"/>
        <v>626</v>
      </c>
      <c r="Z430" s="19">
        <f t="shared" si="75"/>
        <v>52</v>
      </c>
      <c r="AA430" s="20">
        <f>ABS(S430-SUMPRODUCT(('05B_가정검정'!$A$5:$A$19=B430)*('05B_가정검정'!$B$5:$B$19=C430)*'05B_가정검정'!$E$5:$E$19))</f>
        <v>5.2867167085621225E-2</v>
      </c>
      <c r="AB430" s="20">
        <f t="shared" si="76"/>
        <v>5.6950034461863863E-2</v>
      </c>
    </row>
    <row r="431" spans="1:28">
      <c r="A431" s="15" t="s">
        <v>151</v>
      </c>
      <c r="B431" s="15" t="s">
        <v>122</v>
      </c>
      <c r="C431" s="15" t="s">
        <v>117</v>
      </c>
      <c r="D431" s="16">
        <v>0.29002320185614899</v>
      </c>
      <c r="E431" s="16">
        <v>0.36078431372549002</v>
      </c>
      <c r="F431" s="16">
        <v>0.110671936758893</v>
      </c>
      <c r="G431" s="16">
        <v>0.23529411764705899</v>
      </c>
      <c r="H431" s="16">
        <v>0.35688986345935197</v>
      </c>
      <c r="I431" s="16">
        <v>0.217376042519067</v>
      </c>
      <c r="J431" s="16">
        <v>0.68751953760064799</v>
      </c>
      <c r="K431" s="16">
        <v>0.58987884331419804</v>
      </c>
      <c r="L431" s="16">
        <v>0.855713292202678</v>
      </c>
      <c r="M431" s="16">
        <v>0.392405063291139</v>
      </c>
      <c r="N431" s="16">
        <v>0.37692307692307703</v>
      </c>
      <c r="O431" s="16">
        <v>1</v>
      </c>
      <c r="P431" s="17">
        <f t="shared" si="66"/>
        <v>0.26183991266100165</v>
      </c>
      <c r="Q431" s="17">
        <f t="shared" si="67"/>
        <v>0.71103722437250794</v>
      </c>
      <c r="R431" s="17">
        <f t="shared" si="68"/>
        <v>0.58977604673807205</v>
      </c>
      <c r="S431" s="17">
        <f>'02_지표정의'!$C$22*P431+'02_지표정의'!$C$23*Q431+'02_지표정의'!$C$24*R431</f>
        <v>0.57875634985815405</v>
      </c>
      <c r="T431" s="5">
        <f t="shared" si="69"/>
        <v>0</v>
      </c>
      <c r="U431" s="5" t="str">
        <f t="shared" si="70"/>
        <v>특허</v>
      </c>
      <c r="V431" s="18">
        <f t="shared" si="71"/>
        <v>318</v>
      </c>
      <c r="W431" s="5">
        <f t="shared" si="72"/>
        <v>258</v>
      </c>
      <c r="X431" s="5">
        <f t="shared" si="73"/>
        <v>136</v>
      </c>
      <c r="Y431" s="5">
        <f t="shared" si="74"/>
        <v>0</v>
      </c>
      <c r="Z431" s="19">
        <f t="shared" si="75"/>
        <v>17</v>
      </c>
      <c r="AA431" s="20">
        <f>ABS(S431-SUMPRODUCT(('05B_가정검정'!$A$5:$A$19=B431)*('05B_가정검정'!$B$5:$B$19=C431)*'05B_가정검정'!$E$5:$E$19))</f>
        <v>6.0596604850524427E-2</v>
      </c>
      <c r="AB431" s="20">
        <f t="shared" si="76"/>
        <v>-4.4125272331492105E-2</v>
      </c>
    </row>
    <row r="432" spans="1:28">
      <c r="A432" s="15" t="s">
        <v>151</v>
      </c>
      <c r="B432" s="15" t="s">
        <v>122</v>
      </c>
      <c r="C432" s="15" t="s">
        <v>118</v>
      </c>
      <c r="D432" s="16">
        <v>0.33152173913043498</v>
      </c>
      <c r="E432" s="16">
        <v>0.53459119496855401</v>
      </c>
      <c r="F432" s="16">
        <v>0.208860759493671</v>
      </c>
      <c r="G432" s="16">
        <v>0.35220125786163498</v>
      </c>
      <c r="H432" s="16">
        <v>0.367912211469614</v>
      </c>
      <c r="I432" s="16">
        <v>0.227231223406449</v>
      </c>
      <c r="J432" s="16">
        <v>0.71145546418195404</v>
      </c>
      <c r="K432" s="16">
        <v>0.67844774494163196</v>
      </c>
      <c r="L432" s="16">
        <v>0.86387508260962198</v>
      </c>
      <c r="M432" s="16">
        <v>0.721518987341772</v>
      </c>
      <c r="N432" s="16">
        <v>0.72307692307692295</v>
      </c>
      <c r="O432" s="16">
        <v>1</v>
      </c>
      <c r="P432" s="17">
        <f t="shared" si="66"/>
        <v>0.33705306438839305</v>
      </c>
      <c r="Q432" s="17">
        <f t="shared" si="67"/>
        <v>0.75125943057773592</v>
      </c>
      <c r="R432" s="17">
        <f t="shared" si="68"/>
        <v>0.81486530347289821</v>
      </c>
      <c r="S432" s="17">
        <f>'02_지표정의'!$C$22*P432+'02_지표정의'!$C$23*Q432+'02_지표정의'!$C$24*R432</f>
        <v>0.69068021285317416</v>
      </c>
      <c r="T432" s="5">
        <f t="shared" si="69"/>
        <v>1</v>
      </c>
      <c r="U432" s="5" t="str">
        <f t="shared" si="70"/>
        <v>특허</v>
      </c>
      <c r="V432" s="18">
        <f t="shared" si="71"/>
        <v>788</v>
      </c>
      <c r="W432" s="5">
        <f t="shared" si="72"/>
        <v>543</v>
      </c>
      <c r="X432" s="5">
        <f t="shared" si="73"/>
        <v>0</v>
      </c>
      <c r="Y432" s="5">
        <f t="shared" si="74"/>
        <v>570</v>
      </c>
      <c r="Z432" s="19">
        <f t="shared" si="75"/>
        <v>65</v>
      </c>
      <c r="AA432" s="20">
        <f>ABS(S432-SUMPRODUCT(('05B_가정검정'!$A$5:$A$19=B432)*('05B_가정검정'!$B$5:$B$19=C432)*'05B_가정검정'!$E$5:$E$19))</f>
        <v>0.10375827685601591</v>
      </c>
      <c r="AB432" s="20">
        <f t="shared" si="76"/>
        <v>0.10945693663549039</v>
      </c>
    </row>
    <row r="433" spans="1:28">
      <c r="A433" s="15" t="s">
        <v>151</v>
      </c>
      <c r="B433" s="15" t="s">
        <v>122</v>
      </c>
      <c r="C433" s="15" t="s">
        <v>119</v>
      </c>
      <c r="D433" s="16">
        <v>0.31758530183727002</v>
      </c>
      <c r="E433" s="16">
        <v>0.39819004524886897</v>
      </c>
      <c r="F433" s="16">
        <v>0.15525114155251099</v>
      </c>
      <c r="G433" s="16">
        <v>0.27149321266968302</v>
      </c>
      <c r="H433" s="16">
        <v>0.298886333208563</v>
      </c>
      <c r="I433" s="16">
        <v>0.27497334637779902</v>
      </c>
      <c r="J433" s="16">
        <v>0.67594699522639401</v>
      </c>
      <c r="K433" s="16">
        <v>0.64888907242809801</v>
      </c>
      <c r="L433" s="16">
        <v>0.89717795199543005</v>
      </c>
      <c r="M433" s="16">
        <v>0.392405063291139</v>
      </c>
      <c r="N433" s="16">
        <v>0.37692307692307703</v>
      </c>
      <c r="O433" s="16">
        <v>1</v>
      </c>
      <c r="P433" s="17">
        <f t="shared" si="66"/>
        <v>0.28606323014911583</v>
      </c>
      <c r="Q433" s="17">
        <f t="shared" si="67"/>
        <v>0.74067133988330747</v>
      </c>
      <c r="R433" s="17">
        <f t="shared" si="68"/>
        <v>0.58977604673807205</v>
      </c>
      <c r="S433" s="17">
        <f>'02_지표정의'!$C$22*P433+'02_지표정의'!$C$23*Q433+'02_지표정의'!$C$24*R433</f>
        <v>0.59693636533563676</v>
      </c>
      <c r="T433" s="5">
        <f t="shared" si="69"/>
        <v>0</v>
      </c>
      <c r="U433" s="5" t="str">
        <f t="shared" si="70"/>
        <v>특허</v>
      </c>
      <c r="V433" s="18">
        <f t="shared" si="71"/>
        <v>381</v>
      </c>
      <c r="W433" s="5">
        <f t="shared" si="72"/>
        <v>0</v>
      </c>
      <c r="X433" s="5">
        <f t="shared" si="73"/>
        <v>164</v>
      </c>
      <c r="Y433" s="5">
        <f t="shared" si="74"/>
        <v>291</v>
      </c>
      <c r="Z433" s="19">
        <f t="shared" si="75"/>
        <v>14</v>
      </c>
      <c r="AA433" s="20">
        <f>ABS(S433-SUMPRODUCT(('05B_가정검정'!$A$5:$A$19=B433)*('05B_가정검정'!$B$5:$B$19=C433)*'05B_가정검정'!$E$5:$E$19))</f>
        <v>3.8669822565814638E-2</v>
      </c>
      <c r="AB433" s="20">
        <f t="shared" si="76"/>
        <v>-3.4452500979249234E-2</v>
      </c>
    </row>
    <row r="434" spans="1:28">
      <c r="A434" s="15" t="s">
        <v>151</v>
      </c>
      <c r="B434" s="15" t="s">
        <v>123</v>
      </c>
      <c r="C434" s="15" t="s">
        <v>117</v>
      </c>
      <c r="D434" s="16">
        <v>0.27419354838709697</v>
      </c>
      <c r="E434" s="16">
        <v>0.37301587301587302</v>
      </c>
      <c r="F434" s="16">
        <v>0.152</v>
      </c>
      <c r="G434" s="16">
        <v>0.26190476190476197</v>
      </c>
      <c r="H434" s="16">
        <v>0.37992620141472699</v>
      </c>
      <c r="I434" s="16">
        <v>0.18011576229378001</v>
      </c>
      <c r="J434" s="16">
        <v>0.71690339398997105</v>
      </c>
      <c r="K434" s="16">
        <v>0.67413097593561799</v>
      </c>
      <c r="L434" s="16">
        <v>0.87138533128340001</v>
      </c>
      <c r="M434" s="16">
        <v>0.90654205607476601</v>
      </c>
      <c r="N434" s="16">
        <v>0.91666666666666696</v>
      </c>
      <c r="O434" s="16">
        <v>1</v>
      </c>
      <c r="P434" s="17">
        <f t="shared" si="66"/>
        <v>0.27019269116937311</v>
      </c>
      <c r="Q434" s="17">
        <f t="shared" si="67"/>
        <v>0.75413990040299639</v>
      </c>
      <c r="R434" s="17">
        <f t="shared" si="68"/>
        <v>0.94106957424714432</v>
      </c>
      <c r="S434" s="17">
        <f>'02_지표정의'!$C$22*P434+'02_지표정의'!$C$23*Q434+'02_지표정의'!$C$24*R434</f>
        <v>0.72277584440172349</v>
      </c>
      <c r="T434" s="5">
        <f t="shared" si="69"/>
        <v>0</v>
      </c>
      <c r="U434" s="5" t="str">
        <f t="shared" si="70"/>
        <v>특허</v>
      </c>
      <c r="V434" s="18">
        <f t="shared" si="71"/>
        <v>887</v>
      </c>
      <c r="W434" s="5">
        <f t="shared" si="72"/>
        <v>593</v>
      </c>
      <c r="X434" s="5">
        <f t="shared" si="73"/>
        <v>562</v>
      </c>
      <c r="Y434" s="5">
        <f t="shared" si="74"/>
        <v>0</v>
      </c>
      <c r="Z434" s="19">
        <f t="shared" si="75"/>
        <v>46</v>
      </c>
      <c r="AA434" s="20">
        <f>ABS(S434-SUMPRODUCT(('05B_가정검정'!$A$5:$A$19=B434)*('05B_가정검정'!$B$5:$B$19=C434)*'05B_가정검정'!$E$5:$E$19))</f>
        <v>7.8529616254997547E-3</v>
      </c>
      <c r="AB434" s="20">
        <f t="shared" si="76"/>
        <v>1.4790392590480317E-2</v>
      </c>
    </row>
    <row r="435" spans="1:28">
      <c r="A435" s="15" t="s">
        <v>151</v>
      </c>
      <c r="B435" s="15" t="s">
        <v>123</v>
      </c>
      <c r="C435" s="15" t="s">
        <v>118</v>
      </c>
      <c r="D435" s="16">
        <v>0.280323450134771</v>
      </c>
      <c r="E435" s="16">
        <v>0.368253968253968</v>
      </c>
      <c r="F435" s="16">
        <v>0.13418530351437699</v>
      </c>
      <c r="G435" s="16">
        <v>0.26031746031746</v>
      </c>
      <c r="H435" s="16">
        <v>0.27115082937754198</v>
      </c>
      <c r="I435" s="16">
        <v>0.206723105226857</v>
      </c>
      <c r="J435" s="16">
        <v>0.69855880335274101</v>
      </c>
      <c r="K435" s="16">
        <v>0.70640059078097694</v>
      </c>
      <c r="L435" s="16">
        <v>0.87320198524203596</v>
      </c>
      <c r="M435" s="16">
        <v>0.44700460829493099</v>
      </c>
      <c r="N435" s="16">
        <v>0.45454545454545497</v>
      </c>
      <c r="O435" s="16">
        <v>1</v>
      </c>
      <c r="P435" s="17">
        <f t="shared" si="66"/>
        <v>0.25349235280416249</v>
      </c>
      <c r="Q435" s="17">
        <f t="shared" si="67"/>
        <v>0.75938712645858464</v>
      </c>
      <c r="R435" s="17">
        <f t="shared" si="68"/>
        <v>0.63385002094679532</v>
      </c>
      <c r="S435" s="17">
        <f>'02_지표정의'!$C$22*P435+'02_지표정의'!$C$23*Q435+'02_지표정의'!$C$24*R435</f>
        <v>0.61427018479857387</v>
      </c>
      <c r="T435" s="5">
        <f t="shared" si="69"/>
        <v>0</v>
      </c>
      <c r="U435" s="5" t="str">
        <f t="shared" si="70"/>
        <v>특허</v>
      </c>
      <c r="V435" s="18">
        <f t="shared" si="71"/>
        <v>458</v>
      </c>
      <c r="W435" s="5">
        <f t="shared" si="72"/>
        <v>373</v>
      </c>
      <c r="X435" s="5">
        <f t="shared" si="73"/>
        <v>0</v>
      </c>
      <c r="Y435" s="5">
        <f t="shared" si="74"/>
        <v>347</v>
      </c>
      <c r="Z435" s="19">
        <f t="shared" si="75"/>
        <v>59</v>
      </c>
      <c r="AA435" s="20">
        <f>ABS(S435-SUMPRODUCT(('05B_가정검정'!$A$5:$A$19=B435)*('05B_가정검정'!$B$5:$B$19=C435)*'05B_가정검정'!$E$5:$E$19))</f>
        <v>3.8971357919604155E-2</v>
      </c>
      <c r="AB435" s="20">
        <f t="shared" si="76"/>
        <v>5.4398576874082782E-2</v>
      </c>
    </row>
    <row r="436" spans="1:28">
      <c r="A436" s="15" t="s">
        <v>151</v>
      </c>
      <c r="B436" s="15" t="s">
        <v>123</v>
      </c>
      <c r="C436" s="15" t="s">
        <v>119</v>
      </c>
      <c r="D436" s="16">
        <v>0.31770833333333298</v>
      </c>
      <c r="E436" s="16">
        <v>0.45871559633027498</v>
      </c>
      <c r="F436" s="16">
        <v>0.21296296296296299</v>
      </c>
      <c r="G436" s="16">
        <v>0.33027522935779802</v>
      </c>
      <c r="H436" s="16">
        <v>0.433147655850737</v>
      </c>
      <c r="I436" s="16">
        <v>0.27639933795720301</v>
      </c>
      <c r="J436" s="16">
        <v>0.72036015289609601</v>
      </c>
      <c r="K436" s="16">
        <v>0.71086743175899603</v>
      </c>
      <c r="L436" s="16">
        <v>0.89148057103365397</v>
      </c>
      <c r="M436" s="16">
        <v>0.90654205607476601</v>
      </c>
      <c r="N436" s="16">
        <v>0.91666666666666696</v>
      </c>
      <c r="O436" s="16">
        <v>1</v>
      </c>
      <c r="P436" s="17">
        <f t="shared" si="66"/>
        <v>0.33820151929871817</v>
      </c>
      <c r="Q436" s="17">
        <f t="shared" si="67"/>
        <v>0.77423605189624867</v>
      </c>
      <c r="R436" s="17">
        <f t="shared" si="68"/>
        <v>0.94106957424714432</v>
      </c>
      <c r="S436" s="17">
        <f>'02_지표정의'!$C$22*P436+'02_지표정의'!$C$23*Q436+'02_지표정의'!$C$24*R436</f>
        <v>0.74542087819955594</v>
      </c>
      <c r="T436" s="5">
        <f t="shared" si="69"/>
        <v>1</v>
      </c>
      <c r="U436" s="5" t="str">
        <f t="shared" si="70"/>
        <v>특허</v>
      </c>
      <c r="V436" s="18">
        <f t="shared" si="71"/>
        <v>943</v>
      </c>
      <c r="W436" s="5">
        <f t="shared" si="72"/>
        <v>0</v>
      </c>
      <c r="X436" s="5">
        <f t="shared" si="73"/>
        <v>618</v>
      </c>
      <c r="Y436" s="5">
        <f t="shared" si="74"/>
        <v>627</v>
      </c>
      <c r="Z436" s="19">
        <f t="shared" si="75"/>
        <v>55</v>
      </c>
      <c r="AA436" s="20">
        <f>ABS(S436-SUMPRODUCT(('05B_가정검정'!$A$5:$A$19=B436)*('05B_가정검정'!$B$5:$B$19=C436)*'05B_가정검정'!$E$5:$E$19))</f>
        <v>5.9791080875328584E-2</v>
      </c>
      <c r="AB436" s="20">
        <f t="shared" si="76"/>
        <v>6.3002145154554157E-2</v>
      </c>
    </row>
    <row r="437" spans="1:28">
      <c r="A437" s="15" t="s">
        <v>152</v>
      </c>
      <c r="B437" s="15" t="s">
        <v>116</v>
      </c>
      <c r="C437" s="15" t="s">
        <v>117</v>
      </c>
      <c r="D437" s="16">
        <v>0.23201856148491901</v>
      </c>
      <c r="E437" s="16">
        <v>0.302439024390244</v>
      </c>
      <c r="F437" s="16">
        <v>0.118226600985222</v>
      </c>
      <c r="G437" s="16">
        <v>0.25365853658536602</v>
      </c>
      <c r="H437" s="16">
        <v>0.290238311764283</v>
      </c>
      <c r="I437" s="16">
        <v>0.40957182631189898</v>
      </c>
      <c r="J437" s="16">
        <v>0.62128460842977595</v>
      </c>
      <c r="K437" s="16">
        <v>0.61729385932250802</v>
      </c>
      <c r="L437" s="16">
        <v>0.76670695617238205</v>
      </c>
      <c r="M437" s="16">
        <v>0.40151515151515199</v>
      </c>
      <c r="N437" s="16">
        <v>5.8064516129032302E-2</v>
      </c>
      <c r="O437" s="16">
        <v>1</v>
      </c>
      <c r="P437" s="17">
        <f t="shared" si="66"/>
        <v>0.26769214358698884</v>
      </c>
      <c r="Q437" s="17">
        <f t="shared" si="67"/>
        <v>0.6684284746415553</v>
      </c>
      <c r="R437" s="17">
        <f t="shared" si="68"/>
        <v>0.48652655588139476</v>
      </c>
      <c r="S437" s="17">
        <f>'02_지표정의'!$C$22*P437+'02_지표정의'!$C$23*Q437+'02_지표정의'!$C$24*R437</f>
        <v>0.52461553686458584</v>
      </c>
      <c r="T437" s="5">
        <f t="shared" si="69"/>
        <v>0</v>
      </c>
      <c r="U437" s="5" t="str">
        <f t="shared" si="70"/>
        <v>특허</v>
      </c>
      <c r="V437" s="18">
        <f t="shared" si="71"/>
        <v>115</v>
      </c>
      <c r="W437" s="5">
        <f t="shared" si="72"/>
        <v>104</v>
      </c>
      <c r="X437" s="5">
        <f t="shared" si="73"/>
        <v>22</v>
      </c>
      <c r="Y437" s="5">
        <f t="shared" si="74"/>
        <v>0</v>
      </c>
      <c r="Z437" s="19">
        <f t="shared" si="75"/>
        <v>10</v>
      </c>
      <c r="AA437" s="20">
        <f>ABS(S437-SUMPRODUCT(('05B_가정검정'!$A$5:$A$19=B437)*('05B_가정검정'!$B$5:$B$19=C437)*'05B_가정검정'!$E$5:$E$19))</f>
        <v>3.2788168120381433E-2</v>
      </c>
      <c r="AB437" s="20">
        <f t="shared" si="76"/>
        <v>-2.793562854803755E-2</v>
      </c>
    </row>
    <row r="438" spans="1:28">
      <c r="A438" s="15" t="s">
        <v>152</v>
      </c>
      <c r="B438" s="15" t="s">
        <v>116</v>
      </c>
      <c r="C438" s="15" t="s">
        <v>118</v>
      </c>
      <c r="D438" s="16">
        <v>0.22720897615708299</v>
      </c>
      <c r="E438" s="16">
        <v>0.41071428571428598</v>
      </c>
      <c r="F438" s="16">
        <v>0.19819819819819801</v>
      </c>
      <c r="G438" s="16">
        <v>0.40178571428571402</v>
      </c>
      <c r="H438" s="16">
        <v>0.29232119534641798</v>
      </c>
      <c r="I438" s="16">
        <v>0.32882455871947402</v>
      </c>
      <c r="J438" s="16">
        <v>0.66807126421220897</v>
      </c>
      <c r="K438" s="16">
        <v>0.65202117145091099</v>
      </c>
      <c r="L438" s="16">
        <v>0.81564714393298499</v>
      </c>
      <c r="M438" s="16">
        <v>0.546268656716418</v>
      </c>
      <c r="N438" s="16">
        <v>0</v>
      </c>
      <c r="O438" s="16">
        <v>0.52631578947368396</v>
      </c>
      <c r="P438" s="17">
        <f t="shared" si="66"/>
        <v>0.30984215473686216</v>
      </c>
      <c r="Q438" s="17">
        <f t="shared" si="67"/>
        <v>0.71191319319870161</v>
      </c>
      <c r="R438" s="17">
        <f t="shared" si="68"/>
        <v>0.35752814873003397</v>
      </c>
      <c r="S438" s="17">
        <f>'02_지표정의'!$C$22*P438+'02_지표정의'!$C$23*Q438+'02_지표정의'!$C$24*R438</f>
        <v>0.50746421994230007</v>
      </c>
      <c r="T438" s="5">
        <f t="shared" si="69"/>
        <v>0</v>
      </c>
      <c r="U438" s="5" t="str">
        <f t="shared" si="70"/>
        <v>특허</v>
      </c>
      <c r="V438" s="18">
        <f t="shared" si="71"/>
        <v>61</v>
      </c>
      <c r="W438" s="5">
        <f t="shared" si="72"/>
        <v>54</v>
      </c>
      <c r="X438" s="5">
        <f t="shared" si="73"/>
        <v>0</v>
      </c>
      <c r="Y438" s="5">
        <f t="shared" si="74"/>
        <v>54</v>
      </c>
      <c r="Z438" s="19">
        <f t="shared" si="75"/>
        <v>25</v>
      </c>
      <c r="AA438" s="20">
        <f>ABS(S438-SUMPRODUCT(('05B_가정검정'!$A$5:$A$19=B438)*('05B_가정검정'!$B$5:$B$19=C438)*'05B_가정검정'!$E$5:$E$19))</f>
        <v>2.3828201759421574E-2</v>
      </c>
      <c r="AB438" s="20">
        <f t="shared" si="76"/>
        <v>-2.0084812436286237E-2</v>
      </c>
    </row>
    <row r="439" spans="1:28">
      <c r="A439" s="15" t="s">
        <v>152</v>
      </c>
      <c r="B439" s="15" t="s">
        <v>116</v>
      </c>
      <c r="C439" s="15" t="s">
        <v>119</v>
      </c>
      <c r="D439" s="16">
        <v>0.236914600550964</v>
      </c>
      <c r="E439" s="16">
        <v>0.34</v>
      </c>
      <c r="F439" s="16">
        <v>0.15151515151515199</v>
      </c>
      <c r="G439" s="16">
        <v>0.26</v>
      </c>
      <c r="H439" s="16">
        <v>0.30701260662159602</v>
      </c>
      <c r="I439" s="16">
        <v>0.39612967087204998</v>
      </c>
      <c r="J439" s="16">
        <v>0.67070293397768399</v>
      </c>
      <c r="K439" s="16">
        <v>0.58876855450509902</v>
      </c>
      <c r="L439" s="16">
        <v>0.81353378523369901</v>
      </c>
      <c r="M439" s="16">
        <v>0.35227272727272702</v>
      </c>
      <c r="N439" s="16">
        <v>0.12258064516129</v>
      </c>
      <c r="O439" s="16">
        <v>1</v>
      </c>
      <c r="P439" s="17">
        <f t="shared" si="66"/>
        <v>0.28192867159329366</v>
      </c>
      <c r="Q439" s="17">
        <f t="shared" si="67"/>
        <v>0.69100175790549401</v>
      </c>
      <c r="R439" s="17">
        <f t="shared" si="68"/>
        <v>0.49161779081133899</v>
      </c>
      <c r="S439" s="17">
        <f>'02_지표정의'!$C$22*P439+'02_지표정의'!$C$23*Q439+'02_지표정의'!$C$24*R439</f>
        <v>0.5394027521600997</v>
      </c>
      <c r="T439" s="5">
        <f t="shared" si="69"/>
        <v>0</v>
      </c>
      <c r="U439" s="5" t="str">
        <f t="shared" si="70"/>
        <v>특허</v>
      </c>
      <c r="V439" s="18">
        <f t="shared" si="71"/>
        <v>165</v>
      </c>
      <c r="W439" s="5">
        <f t="shared" si="72"/>
        <v>0</v>
      </c>
      <c r="X439" s="5">
        <f t="shared" si="73"/>
        <v>38</v>
      </c>
      <c r="Y439" s="5">
        <f t="shared" si="74"/>
        <v>149</v>
      </c>
      <c r="Z439" s="19">
        <f t="shared" si="75"/>
        <v>17</v>
      </c>
      <c r="AA439" s="20">
        <f>ABS(S439-SUMPRODUCT(('05B_가정검정'!$A$5:$A$19=B439)*('05B_가정검정'!$B$5:$B$19=C439)*'05B_가정검정'!$E$5:$E$19))</f>
        <v>1.3620764582682909E-2</v>
      </c>
      <c r="AB439" s="20">
        <f t="shared" si="76"/>
        <v>-1.7049731516080358E-2</v>
      </c>
    </row>
    <row r="440" spans="1:28">
      <c r="A440" s="15" t="s">
        <v>152</v>
      </c>
      <c r="B440" s="15" t="s">
        <v>120</v>
      </c>
      <c r="C440" s="15" t="s">
        <v>117</v>
      </c>
      <c r="D440" s="16">
        <v>0.24761904761904799</v>
      </c>
      <c r="E440" s="16">
        <v>0.30909090909090903</v>
      </c>
      <c r="F440" s="16">
        <v>0.11009174311926601</v>
      </c>
      <c r="G440" s="16">
        <v>0.236363636363636</v>
      </c>
      <c r="H440" s="16">
        <v>0.29339682643346898</v>
      </c>
      <c r="I440" s="16">
        <v>0.33812200072749399</v>
      </c>
      <c r="J440" s="16">
        <v>0.73203123159993599</v>
      </c>
      <c r="K440" s="16">
        <v>0.69802084539499998</v>
      </c>
      <c r="L440" s="16">
        <v>0.81582469205024599</v>
      </c>
      <c r="M440" s="16">
        <v>0.63945578231292499</v>
      </c>
      <c r="N440" s="16">
        <v>0.67142857142857204</v>
      </c>
      <c r="O440" s="16">
        <v>1</v>
      </c>
      <c r="P440" s="17">
        <f t="shared" si="66"/>
        <v>0.25578069389230368</v>
      </c>
      <c r="Q440" s="17">
        <f t="shared" si="67"/>
        <v>0.74862558968172743</v>
      </c>
      <c r="R440" s="17">
        <f t="shared" si="68"/>
        <v>0.77029478458049905</v>
      </c>
      <c r="S440" s="17">
        <f>'02_지표정의'!$C$22*P440+'02_지표정의'!$C$23*Q440+'02_지표정의'!$C$24*R440</f>
        <v>0.65764082873841279</v>
      </c>
      <c r="T440" s="5">
        <f t="shared" si="69"/>
        <v>0</v>
      </c>
      <c r="U440" s="5" t="str">
        <f t="shared" si="70"/>
        <v>특허</v>
      </c>
      <c r="V440" s="18">
        <f t="shared" si="71"/>
        <v>657</v>
      </c>
      <c r="W440" s="5">
        <f t="shared" si="72"/>
        <v>489</v>
      </c>
      <c r="X440" s="5">
        <f t="shared" si="73"/>
        <v>338</v>
      </c>
      <c r="Y440" s="5">
        <f t="shared" si="74"/>
        <v>0</v>
      </c>
      <c r="Z440" s="19">
        <f t="shared" si="75"/>
        <v>54</v>
      </c>
      <c r="AA440" s="20">
        <f>ABS(S440-SUMPRODUCT(('05B_가정검정'!$A$5:$A$19=B440)*('05B_가정검정'!$B$5:$B$19=C440)*'05B_가정검정'!$E$5:$E$19))</f>
        <v>2.9591868681291711E-2</v>
      </c>
      <c r="AB440" s="20">
        <f t="shared" si="76"/>
        <v>2.6338125313655647E-2</v>
      </c>
    </row>
    <row r="441" spans="1:28">
      <c r="A441" s="15" t="s">
        <v>152</v>
      </c>
      <c r="B441" s="15" t="s">
        <v>120</v>
      </c>
      <c r="C441" s="15" t="s">
        <v>118</v>
      </c>
      <c r="D441" s="16">
        <v>0.24874371859296501</v>
      </c>
      <c r="E441" s="16">
        <v>0.24267782426778201</v>
      </c>
      <c r="F441" s="16">
        <v>9.2827004219409301E-2</v>
      </c>
      <c r="G441" s="16">
        <v>0.21757322175732199</v>
      </c>
      <c r="H441" s="16">
        <v>0.22042908188625901</v>
      </c>
      <c r="I441" s="16">
        <v>0.27353366925275702</v>
      </c>
      <c r="J441" s="16">
        <v>0.70388745600009195</v>
      </c>
      <c r="K441" s="16">
        <v>0.66388262026856304</v>
      </c>
      <c r="L441" s="16">
        <v>0.82806699309583998</v>
      </c>
      <c r="M441" s="16">
        <v>0.33134328358208998</v>
      </c>
      <c r="N441" s="16">
        <v>0.328358208955224</v>
      </c>
      <c r="O441" s="16">
        <v>0.52631578947368396</v>
      </c>
      <c r="P441" s="17">
        <f t="shared" si="66"/>
        <v>0.21596408666274905</v>
      </c>
      <c r="Q441" s="17">
        <f t="shared" si="67"/>
        <v>0.73194568978816499</v>
      </c>
      <c r="R441" s="17">
        <f t="shared" si="68"/>
        <v>0.3953390940036659</v>
      </c>
      <c r="S441" s="17">
        <f>'02_지표정의'!$C$22*P441+'02_지표정의'!$C$23*Q441+'02_지표정의'!$C$24*R441</f>
        <v>0.51093706063850708</v>
      </c>
      <c r="T441" s="5">
        <f t="shared" si="69"/>
        <v>0</v>
      </c>
      <c r="U441" s="5" t="str">
        <f t="shared" si="70"/>
        <v>특허</v>
      </c>
      <c r="V441" s="18">
        <f t="shared" si="71"/>
        <v>69</v>
      </c>
      <c r="W441" s="5">
        <f t="shared" si="72"/>
        <v>61</v>
      </c>
      <c r="X441" s="5">
        <f t="shared" si="73"/>
        <v>0</v>
      </c>
      <c r="Y441" s="5">
        <f t="shared" si="74"/>
        <v>62</v>
      </c>
      <c r="Z441" s="19">
        <f t="shared" si="75"/>
        <v>6</v>
      </c>
      <c r="AA441" s="20">
        <f>ABS(S441-SUMPRODUCT(('05B_가정검정'!$A$5:$A$19=B441)*('05B_가정검정'!$B$5:$B$19=C441)*'05B_가정검정'!$E$5:$E$19))</f>
        <v>7.9891787943120907E-2</v>
      </c>
      <c r="AB441" s="20">
        <f t="shared" si="76"/>
        <v>-6.3953715323603721E-2</v>
      </c>
    </row>
    <row r="442" spans="1:28">
      <c r="A442" s="15" t="s">
        <v>152</v>
      </c>
      <c r="B442" s="15" t="s">
        <v>120</v>
      </c>
      <c r="C442" s="15" t="s">
        <v>119</v>
      </c>
      <c r="D442" s="16">
        <v>0.25957972805933299</v>
      </c>
      <c r="E442" s="16">
        <v>0.46511627906976699</v>
      </c>
      <c r="F442" s="16">
        <v>0.18779342723004699</v>
      </c>
      <c r="G442" s="16">
        <v>0.334883720930233</v>
      </c>
      <c r="H442" s="16">
        <v>0.34924006273392599</v>
      </c>
      <c r="I442" s="16">
        <v>0.485675307998651</v>
      </c>
      <c r="J442" s="16">
        <v>0.72878403245247703</v>
      </c>
      <c r="K442" s="16">
        <v>0.68365959584554703</v>
      </c>
      <c r="L442" s="16">
        <v>0.87717250891485499</v>
      </c>
      <c r="M442" s="16">
        <v>0.76576576576576605</v>
      </c>
      <c r="N442" s="16">
        <v>0.79032258064516103</v>
      </c>
      <c r="O442" s="16">
        <v>1</v>
      </c>
      <c r="P442" s="17">
        <f t="shared" si="66"/>
        <v>0.34704808767032619</v>
      </c>
      <c r="Q442" s="17">
        <f t="shared" si="67"/>
        <v>0.76320537907095964</v>
      </c>
      <c r="R442" s="17">
        <f t="shared" si="68"/>
        <v>0.85202944880364229</v>
      </c>
      <c r="S442" s="17">
        <f>'02_지표정의'!$C$22*P442+'02_지표정의'!$C$23*Q442+'02_지표정의'!$C$24*R442</f>
        <v>0.71106234519727196</v>
      </c>
      <c r="T442" s="5">
        <f t="shared" si="69"/>
        <v>0</v>
      </c>
      <c r="U442" s="5" t="str">
        <f t="shared" si="70"/>
        <v>특허</v>
      </c>
      <c r="V442" s="18">
        <f t="shared" si="71"/>
        <v>848</v>
      </c>
      <c r="W442" s="5">
        <f t="shared" si="72"/>
        <v>0</v>
      </c>
      <c r="X442" s="5">
        <f t="shared" si="73"/>
        <v>523</v>
      </c>
      <c r="Y442" s="5">
        <f t="shared" si="74"/>
        <v>610</v>
      </c>
      <c r="Z442" s="19">
        <f t="shared" si="75"/>
        <v>64</v>
      </c>
      <c r="AA442" s="20">
        <f>ABS(S442-SUMPRODUCT(('05B_가정검정'!$A$5:$A$19=B442)*('05B_가정검정'!$B$5:$B$19=C442)*'05B_가정검정'!$E$5:$E$19))</f>
        <v>4.738502871588568E-2</v>
      </c>
      <c r="AB442" s="20">
        <f t="shared" si="76"/>
        <v>5.2639337686456344E-2</v>
      </c>
    </row>
    <row r="443" spans="1:28">
      <c r="A443" s="15" t="s">
        <v>152</v>
      </c>
      <c r="B443" s="15" t="s">
        <v>121</v>
      </c>
      <c r="C443" s="15" t="s">
        <v>117</v>
      </c>
      <c r="D443" s="16">
        <v>0.26616915422885601</v>
      </c>
      <c r="E443" s="16">
        <v>0.34254143646408802</v>
      </c>
      <c r="F443" s="16">
        <v>0.14525139664804501</v>
      </c>
      <c r="G443" s="16">
        <v>0.25414364640884002</v>
      </c>
      <c r="H443" s="16">
        <v>0.26685069604376099</v>
      </c>
      <c r="I443" s="16">
        <v>0.41767523167467102</v>
      </c>
      <c r="J443" s="16">
        <v>0.72692813319968996</v>
      </c>
      <c r="K443" s="16">
        <v>0.78804446598675204</v>
      </c>
      <c r="L443" s="16">
        <v>0.91021707140438701</v>
      </c>
      <c r="M443" s="16">
        <v>0.65986394557823103</v>
      </c>
      <c r="N443" s="16">
        <v>0.78571428571428603</v>
      </c>
      <c r="O443" s="16">
        <v>1</v>
      </c>
      <c r="P443" s="17">
        <f t="shared" si="66"/>
        <v>0.28210526024471022</v>
      </c>
      <c r="Q443" s="17">
        <f t="shared" si="67"/>
        <v>0.80839655686360967</v>
      </c>
      <c r="R443" s="17">
        <f t="shared" si="68"/>
        <v>0.81519274376417228</v>
      </c>
      <c r="S443" s="17">
        <f>'02_지표정의'!$C$22*P443+'02_지표정의'!$C$23*Q443+'02_지표정의'!$C$24*R443</f>
        <v>0.70551696295502664</v>
      </c>
      <c r="T443" s="5">
        <f t="shared" si="69"/>
        <v>1</v>
      </c>
      <c r="U443" s="5" t="str">
        <f t="shared" si="70"/>
        <v>특허</v>
      </c>
      <c r="V443" s="18">
        <f t="shared" si="71"/>
        <v>835</v>
      </c>
      <c r="W443" s="5">
        <f t="shared" si="72"/>
        <v>558</v>
      </c>
      <c r="X443" s="5">
        <f t="shared" si="73"/>
        <v>510</v>
      </c>
      <c r="Y443" s="5">
        <f t="shared" si="74"/>
        <v>0</v>
      </c>
      <c r="Z443" s="19">
        <f t="shared" si="75"/>
        <v>16</v>
      </c>
      <c r="AA443" s="20">
        <f>ABS(S443-SUMPRODUCT(('05B_가정검정'!$A$5:$A$19=B443)*('05B_가정검정'!$B$5:$B$19=C443)*'05B_가정검정'!$E$5:$E$19))</f>
        <v>2.3915108426854514E-2</v>
      </c>
      <c r="AB443" s="20">
        <f t="shared" si="76"/>
        <v>-1.2134830117854323E-2</v>
      </c>
    </row>
    <row r="444" spans="1:28">
      <c r="A444" s="15" t="s">
        <v>152</v>
      </c>
      <c r="B444" s="15" t="s">
        <v>121</v>
      </c>
      <c r="C444" s="15" t="s">
        <v>118</v>
      </c>
      <c r="D444" s="16">
        <v>0.24732824427480901</v>
      </c>
      <c r="E444" s="16">
        <v>0.28000000000000003</v>
      </c>
      <c r="F444" s="16">
        <v>0.11111111111111099</v>
      </c>
      <c r="G444" s="16">
        <v>0.24</v>
      </c>
      <c r="H444" s="16">
        <v>0.203555489417167</v>
      </c>
      <c r="I444" s="16">
        <v>0.34201690256656497</v>
      </c>
      <c r="J444" s="16">
        <v>0.75083423121053205</v>
      </c>
      <c r="K444" s="16">
        <v>0.73420527974133698</v>
      </c>
      <c r="L444" s="16">
        <v>0.87032296591633196</v>
      </c>
      <c r="M444" s="16">
        <v>0.28955223880596997</v>
      </c>
      <c r="N444" s="16">
        <v>0.27611940298507498</v>
      </c>
      <c r="O444" s="16">
        <v>0.52631578947368396</v>
      </c>
      <c r="P444" s="17">
        <f t="shared" si="66"/>
        <v>0.23733529122827532</v>
      </c>
      <c r="Q444" s="17">
        <f t="shared" si="67"/>
        <v>0.78512082562273366</v>
      </c>
      <c r="R444" s="17">
        <f t="shared" si="68"/>
        <v>0.3639958104215763</v>
      </c>
      <c r="S444" s="17">
        <f>'02_지표정의'!$C$22*P444+'02_지표정의'!$C$23*Q444+'02_지표정의'!$C$24*R444</f>
        <v>0.52816996342343692</v>
      </c>
      <c r="T444" s="5">
        <f t="shared" si="69"/>
        <v>0</v>
      </c>
      <c r="U444" s="5" t="str">
        <f t="shared" si="70"/>
        <v>특허</v>
      </c>
      <c r="V444" s="18">
        <f t="shared" si="71"/>
        <v>126</v>
      </c>
      <c r="W444" s="5">
        <f t="shared" si="72"/>
        <v>113</v>
      </c>
      <c r="X444" s="5">
        <f t="shared" si="73"/>
        <v>0</v>
      </c>
      <c r="Y444" s="5">
        <f t="shared" si="74"/>
        <v>114</v>
      </c>
      <c r="Z444" s="19">
        <f t="shared" si="75"/>
        <v>13</v>
      </c>
      <c r="AA444" s="20">
        <f>ABS(S444-SUMPRODUCT(('05B_가정검정'!$A$5:$A$19=B444)*('05B_가정검정'!$B$5:$B$19=C444)*'05B_가정검정'!$E$5:$E$19))</f>
        <v>7.0409526743531514E-2</v>
      </c>
      <c r="AB444" s="20">
        <f t="shared" si="76"/>
        <v>-5.1229111103376357E-2</v>
      </c>
    </row>
    <row r="445" spans="1:28">
      <c r="A445" s="15" t="s">
        <v>152</v>
      </c>
      <c r="B445" s="15" t="s">
        <v>121</v>
      </c>
      <c r="C445" s="15" t="s">
        <v>119</v>
      </c>
      <c r="D445" s="16">
        <v>0.28443113772455098</v>
      </c>
      <c r="E445" s="16">
        <v>0.48863636363636398</v>
      </c>
      <c r="F445" s="16">
        <v>0.229885057471264</v>
      </c>
      <c r="G445" s="16">
        <v>0.36363636363636398</v>
      </c>
      <c r="H445" s="16">
        <v>0.34790389343502198</v>
      </c>
      <c r="I445" s="16">
        <v>0.48343963105740501</v>
      </c>
      <c r="J445" s="16">
        <v>0.75031953765655202</v>
      </c>
      <c r="K445" s="16">
        <v>0.78016714568258305</v>
      </c>
      <c r="L445" s="16">
        <v>0.900612688763475</v>
      </c>
      <c r="M445" s="16">
        <v>0.90654205607476601</v>
      </c>
      <c r="N445" s="16">
        <v>0.91666666666666696</v>
      </c>
      <c r="O445" s="16">
        <v>1</v>
      </c>
      <c r="P445" s="17">
        <f t="shared" si="66"/>
        <v>0.36632207449349502</v>
      </c>
      <c r="Q445" s="17">
        <f t="shared" si="67"/>
        <v>0.81036645736753676</v>
      </c>
      <c r="R445" s="17">
        <f t="shared" si="68"/>
        <v>0.94106957424714432</v>
      </c>
      <c r="S445" s="17">
        <f>'02_지표정의'!$C$22*P445+'02_지표정의'!$C$23*Q445+'02_지표정의'!$C$24*R445</f>
        <v>0.76730367170059099</v>
      </c>
      <c r="T445" s="5">
        <f t="shared" si="69"/>
        <v>0</v>
      </c>
      <c r="U445" s="5" t="str">
        <f t="shared" si="70"/>
        <v>특허</v>
      </c>
      <c r="V445" s="18">
        <f t="shared" si="71"/>
        <v>971</v>
      </c>
      <c r="W445" s="5">
        <f t="shared" si="72"/>
        <v>0</v>
      </c>
      <c r="X445" s="5">
        <f t="shared" si="73"/>
        <v>646</v>
      </c>
      <c r="Y445" s="5">
        <f t="shared" si="74"/>
        <v>646</v>
      </c>
      <c r="Z445" s="19">
        <f t="shared" si="75"/>
        <v>62</v>
      </c>
      <c r="AA445" s="20">
        <f>ABS(S445-SUMPRODUCT(('05B_가정검정'!$A$5:$A$19=B445)*('05B_가정검정'!$B$5:$B$19=C445)*'05B_가정검정'!$E$5:$E$19))</f>
        <v>7.4983828904737315E-2</v>
      </c>
      <c r="AB445" s="20">
        <f t="shared" si="76"/>
        <v>7.9066696280979953E-2</v>
      </c>
    </row>
    <row r="446" spans="1:28">
      <c r="A446" s="15" t="s">
        <v>152</v>
      </c>
      <c r="B446" s="15" t="s">
        <v>122</v>
      </c>
      <c r="C446" s="15" t="s">
        <v>117</v>
      </c>
      <c r="D446" s="16">
        <v>0.27464788732394402</v>
      </c>
      <c r="E446" s="16">
        <v>0.34389140271493202</v>
      </c>
      <c r="F446" s="16">
        <v>0.11872146118721499</v>
      </c>
      <c r="G446" s="16">
        <v>0.28054298642533898</v>
      </c>
      <c r="H446" s="16">
        <v>0.32551958546346399</v>
      </c>
      <c r="I446" s="16">
        <v>0.55297061992992402</v>
      </c>
      <c r="J446" s="16">
        <v>0.72654083931367097</v>
      </c>
      <c r="K446" s="16">
        <v>0.69639147163366599</v>
      </c>
      <c r="L446" s="16">
        <v>0.81767916641356697</v>
      </c>
      <c r="M446" s="16">
        <v>0.699421965317919</v>
      </c>
      <c r="N446" s="16">
        <v>0.67816091954022995</v>
      </c>
      <c r="O446" s="16">
        <v>1</v>
      </c>
      <c r="P446" s="17">
        <f t="shared" si="66"/>
        <v>0.31604899050746965</v>
      </c>
      <c r="Q446" s="17">
        <f t="shared" si="67"/>
        <v>0.74687049245363468</v>
      </c>
      <c r="R446" s="17">
        <f t="shared" si="68"/>
        <v>0.79252762828604961</v>
      </c>
      <c r="S446" s="17">
        <f>'02_지표정의'!$C$22*P446+'02_지표정의'!$C$23*Q446+'02_지표정의'!$C$24*R446</f>
        <v>0.67668618960574689</v>
      </c>
      <c r="T446" s="5">
        <f t="shared" si="69"/>
        <v>0</v>
      </c>
      <c r="U446" s="5" t="str">
        <f t="shared" si="70"/>
        <v>특허</v>
      </c>
      <c r="V446" s="18">
        <f t="shared" si="71"/>
        <v>743</v>
      </c>
      <c r="W446" s="5">
        <f t="shared" si="72"/>
        <v>525</v>
      </c>
      <c r="X446" s="5">
        <f t="shared" si="73"/>
        <v>422</v>
      </c>
      <c r="Y446" s="5">
        <f t="shared" si="74"/>
        <v>0</v>
      </c>
      <c r="Z446" s="19">
        <f t="shared" si="75"/>
        <v>63</v>
      </c>
      <c r="AA446" s="20">
        <f>ABS(S446-SUMPRODUCT(('05B_가정검정'!$A$5:$A$19=B446)*('05B_가정검정'!$B$5:$B$19=C446)*'05B_가정검정'!$E$5:$E$19))</f>
        <v>3.7333234897068412E-2</v>
      </c>
      <c r="AB446" s="20">
        <f t="shared" si="76"/>
        <v>5.3804567416100735E-2</v>
      </c>
    </row>
    <row r="447" spans="1:28">
      <c r="A447" s="15" t="s">
        <v>152</v>
      </c>
      <c r="B447" s="15" t="s">
        <v>122</v>
      </c>
      <c r="C447" s="15" t="s">
        <v>118</v>
      </c>
      <c r="D447" s="16">
        <v>0.34139402560455201</v>
      </c>
      <c r="E447" s="16">
        <v>0.375</v>
      </c>
      <c r="F447" s="16">
        <v>0.151260504201681</v>
      </c>
      <c r="G447" s="16">
        <v>0.3</v>
      </c>
      <c r="H447" s="16">
        <v>0.29948002106438998</v>
      </c>
      <c r="I447" s="16">
        <v>0.48981546487601202</v>
      </c>
      <c r="J447" s="16">
        <v>0.71875200209447798</v>
      </c>
      <c r="K447" s="16">
        <v>0.71863274866036497</v>
      </c>
      <c r="L447" s="16">
        <v>0.87263016279877703</v>
      </c>
      <c r="M447" s="16">
        <v>0.42985074626865699</v>
      </c>
      <c r="N447" s="16">
        <v>0.25373134328358199</v>
      </c>
      <c r="O447" s="16">
        <v>0.52631578947368396</v>
      </c>
      <c r="P447" s="17">
        <f t="shared" si="66"/>
        <v>0.32615833595777249</v>
      </c>
      <c r="Q447" s="17">
        <f t="shared" si="67"/>
        <v>0.77000497118454003</v>
      </c>
      <c r="R447" s="17">
        <f t="shared" si="68"/>
        <v>0.40329929300864098</v>
      </c>
      <c r="S447" s="17">
        <f>'02_지표정의'!$C$22*P447+'02_지표정의'!$C$23*Q447+'02_지표정의'!$C$24*R447</f>
        <v>0.55288865677762189</v>
      </c>
      <c r="T447" s="5">
        <f t="shared" si="69"/>
        <v>1</v>
      </c>
      <c r="U447" s="5" t="str">
        <f t="shared" si="70"/>
        <v>특허</v>
      </c>
      <c r="V447" s="18">
        <f t="shared" si="71"/>
        <v>219</v>
      </c>
      <c r="W447" s="5">
        <f t="shared" si="72"/>
        <v>181</v>
      </c>
      <c r="X447" s="5">
        <f t="shared" si="73"/>
        <v>0</v>
      </c>
      <c r="Y447" s="5">
        <f t="shared" si="74"/>
        <v>188</v>
      </c>
      <c r="Z447" s="19">
        <f t="shared" si="75"/>
        <v>22</v>
      </c>
      <c r="AA447" s="20">
        <f>ABS(S447-SUMPRODUCT(('05B_가정검정'!$A$5:$A$19=B447)*('05B_가정검정'!$B$5:$B$19=C447)*'05B_가정검정'!$E$5:$E$19))</f>
        <v>3.4033279219536361E-2</v>
      </c>
      <c r="AB447" s="20">
        <f t="shared" si="76"/>
        <v>-2.8334619440061881E-2</v>
      </c>
    </row>
    <row r="448" spans="1:28">
      <c r="A448" s="15" t="s">
        <v>152</v>
      </c>
      <c r="B448" s="15" t="s">
        <v>122</v>
      </c>
      <c r="C448" s="15" t="s">
        <v>119</v>
      </c>
      <c r="D448" s="16">
        <v>0.29050279329608902</v>
      </c>
      <c r="E448" s="16">
        <v>0.453703703703704</v>
      </c>
      <c r="F448" s="16">
        <v>0.18691588785046701</v>
      </c>
      <c r="G448" s="16">
        <v>0.31481481481481499</v>
      </c>
      <c r="H448" s="16">
        <v>0.39539311060096499</v>
      </c>
      <c r="I448" s="16">
        <v>0.51999593754019602</v>
      </c>
      <c r="J448" s="16">
        <v>0.726072405031015</v>
      </c>
      <c r="K448" s="16">
        <v>0.68346306098798004</v>
      </c>
      <c r="L448" s="16">
        <v>0.87482426132414903</v>
      </c>
      <c r="M448" s="16">
        <v>0.51445086705202303</v>
      </c>
      <c r="N448" s="16">
        <v>0.56321839080459801</v>
      </c>
      <c r="O448" s="16">
        <v>1</v>
      </c>
      <c r="P448" s="17">
        <f t="shared" si="66"/>
        <v>0.36022104130103932</v>
      </c>
      <c r="Q448" s="17">
        <f t="shared" si="67"/>
        <v>0.76145324244771473</v>
      </c>
      <c r="R448" s="17">
        <f t="shared" si="68"/>
        <v>0.69255641928554035</v>
      </c>
      <c r="S448" s="17">
        <f>'02_지표정의'!$C$22*P448+'02_지표정의'!$C$23*Q448+'02_지표정의'!$C$24*R448</f>
        <v>0.65709291411161863</v>
      </c>
      <c r="T448" s="5">
        <f t="shared" si="69"/>
        <v>0</v>
      </c>
      <c r="U448" s="5" t="str">
        <f t="shared" si="70"/>
        <v>특허</v>
      </c>
      <c r="V448" s="18">
        <f t="shared" si="71"/>
        <v>654</v>
      </c>
      <c r="W448" s="5">
        <f t="shared" si="72"/>
        <v>0</v>
      </c>
      <c r="X448" s="5">
        <f t="shared" si="73"/>
        <v>335</v>
      </c>
      <c r="Y448" s="5">
        <f t="shared" si="74"/>
        <v>486</v>
      </c>
      <c r="Z448" s="19">
        <f t="shared" si="75"/>
        <v>44</v>
      </c>
      <c r="AA448" s="20">
        <f>ABS(S448-SUMPRODUCT(('05B_가정검정'!$A$5:$A$19=B448)*('05B_가정검정'!$B$5:$B$19=C448)*'05B_가정검정'!$E$5:$E$19))</f>
        <v>2.1486726210167229E-2</v>
      </c>
      <c r="AB448" s="20">
        <f t="shared" si="76"/>
        <v>2.5704047796732632E-2</v>
      </c>
    </row>
    <row r="449" spans="1:28">
      <c r="A449" s="15" t="s">
        <v>152</v>
      </c>
      <c r="B449" s="15" t="s">
        <v>123</v>
      </c>
      <c r="C449" s="15" t="s">
        <v>117</v>
      </c>
      <c r="D449" s="16">
        <v>0.25028702640642903</v>
      </c>
      <c r="E449" s="16">
        <v>0.36274509803921601</v>
      </c>
      <c r="F449" s="16">
        <v>0.14851485148514901</v>
      </c>
      <c r="G449" s="16">
        <v>0.32352941176470601</v>
      </c>
      <c r="H449" s="16">
        <v>0.32075979752002098</v>
      </c>
      <c r="I449" s="16">
        <v>0.42877856536668402</v>
      </c>
      <c r="J449" s="16">
        <v>0.73502486014369195</v>
      </c>
      <c r="K449" s="16">
        <v>0.71392309254475705</v>
      </c>
      <c r="L449" s="16">
        <v>0.85832495035877998</v>
      </c>
      <c r="M449" s="16">
        <v>0.65986394557823103</v>
      </c>
      <c r="N449" s="16">
        <v>0.78571428571428603</v>
      </c>
      <c r="O449" s="16">
        <v>1</v>
      </c>
      <c r="P449" s="17">
        <f t="shared" si="66"/>
        <v>0.30576912509703419</v>
      </c>
      <c r="Q449" s="17">
        <f t="shared" si="67"/>
        <v>0.7690909676824097</v>
      </c>
      <c r="R449" s="17">
        <f t="shared" si="68"/>
        <v>0.81519274376417228</v>
      </c>
      <c r="S449" s="17">
        <f>'02_지표정의'!$C$22*P449+'02_지표정의'!$C$23*Q449+'02_지표정의'!$C$24*R449</f>
        <v>0.69256222079395147</v>
      </c>
      <c r="T449" s="5">
        <f t="shared" si="69"/>
        <v>0</v>
      </c>
      <c r="U449" s="5" t="str">
        <f t="shared" si="70"/>
        <v>특허</v>
      </c>
      <c r="V449" s="18">
        <f t="shared" si="71"/>
        <v>794</v>
      </c>
      <c r="W449" s="5">
        <f t="shared" si="72"/>
        <v>546</v>
      </c>
      <c r="X449" s="5">
        <f t="shared" si="73"/>
        <v>469</v>
      </c>
      <c r="Y449" s="5">
        <f t="shared" si="74"/>
        <v>0</v>
      </c>
      <c r="Z449" s="19">
        <f t="shared" si="75"/>
        <v>17</v>
      </c>
      <c r="AA449" s="20">
        <f>ABS(S449-SUMPRODUCT(('05B_가정검정'!$A$5:$A$19=B449)*('05B_가정검정'!$B$5:$B$19=C449)*'05B_가정검정'!$E$5:$E$19))</f>
        <v>2.2360661982272267E-2</v>
      </c>
      <c r="AB449" s="20">
        <f t="shared" si="76"/>
        <v>-1.5423231017291705E-2</v>
      </c>
    </row>
    <row r="450" spans="1:28">
      <c r="A450" s="15" t="s">
        <v>152</v>
      </c>
      <c r="B450" s="15" t="s">
        <v>123</v>
      </c>
      <c r="C450" s="15" t="s">
        <v>118</v>
      </c>
      <c r="D450" s="16">
        <v>0.23822714681440399</v>
      </c>
      <c r="E450" s="16">
        <v>0.30493273542600902</v>
      </c>
      <c r="F450" s="16">
        <v>0.144796380090498</v>
      </c>
      <c r="G450" s="16">
        <v>0.30493273542600902</v>
      </c>
      <c r="H450" s="16">
        <v>0.24193319602011501</v>
      </c>
      <c r="I450" s="16">
        <v>0.338496890028055</v>
      </c>
      <c r="J450" s="16">
        <v>0.71070546160141601</v>
      </c>
      <c r="K450" s="16">
        <v>0.676693249072012</v>
      </c>
      <c r="L450" s="16">
        <v>0.85384690199933899</v>
      </c>
      <c r="M450" s="16">
        <v>0.28955223880596997</v>
      </c>
      <c r="N450" s="16">
        <v>0.27611940298507498</v>
      </c>
      <c r="O450" s="16">
        <v>0.52631578947368396</v>
      </c>
      <c r="P450" s="17">
        <f t="shared" ref="P450:P513" si="77">AVERAGE(D450:I450)</f>
        <v>0.2622198473008483</v>
      </c>
      <c r="Q450" s="17">
        <f t="shared" ref="Q450:Q513" si="78">AVERAGE(J450:L450)</f>
        <v>0.74708187089092226</v>
      </c>
      <c r="R450" s="17">
        <f t="shared" ref="R450:R513" si="79">AVERAGE(M450:O450)</f>
        <v>0.3639958104215763</v>
      </c>
      <c r="S450" s="17">
        <f>'02_지표정의'!$C$22*P450+'02_지표정의'!$C$23*Q450+'02_지표정의'!$C$24*R450</f>
        <v>0.5160293450086364</v>
      </c>
      <c r="T450" s="5">
        <f t="shared" ref="T450:T513" si="80">IF(OR(AND(B450="gemini",C450="gemma"),AND(B450="qwen3_6",C450="qwen"),AND(B450="mistral",C450="ministral")),1,0)</f>
        <v>0</v>
      </c>
      <c r="U450" s="5" t="str">
        <f t="shared" ref="U450:U513" si="81">IF(LEFT(A450,3)="PAT","특허","보고서")</f>
        <v>특허</v>
      </c>
      <c r="V450" s="18">
        <f t="shared" ref="V450:V513" si="82">COUNTIF($S$2:$S$976,"&lt;"&amp;S450)+(COUNTIF($S$2:$S$976,"="&amp;S450)+1)/2</f>
        <v>84</v>
      </c>
      <c r="W450" s="5">
        <f t="shared" ref="W450:W513" si="83">IF(C450="qwen",0,COUNTIFS($C$2:$C$976,"&lt;&gt;qwen",$S$2:$S$976,"&lt;"&amp;S450)+1)</f>
        <v>75</v>
      </c>
      <c r="X450" s="5">
        <f t="shared" ref="X450:X513" si="84">IF(C450="ministral",0,COUNTIFS($C$2:$C$976,"&lt;&gt;ministral",$S$2:$S$976,"&lt;"&amp;S450)+1)</f>
        <v>0</v>
      </c>
      <c r="Y450" s="5">
        <f t="shared" ref="Y450:Y513" si="85">IF(C450="gemma",0,COUNTIFS($C$2:$C$976,"&lt;&gt;gemma",$S$2:$S$976,"&lt;"&amp;S450)+1)</f>
        <v>77</v>
      </c>
      <c r="Z450" s="19">
        <f t="shared" ref="Z450:Z513" si="86">COUNTIFS($B$2:$B$976,B450,$C$2:$C$976,C450,$S$2:$S$976,"&lt;"&amp;S450)+1</f>
        <v>19</v>
      </c>
      <c r="AA450" s="20">
        <f>ABS(S450-SUMPRODUCT(('05B_가정검정'!$A$5:$A$19=B450)*('05B_가정검정'!$B$5:$B$19=C450)*'05B_가정검정'!$E$5:$E$19))</f>
        <v>5.9269481870333318E-2</v>
      </c>
      <c r="AB450" s="20">
        <f t="shared" ref="AB450:AB513" si="87">S450-AVERAGEIFS($S$2:$S$976,$B$2:$B$976,B450,$C$2:$C$976,C450)</f>
        <v>-4.3842262915854691E-2</v>
      </c>
    </row>
    <row r="451" spans="1:28">
      <c r="A451" s="15" t="s">
        <v>152</v>
      </c>
      <c r="B451" s="15" t="s">
        <v>123</v>
      </c>
      <c r="C451" s="15" t="s">
        <v>119</v>
      </c>
      <c r="D451" s="16">
        <v>0.28299319727891198</v>
      </c>
      <c r="E451" s="16">
        <v>0.552763819095477</v>
      </c>
      <c r="F451" s="16">
        <v>0.28426395939086302</v>
      </c>
      <c r="G451" s="16">
        <v>0.42211055276381898</v>
      </c>
      <c r="H451" s="16">
        <v>0.41990996523929502</v>
      </c>
      <c r="I451" s="16">
        <v>0.57032217672711505</v>
      </c>
      <c r="J451" s="16">
        <v>0.72548598135295095</v>
      </c>
      <c r="K451" s="16">
        <v>0.70537176908305199</v>
      </c>
      <c r="L451" s="16">
        <v>0.90026824128421201</v>
      </c>
      <c r="M451" s="16">
        <v>0.90654205607476601</v>
      </c>
      <c r="N451" s="16">
        <v>0.91666666666666696</v>
      </c>
      <c r="O451" s="16">
        <v>1</v>
      </c>
      <c r="P451" s="17">
        <f t="shared" si="77"/>
        <v>0.42206061174924686</v>
      </c>
      <c r="Q451" s="17">
        <f t="shared" si="78"/>
        <v>0.77704199724007161</v>
      </c>
      <c r="R451" s="17">
        <f t="shared" si="79"/>
        <v>0.94106957424714432</v>
      </c>
      <c r="S451" s="17">
        <f>'02_지표정의'!$C$22*P451+'02_지표정의'!$C$23*Q451+'02_지표정의'!$C$24*R451</f>
        <v>0.76345537209438208</v>
      </c>
      <c r="T451" s="5">
        <f t="shared" si="80"/>
        <v>1</v>
      </c>
      <c r="U451" s="5" t="str">
        <f t="shared" si="81"/>
        <v>특허</v>
      </c>
      <c r="V451" s="18">
        <f t="shared" si="82"/>
        <v>970</v>
      </c>
      <c r="W451" s="5">
        <f t="shared" si="83"/>
        <v>0</v>
      </c>
      <c r="X451" s="5">
        <f t="shared" si="84"/>
        <v>645</v>
      </c>
      <c r="Y451" s="5">
        <f t="shared" si="85"/>
        <v>645</v>
      </c>
      <c r="Z451" s="19">
        <f t="shared" si="86"/>
        <v>64</v>
      </c>
      <c r="AA451" s="20">
        <f>ABS(S451-SUMPRODUCT(('05B_가정검정'!$A$5:$A$19=B451)*('05B_가정검정'!$B$5:$B$19=C451)*'05B_가정검정'!$E$5:$E$19))</f>
        <v>7.7825574770154726E-2</v>
      </c>
      <c r="AB451" s="20">
        <f t="shared" si="87"/>
        <v>8.1036639049380299E-2</v>
      </c>
    </row>
    <row r="452" spans="1:28">
      <c r="A452" s="15" t="s">
        <v>153</v>
      </c>
      <c r="B452" s="15" t="s">
        <v>116</v>
      </c>
      <c r="C452" s="15" t="s">
        <v>117</v>
      </c>
      <c r="D452" s="16">
        <v>0.24494649227110599</v>
      </c>
      <c r="E452" s="16">
        <v>0.33644859813084099</v>
      </c>
      <c r="F452" s="16">
        <v>9.4339622641509399E-2</v>
      </c>
      <c r="G452" s="16">
        <v>0.25233644859813098</v>
      </c>
      <c r="H452" s="16">
        <v>0.31064726148448901</v>
      </c>
      <c r="I452" s="16">
        <v>0.199087866841203</v>
      </c>
      <c r="J452" s="16">
        <v>0.67874724219039895</v>
      </c>
      <c r="K452" s="16">
        <v>0.55799250319337201</v>
      </c>
      <c r="L452" s="16">
        <v>0.83309555095325205</v>
      </c>
      <c r="M452" s="16">
        <v>0.35227272727272702</v>
      </c>
      <c r="N452" s="16">
        <v>0.12258064516129</v>
      </c>
      <c r="O452" s="16">
        <v>1</v>
      </c>
      <c r="P452" s="17">
        <f t="shared" si="77"/>
        <v>0.23963438166121323</v>
      </c>
      <c r="Q452" s="17">
        <f t="shared" si="78"/>
        <v>0.68994509877900756</v>
      </c>
      <c r="R452" s="17">
        <f t="shared" si="79"/>
        <v>0.49161779081133899</v>
      </c>
      <c r="S452" s="17">
        <f>'02_지표정의'!$C$22*P452+'02_지표정의'!$C$23*Q452+'02_지표정의'!$C$24*R452</f>
        <v>0.53046839756676467</v>
      </c>
      <c r="T452" s="5">
        <f t="shared" si="80"/>
        <v>0</v>
      </c>
      <c r="U452" s="5" t="str">
        <f t="shared" si="81"/>
        <v>특허</v>
      </c>
      <c r="V452" s="18">
        <f t="shared" si="82"/>
        <v>135</v>
      </c>
      <c r="W452" s="5">
        <f t="shared" si="83"/>
        <v>121</v>
      </c>
      <c r="X452" s="5">
        <f t="shared" si="84"/>
        <v>27</v>
      </c>
      <c r="Y452" s="5">
        <f t="shared" si="85"/>
        <v>0</v>
      </c>
      <c r="Z452" s="19">
        <f t="shared" si="86"/>
        <v>12</v>
      </c>
      <c r="AA452" s="20">
        <f>ABS(S452-SUMPRODUCT(('05B_가정검정'!$A$5:$A$19=B452)*('05B_가정검정'!$B$5:$B$19=C452)*'05B_가정검정'!$E$5:$E$19))</f>
        <v>2.6935307418202603E-2</v>
      </c>
      <c r="AB452" s="20">
        <f t="shared" si="87"/>
        <v>-2.208276784585872E-2</v>
      </c>
    </row>
    <row r="453" spans="1:28">
      <c r="A453" s="15" t="s">
        <v>153</v>
      </c>
      <c r="B453" s="15" t="s">
        <v>116</v>
      </c>
      <c r="C453" s="15" t="s">
        <v>118</v>
      </c>
      <c r="D453" s="16">
        <v>0.27851458885941599</v>
      </c>
      <c r="E453" s="16">
        <v>0.32470588235294101</v>
      </c>
      <c r="F453" s="16">
        <v>8.9834515366430306E-2</v>
      </c>
      <c r="G453" s="16">
        <v>0.244705882352941</v>
      </c>
      <c r="H453" s="16">
        <v>0.26705901310312202</v>
      </c>
      <c r="I453" s="16">
        <v>0.20991261679005599</v>
      </c>
      <c r="J453" s="16">
        <v>0.70411780592245699</v>
      </c>
      <c r="K453" s="16">
        <v>0.62463015605591699</v>
      </c>
      <c r="L453" s="16">
        <v>0.81292329902022598</v>
      </c>
      <c r="M453" s="16">
        <v>0.60409556313993196</v>
      </c>
      <c r="N453" s="16">
        <v>0.27741935483871</v>
      </c>
      <c r="O453" s="16">
        <v>1</v>
      </c>
      <c r="P453" s="17">
        <f t="shared" si="77"/>
        <v>0.23578874980415107</v>
      </c>
      <c r="Q453" s="17">
        <f t="shared" si="78"/>
        <v>0.71389042033286676</v>
      </c>
      <c r="R453" s="17">
        <f t="shared" si="79"/>
        <v>0.627171639326214</v>
      </c>
      <c r="S453" s="17">
        <f>'02_지표정의'!$C$22*P453+'02_지표정의'!$C$23*Q453+'02_지표정의'!$C$24*R453</f>
        <v>0.58791851287479513</v>
      </c>
      <c r="T453" s="5">
        <f t="shared" si="80"/>
        <v>0</v>
      </c>
      <c r="U453" s="5" t="str">
        <f t="shared" si="81"/>
        <v>특허</v>
      </c>
      <c r="V453" s="18">
        <f t="shared" si="82"/>
        <v>344</v>
      </c>
      <c r="W453" s="5">
        <f t="shared" si="83"/>
        <v>281</v>
      </c>
      <c r="X453" s="5">
        <f t="shared" si="84"/>
        <v>0</v>
      </c>
      <c r="Y453" s="5">
        <f t="shared" si="85"/>
        <v>261</v>
      </c>
      <c r="Z453" s="19">
        <f t="shared" si="86"/>
        <v>61</v>
      </c>
      <c r="AA453" s="20">
        <f>ABS(S453-SUMPRODUCT(('05B_가정검정'!$A$5:$A$19=B453)*('05B_가정검정'!$B$5:$B$19=C453)*'05B_가정검정'!$E$5:$E$19))</f>
        <v>5.6626091173073489E-2</v>
      </c>
      <c r="AB453" s="20">
        <f t="shared" si="87"/>
        <v>6.0369480496208827E-2</v>
      </c>
    </row>
    <row r="454" spans="1:28">
      <c r="A454" s="15" t="s">
        <v>153</v>
      </c>
      <c r="B454" s="15" t="s">
        <v>116</v>
      </c>
      <c r="C454" s="15" t="s">
        <v>119</v>
      </c>
      <c r="D454" s="16">
        <v>0.26378896882494002</v>
      </c>
      <c r="E454" s="16">
        <v>0.39862542955326502</v>
      </c>
      <c r="F454" s="16">
        <v>0.14532871972318301</v>
      </c>
      <c r="G454" s="16">
        <v>0.323024054982818</v>
      </c>
      <c r="H454" s="16">
        <v>0.394147989819078</v>
      </c>
      <c r="I454" s="16">
        <v>0.29872378654039899</v>
      </c>
      <c r="J454" s="16">
        <v>0.70159968442099896</v>
      </c>
      <c r="K454" s="16">
        <v>0.57453559395923703</v>
      </c>
      <c r="L454" s="16">
        <v>0.81027638423244297</v>
      </c>
      <c r="M454" s="16">
        <v>0.57196969696969702</v>
      </c>
      <c r="N454" s="16">
        <v>0.380645161290323</v>
      </c>
      <c r="O454" s="16">
        <v>1</v>
      </c>
      <c r="P454" s="17">
        <f t="shared" si="77"/>
        <v>0.3039398249072805</v>
      </c>
      <c r="Q454" s="17">
        <f t="shared" si="78"/>
        <v>0.69547055420422632</v>
      </c>
      <c r="R454" s="17">
        <f t="shared" si="79"/>
        <v>0.65087161942000671</v>
      </c>
      <c r="S454" s="17">
        <f>'02_지표정의'!$C$22*P454+'02_지표정의'!$C$23*Q454+'02_지표정의'!$C$24*R454</f>
        <v>0.60155478117036032</v>
      </c>
      <c r="T454" s="5">
        <f t="shared" si="80"/>
        <v>0</v>
      </c>
      <c r="U454" s="5" t="str">
        <f t="shared" si="81"/>
        <v>특허</v>
      </c>
      <c r="V454" s="18">
        <f t="shared" si="82"/>
        <v>398</v>
      </c>
      <c r="W454" s="5">
        <f t="shared" si="83"/>
        <v>0</v>
      </c>
      <c r="X454" s="5">
        <f t="shared" si="84"/>
        <v>170</v>
      </c>
      <c r="Y454" s="5">
        <f t="shared" si="85"/>
        <v>304</v>
      </c>
      <c r="Z454" s="19">
        <f t="shared" si="86"/>
        <v>56</v>
      </c>
      <c r="AA454" s="20">
        <f>ABS(S454-SUMPRODUCT(('05B_가정검정'!$A$5:$A$19=B454)*('05B_가정검정'!$B$5:$B$19=C454)*'05B_가정검정'!$E$5:$E$19))</f>
        <v>4.8531264427577714E-2</v>
      </c>
      <c r="AB454" s="20">
        <f t="shared" si="87"/>
        <v>4.5102297494180266E-2</v>
      </c>
    </row>
    <row r="455" spans="1:28">
      <c r="A455" s="15" t="s">
        <v>153</v>
      </c>
      <c r="B455" s="15" t="s">
        <v>120</v>
      </c>
      <c r="C455" s="15" t="s">
        <v>117</v>
      </c>
      <c r="D455" s="16">
        <v>0.19875776397515499</v>
      </c>
      <c r="E455" s="16">
        <v>0.27667984189723299</v>
      </c>
      <c r="F455" s="16">
        <v>7.1713147410358599E-2</v>
      </c>
      <c r="G455" s="16">
        <v>0.205533596837945</v>
      </c>
      <c r="H455" s="16">
        <v>0.26678297599478901</v>
      </c>
      <c r="I455" s="16">
        <v>0.131611479253115</v>
      </c>
      <c r="J455" s="16">
        <v>0.69183932304626905</v>
      </c>
      <c r="K455" s="16">
        <v>0.63430965259005401</v>
      </c>
      <c r="L455" s="16">
        <v>0.85634850466588197</v>
      </c>
      <c r="M455" s="16">
        <v>0.64583333333333304</v>
      </c>
      <c r="N455" s="16">
        <v>0.58333333333333304</v>
      </c>
      <c r="O455" s="16">
        <v>1</v>
      </c>
      <c r="P455" s="17">
        <f t="shared" si="77"/>
        <v>0.19184646756143256</v>
      </c>
      <c r="Q455" s="17">
        <f t="shared" si="78"/>
        <v>0.72749916010073512</v>
      </c>
      <c r="R455" s="17">
        <f t="shared" si="79"/>
        <v>0.74305555555555536</v>
      </c>
      <c r="S455" s="17">
        <f>'02_지표정의'!$C$22*P455+'02_지표정의'!$C$23*Q455+'02_지표정의'!$C$24*R455</f>
        <v>0.62581336000206167</v>
      </c>
      <c r="T455" s="5">
        <f t="shared" si="80"/>
        <v>0</v>
      </c>
      <c r="U455" s="5" t="str">
        <f t="shared" si="81"/>
        <v>특허</v>
      </c>
      <c r="V455" s="18">
        <f t="shared" si="82"/>
        <v>512</v>
      </c>
      <c r="W455" s="5">
        <f t="shared" si="83"/>
        <v>414</v>
      </c>
      <c r="X455" s="5">
        <f t="shared" si="84"/>
        <v>225</v>
      </c>
      <c r="Y455" s="5">
        <f t="shared" si="85"/>
        <v>0</v>
      </c>
      <c r="Z455" s="19">
        <f t="shared" si="86"/>
        <v>32</v>
      </c>
      <c r="AA455" s="20">
        <f>ABS(S455-SUMPRODUCT(('05B_가정검정'!$A$5:$A$19=B455)*('05B_가정검정'!$B$5:$B$19=C455)*'05B_가정검정'!$E$5:$E$19))</f>
        <v>2.2356000550594057E-3</v>
      </c>
      <c r="AB455" s="20">
        <f t="shared" si="87"/>
        <v>-5.4893434226954696E-3</v>
      </c>
    </row>
    <row r="456" spans="1:28">
      <c r="A456" s="15" t="s">
        <v>153</v>
      </c>
      <c r="B456" s="15" t="s">
        <v>120</v>
      </c>
      <c r="C456" s="15" t="s">
        <v>118</v>
      </c>
      <c r="D456" s="16">
        <v>0.25028441410694002</v>
      </c>
      <c r="E456" s="16">
        <v>0.28448275862069</v>
      </c>
      <c r="F456" s="16">
        <v>8.2251082251082297E-2</v>
      </c>
      <c r="G456" s="16">
        <v>0.21551724137931</v>
      </c>
      <c r="H456" s="16">
        <v>0.25042450829041102</v>
      </c>
      <c r="I456" s="16">
        <v>0.14972555276253699</v>
      </c>
      <c r="J456" s="16">
        <v>0.70036137085597905</v>
      </c>
      <c r="K456" s="16">
        <v>0.65459908587524196</v>
      </c>
      <c r="L456" s="16">
        <v>0.82272668539035798</v>
      </c>
      <c r="M456" s="16">
        <v>0.47098976109215002</v>
      </c>
      <c r="N456" s="16">
        <v>0.57352941176470595</v>
      </c>
      <c r="O456" s="16">
        <v>1</v>
      </c>
      <c r="P456" s="17">
        <f t="shared" si="77"/>
        <v>0.20544759290182837</v>
      </c>
      <c r="Q456" s="17">
        <f t="shared" si="78"/>
        <v>0.72589571404052633</v>
      </c>
      <c r="R456" s="17">
        <f t="shared" si="79"/>
        <v>0.68150639095228538</v>
      </c>
      <c r="S456" s="17">
        <f>'02_지표정의'!$C$22*P456+'02_지표정의'!$C$23*Q456+'02_지표정의'!$C$24*R456</f>
        <v>0.60626982673190244</v>
      </c>
      <c r="T456" s="5">
        <f t="shared" si="80"/>
        <v>0</v>
      </c>
      <c r="U456" s="5" t="str">
        <f t="shared" si="81"/>
        <v>특허</v>
      </c>
      <c r="V456" s="18">
        <f t="shared" si="82"/>
        <v>416</v>
      </c>
      <c r="W456" s="5">
        <f t="shared" si="83"/>
        <v>337</v>
      </c>
      <c r="X456" s="5">
        <f t="shared" si="84"/>
        <v>0</v>
      </c>
      <c r="Y456" s="5">
        <f t="shared" si="85"/>
        <v>316</v>
      </c>
      <c r="Z456" s="19">
        <f t="shared" si="86"/>
        <v>40</v>
      </c>
      <c r="AA456" s="20">
        <f>ABS(S456-SUMPRODUCT(('05B_가정검정'!$A$5:$A$19=B456)*('05B_가정검정'!$B$5:$B$19=C456)*'05B_가정검정'!$E$5:$E$19))</f>
        <v>1.5440978150274454E-2</v>
      </c>
      <c r="AB456" s="20">
        <f t="shared" si="87"/>
        <v>3.1379050769791639E-2</v>
      </c>
    </row>
    <row r="457" spans="1:28">
      <c r="A457" s="15" t="s">
        <v>153</v>
      </c>
      <c r="B457" s="15" t="s">
        <v>120</v>
      </c>
      <c r="C457" s="15" t="s">
        <v>119</v>
      </c>
      <c r="D457" s="16">
        <v>0.254431699687174</v>
      </c>
      <c r="E457" s="16">
        <v>0.37575757575757601</v>
      </c>
      <c r="F457" s="16">
        <v>0.115853658536585</v>
      </c>
      <c r="G457" s="16">
        <v>0.31515151515151502</v>
      </c>
      <c r="H457" s="16">
        <v>0.36480651113094897</v>
      </c>
      <c r="I457" s="16">
        <v>0.22632602903471299</v>
      </c>
      <c r="J457" s="16">
        <v>0.72052311650796097</v>
      </c>
      <c r="K457" s="16">
        <v>0.65459244706875397</v>
      </c>
      <c r="L457" s="16">
        <v>0.86361614511232099</v>
      </c>
      <c r="M457" s="16">
        <v>0.71005917159763299</v>
      </c>
      <c r="N457" s="16">
        <v>0.64705882352941202</v>
      </c>
      <c r="O457" s="16">
        <v>1</v>
      </c>
      <c r="P457" s="17">
        <f t="shared" si="77"/>
        <v>0.27538783154975199</v>
      </c>
      <c r="Q457" s="17">
        <f t="shared" si="78"/>
        <v>0.74624390289634535</v>
      </c>
      <c r="R457" s="17">
        <f t="shared" si="79"/>
        <v>0.78570599837568167</v>
      </c>
      <c r="S457" s="17">
        <f>'02_지표정의'!$C$22*P457+'02_지표정의'!$C$23*Q457+'02_지표정의'!$C$24*R457</f>
        <v>0.66588442204479437</v>
      </c>
      <c r="T457" s="5">
        <f t="shared" si="80"/>
        <v>0</v>
      </c>
      <c r="U457" s="5" t="str">
        <f t="shared" si="81"/>
        <v>특허</v>
      </c>
      <c r="V457" s="18">
        <f t="shared" si="82"/>
        <v>698</v>
      </c>
      <c r="W457" s="5">
        <f t="shared" si="83"/>
        <v>0</v>
      </c>
      <c r="X457" s="5">
        <f t="shared" si="84"/>
        <v>378</v>
      </c>
      <c r="Y457" s="5">
        <f t="shared" si="85"/>
        <v>513</v>
      </c>
      <c r="Z457" s="19">
        <f t="shared" si="86"/>
        <v>34</v>
      </c>
      <c r="AA457" s="20">
        <f>ABS(S457-SUMPRODUCT(('05B_가정검정'!$A$5:$A$19=B457)*('05B_가정검정'!$B$5:$B$19=C457)*'05B_가정검정'!$E$5:$E$19))</f>
        <v>2.2071055634080849E-3</v>
      </c>
      <c r="AB457" s="20">
        <f t="shared" si="87"/>
        <v>7.4614145339787497E-3</v>
      </c>
    </row>
    <row r="458" spans="1:28">
      <c r="A458" s="15" t="s">
        <v>153</v>
      </c>
      <c r="B458" s="15" t="s">
        <v>121</v>
      </c>
      <c r="C458" s="15" t="s">
        <v>117</v>
      </c>
      <c r="D458" s="16">
        <v>0.25771812080536899</v>
      </c>
      <c r="E458" s="16">
        <v>0.33526011560693603</v>
      </c>
      <c r="F458" s="16">
        <v>0.105263157894737</v>
      </c>
      <c r="G458" s="16">
        <v>0.27745664739884401</v>
      </c>
      <c r="H458" s="16">
        <v>0.31949466352303402</v>
      </c>
      <c r="I458" s="16">
        <v>0.15180879542405701</v>
      </c>
      <c r="J458" s="16">
        <v>0.743854620614675</v>
      </c>
      <c r="K458" s="16">
        <v>0.75133456048085601</v>
      </c>
      <c r="L458" s="16">
        <v>0.88376761990348596</v>
      </c>
      <c r="M458" s="16">
        <v>0.90654205607476601</v>
      </c>
      <c r="N458" s="16">
        <v>0.91666666666666696</v>
      </c>
      <c r="O458" s="16">
        <v>1</v>
      </c>
      <c r="P458" s="17">
        <f t="shared" si="77"/>
        <v>0.24116691677549618</v>
      </c>
      <c r="Q458" s="17">
        <f t="shared" si="78"/>
        <v>0.79298560033300569</v>
      </c>
      <c r="R458" s="17">
        <f t="shared" si="79"/>
        <v>0.94106957424714432</v>
      </c>
      <c r="S458" s="17">
        <f>'02_지표정의'!$C$22*P458+'02_지표정의'!$C$23*Q458+'02_지표정의'!$C$24*R458</f>
        <v>0.73445125449145232</v>
      </c>
      <c r="T458" s="5">
        <f t="shared" si="80"/>
        <v>1</v>
      </c>
      <c r="U458" s="5" t="str">
        <f t="shared" si="81"/>
        <v>특허</v>
      </c>
      <c r="V458" s="18">
        <f t="shared" si="82"/>
        <v>914</v>
      </c>
      <c r="W458" s="5">
        <f t="shared" si="83"/>
        <v>619</v>
      </c>
      <c r="X458" s="5">
        <f t="shared" si="84"/>
        <v>589</v>
      </c>
      <c r="Y458" s="5">
        <f t="shared" si="85"/>
        <v>0</v>
      </c>
      <c r="Z458" s="19">
        <f t="shared" si="86"/>
        <v>42</v>
      </c>
      <c r="AA458" s="20">
        <f>ABS(S458-SUMPRODUCT(('05B_가정검정'!$A$5:$A$19=B458)*('05B_가정검정'!$B$5:$B$19=C458)*'05B_가정검정'!$E$5:$E$19))</f>
        <v>5.0191831095711681E-3</v>
      </c>
      <c r="AB458" s="20">
        <f t="shared" si="87"/>
        <v>1.679946141857136E-2</v>
      </c>
    </row>
    <row r="459" spans="1:28">
      <c r="A459" s="15" t="s">
        <v>153</v>
      </c>
      <c r="B459" s="15" t="s">
        <v>121</v>
      </c>
      <c r="C459" s="15" t="s">
        <v>118</v>
      </c>
      <c r="D459" s="16">
        <v>0.27963525835866299</v>
      </c>
      <c r="E459" s="16">
        <v>0.22916666666666699</v>
      </c>
      <c r="F459" s="16">
        <v>5.7591623036649199E-2</v>
      </c>
      <c r="G459" s="16">
        <v>0.19270833333333301</v>
      </c>
      <c r="H459" s="16">
        <v>0.18848402203137499</v>
      </c>
      <c r="I459" s="16">
        <v>0.155458930714895</v>
      </c>
      <c r="J459" s="16">
        <v>0.74318522784744301</v>
      </c>
      <c r="K459" s="16">
        <v>0.71903857567129303</v>
      </c>
      <c r="L459" s="16">
        <v>0.86824566401842895</v>
      </c>
      <c r="M459" s="16">
        <v>0.33105802047781602</v>
      </c>
      <c r="N459" s="16">
        <v>0.40441176470588203</v>
      </c>
      <c r="O459" s="16">
        <v>1</v>
      </c>
      <c r="P459" s="17">
        <f t="shared" si="77"/>
        <v>0.1838408056902637</v>
      </c>
      <c r="Q459" s="17">
        <f t="shared" si="78"/>
        <v>0.77682315584572159</v>
      </c>
      <c r="R459" s="17">
        <f t="shared" si="79"/>
        <v>0.57848992839456603</v>
      </c>
      <c r="S459" s="17">
        <f>'02_지표정의'!$C$22*P459+'02_지표정의'!$C$23*Q459+'02_지표정의'!$C$24*R459</f>
        <v>0.58881005620672555</v>
      </c>
      <c r="T459" s="5">
        <f t="shared" si="80"/>
        <v>0</v>
      </c>
      <c r="U459" s="5" t="str">
        <f t="shared" si="81"/>
        <v>특허</v>
      </c>
      <c r="V459" s="18">
        <f t="shared" si="82"/>
        <v>347</v>
      </c>
      <c r="W459" s="5">
        <f t="shared" si="83"/>
        <v>282</v>
      </c>
      <c r="X459" s="5">
        <f t="shared" si="84"/>
        <v>0</v>
      </c>
      <c r="Y459" s="5">
        <f t="shared" si="85"/>
        <v>264</v>
      </c>
      <c r="Z459" s="19">
        <f t="shared" si="86"/>
        <v>32</v>
      </c>
      <c r="AA459" s="20">
        <f>ABS(S459-SUMPRODUCT(('05B_가정검정'!$A$5:$A$19=B459)*('05B_가정검정'!$B$5:$B$19=C459)*'05B_가정검정'!$E$5:$E$19))</f>
        <v>9.7694339602428792E-3</v>
      </c>
      <c r="AB459" s="20">
        <f t="shared" si="87"/>
        <v>9.4109816799122781E-3</v>
      </c>
    </row>
    <row r="460" spans="1:28">
      <c r="A460" s="15" t="s">
        <v>153</v>
      </c>
      <c r="B460" s="15" t="s">
        <v>121</v>
      </c>
      <c r="C460" s="15" t="s">
        <v>119</v>
      </c>
      <c r="D460" s="16">
        <v>0.292682926829268</v>
      </c>
      <c r="E460" s="16">
        <v>0.32</v>
      </c>
      <c r="F460" s="16">
        <v>0.120967741935484</v>
      </c>
      <c r="G460" s="16">
        <v>0.26400000000000001</v>
      </c>
      <c r="H460" s="16">
        <v>0.287815303452857</v>
      </c>
      <c r="I460" s="16">
        <v>0.26316263922893302</v>
      </c>
      <c r="J460" s="16">
        <v>0.77357104602910098</v>
      </c>
      <c r="K460" s="16">
        <v>0.755354854755385</v>
      </c>
      <c r="L460" s="16">
        <v>0.88444062418074998</v>
      </c>
      <c r="M460" s="16">
        <v>0.57396449704142005</v>
      </c>
      <c r="N460" s="16">
        <v>0.53921568627451</v>
      </c>
      <c r="O460" s="16">
        <v>1</v>
      </c>
      <c r="P460" s="17">
        <f t="shared" si="77"/>
        <v>0.25810476857442366</v>
      </c>
      <c r="Q460" s="17">
        <f t="shared" si="78"/>
        <v>0.80445550832174539</v>
      </c>
      <c r="R460" s="17">
        <f t="shared" si="79"/>
        <v>0.70439339443864346</v>
      </c>
      <c r="S460" s="17">
        <f>'02_지표정의'!$C$22*P460+'02_지표정의'!$C$23*Q460+'02_지표정의'!$C$24*R460</f>
        <v>0.66016362051319533</v>
      </c>
      <c r="T460" s="5">
        <f t="shared" si="80"/>
        <v>0</v>
      </c>
      <c r="U460" s="5" t="str">
        <f t="shared" si="81"/>
        <v>특허</v>
      </c>
      <c r="V460" s="18">
        <f t="shared" si="82"/>
        <v>673</v>
      </c>
      <c r="W460" s="5">
        <f t="shared" si="83"/>
        <v>0</v>
      </c>
      <c r="X460" s="5">
        <f t="shared" si="84"/>
        <v>354</v>
      </c>
      <c r="Y460" s="5">
        <f t="shared" si="85"/>
        <v>497</v>
      </c>
      <c r="Z460" s="19">
        <f t="shared" si="86"/>
        <v>15</v>
      </c>
      <c r="AA460" s="20">
        <f>ABS(S460-SUMPRODUCT(('05B_가정검정'!$A$5:$A$19=B460)*('05B_가정검정'!$B$5:$B$19=C460)*'05B_가정검정'!$E$5:$E$19))</f>
        <v>3.2156222282658353E-2</v>
      </c>
      <c r="AB460" s="20">
        <f t="shared" si="87"/>
        <v>-2.8073354906415715E-2</v>
      </c>
    </row>
    <row r="461" spans="1:28">
      <c r="A461" s="15" t="s">
        <v>153</v>
      </c>
      <c r="B461" s="15" t="s">
        <v>122</v>
      </c>
      <c r="C461" s="15" t="s">
        <v>117</v>
      </c>
      <c r="D461" s="16">
        <v>0.24566088117490001</v>
      </c>
      <c r="E461" s="16">
        <v>0.36263736263736301</v>
      </c>
      <c r="F461" s="16">
        <v>0.14444444444444501</v>
      </c>
      <c r="G461" s="16">
        <v>0.32967032967033</v>
      </c>
      <c r="H461" s="16">
        <v>0.32558167697440699</v>
      </c>
      <c r="I461" s="16">
        <v>0.17384925115991601</v>
      </c>
      <c r="J461" s="16">
        <v>0.71069587470618001</v>
      </c>
      <c r="K461" s="16">
        <v>0.65924600962128699</v>
      </c>
      <c r="L461" s="16">
        <v>0.86422155222068797</v>
      </c>
      <c r="M461" s="16">
        <v>0.65925925925925899</v>
      </c>
      <c r="N461" s="16">
        <v>0.66216216216216195</v>
      </c>
      <c r="O461" s="16">
        <v>1</v>
      </c>
      <c r="P461" s="17">
        <f t="shared" si="77"/>
        <v>0.26364065767689354</v>
      </c>
      <c r="Q461" s="17">
        <f t="shared" si="78"/>
        <v>0.74472114551605173</v>
      </c>
      <c r="R461" s="17">
        <f t="shared" si="79"/>
        <v>0.77380714047380694</v>
      </c>
      <c r="S461" s="17">
        <f>'02_지표정의'!$C$22*P461+'02_지표정의'!$C$23*Q461+'02_지표정의'!$C$24*R461</f>
        <v>0.65868514618343443</v>
      </c>
      <c r="T461" s="5">
        <f t="shared" si="80"/>
        <v>0</v>
      </c>
      <c r="U461" s="5" t="str">
        <f t="shared" si="81"/>
        <v>특허</v>
      </c>
      <c r="V461" s="18">
        <f t="shared" si="82"/>
        <v>665</v>
      </c>
      <c r="W461" s="5">
        <f t="shared" si="83"/>
        <v>492</v>
      </c>
      <c r="X461" s="5">
        <f t="shared" si="84"/>
        <v>346</v>
      </c>
      <c r="Y461" s="5">
        <f t="shared" si="85"/>
        <v>0</v>
      </c>
      <c r="Z461" s="19">
        <f t="shared" si="86"/>
        <v>51</v>
      </c>
      <c r="AA461" s="20">
        <f>ABS(S461-SUMPRODUCT(('05B_가정검정'!$A$5:$A$19=B461)*('05B_가정검정'!$B$5:$B$19=C461)*'05B_가정검정'!$E$5:$E$19))</f>
        <v>1.9332191474755955E-2</v>
      </c>
      <c r="AB461" s="20">
        <f t="shared" si="87"/>
        <v>3.5803523993788278E-2</v>
      </c>
    </row>
    <row r="462" spans="1:28">
      <c r="A462" s="15" t="s">
        <v>153</v>
      </c>
      <c r="B462" s="15" t="s">
        <v>122</v>
      </c>
      <c r="C462" s="15" t="s">
        <v>118</v>
      </c>
      <c r="D462" s="16">
        <v>0.31117824773413899</v>
      </c>
      <c r="E462" s="16">
        <v>0.27480916030534402</v>
      </c>
      <c r="F462" s="16">
        <v>8.1841432225064001E-2</v>
      </c>
      <c r="G462" s="16">
        <v>0.213740458015267</v>
      </c>
      <c r="H462" s="16">
        <v>0.206568804017254</v>
      </c>
      <c r="I462" s="16">
        <v>0.19163917694433599</v>
      </c>
      <c r="J462" s="16">
        <v>0.68522350742954297</v>
      </c>
      <c r="K462" s="16">
        <v>0.68856342170147</v>
      </c>
      <c r="L462" s="16">
        <v>0.83219644954063099</v>
      </c>
      <c r="M462" s="16">
        <v>0.40614334470989799</v>
      </c>
      <c r="N462" s="16">
        <v>0.34558823529411797</v>
      </c>
      <c r="O462" s="16">
        <v>1</v>
      </c>
      <c r="P462" s="17">
        <f t="shared" si="77"/>
        <v>0.21329621320690065</v>
      </c>
      <c r="Q462" s="17">
        <f t="shared" si="78"/>
        <v>0.73532779289054806</v>
      </c>
      <c r="R462" s="17">
        <f t="shared" si="79"/>
        <v>0.58391052666800525</v>
      </c>
      <c r="S462" s="17">
        <f>'02_지표정의'!$C$22*P462+'02_지표정의'!$C$23*Q462+'02_지표정의'!$C$24*R462</f>
        <v>0.57792543377592864</v>
      </c>
      <c r="T462" s="5">
        <f t="shared" si="80"/>
        <v>1</v>
      </c>
      <c r="U462" s="5" t="str">
        <f t="shared" si="81"/>
        <v>특허</v>
      </c>
      <c r="V462" s="18">
        <f t="shared" si="82"/>
        <v>315</v>
      </c>
      <c r="W462" s="5">
        <f t="shared" si="83"/>
        <v>256</v>
      </c>
      <c r="X462" s="5">
        <f t="shared" si="84"/>
        <v>0</v>
      </c>
      <c r="Y462" s="5">
        <f t="shared" si="85"/>
        <v>240</v>
      </c>
      <c r="Z462" s="19">
        <f t="shared" si="86"/>
        <v>29</v>
      </c>
      <c r="AA462" s="20">
        <f>ABS(S462-SUMPRODUCT(('05B_가정검정'!$A$5:$A$19=B462)*('05B_가정검정'!$B$5:$B$19=C462)*'05B_가정검정'!$E$5:$E$19))</f>
        <v>8.9965022212296075E-3</v>
      </c>
      <c r="AB462" s="20">
        <f t="shared" si="87"/>
        <v>-3.2978424417551278E-3</v>
      </c>
    </row>
    <row r="463" spans="1:28">
      <c r="A463" s="15" t="s">
        <v>153</v>
      </c>
      <c r="B463" s="15" t="s">
        <v>122</v>
      </c>
      <c r="C463" s="15" t="s">
        <v>119</v>
      </c>
      <c r="D463" s="16">
        <v>0.27493261455525603</v>
      </c>
      <c r="E463" s="16">
        <v>0.33976833976833998</v>
      </c>
      <c r="F463" s="16">
        <v>0.13229571984435801</v>
      </c>
      <c r="G463" s="16">
        <v>0.28571428571428598</v>
      </c>
      <c r="H463" s="16">
        <v>0.28873404453731999</v>
      </c>
      <c r="I463" s="16">
        <v>0.22428044713821799</v>
      </c>
      <c r="J463" s="16">
        <v>0.71714261781431299</v>
      </c>
      <c r="K463" s="16">
        <v>0.64754814400767802</v>
      </c>
      <c r="L463" s="16">
        <v>0.81024899554553498</v>
      </c>
      <c r="M463" s="16">
        <v>0.46745562130177498</v>
      </c>
      <c r="N463" s="16">
        <v>0.34313725490196101</v>
      </c>
      <c r="O463" s="16">
        <v>1</v>
      </c>
      <c r="P463" s="17">
        <f t="shared" si="77"/>
        <v>0.25762090859296299</v>
      </c>
      <c r="Q463" s="17">
        <f t="shared" si="78"/>
        <v>0.7249799191225087</v>
      </c>
      <c r="R463" s="17">
        <f t="shared" si="79"/>
        <v>0.60353095873457863</v>
      </c>
      <c r="S463" s="17">
        <f>'02_지표정의'!$C$22*P463+'02_지표정의'!$C$23*Q463+'02_지표정의'!$C$24*R463</f>
        <v>0.58900098088082409</v>
      </c>
      <c r="T463" s="5">
        <f t="shared" si="80"/>
        <v>0</v>
      </c>
      <c r="U463" s="5" t="str">
        <f t="shared" si="81"/>
        <v>특허</v>
      </c>
      <c r="V463" s="18">
        <f t="shared" si="82"/>
        <v>348</v>
      </c>
      <c r="W463" s="5">
        <f t="shared" si="83"/>
        <v>0</v>
      </c>
      <c r="X463" s="5">
        <f t="shared" si="84"/>
        <v>149</v>
      </c>
      <c r="Y463" s="5">
        <f t="shared" si="85"/>
        <v>265</v>
      </c>
      <c r="Z463" s="19">
        <f t="shared" si="86"/>
        <v>9</v>
      </c>
      <c r="AA463" s="20">
        <f>ABS(S463-SUMPRODUCT(('05B_가정검정'!$A$5:$A$19=B463)*('05B_가정검정'!$B$5:$B$19=C463)*'05B_가정검정'!$E$5:$E$19))</f>
        <v>4.6605207020627315E-2</v>
      </c>
      <c r="AB463" s="20">
        <f t="shared" si="87"/>
        <v>-4.2387885434061912E-2</v>
      </c>
    </row>
    <row r="464" spans="1:28">
      <c r="A464" s="15" t="s">
        <v>153</v>
      </c>
      <c r="B464" s="15" t="s">
        <v>123</v>
      </c>
      <c r="C464" s="15" t="s">
        <v>117</v>
      </c>
      <c r="D464" s="16">
        <v>0.22879177377891999</v>
      </c>
      <c r="E464" s="16">
        <v>0.32407407407407401</v>
      </c>
      <c r="F464" s="16">
        <v>0.11214953271028</v>
      </c>
      <c r="G464" s="16">
        <v>0.27777777777777801</v>
      </c>
      <c r="H464" s="16">
        <v>0.353567313662912</v>
      </c>
      <c r="I464" s="16">
        <v>0.142827032589981</v>
      </c>
      <c r="J464" s="16">
        <v>0.70655898969031705</v>
      </c>
      <c r="K464" s="16">
        <v>0.69569285937932801</v>
      </c>
      <c r="L464" s="16">
        <v>0.88797050321256099</v>
      </c>
      <c r="M464" s="16">
        <v>0.90654205607476601</v>
      </c>
      <c r="N464" s="16">
        <v>0.91666666666666696</v>
      </c>
      <c r="O464" s="16">
        <v>1</v>
      </c>
      <c r="P464" s="17">
        <f t="shared" si="77"/>
        <v>0.23986458409899081</v>
      </c>
      <c r="Q464" s="17">
        <f t="shared" si="78"/>
        <v>0.76340745076073535</v>
      </c>
      <c r="R464" s="17">
        <f t="shared" si="79"/>
        <v>0.94106957424714432</v>
      </c>
      <c r="S464" s="17">
        <f>'02_지표정의'!$C$22*P464+'02_지표정의'!$C$23*Q464+'02_지표정의'!$C$24*R464</f>
        <v>0.72088062064862957</v>
      </c>
      <c r="T464" s="5">
        <f t="shared" si="80"/>
        <v>0</v>
      </c>
      <c r="U464" s="5" t="str">
        <f t="shared" si="81"/>
        <v>특허</v>
      </c>
      <c r="V464" s="18">
        <f t="shared" si="82"/>
        <v>885</v>
      </c>
      <c r="W464" s="5">
        <f t="shared" si="83"/>
        <v>592</v>
      </c>
      <c r="X464" s="5">
        <f t="shared" si="84"/>
        <v>560</v>
      </c>
      <c r="Y464" s="5">
        <f t="shared" si="85"/>
        <v>0</v>
      </c>
      <c r="Z464" s="19">
        <f t="shared" si="86"/>
        <v>45</v>
      </c>
      <c r="AA464" s="20">
        <f>ABS(S464-SUMPRODUCT(('05B_가정검정'!$A$5:$A$19=B464)*('05B_가정검정'!$B$5:$B$19=C464)*'05B_가정검정'!$E$5:$E$19))</f>
        <v>5.9577378724058327E-3</v>
      </c>
      <c r="AB464" s="20">
        <f t="shared" si="87"/>
        <v>1.2895168837386395E-2</v>
      </c>
    </row>
    <row r="465" spans="1:28">
      <c r="A465" s="15" t="s">
        <v>153</v>
      </c>
      <c r="B465" s="15" t="s">
        <v>123</v>
      </c>
      <c r="C465" s="15" t="s">
        <v>118</v>
      </c>
      <c r="D465" s="16">
        <v>0.28075253256150501</v>
      </c>
      <c r="E465" s="16">
        <v>0.27634660421545698</v>
      </c>
      <c r="F465" s="16">
        <v>0.108235294117647</v>
      </c>
      <c r="G465" s="16">
        <v>0.201405152224824</v>
      </c>
      <c r="H465" s="16">
        <v>0.21933666893218301</v>
      </c>
      <c r="I465" s="16">
        <v>0.18858715505314</v>
      </c>
      <c r="J465" s="16">
        <v>0.701780940095584</v>
      </c>
      <c r="K465" s="16">
        <v>0.66702140216842498</v>
      </c>
      <c r="L465" s="16">
        <v>0.818651414126222</v>
      </c>
      <c r="M465" s="16">
        <v>0.33105802047781602</v>
      </c>
      <c r="N465" s="16">
        <v>0.40441176470588203</v>
      </c>
      <c r="O465" s="16">
        <v>1</v>
      </c>
      <c r="P465" s="17">
        <f t="shared" si="77"/>
        <v>0.21244390118412601</v>
      </c>
      <c r="Q465" s="17">
        <f t="shared" si="78"/>
        <v>0.72915125213007703</v>
      </c>
      <c r="R465" s="17">
        <f t="shared" si="79"/>
        <v>0.57848992839456603</v>
      </c>
      <c r="S465" s="17">
        <f>'02_지표정의'!$C$22*P465+'02_지표정의'!$C$23*Q465+'02_지표정의'!$C$24*R465</f>
        <v>0.57307831863345804</v>
      </c>
      <c r="T465" s="5">
        <f t="shared" si="80"/>
        <v>0</v>
      </c>
      <c r="U465" s="5" t="str">
        <f t="shared" si="81"/>
        <v>특허</v>
      </c>
      <c r="V465" s="18">
        <f t="shared" si="82"/>
        <v>301</v>
      </c>
      <c r="W465" s="5">
        <f t="shared" si="83"/>
        <v>244</v>
      </c>
      <c r="X465" s="5">
        <f t="shared" si="84"/>
        <v>0</v>
      </c>
      <c r="Y465" s="5">
        <f t="shared" si="85"/>
        <v>232</v>
      </c>
      <c r="Z465" s="19">
        <f t="shared" si="86"/>
        <v>32</v>
      </c>
      <c r="AA465" s="20">
        <f>ABS(S465-SUMPRODUCT(('05B_가정검정'!$A$5:$A$19=B465)*('05B_가정검정'!$B$5:$B$19=C465)*'05B_가정검정'!$E$5:$E$19))</f>
        <v>2.2205082455116765E-3</v>
      </c>
      <c r="AB465" s="20">
        <f t="shared" si="87"/>
        <v>1.3206710708966951E-2</v>
      </c>
    </row>
    <row r="466" spans="1:28">
      <c r="A466" s="15" t="s">
        <v>153</v>
      </c>
      <c r="B466" s="15" t="s">
        <v>123</v>
      </c>
      <c r="C466" s="15" t="s">
        <v>119</v>
      </c>
      <c r="D466" s="16">
        <v>0.2905317769131</v>
      </c>
      <c r="E466" s="16">
        <v>0.38907849829351498</v>
      </c>
      <c r="F466" s="16">
        <v>0.14432989690721701</v>
      </c>
      <c r="G466" s="16">
        <v>0.30034129692832801</v>
      </c>
      <c r="H466" s="16">
        <v>0.36270447148006502</v>
      </c>
      <c r="I466" s="16">
        <v>0.317460197261693</v>
      </c>
      <c r="J466" s="16">
        <v>0.74323584067259796</v>
      </c>
      <c r="K466" s="16">
        <v>0.71425541252491997</v>
      </c>
      <c r="L466" s="16">
        <v>0.88298873181313298</v>
      </c>
      <c r="M466" s="16">
        <v>0.57396449704142005</v>
      </c>
      <c r="N466" s="16">
        <v>0.53921568627451</v>
      </c>
      <c r="O466" s="16">
        <v>1</v>
      </c>
      <c r="P466" s="17">
        <f t="shared" si="77"/>
        <v>0.30074102296398636</v>
      </c>
      <c r="Q466" s="17">
        <f t="shared" si="78"/>
        <v>0.78015999500355038</v>
      </c>
      <c r="R466" s="17">
        <f t="shared" si="79"/>
        <v>0.70439339443864346</v>
      </c>
      <c r="S466" s="17">
        <f>'02_지표정의'!$C$22*P466+'02_지표정의'!$C$23*Q466+'02_지표정의'!$C$24*R466</f>
        <v>0.65775789039792021</v>
      </c>
      <c r="T466" s="5">
        <f t="shared" si="80"/>
        <v>1</v>
      </c>
      <c r="U466" s="5" t="str">
        <f t="shared" si="81"/>
        <v>특허</v>
      </c>
      <c r="V466" s="18">
        <f t="shared" si="82"/>
        <v>658</v>
      </c>
      <c r="W466" s="5">
        <f t="shared" si="83"/>
        <v>0</v>
      </c>
      <c r="X466" s="5">
        <f t="shared" si="84"/>
        <v>339</v>
      </c>
      <c r="Y466" s="5">
        <f t="shared" si="85"/>
        <v>488</v>
      </c>
      <c r="Z466" s="19">
        <f t="shared" si="86"/>
        <v>23</v>
      </c>
      <c r="AA466" s="20">
        <f>ABS(S466-SUMPRODUCT(('05B_가정검정'!$A$5:$A$19=B466)*('05B_가정검정'!$B$5:$B$19=C466)*'05B_가정검정'!$E$5:$E$19))</f>
        <v>2.7871906926307144E-2</v>
      </c>
      <c r="AB466" s="20">
        <f t="shared" si="87"/>
        <v>-2.4660842647081571E-2</v>
      </c>
    </row>
    <row r="467" spans="1:28">
      <c r="A467" s="15" t="s">
        <v>154</v>
      </c>
      <c r="B467" s="15" t="s">
        <v>116</v>
      </c>
      <c r="C467" s="15" t="s">
        <v>117</v>
      </c>
      <c r="D467" s="16">
        <v>0.24089635854341701</v>
      </c>
      <c r="E467" s="16">
        <v>0.36286919831223602</v>
      </c>
      <c r="F467" s="16">
        <v>0.14468085106383</v>
      </c>
      <c r="G467" s="16">
        <v>0.27004219409282698</v>
      </c>
      <c r="H467" s="16">
        <v>0.23068586844119501</v>
      </c>
      <c r="I467" s="16">
        <v>0.26963859458249501</v>
      </c>
      <c r="J467" s="16">
        <v>0.60473440585445204</v>
      </c>
      <c r="K467" s="16">
        <v>0.64675027274153296</v>
      </c>
      <c r="L467" s="16">
        <v>0.78253238145884996</v>
      </c>
      <c r="M467" s="16">
        <v>0.51515151515151503</v>
      </c>
      <c r="N467" s="16">
        <v>0.213483146067416</v>
      </c>
      <c r="O467" s="16">
        <v>1</v>
      </c>
      <c r="P467" s="17">
        <f t="shared" si="77"/>
        <v>0.25313551083933333</v>
      </c>
      <c r="Q467" s="17">
        <f t="shared" si="78"/>
        <v>0.67800568668494499</v>
      </c>
      <c r="R467" s="17">
        <f t="shared" si="79"/>
        <v>0.57621155373964372</v>
      </c>
      <c r="S467" s="17">
        <f>'02_지표정의'!$C$22*P467+'02_지표정의'!$C$23*Q467+'02_지표정의'!$C$24*R467</f>
        <v>0.55740370498496727</v>
      </c>
      <c r="T467" s="5">
        <f t="shared" si="80"/>
        <v>0</v>
      </c>
      <c r="U467" s="5" t="str">
        <f t="shared" si="81"/>
        <v>보고서</v>
      </c>
      <c r="V467" s="18">
        <f t="shared" si="82"/>
        <v>239</v>
      </c>
      <c r="W467" s="5">
        <f t="shared" si="83"/>
        <v>194</v>
      </c>
      <c r="X467" s="5">
        <f t="shared" si="84"/>
        <v>86</v>
      </c>
      <c r="Y467" s="5">
        <f t="shared" si="85"/>
        <v>0</v>
      </c>
      <c r="Z467" s="19">
        <f t="shared" si="86"/>
        <v>33</v>
      </c>
      <c r="AA467" s="20">
        <f>ABS(S467-SUMPRODUCT(('05B_가정검정'!$A$5:$A$19=B467)*('05B_가정검정'!$B$5:$B$19=C467)*'05B_가정검정'!$E$5:$E$19))</f>
        <v>0</v>
      </c>
      <c r="AB467" s="20">
        <f t="shared" si="87"/>
        <v>4.8525395723438836E-3</v>
      </c>
    </row>
    <row r="468" spans="1:28">
      <c r="A468" s="15" t="s">
        <v>154</v>
      </c>
      <c r="B468" s="15" t="s">
        <v>116</v>
      </c>
      <c r="C468" s="15" t="s">
        <v>118</v>
      </c>
      <c r="D468" s="16">
        <v>0.37307692307692297</v>
      </c>
      <c r="E468" s="16">
        <v>0.31419939577039302</v>
      </c>
      <c r="F468" s="16">
        <v>0.133738601823708</v>
      </c>
      <c r="G468" s="16">
        <v>0.22960725075528701</v>
      </c>
      <c r="H468" s="16">
        <v>0.181849017568947</v>
      </c>
      <c r="I468" s="16">
        <v>0.46376957616583098</v>
      </c>
      <c r="J468" s="16">
        <v>0.67938197209675399</v>
      </c>
      <c r="K468" s="16">
        <v>0.69396404270469703</v>
      </c>
      <c r="L468" s="16">
        <v>0.78333431645416596</v>
      </c>
      <c r="M468" s="16">
        <v>0.44897959183673503</v>
      </c>
      <c r="N468" s="16">
        <v>0</v>
      </c>
      <c r="O468" s="16">
        <v>1</v>
      </c>
      <c r="P468" s="17">
        <f t="shared" si="77"/>
        <v>0.2827067941935148</v>
      </c>
      <c r="Q468" s="17">
        <f t="shared" si="78"/>
        <v>0.71889344375187225</v>
      </c>
      <c r="R468" s="17">
        <f t="shared" si="79"/>
        <v>0.48299319727891166</v>
      </c>
      <c r="S468" s="17">
        <f>'02_지표정의'!$C$22*P468+'02_지표정의'!$C$23*Q468+'02_지표정의'!$C$24*R468</f>
        <v>0.54909102757466455</v>
      </c>
      <c r="T468" s="5">
        <f t="shared" si="80"/>
        <v>0</v>
      </c>
      <c r="U468" s="5" t="str">
        <f t="shared" si="81"/>
        <v>보고서</v>
      </c>
      <c r="V468" s="18">
        <f t="shared" si="82"/>
        <v>203</v>
      </c>
      <c r="W468" s="5">
        <f t="shared" si="83"/>
        <v>167</v>
      </c>
      <c r="X468" s="5">
        <f t="shared" si="84"/>
        <v>0</v>
      </c>
      <c r="Y468" s="5">
        <f t="shared" si="85"/>
        <v>177</v>
      </c>
      <c r="Z468" s="19">
        <f t="shared" si="86"/>
        <v>45</v>
      </c>
      <c r="AA468" s="20">
        <f>ABS(S468-SUMPRODUCT(('05B_가정검정'!$A$5:$A$19=B468)*('05B_가정검정'!$B$5:$B$19=C468)*'05B_가정검정'!$E$5:$E$19))</f>
        <v>1.7798605872942908E-2</v>
      </c>
      <c r="AB468" s="20">
        <f t="shared" si="87"/>
        <v>2.1541995196078245E-2</v>
      </c>
    </row>
    <row r="469" spans="1:28">
      <c r="A469" s="15" t="s">
        <v>154</v>
      </c>
      <c r="B469" s="15" t="s">
        <v>116</v>
      </c>
      <c r="C469" s="15" t="s">
        <v>119</v>
      </c>
      <c r="D469" s="16">
        <v>0.29616724738675998</v>
      </c>
      <c r="E469" s="16">
        <v>0.41702127659574501</v>
      </c>
      <c r="F469" s="16">
        <v>0.18884120171673799</v>
      </c>
      <c r="G469" s="16">
        <v>0.340425531914894</v>
      </c>
      <c r="H469" s="16">
        <v>0.269039254368442</v>
      </c>
      <c r="I469" s="16">
        <v>0.40676560434290798</v>
      </c>
      <c r="J469" s="16">
        <v>0.66009829470745995</v>
      </c>
      <c r="K469" s="16">
        <v>0.62619483322812797</v>
      </c>
      <c r="L469" s="16">
        <v>0.75233908845523501</v>
      </c>
      <c r="M469" s="16">
        <v>0.51515151515151503</v>
      </c>
      <c r="N469" s="16">
        <v>0.213483146067416</v>
      </c>
      <c r="O469" s="16">
        <v>1</v>
      </c>
      <c r="P469" s="17">
        <f t="shared" si="77"/>
        <v>0.31971001938758115</v>
      </c>
      <c r="Q469" s="17">
        <f t="shared" si="78"/>
        <v>0.67954407213027446</v>
      </c>
      <c r="R469" s="17">
        <f t="shared" si="79"/>
        <v>0.57621155373964372</v>
      </c>
      <c r="S469" s="17">
        <f>'02_지표정의'!$C$22*P469+'02_지표정의'!$C$23*Q469+'02_지표정의'!$C$24*R469</f>
        <v>0.57141088014501507</v>
      </c>
      <c r="T469" s="5">
        <f t="shared" si="80"/>
        <v>0</v>
      </c>
      <c r="U469" s="5" t="str">
        <f t="shared" si="81"/>
        <v>보고서</v>
      </c>
      <c r="V469" s="18">
        <f t="shared" si="82"/>
        <v>290</v>
      </c>
      <c r="W469" s="5">
        <f t="shared" si="83"/>
        <v>0</v>
      </c>
      <c r="X469" s="5">
        <f t="shared" si="84"/>
        <v>118</v>
      </c>
      <c r="Y469" s="5">
        <f t="shared" si="85"/>
        <v>226</v>
      </c>
      <c r="Z469" s="19">
        <f t="shared" si="86"/>
        <v>45</v>
      </c>
      <c r="AA469" s="20">
        <f>ABS(S469-SUMPRODUCT(('05B_가정검정'!$A$5:$A$19=B469)*('05B_가정검정'!$B$5:$B$19=C469)*'05B_가정검정'!$E$5:$E$19))</f>
        <v>1.8387363402232459E-2</v>
      </c>
      <c r="AB469" s="20">
        <f t="shared" si="87"/>
        <v>1.4958396468835011E-2</v>
      </c>
    </row>
    <row r="470" spans="1:28">
      <c r="A470" s="15" t="s">
        <v>154</v>
      </c>
      <c r="B470" s="15" t="s">
        <v>120</v>
      </c>
      <c r="C470" s="15" t="s">
        <v>117</v>
      </c>
      <c r="D470" s="16">
        <v>0.26199261992619899</v>
      </c>
      <c r="E470" s="16">
        <v>0.37735849056603799</v>
      </c>
      <c r="F470" s="16">
        <v>0.123222748815166</v>
      </c>
      <c r="G470" s="16">
        <v>0.21698113207547201</v>
      </c>
      <c r="H470" s="16">
        <v>0.33512519670771101</v>
      </c>
      <c r="I470" s="16">
        <v>0.25878706519945399</v>
      </c>
      <c r="J470" s="16">
        <v>0.66640993538341997</v>
      </c>
      <c r="K470" s="16">
        <v>0.66302540386636799</v>
      </c>
      <c r="L470" s="16">
        <v>0.81345049443561901</v>
      </c>
      <c r="M470" s="16">
        <v>0.66428571428571404</v>
      </c>
      <c r="N470" s="16">
        <v>0.59756097560975596</v>
      </c>
      <c r="O470" s="16">
        <v>1</v>
      </c>
      <c r="P470" s="17">
        <f t="shared" si="77"/>
        <v>0.26224454221500665</v>
      </c>
      <c r="Q470" s="17">
        <f t="shared" si="78"/>
        <v>0.71429527789513569</v>
      </c>
      <c r="R470" s="17">
        <f t="shared" si="79"/>
        <v>0.7539488966318233</v>
      </c>
      <c r="S470" s="17">
        <f>'02_지표정의'!$C$22*P470+'02_지표정의'!$C$23*Q470+'02_지표정의'!$C$24*R470</f>
        <v>0.6377638973169506</v>
      </c>
      <c r="T470" s="5">
        <f t="shared" si="80"/>
        <v>0</v>
      </c>
      <c r="U470" s="5" t="str">
        <f t="shared" si="81"/>
        <v>보고서</v>
      </c>
      <c r="V470" s="18">
        <f t="shared" si="82"/>
        <v>569</v>
      </c>
      <c r="W470" s="5">
        <f t="shared" si="83"/>
        <v>443</v>
      </c>
      <c r="X470" s="5">
        <f t="shared" si="84"/>
        <v>266</v>
      </c>
      <c r="Y470" s="5">
        <f t="shared" si="85"/>
        <v>0</v>
      </c>
      <c r="Z470" s="19">
        <f t="shared" si="86"/>
        <v>42</v>
      </c>
      <c r="AA470" s="20">
        <f>ABS(S470-SUMPRODUCT(('05B_가정검정'!$A$5:$A$19=B470)*('05B_가정검정'!$B$5:$B$19=C470)*'05B_가정검정'!$E$5:$E$19))</f>
        <v>9.7149372598295258E-3</v>
      </c>
      <c r="AB470" s="20">
        <f t="shared" si="87"/>
        <v>6.461193892193462E-3</v>
      </c>
    </row>
    <row r="471" spans="1:28">
      <c r="A471" s="15" t="s">
        <v>154</v>
      </c>
      <c r="B471" s="15" t="s">
        <v>120</v>
      </c>
      <c r="C471" s="15" t="s">
        <v>118</v>
      </c>
      <c r="D471" s="16">
        <v>0.30337078651685401</v>
      </c>
      <c r="E471" s="16">
        <v>0.42084942084942101</v>
      </c>
      <c r="F471" s="16">
        <v>0.14728682170542601</v>
      </c>
      <c r="G471" s="16">
        <v>0.25482625482625498</v>
      </c>
      <c r="H471" s="16">
        <v>0.30346898851333698</v>
      </c>
      <c r="I471" s="16">
        <v>0.41047075812979</v>
      </c>
      <c r="J471" s="16">
        <v>0.718016769502826</v>
      </c>
      <c r="K471" s="16">
        <v>0.68760562256541202</v>
      </c>
      <c r="L471" s="16">
        <v>0.86660492986430404</v>
      </c>
      <c r="M471" s="16">
        <v>0.54693877551020398</v>
      </c>
      <c r="N471" s="16">
        <v>0.55833333333333302</v>
      </c>
      <c r="O471" s="16">
        <v>1</v>
      </c>
      <c r="P471" s="17">
        <f t="shared" si="77"/>
        <v>0.30671217175684717</v>
      </c>
      <c r="Q471" s="17">
        <f t="shared" si="78"/>
        <v>0.75740910731084732</v>
      </c>
      <c r="R471" s="17">
        <f t="shared" si="79"/>
        <v>0.70175736961451241</v>
      </c>
      <c r="S471" s="17">
        <f>'02_지표정의'!$C$22*P471+'02_지표정의'!$C$23*Q471+'02_지표정의'!$C$24*R471</f>
        <v>0.64779161200633006</v>
      </c>
      <c r="T471" s="5">
        <f t="shared" si="80"/>
        <v>0</v>
      </c>
      <c r="U471" s="5" t="str">
        <f t="shared" si="81"/>
        <v>보고서</v>
      </c>
      <c r="V471" s="18">
        <f t="shared" si="82"/>
        <v>608</v>
      </c>
      <c r="W471" s="5">
        <f t="shared" si="83"/>
        <v>466</v>
      </c>
      <c r="X471" s="5">
        <f t="shared" si="84"/>
        <v>0</v>
      </c>
      <c r="Y471" s="5">
        <f t="shared" si="85"/>
        <v>455</v>
      </c>
      <c r="Z471" s="19">
        <f t="shared" si="86"/>
        <v>64</v>
      </c>
      <c r="AA471" s="20">
        <f>ABS(S471-SUMPRODUCT(('05B_가정검정'!$A$5:$A$19=B471)*('05B_가정검정'!$B$5:$B$19=C471)*'05B_가정검정'!$E$5:$E$19))</f>
        <v>5.6962763424702079E-2</v>
      </c>
      <c r="AB471" s="20">
        <f t="shared" si="87"/>
        <v>7.2900836044219264E-2</v>
      </c>
    </row>
    <row r="472" spans="1:28">
      <c r="A472" s="15" t="s">
        <v>154</v>
      </c>
      <c r="B472" s="15" t="s">
        <v>120</v>
      </c>
      <c r="C472" s="15" t="s">
        <v>119</v>
      </c>
      <c r="D472" s="16">
        <v>0.27754237288135603</v>
      </c>
      <c r="E472" s="16">
        <v>0.47393364928909998</v>
      </c>
      <c r="F472" s="16">
        <v>0.17619047619047601</v>
      </c>
      <c r="G472" s="16">
        <v>0.279620853080569</v>
      </c>
      <c r="H472" s="16">
        <v>0.29806851689792602</v>
      </c>
      <c r="I472" s="16">
        <v>0.45647567083606699</v>
      </c>
      <c r="J472" s="16">
        <v>0.66173026694852799</v>
      </c>
      <c r="K472" s="16">
        <v>0.67538171569350103</v>
      </c>
      <c r="L472" s="16">
        <v>0.86855638633288501</v>
      </c>
      <c r="M472" s="16">
        <v>0.66428571428571404</v>
      </c>
      <c r="N472" s="16">
        <v>0.59756097560975596</v>
      </c>
      <c r="O472" s="16">
        <v>1</v>
      </c>
      <c r="P472" s="17">
        <f t="shared" si="77"/>
        <v>0.32697192319591567</v>
      </c>
      <c r="Q472" s="17">
        <f t="shared" si="78"/>
        <v>0.73522278965830468</v>
      </c>
      <c r="R472" s="17">
        <f t="shared" si="79"/>
        <v>0.7539488966318233</v>
      </c>
      <c r="S472" s="17">
        <f>'02_지표정의'!$C$22*P472+'02_지표정의'!$C$23*Q472+'02_지표정의'!$C$24*R472</f>
        <v>0.66012675380655839</v>
      </c>
      <c r="T472" s="5">
        <f t="shared" si="80"/>
        <v>0</v>
      </c>
      <c r="U472" s="5" t="str">
        <f t="shared" si="81"/>
        <v>보고서</v>
      </c>
      <c r="V472" s="18">
        <f t="shared" si="82"/>
        <v>671</v>
      </c>
      <c r="W472" s="5">
        <f t="shared" si="83"/>
        <v>0</v>
      </c>
      <c r="X472" s="5">
        <f t="shared" si="84"/>
        <v>352</v>
      </c>
      <c r="Y472" s="5">
        <f t="shared" si="85"/>
        <v>495</v>
      </c>
      <c r="Z472" s="19">
        <f t="shared" si="86"/>
        <v>29</v>
      </c>
      <c r="AA472" s="20">
        <f>ABS(S472-SUMPRODUCT(('05B_가정검정'!$A$5:$A$19=B472)*('05B_가정검정'!$B$5:$B$19=C472)*'05B_가정검정'!$E$5:$E$19))</f>
        <v>3.5505626748278951E-3</v>
      </c>
      <c r="AB472" s="20">
        <f t="shared" si="87"/>
        <v>1.7037462957427696E-3</v>
      </c>
    </row>
    <row r="473" spans="1:28">
      <c r="A473" s="15" t="s">
        <v>154</v>
      </c>
      <c r="B473" s="15" t="s">
        <v>121</v>
      </c>
      <c r="C473" s="15" t="s">
        <v>117</v>
      </c>
      <c r="D473" s="16">
        <v>0.236612702366127</v>
      </c>
      <c r="E473" s="16">
        <v>0.39393939393939398</v>
      </c>
      <c r="F473" s="16">
        <v>0.12977099236641201</v>
      </c>
      <c r="G473" s="16">
        <v>0.234848484848485</v>
      </c>
      <c r="H473" s="16">
        <v>0.26259649205747099</v>
      </c>
      <c r="I473" s="16">
        <v>0.23325276642780299</v>
      </c>
      <c r="J473" s="16">
        <v>0.72943413528360501</v>
      </c>
      <c r="K473" s="16">
        <v>0.78396156604482103</v>
      </c>
      <c r="L473" s="16">
        <v>0.89766212772264697</v>
      </c>
      <c r="M473" s="16">
        <v>0.90654205607476601</v>
      </c>
      <c r="N473" s="16">
        <v>0.91666666666666696</v>
      </c>
      <c r="O473" s="16">
        <v>1</v>
      </c>
      <c r="P473" s="17">
        <f t="shared" si="77"/>
        <v>0.24850347200094866</v>
      </c>
      <c r="Q473" s="17">
        <f t="shared" si="78"/>
        <v>0.80368594301702434</v>
      </c>
      <c r="R473" s="17">
        <f t="shared" si="79"/>
        <v>0.94106957424714432</v>
      </c>
      <c r="S473" s="17">
        <f>'02_지표정의'!$C$22*P473+'02_지표정의'!$C$23*Q473+'02_지표정의'!$C$24*R473</f>
        <v>0.7407337197443512</v>
      </c>
      <c r="T473" s="5">
        <f t="shared" si="80"/>
        <v>1</v>
      </c>
      <c r="U473" s="5" t="str">
        <f t="shared" si="81"/>
        <v>보고서</v>
      </c>
      <c r="V473" s="18">
        <f t="shared" si="82"/>
        <v>925</v>
      </c>
      <c r="W473" s="5">
        <f t="shared" si="83"/>
        <v>628</v>
      </c>
      <c r="X473" s="5">
        <f t="shared" si="84"/>
        <v>600</v>
      </c>
      <c r="Y473" s="5">
        <f t="shared" si="85"/>
        <v>0</v>
      </c>
      <c r="Z473" s="19">
        <f t="shared" si="86"/>
        <v>47</v>
      </c>
      <c r="AA473" s="20">
        <f>ABS(S473-SUMPRODUCT(('05B_가정검정'!$A$5:$A$19=B473)*('05B_가정검정'!$B$5:$B$19=C473)*'05B_가정검정'!$E$5:$E$19))</f>
        <v>1.1301648362470051E-2</v>
      </c>
      <c r="AB473" s="20">
        <f t="shared" si="87"/>
        <v>2.3081926671470243E-2</v>
      </c>
    </row>
    <row r="474" spans="1:28">
      <c r="A474" s="15" t="s">
        <v>154</v>
      </c>
      <c r="B474" s="15" t="s">
        <v>121</v>
      </c>
      <c r="C474" s="15" t="s">
        <v>118</v>
      </c>
      <c r="D474" s="16">
        <v>0.31198686371100198</v>
      </c>
      <c r="E474" s="16">
        <v>0.30726256983240202</v>
      </c>
      <c r="F474" s="16">
        <v>0.12921348314606701</v>
      </c>
      <c r="G474" s="16">
        <v>0.19553072625698301</v>
      </c>
      <c r="H474" s="16">
        <v>0.21102887023455</v>
      </c>
      <c r="I474" s="16">
        <v>0.32916663991104</v>
      </c>
      <c r="J474" s="16">
        <v>0.76349945084871096</v>
      </c>
      <c r="K474" s="16">
        <v>0.80027260976602599</v>
      </c>
      <c r="L474" s="16">
        <v>0.89705873232060696</v>
      </c>
      <c r="M474" s="16">
        <v>0.39591836734693903</v>
      </c>
      <c r="N474" s="16">
        <v>0.45833333333333298</v>
      </c>
      <c r="O474" s="16">
        <v>1</v>
      </c>
      <c r="P474" s="17">
        <f t="shared" si="77"/>
        <v>0.24736485884867399</v>
      </c>
      <c r="Q474" s="17">
        <f t="shared" si="78"/>
        <v>0.82027693097844789</v>
      </c>
      <c r="R474" s="17">
        <f t="shared" si="79"/>
        <v>0.61808390022675741</v>
      </c>
      <c r="S474" s="17">
        <f>'02_지표정의'!$C$22*P474+'02_지표정의'!$C$23*Q474+'02_지표정의'!$C$24*R474</f>
        <v>0.6349269557894015</v>
      </c>
      <c r="T474" s="5">
        <f t="shared" si="80"/>
        <v>0</v>
      </c>
      <c r="U474" s="5" t="str">
        <f t="shared" si="81"/>
        <v>보고서</v>
      </c>
      <c r="V474" s="18">
        <f t="shared" si="82"/>
        <v>555</v>
      </c>
      <c r="W474" s="5">
        <f t="shared" si="83"/>
        <v>435</v>
      </c>
      <c r="X474" s="5">
        <f t="shared" si="84"/>
        <v>0</v>
      </c>
      <c r="Y474" s="5">
        <f t="shared" si="85"/>
        <v>419</v>
      </c>
      <c r="Z474" s="19">
        <f t="shared" si="86"/>
        <v>57</v>
      </c>
      <c r="AA474" s="20">
        <f>ABS(S474-SUMPRODUCT(('05B_가정검정'!$A$5:$A$19=B474)*('05B_가정검정'!$B$5:$B$19=C474)*'05B_가정검정'!$E$5:$E$19))</f>
        <v>3.6347465622433073E-2</v>
      </c>
      <c r="AB474" s="20">
        <f t="shared" si="87"/>
        <v>5.552788126258823E-2</v>
      </c>
    </row>
    <row r="475" spans="1:28">
      <c r="A475" s="15" t="s">
        <v>154</v>
      </c>
      <c r="B475" s="15" t="s">
        <v>121</v>
      </c>
      <c r="C475" s="15" t="s">
        <v>119</v>
      </c>
      <c r="D475" s="16">
        <v>0.29864253393665202</v>
      </c>
      <c r="E475" s="16">
        <v>0.465648854961832</v>
      </c>
      <c r="F475" s="16">
        <v>0.138461538461539</v>
      </c>
      <c r="G475" s="16">
        <v>0.28244274809160302</v>
      </c>
      <c r="H475" s="16">
        <v>0.32083101701683597</v>
      </c>
      <c r="I475" s="16">
        <v>0.362678478235054</v>
      </c>
      <c r="J475" s="16">
        <v>0.75070070762327401</v>
      </c>
      <c r="K475" s="16">
        <v>0.80473786389138602</v>
      </c>
      <c r="L475" s="16">
        <v>0.90311695592659602</v>
      </c>
      <c r="M475" s="16">
        <v>0.90654205607476601</v>
      </c>
      <c r="N475" s="16">
        <v>0.91666666666666696</v>
      </c>
      <c r="O475" s="16">
        <v>1</v>
      </c>
      <c r="P475" s="17">
        <f t="shared" si="77"/>
        <v>0.31145086178391934</v>
      </c>
      <c r="Q475" s="17">
        <f t="shared" si="78"/>
        <v>0.81951850914708535</v>
      </c>
      <c r="R475" s="17">
        <f t="shared" si="79"/>
        <v>0.94106957424714432</v>
      </c>
      <c r="S475" s="17">
        <f>'02_지표정의'!$C$22*P475+'02_지표정의'!$C$23*Q475+'02_지표정의'!$C$24*R475</f>
        <v>0.76044785245947277</v>
      </c>
      <c r="T475" s="5">
        <f t="shared" si="80"/>
        <v>0</v>
      </c>
      <c r="U475" s="5" t="str">
        <f t="shared" si="81"/>
        <v>보고서</v>
      </c>
      <c r="V475" s="18">
        <f t="shared" si="82"/>
        <v>963</v>
      </c>
      <c r="W475" s="5">
        <f t="shared" si="83"/>
        <v>0</v>
      </c>
      <c r="X475" s="5">
        <f t="shared" si="84"/>
        <v>638</v>
      </c>
      <c r="Y475" s="5">
        <f t="shared" si="85"/>
        <v>638</v>
      </c>
      <c r="Z475" s="19">
        <f t="shared" si="86"/>
        <v>56</v>
      </c>
      <c r="AA475" s="20">
        <f>ABS(S475-SUMPRODUCT(('05B_가정검정'!$A$5:$A$19=B475)*('05B_가정검정'!$B$5:$B$19=C475)*'05B_가정검정'!$E$5:$E$19))</f>
        <v>6.8128009663619093E-2</v>
      </c>
      <c r="AB475" s="20">
        <f t="shared" si="87"/>
        <v>7.2210877039861732E-2</v>
      </c>
    </row>
    <row r="476" spans="1:28">
      <c r="A476" s="15" t="s">
        <v>154</v>
      </c>
      <c r="B476" s="15" t="s">
        <v>122</v>
      </c>
      <c r="C476" s="15" t="s">
        <v>117</v>
      </c>
      <c r="D476" s="16">
        <v>0.26218097447795802</v>
      </c>
      <c r="E476" s="16">
        <v>0.32154340836012901</v>
      </c>
      <c r="F476" s="16">
        <v>0.116504854368932</v>
      </c>
      <c r="G476" s="16">
        <v>0.218649517684888</v>
      </c>
      <c r="H476" s="16">
        <v>0.28380004136637998</v>
      </c>
      <c r="I476" s="16">
        <v>0.21370302600338201</v>
      </c>
      <c r="J476" s="16">
        <v>0.733175640966373</v>
      </c>
      <c r="K476" s="16">
        <v>0.68046861686103099</v>
      </c>
      <c r="L476" s="16">
        <v>0.79753650601913895</v>
      </c>
      <c r="M476" s="16">
        <v>0.65925925925925899</v>
      </c>
      <c r="N476" s="16">
        <v>0.66216216216216195</v>
      </c>
      <c r="O476" s="16">
        <v>1</v>
      </c>
      <c r="P476" s="17">
        <f t="shared" si="77"/>
        <v>0.23606363704361152</v>
      </c>
      <c r="Q476" s="17">
        <f t="shared" si="78"/>
        <v>0.73706025461551439</v>
      </c>
      <c r="R476" s="17">
        <f t="shared" si="79"/>
        <v>0.77380714047380694</v>
      </c>
      <c r="S476" s="17">
        <f>'02_지표정의'!$C$22*P476+'02_지표정의'!$C$23*Q476+'02_지표정의'!$C$24*R476</f>
        <v>0.64972234115153615</v>
      </c>
      <c r="T476" s="5">
        <f t="shared" si="80"/>
        <v>0</v>
      </c>
      <c r="U476" s="5" t="str">
        <f t="shared" si="81"/>
        <v>보고서</v>
      </c>
      <c r="V476" s="18">
        <f t="shared" si="82"/>
        <v>617</v>
      </c>
      <c r="W476" s="5">
        <f t="shared" si="83"/>
        <v>470</v>
      </c>
      <c r="X476" s="5">
        <f t="shared" si="84"/>
        <v>303</v>
      </c>
      <c r="Y476" s="5">
        <f t="shared" si="85"/>
        <v>0</v>
      </c>
      <c r="Z476" s="19">
        <f t="shared" si="86"/>
        <v>38</v>
      </c>
      <c r="AA476" s="20">
        <f>ABS(S476-SUMPRODUCT(('05B_가정검정'!$A$5:$A$19=B476)*('05B_가정검정'!$B$5:$B$19=C476)*'05B_가정검정'!$E$5:$E$19))</f>
        <v>1.0369386442857675E-2</v>
      </c>
      <c r="AB476" s="20">
        <f t="shared" si="87"/>
        <v>2.6840718961889998E-2</v>
      </c>
    </row>
    <row r="477" spans="1:28">
      <c r="A477" s="15" t="s">
        <v>154</v>
      </c>
      <c r="B477" s="15" t="s">
        <v>122</v>
      </c>
      <c r="C477" s="15" t="s">
        <v>118</v>
      </c>
      <c r="D477" s="16">
        <v>0.42215568862275499</v>
      </c>
      <c r="E477" s="16">
        <v>0.38024691358024698</v>
      </c>
      <c r="F477" s="16">
        <v>0.158808933002481</v>
      </c>
      <c r="G477" s="16">
        <v>0.22222222222222199</v>
      </c>
      <c r="H477" s="16">
        <v>0.28285631483720203</v>
      </c>
      <c r="I477" s="16">
        <v>0.48897154453936598</v>
      </c>
      <c r="J477" s="16">
        <v>0.72591169885289097</v>
      </c>
      <c r="K477" s="16">
        <v>0.71685849656808698</v>
      </c>
      <c r="L477" s="16">
        <v>0.87579105014931302</v>
      </c>
      <c r="M477" s="16">
        <v>0.45714285714285702</v>
      </c>
      <c r="N477" s="16">
        <v>0.33333333333333298</v>
      </c>
      <c r="O477" s="16">
        <v>1</v>
      </c>
      <c r="P477" s="17">
        <f t="shared" si="77"/>
        <v>0.3258769361340455</v>
      </c>
      <c r="Q477" s="17">
        <f t="shared" si="78"/>
        <v>0.77285374852343036</v>
      </c>
      <c r="R477" s="17">
        <f t="shared" si="79"/>
        <v>0.59682539682539659</v>
      </c>
      <c r="S477" s="17">
        <f>'02_지표정의'!$C$22*P477+'02_지표정의'!$C$23*Q477+'02_지표정의'!$C$24*R477</f>
        <v>0.62184846295124152</v>
      </c>
      <c r="T477" s="5">
        <f t="shared" si="80"/>
        <v>1</v>
      </c>
      <c r="U477" s="5" t="str">
        <f t="shared" si="81"/>
        <v>보고서</v>
      </c>
      <c r="V477" s="18">
        <f t="shared" si="82"/>
        <v>498</v>
      </c>
      <c r="W477" s="5">
        <f t="shared" si="83"/>
        <v>401</v>
      </c>
      <c r="X477" s="5">
        <f t="shared" si="84"/>
        <v>0</v>
      </c>
      <c r="Y477" s="5">
        <f t="shared" si="85"/>
        <v>377</v>
      </c>
      <c r="Z477" s="19">
        <f t="shared" si="86"/>
        <v>51</v>
      </c>
      <c r="AA477" s="20">
        <f>ABS(S477-SUMPRODUCT(('05B_가정검정'!$A$5:$A$19=B477)*('05B_가정검정'!$B$5:$B$19=C477)*'05B_가정검정'!$E$5:$E$19))</f>
        <v>3.492652695408327E-2</v>
      </c>
      <c r="AB477" s="20">
        <f t="shared" si="87"/>
        <v>4.062518673355775E-2</v>
      </c>
    </row>
    <row r="478" spans="1:28">
      <c r="A478" s="15" t="s">
        <v>154</v>
      </c>
      <c r="B478" s="15" t="s">
        <v>122</v>
      </c>
      <c r="C478" s="15" t="s">
        <v>119</v>
      </c>
      <c r="D478" s="16">
        <v>0.33795013850415501</v>
      </c>
      <c r="E478" s="16">
        <v>0.51779935275080902</v>
      </c>
      <c r="F478" s="16">
        <v>0.19543973941368101</v>
      </c>
      <c r="G478" s="16">
        <v>0.33009708737864102</v>
      </c>
      <c r="H478" s="16">
        <v>0.34593796456908998</v>
      </c>
      <c r="I478" s="16">
        <v>0.44937923741565799</v>
      </c>
      <c r="J478" s="16">
        <v>0.702208047379833</v>
      </c>
      <c r="K478" s="16">
        <v>0.66504135974548495</v>
      </c>
      <c r="L478" s="16">
        <v>0.855033722014095</v>
      </c>
      <c r="M478" s="16">
        <v>0.65925925925925899</v>
      </c>
      <c r="N478" s="16">
        <v>0.66216216216216195</v>
      </c>
      <c r="O478" s="16">
        <v>1</v>
      </c>
      <c r="P478" s="17">
        <f t="shared" si="77"/>
        <v>0.36276725333867238</v>
      </c>
      <c r="Q478" s="17">
        <f t="shared" si="78"/>
        <v>0.74076104304647095</v>
      </c>
      <c r="R478" s="17">
        <f t="shared" si="79"/>
        <v>0.77380714047380694</v>
      </c>
      <c r="S478" s="17">
        <f>'02_지표정의'!$C$22*P478+'02_지표정의'!$C$23*Q478+'02_지표정의'!$C$24*R478</f>
        <v>0.6767284192044789</v>
      </c>
      <c r="T478" s="5">
        <f t="shared" si="80"/>
        <v>0</v>
      </c>
      <c r="U478" s="5" t="str">
        <f t="shared" si="81"/>
        <v>보고서</v>
      </c>
      <c r="V478" s="18">
        <f t="shared" si="82"/>
        <v>745</v>
      </c>
      <c r="W478" s="5">
        <f t="shared" si="83"/>
        <v>0</v>
      </c>
      <c r="X478" s="5">
        <f t="shared" si="84"/>
        <v>424</v>
      </c>
      <c r="Y478" s="5">
        <f t="shared" si="85"/>
        <v>540</v>
      </c>
      <c r="Z478" s="19">
        <f t="shared" si="86"/>
        <v>56</v>
      </c>
      <c r="AA478" s="20">
        <f>ABS(S478-SUMPRODUCT(('05B_가정검정'!$A$5:$A$19=B478)*('05B_가정검정'!$B$5:$B$19=C478)*'05B_가정검정'!$E$5:$E$19))</f>
        <v>4.1122231303027501E-2</v>
      </c>
      <c r="AB478" s="20">
        <f t="shared" si="87"/>
        <v>4.5339552889592905E-2</v>
      </c>
    </row>
    <row r="479" spans="1:28">
      <c r="A479" s="15" t="s">
        <v>154</v>
      </c>
      <c r="B479" s="15" t="s">
        <v>123</v>
      </c>
      <c r="C479" s="15" t="s">
        <v>117</v>
      </c>
      <c r="D479" s="16">
        <v>0.25623582766439901</v>
      </c>
      <c r="E479" s="16">
        <v>0.36969696969697002</v>
      </c>
      <c r="F479" s="16">
        <v>0.12195121951219499</v>
      </c>
      <c r="G479" s="16">
        <v>0.25454545454545502</v>
      </c>
      <c r="H479" s="16">
        <v>0.37882575272075703</v>
      </c>
      <c r="I479" s="16">
        <v>0.263248646410495</v>
      </c>
      <c r="J479" s="16">
        <v>0.757205048965087</v>
      </c>
      <c r="K479" s="16">
        <v>0.734945053535635</v>
      </c>
      <c r="L479" s="16">
        <v>0.81389673885336999</v>
      </c>
      <c r="M479" s="16">
        <v>0.90654205607476601</v>
      </c>
      <c r="N479" s="16">
        <v>0.91666666666666696</v>
      </c>
      <c r="O479" s="16">
        <v>1</v>
      </c>
      <c r="P479" s="17">
        <f t="shared" si="77"/>
        <v>0.27408397842504523</v>
      </c>
      <c r="Q479" s="17">
        <f t="shared" si="78"/>
        <v>0.768682280451364</v>
      </c>
      <c r="R479" s="17">
        <f t="shared" si="79"/>
        <v>0.94106957424714432</v>
      </c>
      <c r="S479" s="17">
        <f>'02_지표정의'!$C$22*P479+'02_지표정의'!$C$23*Q479+'02_지표정의'!$C$24*R479</f>
        <v>0.73009817287462331</v>
      </c>
      <c r="T479" s="5">
        <f t="shared" si="80"/>
        <v>0</v>
      </c>
      <c r="U479" s="5" t="str">
        <f t="shared" si="81"/>
        <v>보고서</v>
      </c>
      <c r="V479" s="18">
        <f t="shared" si="82"/>
        <v>903</v>
      </c>
      <c r="W479" s="5">
        <f t="shared" si="83"/>
        <v>608</v>
      </c>
      <c r="X479" s="5">
        <f t="shared" si="84"/>
        <v>578</v>
      </c>
      <c r="Y479" s="5">
        <f t="shared" si="85"/>
        <v>0</v>
      </c>
      <c r="Z479" s="19">
        <f t="shared" si="86"/>
        <v>55</v>
      </c>
      <c r="AA479" s="20">
        <f>ABS(S479-SUMPRODUCT(('05B_가정검정'!$A$5:$A$19=B479)*('05B_가정검정'!$B$5:$B$19=C479)*'05B_가정검정'!$E$5:$E$19))</f>
        <v>1.5175290098399574E-2</v>
      </c>
      <c r="AB479" s="20">
        <f t="shared" si="87"/>
        <v>2.2112721063380136E-2</v>
      </c>
    </row>
    <row r="480" spans="1:28">
      <c r="A480" s="15" t="s">
        <v>154</v>
      </c>
      <c r="B480" s="15" t="s">
        <v>123</v>
      </c>
      <c r="C480" s="15" t="s">
        <v>118</v>
      </c>
      <c r="D480" s="16">
        <v>0.29941860465116299</v>
      </c>
      <c r="E480" s="16">
        <v>0.38207547169811301</v>
      </c>
      <c r="F480" s="16">
        <v>0.11848341232227499</v>
      </c>
      <c r="G480" s="16">
        <v>0.23113207547169801</v>
      </c>
      <c r="H480" s="16">
        <v>0.259948335605033</v>
      </c>
      <c r="I480" s="16">
        <v>0.38708158752496702</v>
      </c>
      <c r="J480" s="16">
        <v>0.72306587776612496</v>
      </c>
      <c r="K480" s="16">
        <v>0.70738346844784095</v>
      </c>
      <c r="L480" s="16">
        <v>0.87689029492395698</v>
      </c>
      <c r="M480" s="16">
        <v>0.39591836734693903</v>
      </c>
      <c r="N480" s="16">
        <v>0.45833333333333298</v>
      </c>
      <c r="O480" s="16">
        <v>1</v>
      </c>
      <c r="P480" s="17">
        <f t="shared" si="77"/>
        <v>0.27968991454554154</v>
      </c>
      <c r="Q480" s="17">
        <f t="shared" si="78"/>
        <v>0.76911321371264096</v>
      </c>
      <c r="R480" s="17">
        <f t="shared" si="79"/>
        <v>0.61808390022675741</v>
      </c>
      <c r="S480" s="17">
        <f>'02_지표정의'!$C$22*P480+'02_지표정의'!$C$23*Q480+'02_지표정의'!$C$24*R480</f>
        <v>0.61836829415916184</v>
      </c>
      <c r="T480" s="5">
        <f t="shared" si="80"/>
        <v>0</v>
      </c>
      <c r="U480" s="5" t="str">
        <f t="shared" si="81"/>
        <v>보고서</v>
      </c>
      <c r="V480" s="18">
        <f t="shared" si="82"/>
        <v>483</v>
      </c>
      <c r="W480" s="5">
        <f t="shared" si="83"/>
        <v>390</v>
      </c>
      <c r="X480" s="5">
        <f t="shared" si="84"/>
        <v>0</v>
      </c>
      <c r="Y480" s="5">
        <f t="shared" si="85"/>
        <v>363</v>
      </c>
      <c r="Z480" s="19">
        <f t="shared" si="86"/>
        <v>60</v>
      </c>
      <c r="AA480" s="20">
        <f>ABS(S480-SUMPRODUCT(('05B_가정검정'!$A$5:$A$19=B480)*('05B_가정검정'!$B$5:$B$19=C480)*'05B_가정검정'!$E$5:$E$19))</f>
        <v>4.306946728019212E-2</v>
      </c>
      <c r="AB480" s="20">
        <f t="shared" si="87"/>
        <v>5.8496686234670747E-2</v>
      </c>
    </row>
    <row r="481" spans="1:28">
      <c r="A481" s="15" t="s">
        <v>154</v>
      </c>
      <c r="B481" s="15" t="s">
        <v>123</v>
      </c>
      <c r="C481" s="15" t="s">
        <v>119</v>
      </c>
      <c r="D481" s="16">
        <v>0.31805929919137499</v>
      </c>
      <c r="E481" s="16">
        <v>0.51219512195121897</v>
      </c>
      <c r="F481" s="16">
        <v>0.190184049079755</v>
      </c>
      <c r="G481" s="16">
        <v>0.30487804878048802</v>
      </c>
      <c r="H481" s="16">
        <v>0.445390605449626</v>
      </c>
      <c r="I481" s="16">
        <v>0.44254928475402899</v>
      </c>
      <c r="J481" s="16">
        <v>0.72115981124621398</v>
      </c>
      <c r="K481" s="16">
        <v>0.73411375521173405</v>
      </c>
      <c r="L481" s="16">
        <v>0.89088235659831705</v>
      </c>
      <c r="M481" s="16">
        <v>0.90654205607476601</v>
      </c>
      <c r="N481" s="16">
        <v>0.91666666666666696</v>
      </c>
      <c r="O481" s="16">
        <v>1</v>
      </c>
      <c r="P481" s="17">
        <f t="shared" si="77"/>
        <v>0.36887606820108204</v>
      </c>
      <c r="Q481" s="17">
        <f t="shared" si="78"/>
        <v>0.7820519743520884</v>
      </c>
      <c r="R481" s="17">
        <f t="shared" si="79"/>
        <v>0.94106957424714432</v>
      </c>
      <c r="S481" s="17">
        <f>'02_지표정의'!$C$22*P481+'02_지표정의'!$C$23*Q481+'02_지표정의'!$C$24*R481</f>
        <v>0.75507295308515665</v>
      </c>
      <c r="T481" s="5">
        <f t="shared" si="80"/>
        <v>1</v>
      </c>
      <c r="U481" s="5" t="str">
        <f t="shared" si="81"/>
        <v>보고서</v>
      </c>
      <c r="V481" s="18">
        <f t="shared" si="82"/>
        <v>959</v>
      </c>
      <c r="W481" s="5">
        <f t="shared" si="83"/>
        <v>0</v>
      </c>
      <c r="X481" s="5">
        <f t="shared" si="84"/>
        <v>634</v>
      </c>
      <c r="Y481" s="5">
        <f t="shared" si="85"/>
        <v>635</v>
      </c>
      <c r="Z481" s="19">
        <f t="shared" si="86"/>
        <v>61</v>
      </c>
      <c r="AA481" s="20">
        <f>ABS(S481-SUMPRODUCT(('05B_가정검정'!$A$5:$A$19=B481)*('05B_가정검정'!$B$5:$B$19=C481)*'05B_가정검정'!$E$5:$E$19))</f>
        <v>6.9443155760929298E-2</v>
      </c>
      <c r="AB481" s="20">
        <f t="shared" si="87"/>
        <v>7.2654220040154871E-2</v>
      </c>
    </row>
    <row r="482" spans="1:28">
      <c r="A482" s="15" t="s">
        <v>155</v>
      </c>
      <c r="B482" s="15" t="s">
        <v>116</v>
      </c>
      <c r="C482" s="15" t="s">
        <v>117</v>
      </c>
      <c r="D482" s="16">
        <v>0.21316614420062699</v>
      </c>
      <c r="E482" s="16">
        <v>0.29556650246305399</v>
      </c>
      <c r="F482" s="16">
        <v>0.13930348258706499</v>
      </c>
      <c r="G482" s="16">
        <v>0.23645320197044301</v>
      </c>
      <c r="H482" s="16">
        <v>0.239661047889526</v>
      </c>
      <c r="I482" s="16">
        <v>0.133820574319299</v>
      </c>
      <c r="J482" s="16">
        <v>0.69625162464645496</v>
      </c>
      <c r="K482" s="16">
        <v>0.54620852986433699</v>
      </c>
      <c r="L482" s="16">
        <v>0.76015031637827102</v>
      </c>
      <c r="M482" s="16">
        <v>0.51515151515151503</v>
      </c>
      <c r="N482" s="16">
        <v>0.213483146067416</v>
      </c>
      <c r="O482" s="16">
        <v>1</v>
      </c>
      <c r="P482" s="17">
        <f t="shared" si="77"/>
        <v>0.20966182557166901</v>
      </c>
      <c r="Q482" s="17">
        <f t="shared" si="78"/>
        <v>0.66753682362968769</v>
      </c>
      <c r="R482" s="17">
        <f t="shared" si="79"/>
        <v>0.57621155373964372</v>
      </c>
      <c r="S482" s="17">
        <f>'02_지표정의'!$C$22*P482+'02_지표정의'!$C$23*Q482+'02_지표정의'!$C$24*R482</f>
        <v>0.54399797955656859</v>
      </c>
      <c r="T482" s="5">
        <f t="shared" si="80"/>
        <v>0</v>
      </c>
      <c r="U482" s="5" t="str">
        <f t="shared" si="81"/>
        <v>보고서</v>
      </c>
      <c r="V482" s="18">
        <f t="shared" si="82"/>
        <v>183</v>
      </c>
      <c r="W482" s="5">
        <f t="shared" si="83"/>
        <v>156</v>
      </c>
      <c r="X482" s="5">
        <f t="shared" si="84"/>
        <v>49</v>
      </c>
      <c r="Y482" s="5">
        <f t="shared" si="85"/>
        <v>0</v>
      </c>
      <c r="Z482" s="19">
        <f t="shared" si="86"/>
        <v>19</v>
      </c>
      <c r="AA482" s="20">
        <f>ABS(S482-SUMPRODUCT(('05B_가정검정'!$A$5:$A$19=B482)*('05B_가정검정'!$B$5:$B$19=C482)*'05B_가정검정'!$E$5:$E$19))</f>
        <v>1.3405725428398685E-2</v>
      </c>
      <c r="AB482" s="20">
        <f t="shared" si="87"/>
        <v>-8.5531858560548013E-3</v>
      </c>
    </row>
    <row r="483" spans="1:28">
      <c r="A483" s="15" t="s">
        <v>155</v>
      </c>
      <c r="B483" s="15" t="s">
        <v>116</v>
      </c>
      <c r="C483" s="15" t="s">
        <v>118</v>
      </c>
      <c r="D483" s="16">
        <v>0.29553264604811003</v>
      </c>
      <c r="E483" s="16">
        <v>0.37037037037037002</v>
      </c>
      <c r="F483" s="16">
        <v>0.19251336898395699</v>
      </c>
      <c r="G483" s="16">
        <v>0.317460317460318</v>
      </c>
      <c r="H483" s="16">
        <v>0.16269397106372199</v>
      </c>
      <c r="I483" s="16">
        <v>0.23248547511536299</v>
      </c>
      <c r="J483" s="16">
        <v>0.72789026352397201</v>
      </c>
      <c r="K483" s="16">
        <v>0.63533771119639604</v>
      </c>
      <c r="L483" s="16">
        <v>0.81114501454730403</v>
      </c>
      <c r="M483" s="16">
        <v>0.48947368421052601</v>
      </c>
      <c r="N483" s="16">
        <v>0</v>
      </c>
      <c r="O483" s="16">
        <v>1</v>
      </c>
      <c r="P483" s="17">
        <f t="shared" si="77"/>
        <v>0.26184269150697337</v>
      </c>
      <c r="Q483" s="17">
        <f t="shared" si="78"/>
        <v>0.7247909964225574</v>
      </c>
      <c r="R483" s="17">
        <f t="shared" si="79"/>
        <v>0.49649122807017537</v>
      </c>
      <c r="S483" s="17">
        <f>'02_지표정의'!$C$22*P483+'02_지표정의'!$C$23*Q483+'02_지표정의'!$C$24*R483</f>
        <v>0.55229641651610684</v>
      </c>
      <c r="T483" s="5">
        <f t="shared" si="80"/>
        <v>0</v>
      </c>
      <c r="U483" s="5" t="str">
        <f t="shared" si="81"/>
        <v>보고서</v>
      </c>
      <c r="V483" s="18">
        <f t="shared" si="82"/>
        <v>214</v>
      </c>
      <c r="W483" s="5">
        <f t="shared" si="83"/>
        <v>177</v>
      </c>
      <c r="X483" s="5">
        <f t="shared" si="84"/>
        <v>0</v>
      </c>
      <c r="Y483" s="5">
        <f t="shared" si="85"/>
        <v>184</v>
      </c>
      <c r="Z483" s="19">
        <f t="shared" si="86"/>
        <v>48</v>
      </c>
      <c r="AA483" s="20">
        <f>ABS(S483-SUMPRODUCT(('05B_가정검정'!$A$5:$A$19=B483)*('05B_가정검정'!$B$5:$B$19=C483)*'05B_가정검정'!$E$5:$E$19))</f>
        <v>2.1003994814385196E-2</v>
      </c>
      <c r="AB483" s="20">
        <f t="shared" si="87"/>
        <v>2.4747384137520534E-2</v>
      </c>
    </row>
    <row r="484" spans="1:28">
      <c r="A484" s="15" t="s">
        <v>155</v>
      </c>
      <c r="B484" s="15" t="s">
        <v>116</v>
      </c>
      <c r="C484" s="15" t="s">
        <v>119</v>
      </c>
      <c r="D484" s="16">
        <v>0.26765799256505601</v>
      </c>
      <c r="E484" s="16">
        <v>0.36363636363636398</v>
      </c>
      <c r="F484" s="16">
        <v>0.17297297297297301</v>
      </c>
      <c r="G484" s="16">
        <v>0.31016042780748698</v>
      </c>
      <c r="H484" s="16">
        <v>0.2293800292574</v>
      </c>
      <c r="I484" s="16">
        <v>0.28751514893145602</v>
      </c>
      <c r="J484" s="16">
        <v>0.68410744855301198</v>
      </c>
      <c r="K484" s="16">
        <v>0.61119891542612903</v>
      </c>
      <c r="L484" s="16">
        <v>0.78775380117163396</v>
      </c>
      <c r="M484" s="16">
        <v>0.49090909090909102</v>
      </c>
      <c r="N484" s="16">
        <v>0.17977528089887601</v>
      </c>
      <c r="O484" s="16">
        <v>0.84210526315789502</v>
      </c>
      <c r="P484" s="17">
        <f t="shared" si="77"/>
        <v>0.2718871558617893</v>
      </c>
      <c r="Q484" s="17">
        <f t="shared" si="78"/>
        <v>0.69435338838359162</v>
      </c>
      <c r="R484" s="17">
        <f t="shared" si="79"/>
        <v>0.50426321165528731</v>
      </c>
      <c r="S484" s="17">
        <f>'02_지표정의'!$C$22*P484+'02_지표정의'!$C$23*Q484+'02_지표정의'!$C$24*R484</f>
        <v>0.5433285800243246</v>
      </c>
      <c r="T484" s="5">
        <f t="shared" si="80"/>
        <v>0</v>
      </c>
      <c r="U484" s="5" t="str">
        <f t="shared" si="81"/>
        <v>보고서</v>
      </c>
      <c r="V484" s="18">
        <f t="shared" si="82"/>
        <v>179</v>
      </c>
      <c r="W484" s="5">
        <f t="shared" si="83"/>
        <v>0</v>
      </c>
      <c r="X484" s="5">
        <f t="shared" si="84"/>
        <v>47</v>
      </c>
      <c r="Y484" s="5">
        <f t="shared" si="85"/>
        <v>159</v>
      </c>
      <c r="Z484" s="19">
        <f t="shared" si="86"/>
        <v>22</v>
      </c>
      <c r="AA484" s="20">
        <f>ABS(S484-SUMPRODUCT(('05B_가정검정'!$A$5:$A$19=B484)*('05B_가정검정'!$B$5:$B$19=C484)*'05B_가정검정'!$E$5:$E$19))</f>
        <v>9.6949367184580026E-3</v>
      </c>
      <c r="AB484" s="20">
        <f t="shared" si="87"/>
        <v>-1.3123903651855451E-2</v>
      </c>
    </row>
    <row r="485" spans="1:28">
      <c r="A485" s="15" t="s">
        <v>155</v>
      </c>
      <c r="B485" s="15" t="s">
        <v>120</v>
      </c>
      <c r="C485" s="15" t="s">
        <v>117</v>
      </c>
      <c r="D485" s="16">
        <v>0.212860310421286</v>
      </c>
      <c r="E485" s="16">
        <v>0.28021978021978</v>
      </c>
      <c r="F485" s="16">
        <v>6.6298342541436503E-2</v>
      </c>
      <c r="G485" s="16">
        <v>0.175824175824176</v>
      </c>
      <c r="H485" s="16">
        <v>0.33463632488929002</v>
      </c>
      <c r="I485" s="16">
        <v>0.101799177732914</v>
      </c>
      <c r="J485" s="16">
        <v>0.70755286136485096</v>
      </c>
      <c r="K485" s="16">
        <v>0.61429766961888699</v>
      </c>
      <c r="L485" s="16">
        <v>0.83392104365816599</v>
      </c>
      <c r="M485" s="16">
        <v>0.76576576576576605</v>
      </c>
      <c r="N485" s="16">
        <v>0.79032258064516103</v>
      </c>
      <c r="O485" s="16">
        <v>1</v>
      </c>
      <c r="P485" s="17">
        <f t="shared" si="77"/>
        <v>0.19527301860481372</v>
      </c>
      <c r="Q485" s="17">
        <f t="shared" si="78"/>
        <v>0.71859052488063468</v>
      </c>
      <c r="R485" s="17">
        <f t="shared" si="79"/>
        <v>0.85202944880364229</v>
      </c>
      <c r="S485" s="17">
        <f>'02_지표정의'!$C$22*P485+'02_지표정의'!$C$23*Q485+'02_지표정의'!$C$24*R485</f>
        <v>0.66063064699852314</v>
      </c>
      <c r="T485" s="5">
        <f t="shared" si="80"/>
        <v>0</v>
      </c>
      <c r="U485" s="5" t="str">
        <f t="shared" si="81"/>
        <v>보고서</v>
      </c>
      <c r="V485" s="18">
        <f t="shared" si="82"/>
        <v>675</v>
      </c>
      <c r="W485" s="5">
        <f t="shared" si="83"/>
        <v>496</v>
      </c>
      <c r="X485" s="5">
        <f t="shared" si="84"/>
        <v>356</v>
      </c>
      <c r="Y485" s="5">
        <f t="shared" si="85"/>
        <v>0</v>
      </c>
      <c r="Z485" s="19">
        <f t="shared" si="86"/>
        <v>55</v>
      </c>
      <c r="AA485" s="20">
        <f>ABS(S485-SUMPRODUCT(('05B_가정검정'!$A$5:$A$19=B485)*('05B_가정검정'!$B$5:$B$19=C485)*'05B_가정검정'!$E$5:$E$19))</f>
        <v>3.2581686941402066E-2</v>
      </c>
      <c r="AB485" s="20">
        <f t="shared" si="87"/>
        <v>2.9327943573766002E-2</v>
      </c>
    </row>
    <row r="486" spans="1:28">
      <c r="A486" s="15" t="s">
        <v>155</v>
      </c>
      <c r="B486" s="15" t="s">
        <v>120</v>
      </c>
      <c r="C486" s="15" t="s">
        <v>118</v>
      </c>
      <c r="D486" s="16">
        <v>0.21749408983451499</v>
      </c>
      <c r="E486" s="16">
        <v>0.377142857142857</v>
      </c>
      <c r="F486" s="16">
        <v>0.13218390804597699</v>
      </c>
      <c r="G486" s="16">
        <v>0.22857142857142901</v>
      </c>
      <c r="H486" s="16">
        <v>0.23349688798415399</v>
      </c>
      <c r="I486" s="16">
        <v>0.18458089095224001</v>
      </c>
      <c r="J486" s="16">
        <v>0.69615669132612301</v>
      </c>
      <c r="K486" s="16">
        <v>0.68979030850908096</v>
      </c>
      <c r="L486" s="16">
        <v>0.86579381892245699</v>
      </c>
      <c r="M486" s="16">
        <v>0.51578947368421102</v>
      </c>
      <c r="N486" s="16">
        <v>0.46078431372549</v>
      </c>
      <c r="O486" s="16">
        <v>1</v>
      </c>
      <c r="P486" s="17">
        <f t="shared" si="77"/>
        <v>0.22891167708852866</v>
      </c>
      <c r="Q486" s="17">
        <f t="shared" si="78"/>
        <v>0.75058027291922036</v>
      </c>
      <c r="R486" s="17">
        <f t="shared" si="79"/>
        <v>0.65885792913656704</v>
      </c>
      <c r="S486" s="17">
        <f>'02_지표정의'!$C$22*P486+'02_지표정의'!$C$23*Q486+'02_지표정의'!$C$24*R486</f>
        <v>0.6141437334291534</v>
      </c>
      <c r="T486" s="5">
        <f t="shared" si="80"/>
        <v>0</v>
      </c>
      <c r="U486" s="5" t="str">
        <f t="shared" si="81"/>
        <v>보고서</v>
      </c>
      <c r="V486" s="18">
        <f t="shared" si="82"/>
        <v>457</v>
      </c>
      <c r="W486" s="5">
        <f t="shared" si="83"/>
        <v>372</v>
      </c>
      <c r="X486" s="5">
        <f t="shared" si="84"/>
        <v>0</v>
      </c>
      <c r="Y486" s="5">
        <f t="shared" si="85"/>
        <v>346</v>
      </c>
      <c r="Z486" s="19">
        <f t="shared" si="86"/>
        <v>46</v>
      </c>
      <c r="AA486" s="20">
        <f>ABS(S486-SUMPRODUCT(('05B_가정검정'!$A$5:$A$19=B486)*('05B_가정검정'!$B$5:$B$19=C486)*'05B_가정검정'!$E$5:$E$19))</f>
        <v>2.3314884847525419E-2</v>
      </c>
      <c r="AB486" s="20">
        <f t="shared" si="87"/>
        <v>3.9252957467042604E-2</v>
      </c>
    </row>
    <row r="487" spans="1:28">
      <c r="A487" s="15" t="s">
        <v>155</v>
      </c>
      <c r="B487" s="15" t="s">
        <v>120</v>
      </c>
      <c r="C487" s="15" t="s">
        <v>119</v>
      </c>
      <c r="D487" s="16">
        <v>0.23192019950124701</v>
      </c>
      <c r="E487" s="16">
        <v>0.36206896551724099</v>
      </c>
      <c r="F487" s="16">
        <v>0.16184971098265899</v>
      </c>
      <c r="G487" s="16">
        <v>0.22413793103448301</v>
      </c>
      <c r="H487" s="16">
        <v>0.28217498265004098</v>
      </c>
      <c r="I487" s="16">
        <v>0.30575347615359499</v>
      </c>
      <c r="J487" s="16">
        <v>0.71368762170779698</v>
      </c>
      <c r="K487" s="16">
        <v>0.67743123955699602</v>
      </c>
      <c r="L487" s="16">
        <v>0.87203509966227899</v>
      </c>
      <c r="M487" s="16">
        <v>0.72972972972973005</v>
      </c>
      <c r="N487" s="16">
        <v>0.74193548387096797</v>
      </c>
      <c r="O487" s="16">
        <v>0.84210526315789502</v>
      </c>
      <c r="P487" s="17">
        <f t="shared" si="77"/>
        <v>0.2613175443065443</v>
      </c>
      <c r="Q487" s="17">
        <f t="shared" si="78"/>
        <v>0.75438465364235741</v>
      </c>
      <c r="R487" s="17">
        <f t="shared" si="79"/>
        <v>0.77125682558619768</v>
      </c>
      <c r="S487" s="17">
        <f>'02_지표정의'!$C$22*P487+'02_지표정의'!$C$23*Q487+'02_지표정의'!$C$24*R487</f>
        <v>0.6616764919555389</v>
      </c>
      <c r="T487" s="5">
        <f t="shared" si="80"/>
        <v>0</v>
      </c>
      <c r="U487" s="5" t="str">
        <f t="shared" si="81"/>
        <v>보고서</v>
      </c>
      <c r="V487" s="18">
        <f t="shared" si="82"/>
        <v>681</v>
      </c>
      <c r="W487" s="5">
        <f t="shared" si="83"/>
        <v>0</v>
      </c>
      <c r="X487" s="5">
        <f t="shared" si="84"/>
        <v>362</v>
      </c>
      <c r="Y487" s="5">
        <f t="shared" si="85"/>
        <v>504</v>
      </c>
      <c r="Z487" s="19">
        <f t="shared" si="86"/>
        <v>31</v>
      </c>
      <c r="AA487" s="20">
        <f>ABS(S487-SUMPRODUCT(('05B_가정검정'!$A$5:$A$19=B487)*('05B_가정검정'!$B$5:$B$19=C487)*'05B_가정검정'!$E$5:$E$19))</f>
        <v>2.0008245258473778E-3</v>
      </c>
      <c r="AB487" s="20">
        <f t="shared" si="87"/>
        <v>3.2534844447232869E-3</v>
      </c>
    </row>
    <row r="488" spans="1:28">
      <c r="A488" s="15" t="s">
        <v>155</v>
      </c>
      <c r="B488" s="15" t="s">
        <v>121</v>
      </c>
      <c r="C488" s="15" t="s">
        <v>117</v>
      </c>
      <c r="D488" s="16">
        <v>0.201307189542484</v>
      </c>
      <c r="E488" s="16">
        <v>0.32067510548523198</v>
      </c>
      <c r="F488" s="16">
        <v>7.6595744680851105E-2</v>
      </c>
      <c r="G488" s="16">
        <v>0.21097046413502099</v>
      </c>
      <c r="H488" s="16">
        <v>0.31362313731272601</v>
      </c>
      <c r="I488" s="16">
        <v>0.151198248853981</v>
      </c>
      <c r="J488" s="16">
        <v>0.73668345445275096</v>
      </c>
      <c r="K488" s="16">
        <v>0.71259949283456903</v>
      </c>
      <c r="L488" s="16">
        <v>0.85565001196213397</v>
      </c>
      <c r="M488" s="16">
        <v>0.90654205607476601</v>
      </c>
      <c r="N488" s="16">
        <v>0.91666666666666696</v>
      </c>
      <c r="O488" s="16">
        <v>1</v>
      </c>
      <c r="P488" s="17">
        <f t="shared" si="77"/>
        <v>0.21239498166838247</v>
      </c>
      <c r="Q488" s="17">
        <f t="shared" si="78"/>
        <v>0.76831098641648465</v>
      </c>
      <c r="R488" s="17">
        <f t="shared" si="79"/>
        <v>0.94106957424714432</v>
      </c>
      <c r="S488" s="17">
        <f>'02_지표정의'!$C$22*P488+'02_지표정의'!$C$23*Q488+'02_지표정의'!$C$24*R488</f>
        <v>0.71759329120759507</v>
      </c>
      <c r="T488" s="5">
        <f t="shared" si="80"/>
        <v>1</v>
      </c>
      <c r="U488" s="5" t="str">
        <f t="shared" si="81"/>
        <v>보고서</v>
      </c>
      <c r="V488" s="18">
        <f t="shared" si="82"/>
        <v>868</v>
      </c>
      <c r="W488" s="5">
        <f t="shared" si="83"/>
        <v>577</v>
      </c>
      <c r="X488" s="5">
        <f t="shared" si="84"/>
        <v>543</v>
      </c>
      <c r="Y488" s="5">
        <f t="shared" si="85"/>
        <v>0</v>
      </c>
      <c r="Z488" s="19">
        <f t="shared" si="86"/>
        <v>22</v>
      </c>
      <c r="AA488" s="20">
        <f>ABS(S488-SUMPRODUCT(('05B_가정검정'!$A$5:$A$19=B488)*('05B_가정검정'!$B$5:$B$19=C488)*'05B_가정검정'!$E$5:$E$19))</f>
        <v>1.1838780174286079E-2</v>
      </c>
      <c r="AB488" s="20">
        <f t="shared" si="87"/>
        <v>-5.8501865285887078E-5</v>
      </c>
    </row>
    <row r="489" spans="1:28">
      <c r="A489" s="15" t="s">
        <v>155</v>
      </c>
      <c r="B489" s="15" t="s">
        <v>121</v>
      </c>
      <c r="C489" s="15" t="s">
        <v>118</v>
      </c>
      <c r="D489" s="16">
        <v>0.242595204513399</v>
      </c>
      <c r="E489" s="16">
        <v>0.42152466367712998</v>
      </c>
      <c r="F489" s="16">
        <v>0.144796380090498</v>
      </c>
      <c r="G489" s="16">
        <v>0.28699551569506698</v>
      </c>
      <c r="H489" s="16">
        <v>0.21683844387664999</v>
      </c>
      <c r="I489" s="16">
        <v>0.196782786872123</v>
      </c>
      <c r="J489" s="16">
        <v>0.75677873561260001</v>
      </c>
      <c r="K489" s="16">
        <v>0.76148438998794998</v>
      </c>
      <c r="L489" s="16">
        <v>0.88164138786453405</v>
      </c>
      <c r="M489" s="16">
        <v>0.51052631578947405</v>
      </c>
      <c r="N489" s="16">
        <v>0.53921568627451</v>
      </c>
      <c r="O489" s="16">
        <v>1</v>
      </c>
      <c r="P489" s="17">
        <f t="shared" si="77"/>
        <v>0.25158883245414448</v>
      </c>
      <c r="Q489" s="17">
        <f t="shared" si="78"/>
        <v>0.79996817115502805</v>
      </c>
      <c r="R489" s="17">
        <f t="shared" si="79"/>
        <v>0.68324733402132798</v>
      </c>
      <c r="S489" s="17">
        <f>'02_지표정의'!$C$22*P489+'02_지표정의'!$C$23*Q489+'02_지표정의'!$C$24*R489</f>
        <v>0.64944001041805632</v>
      </c>
      <c r="T489" s="5">
        <f t="shared" si="80"/>
        <v>0</v>
      </c>
      <c r="U489" s="5" t="str">
        <f t="shared" si="81"/>
        <v>보고서</v>
      </c>
      <c r="V489" s="18">
        <f t="shared" si="82"/>
        <v>616</v>
      </c>
      <c r="W489" s="5">
        <f t="shared" si="83"/>
        <v>469</v>
      </c>
      <c r="X489" s="5">
        <f t="shared" si="84"/>
        <v>0</v>
      </c>
      <c r="Y489" s="5">
        <f t="shared" si="85"/>
        <v>461</v>
      </c>
      <c r="Z489" s="19">
        <f t="shared" si="86"/>
        <v>63</v>
      </c>
      <c r="AA489" s="20">
        <f>ABS(S489-SUMPRODUCT(('05B_가정검정'!$A$5:$A$19=B489)*('05B_가정검정'!$B$5:$B$19=C489)*'05B_가정검정'!$E$5:$E$19))</f>
        <v>5.0860520251087893E-2</v>
      </c>
      <c r="AB489" s="20">
        <f t="shared" si="87"/>
        <v>7.004093589124305E-2</v>
      </c>
    </row>
    <row r="490" spans="1:28">
      <c r="A490" s="15" t="s">
        <v>155</v>
      </c>
      <c r="B490" s="15" t="s">
        <v>121</v>
      </c>
      <c r="C490" s="15" t="s">
        <v>119</v>
      </c>
      <c r="D490" s="16">
        <v>0.25864661654135301</v>
      </c>
      <c r="E490" s="16">
        <v>0.40723981900452499</v>
      </c>
      <c r="F490" s="16">
        <v>0.18264840182648401</v>
      </c>
      <c r="G490" s="16">
        <v>0.31674208144796401</v>
      </c>
      <c r="H490" s="16">
        <v>0.338682308123125</v>
      </c>
      <c r="I490" s="16">
        <v>0.28904904951792998</v>
      </c>
      <c r="J490" s="16">
        <v>0.74513195470246696</v>
      </c>
      <c r="K490" s="16">
        <v>0.77409522565562405</v>
      </c>
      <c r="L490" s="16">
        <v>0.887922481133672</v>
      </c>
      <c r="M490" s="16">
        <v>0.86407766990291301</v>
      </c>
      <c r="N490" s="16">
        <v>0.859649122807018</v>
      </c>
      <c r="O490" s="16">
        <v>0.84210526315789502</v>
      </c>
      <c r="P490" s="17">
        <f t="shared" si="77"/>
        <v>0.29883471274356349</v>
      </c>
      <c r="Q490" s="17">
        <f t="shared" si="78"/>
        <v>0.80238322049725441</v>
      </c>
      <c r="R490" s="17">
        <f t="shared" si="79"/>
        <v>0.85527735195594212</v>
      </c>
      <c r="S490" s="17">
        <f>'02_지표정의'!$C$22*P490+'02_지표정의'!$C$23*Q490+'02_지표정의'!$C$24*R490</f>
        <v>0.72018646495705685</v>
      </c>
      <c r="T490" s="5">
        <f t="shared" si="80"/>
        <v>0</v>
      </c>
      <c r="U490" s="5" t="str">
        <f t="shared" si="81"/>
        <v>보고서</v>
      </c>
      <c r="V490" s="18">
        <f t="shared" si="82"/>
        <v>880</v>
      </c>
      <c r="W490" s="5">
        <f t="shared" si="83"/>
        <v>0</v>
      </c>
      <c r="X490" s="5">
        <f t="shared" si="84"/>
        <v>555</v>
      </c>
      <c r="Y490" s="5">
        <f t="shared" si="85"/>
        <v>618</v>
      </c>
      <c r="Z490" s="19">
        <f t="shared" si="86"/>
        <v>49</v>
      </c>
      <c r="AA490" s="20">
        <f>ABS(S490-SUMPRODUCT(('05B_가정검정'!$A$5:$A$19=B490)*('05B_가정검정'!$B$5:$B$19=C490)*'05B_가정검정'!$E$5:$E$19))</f>
        <v>2.7866622161203169E-2</v>
      </c>
      <c r="AB490" s="20">
        <f t="shared" si="87"/>
        <v>3.1949489537445808E-2</v>
      </c>
    </row>
    <row r="491" spans="1:28">
      <c r="A491" s="15" t="s">
        <v>155</v>
      </c>
      <c r="B491" s="15" t="s">
        <v>122</v>
      </c>
      <c r="C491" s="15" t="s">
        <v>117</v>
      </c>
      <c r="D491" s="16">
        <v>0.227906976744186</v>
      </c>
      <c r="E491" s="16">
        <v>0.30921052631578999</v>
      </c>
      <c r="F491" s="16">
        <v>9.27152317880795E-2</v>
      </c>
      <c r="G491" s="16">
        <v>0.230263157894737</v>
      </c>
      <c r="H491" s="16">
        <v>0.29059447091567397</v>
      </c>
      <c r="I491" s="16">
        <v>0.18272270595096299</v>
      </c>
      <c r="J491" s="16">
        <v>0.66720974826877</v>
      </c>
      <c r="K491" s="16">
        <v>0.59026564092350298</v>
      </c>
      <c r="L491" s="16">
        <v>0.82281715657229204</v>
      </c>
      <c r="M491" s="16">
        <v>0.497206703910615</v>
      </c>
      <c r="N491" s="16">
        <v>0.44578313253012097</v>
      </c>
      <c r="O491" s="16">
        <v>0.68421052631579005</v>
      </c>
      <c r="P491" s="17">
        <f t="shared" si="77"/>
        <v>0.22223551160157159</v>
      </c>
      <c r="Q491" s="17">
        <f t="shared" si="78"/>
        <v>0.69343084858818838</v>
      </c>
      <c r="R491" s="17">
        <f t="shared" si="79"/>
        <v>0.54240012091884193</v>
      </c>
      <c r="S491" s="17">
        <f>'02_지표정의'!$C$22*P491+'02_지표정의'!$C$23*Q491+'02_지표정의'!$C$24*R491</f>
        <v>0.54633102650659382</v>
      </c>
      <c r="T491" s="5">
        <f t="shared" si="80"/>
        <v>0</v>
      </c>
      <c r="U491" s="5" t="str">
        <f t="shared" si="81"/>
        <v>보고서</v>
      </c>
      <c r="V491" s="18">
        <f t="shared" si="82"/>
        <v>191</v>
      </c>
      <c r="W491" s="5">
        <f t="shared" si="83"/>
        <v>160</v>
      </c>
      <c r="X491" s="5">
        <f t="shared" si="84"/>
        <v>56</v>
      </c>
      <c r="Y491" s="5">
        <f t="shared" si="85"/>
        <v>0</v>
      </c>
      <c r="Z491" s="19">
        <f t="shared" si="86"/>
        <v>3</v>
      </c>
      <c r="AA491" s="20">
        <f>ABS(S491-SUMPRODUCT(('05B_가정검정'!$A$5:$A$19=B491)*('05B_가정검정'!$B$5:$B$19=C491)*'05B_가정검정'!$E$5:$E$19))</f>
        <v>9.3021928202084658E-2</v>
      </c>
      <c r="AB491" s="20">
        <f t="shared" si="87"/>
        <v>-7.6550595683052336E-2</v>
      </c>
    </row>
    <row r="492" spans="1:28">
      <c r="A492" s="15" t="s">
        <v>155</v>
      </c>
      <c r="B492" s="15" t="s">
        <v>122</v>
      </c>
      <c r="C492" s="15" t="s">
        <v>118</v>
      </c>
      <c r="D492" s="16">
        <v>0.29104477611940299</v>
      </c>
      <c r="E492" s="16">
        <v>0.44137931034482802</v>
      </c>
      <c r="F492" s="16">
        <v>0.16666666666666699</v>
      </c>
      <c r="G492" s="16">
        <v>0.31034482758620702</v>
      </c>
      <c r="H492" s="16">
        <v>0.30519682085568101</v>
      </c>
      <c r="I492" s="16">
        <v>0.20528811167768701</v>
      </c>
      <c r="J492" s="16">
        <v>0.68320268337650303</v>
      </c>
      <c r="K492" s="16">
        <v>0.66308518728840204</v>
      </c>
      <c r="L492" s="16">
        <v>0.85755979975459895</v>
      </c>
      <c r="M492" s="16">
        <v>0.64210526315789496</v>
      </c>
      <c r="N492" s="16">
        <v>0.441176470588235</v>
      </c>
      <c r="O492" s="16">
        <v>0.68421052631579005</v>
      </c>
      <c r="P492" s="17">
        <f t="shared" si="77"/>
        <v>0.28665341887507884</v>
      </c>
      <c r="Q492" s="17">
        <f t="shared" si="78"/>
        <v>0.73461589013983464</v>
      </c>
      <c r="R492" s="17">
        <f t="shared" si="79"/>
        <v>0.58916408668730669</v>
      </c>
      <c r="S492" s="17">
        <f>'02_지표정의'!$C$22*P492+'02_지표정의'!$C$23*Q492+'02_지표정의'!$C$24*R492</f>
        <v>0.59411526467849862</v>
      </c>
      <c r="T492" s="5">
        <f t="shared" si="80"/>
        <v>1</v>
      </c>
      <c r="U492" s="5" t="str">
        <f t="shared" si="81"/>
        <v>보고서</v>
      </c>
      <c r="V492" s="18">
        <f t="shared" si="82"/>
        <v>359</v>
      </c>
      <c r="W492" s="5">
        <f t="shared" si="83"/>
        <v>290</v>
      </c>
      <c r="X492" s="5">
        <f t="shared" si="84"/>
        <v>0</v>
      </c>
      <c r="Y492" s="5">
        <f t="shared" si="85"/>
        <v>275</v>
      </c>
      <c r="Z492" s="19">
        <f t="shared" si="86"/>
        <v>37</v>
      </c>
      <c r="AA492" s="20">
        <f>ABS(S492-SUMPRODUCT(('05B_가정검정'!$A$5:$A$19=B492)*('05B_가정검정'!$B$5:$B$19=C492)*'05B_가정검정'!$E$5:$E$19))</f>
        <v>7.1933286813403718E-3</v>
      </c>
      <c r="AB492" s="20">
        <f t="shared" si="87"/>
        <v>1.2891988460814852E-2</v>
      </c>
    </row>
    <row r="493" spans="1:28">
      <c r="A493" s="15" t="s">
        <v>155</v>
      </c>
      <c r="B493" s="15" t="s">
        <v>122</v>
      </c>
      <c r="C493" s="15" t="s">
        <v>119</v>
      </c>
      <c r="D493" s="16">
        <v>0.25789473684210501</v>
      </c>
      <c r="E493" s="16">
        <v>0.42361111111111099</v>
      </c>
      <c r="F493" s="16">
        <v>0.13986013986014001</v>
      </c>
      <c r="G493" s="16">
        <v>0.30555555555555602</v>
      </c>
      <c r="H493" s="16">
        <v>0.27267325953016502</v>
      </c>
      <c r="I493" s="16">
        <v>0.25309392148679499</v>
      </c>
      <c r="J493" s="16">
        <v>0.67607721756051498</v>
      </c>
      <c r="K493" s="16">
        <v>0.64617997636340796</v>
      </c>
      <c r="L493" s="16">
        <v>0.85910810140469296</v>
      </c>
      <c r="M493" s="16">
        <v>0.474860335195531</v>
      </c>
      <c r="N493" s="16">
        <v>0.48192771084337399</v>
      </c>
      <c r="O493" s="16">
        <v>0.8125</v>
      </c>
      <c r="P493" s="17">
        <f t="shared" si="77"/>
        <v>0.27544812073097868</v>
      </c>
      <c r="Q493" s="17">
        <f t="shared" si="78"/>
        <v>0.72712176510953863</v>
      </c>
      <c r="R493" s="17">
        <f t="shared" si="79"/>
        <v>0.58976268201296833</v>
      </c>
      <c r="S493" s="17">
        <f>'02_지표정의'!$C$22*P493+'02_지표정의'!$C$23*Q493+'02_지표정의'!$C$24*R493</f>
        <v>0.58871135715002698</v>
      </c>
      <c r="T493" s="5">
        <f t="shared" si="80"/>
        <v>0</v>
      </c>
      <c r="U493" s="5" t="str">
        <f t="shared" si="81"/>
        <v>보고서</v>
      </c>
      <c r="V493" s="18">
        <f t="shared" si="82"/>
        <v>346</v>
      </c>
      <c r="W493" s="5">
        <f t="shared" si="83"/>
        <v>0</v>
      </c>
      <c r="X493" s="5">
        <f t="shared" si="84"/>
        <v>148</v>
      </c>
      <c r="Y493" s="5">
        <f t="shared" si="85"/>
        <v>263</v>
      </c>
      <c r="Z493" s="19">
        <f t="shared" si="86"/>
        <v>8</v>
      </c>
      <c r="AA493" s="20">
        <f>ABS(S493-SUMPRODUCT(('05B_가정검정'!$A$5:$A$19=B493)*('05B_가정검정'!$B$5:$B$19=C493)*'05B_가정검정'!$E$5:$E$19))</f>
        <v>4.6894830751424421E-2</v>
      </c>
      <c r="AB493" s="20">
        <f t="shared" si="87"/>
        <v>-4.2677509164859018E-2</v>
      </c>
    </row>
    <row r="494" spans="1:28">
      <c r="A494" s="15" t="s">
        <v>155</v>
      </c>
      <c r="B494" s="15" t="s">
        <v>123</v>
      </c>
      <c r="C494" s="15" t="s">
        <v>117</v>
      </c>
      <c r="D494" s="16">
        <v>0.189973614775726</v>
      </c>
      <c r="E494" s="16">
        <v>0.27956989247311798</v>
      </c>
      <c r="F494" s="16">
        <v>8.6642599277978294E-2</v>
      </c>
      <c r="G494" s="16">
        <v>0.21505376344086</v>
      </c>
      <c r="H494" s="16">
        <v>0.33436017043937</v>
      </c>
      <c r="I494" s="16">
        <v>0.103085098802188</v>
      </c>
      <c r="J494" s="16">
        <v>0.67672382736792602</v>
      </c>
      <c r="K494" s="16">
        <v>0.61630500518318299</v>
      </c>
      <c r="L494" s="16">
        <v>0.85141562563844098</v>
      </c>
      <c r="M494" s="16">
        <v>0.90654205607476601</v>
      </c>
      <c r="N494" s="16">
        <v>0.91666666666666696</v>
      </c>
      <c r="O494" s="16">
        <v>1</v>
      </c>
      <c r="P494" s="17">
        <f t="shared" si="77"/>
        <v>0.20144752320154005</v>
      </c>
      <c r="Q494" s="17">
        <f t="shared" si="78"/>
        <v>0.71481481939651659</v>
      </c>
      <c r="R494" s="17">
        <f t="shared" si="79"/>
        <v>0.94106957424714432</v>
      </c>
      <c r="S494" s="17">
        <f>'02_지표정의'!$C$22*P494+'02_지표정의'!$C$23*Q494+'02_지표정의'!$C$24*R494</f>
        <v>0.69133052435524101</v>
      </c>
      <c r="T494" s="5">
        <f t="shared" si="80"/>
        <v>0</v>
      </c>
      <c r="U494" s="5" t="str">
        <f t="shared" si="81"/>
        <v>보고서</v>
      </c>
      <c r="V494" s="18">
        <f t="shared" si="82"/>
        <v>791</v>
      </c>
      <c r="W494" s="5">
        <f t="shared" si="83"/>
        <v>545</v>
      </c>
      <c r="X494" s="5">
        <f t="shared" si="84"/>
        <v>466</v>
      </c>
      <c r="Y494" s="5">
        <f t="shared" si="85"/>
        <v>0</v>
      </c>
      <c r="Z494" s="19">
        <f t="shared" si="86"/>
        <v>16</v>
      </c>
      <c r="AA494" s="20">
        <f>ABS(S494-SUMPRODUCT(('05B_가정검정'!$A$5:$A$19=B494)*('05B_가정검정'!$B$5:$B$19=C494)*'05B_가정검정'!$E$5:$E$19))</f>
        <v>2.3592358420982729E-2</v>
      </c>
      <c r="AB494" s="20">
        <f t="shared" si="87"/>
        <v>-1.6654927456002167E-2</v>
      </c>
    </row>
    <row r="495" spans="1:28">
      <c r="A495" s="15" t="s">
        <v>155</v>
      </c>
      <c r="B495" s="15" t="s">
        <v>123</v>
      </c>
      <c r="C495" s="15" t="s">
        <v>118</v>
      </c>
      <c r="D495" s="16">
        <v>0.236467236467237</v>
      </c>
      <c r="E495" s="16">
        <v>0.38490566037735902</v>
      </c>
      <c r="F495" s="16">
        <v>0.16730038022813701</v>
      </c>
      <c r="G495" s="16">
        <v>0.29433962264150898</v>
      </c>
      <c r="H495" s="16">
        <v>0.26542507947826299</v>
      </c>
      <c r="I495" s="16">
        <v>0.21837380003048101</v>
      </c>
      <c r="J495" s="16">
        <v>0.67677439685565599</v>
      </c>
      <c r="K495" s="16">
        <v>0.66077748429734495</v>
      </c>
      <c r="L495" s="16">
        <v>0.86331120034579201</v>
      </c>
      <c r="M495" s="16">
        <v>0.51052631578947405</v>
      </c>
      <c r="N495" s="16">
        <v>0.53921568627451</v>
      </c>
      <c r="O495" s="16">
        <v>1</v>
      </c>
      <c r="P495" s="17">
        <f t="shared" si="77"/>
        <v>0.26113529653716433</v>
      </c>
      <c r="Q495" s="17">
        <f t="shared" si="78"/>
        <v>0.73362102716626432</v>
      </c>
      <c r="R495" s="17">
        <f t="shared" si="79"/>
        <v>0.68324733402132798</v>
      </c>
      <c r="S495" s="17">
        <f>'02_지표정의'!$C$22*P495+'02_지표정의'!$C$23*Q495+'02_지표정의'!$C$24*R495</f>
        <v>0.62149308843971651</v>
      </c>
      <c r="T495" s="5">
        <f t="shared" si="80"/>
        <v>0</v>
      </c>
      <c r="U495" s="5" t="str">
        <f t="shared" si="81"/>
        <v>보고서</v>
      </c>
      <c r="V495" s="18">
        <f t="shared" si="82"/>
        <v>494</v>
      </c>
      <c r="W495" s="5">
        <f t="shared" si="83"/>
        <v>398</v>
      </c>
      <c r="X495" s="5">
        <f t="shared" si="84"/>
        <v>0</v>
      </c>
      <c r="Y495" s="5">
        <f t="shared" si="85"/>
        <v>373</v>
      </c>
      <c r="Z495" s="19">
        <f t="shared" si="86"/>
        <v>62</v>
      </c>
      <c r="AA495" s="20">
        <f>ABS(S495-SUMPRODUCT(('05B_가정검정'!$A$5:$A$19=B495)*('05B_가정검정'!$B$5:$B$19=C495)*'05B_가정검정'!$E$5:$E$19))</f>
        <v>4.6194261560746797E-2</v>
      </c>
      <c r="AB495" s="20">
        <f t="shared" si="87"/>
        <v>6.1621480515225424E-2</v>
      </c>
    </row>
    <row r="496" spans="1:28">
      <c r="A496" s="15" t="s">
        <v>155</v>
      </c>
      <c r="B496" s="15" t="s">
        <v>123</v>
      </c>
      <c r="C496" s="15" t="s">
        <v>119</v>
      </c>
      <c r="D496" s="16">
        <v>0.25835866261398199</v>
      </c>
      <c r="E496" s="16">
        <v>0.41825095057034201</v>
      </c>
      <c r="F496" s="16">
        <v>0.16858237547892699</v>
      </c>
      <c r="G496" s="16">
        <v>0.288973384030418</v>
      </c>
      <c r="H496" s="16">
        <v>0.39380656840790401</v>
      </c>
      <c r="I496" s="16">
        <v>0.30250511401130598</v>
      </c>
      <c r="J496" s="16">
        <v>0.70122423341714202</v>
      </c>
      <c r="K496" s="16">
        <v>0.64919566649938099</v>
      </c>
      <c r="L496" s="16">
        <v>0.87757783983386595</v>
      </c>
      <c r="M496" s="16">
        <v>0.86407766990291301</v>
      </c>
      <c r="N496" s="16">
        <v>0.859649122807018</v>
      </c>
      <c r="O496" s="16">
        <v>0.84210526315789502</v>
      </c>
      <c r="P496" s="17">
        <f t="shared" si="77"/>
        <v>0.30507950918547982</v>
      </c>
      <c r="Q496" s="17">
        <f t="shared" si="78"/>
        <v>0.74266591325012976</v>
      </c>
      <c r="R496" s="17">
        <f t="shared" si="79"/>
        <v>0.85527735195594212</v>
      </c>
      <c r="S496" s="17">
        <f>'02_지표정의'!$C$22*P496+'02_지표정의'!$C$23*Q496+'02_지표정의'!$C$24*R496</f>
        <v>0.69456263598423407</v>
      </c>
      <c r="T496" s="5">
        <f t="shared" si="80"/>
        <v>1</v>
      </c>
      <c r="U496" s="5" t="str">
        <f t="shared" si="81"/>
        <v>보고서</v>
      </c>
      <c r="V496" s="18">
        <f t="shared" si="82"/>
        <v>804</v>
      </c>
      <c r="W496" s="5">
        <f t="shared" si="83"/>
        <v>0</v>
      </c>
      <c r="X496" s="5">
        <f t="shared" si="84"/>
        <v>479</v>
      </c>
      <c r="Y496" s="5">
        <f t="shared" si="85"/>
        <v>579</v>
      </c>
      <c r="Z496" s="19">
        <f t="shared" si="86"/>
        <v>40</v>
      </c>
      <c r="AA496" s="20">
        <f>ABS(S496-SUMPRODUCT(('05B_가정검정'!$A$5:$A$19=B496)*('05B_가정검정'!$B$5:$B$19=C496)*'05B_가정검정'!$E$5:$E$19))</f>
        <v>8.9328386600067144E-3</v>
      </c>
      <c r="AB496" s="20">
        <f t="shared" si="87"/>
        <v>1.2143902939232287E-2</v>
      </c>
    </row>
    <row r="497" spans="1:28">
      <c r="A497" s="15" t="s">
        <v>156</v>
      </c>
      <c r="B497" s="15" t="s">
        <v>116</v>
      </c>
      <c r="C497" s="15" t="s">
        <v>117</v>
      </c>
      <c r="D497" s="16">
        <v>0.22664624808575801</v>
      </c>
      <c r="E497" s="16">
        <v>0.28292682926829299</v>
      </c>
      <c r="F497" s="16">
        <v>9.8522167487684706E-2</v>
      </c>
      <c r="G497" s="16">
        <v>0.25365853658536602</v>
      </c>
      <c r="H497" s="16">
        <v>0.21197582594311501</v>
      </c>
      <c r="I497" s="16">
        <v>0.196508407381766</v>
      </c>
      <c r="J497" s="16">
        <v>0.69150761075719303</v>
      </c>
      <c r="K497" s="16">
        <v>0.66149807811741002</v>
      </c>
      <c r="L497" s="16">
        <v>0.83431310612003096</v>
      </c>
      <c r="M497" s="16">
        <v>0.51515151515151503</v>
      </c>
      <c r="N497" s="16">
        <v>0.213483146067416</v>
      </c>
      <c r="O497" s="16">
        <v>1</v>
      </c>
      <c r="P497" s="17">
        <f t="shared" si="77"/>
        <v>0.21170633579199713</v>
      </c>
      <c r="Q497" s="17">
        <f t="shared" si="78"/>
        <v>0.7291062649982113</v>
      </c>
      <c r="R497" s="17">
        <f t="shared" si="79"/>
        <v>0.57621155373964372</v>
      </c>
      <c r="S497" s="17">
        <f>'02_지표정의'!$C$22*P497+'02_지표정의'!$C$23*Q497+'02_지표정의'!$C$24*R497</f>
        <v>0.57211313021646981</v>
      </c>
      <c r="T497" s="5">
        <f t="shared" si="80"/>
        <v>0</v>
      </c>
      <c r="U497" s="5" t="str">
        <f t="shared" si="81"/>
        <v>보고서</v>
      </c>
      <c r="V497" s="18">
        <f t="shared" si="82"/>
        <v>296</v>
      </c>
      <c r="W497" s="5">
        <f t="shared" si="83"/>
        <v>239</v>
      </c>
      <c r="X497" s="5">
        <f t="shared" si="84"/>
        <v>123</v>
      </c>
      <c r="Y497" s="5">
        <f t="shared" si="85"/>
        <v>0</v>
      </c>
      <c r="Z497" s="19">
        <f t="shared" si="86"/>
        <v>54</v>
      </c>
      <c r="AA497" s="20">
        <f>ABS(S497-SUMPRODUCT(('05B_가정검정'!$A$5:$A$19=B497)*('05B_가정검정'!$B$5:$B$19=C497)*'05B_가정검정'!$E$5:$E$19))</f>
        <v>1.4709425231502538E-2</v>
      </c>
      <c r="AB497" s="20">
        <f t="shared" si="87"/>
        <v>1.9561964803846421E-2</v>
      </c>
    </row>
    <row r="498" spans="1:28">
      <c r="A498" s="15" t="s">
        <v>156</v>
      </c>
      <c r="B498" s="15" t="s">
        <v>116</v>
      </c>
      <c r="C498" s="15" t="s">
        <v>118</v>
      </c>
      <c r="D498" s="16">
        <v>0.27941176470588203</v>
      </c>
      <c r="E498" s="16">
        <v>0.21678321678321699</v>
      </c>
      <c r="F498" s="16">
        <v>7.7464788732394402E-2</v>
      </c>
      <c r="G498" s="16">
        <v>0.20279720279720301</v>
      </c>
      <c r="H498" s="16">
        <v>0.13380167096037199</v>
      </c>
      <c r="I498" s="16">
        <v>0.30642645737181901</v>
      </c>
      <c r="J498" s="16">
        <v>0.74756961248137699</v>
      </c>
      <c r="K498" s="16">
        <v>0.72550410701869605</v>
      </c>
      <c r="L498" s="16">
        <v>0.86732489363783705</v>
      </c>
      <c r="M498" s="16">
        <v>0.47670250896057298</v>
      </c>
      <c r="N498" s="16">
        <v>1.55038759689923E-2</v>
      </c>
      <c r="O498" s="16">
        <v>1</v>
      </c>
      <c r="P498" s="17">
        <f t="shared" si="77"/>
        <v>0.20278085022514791</v>
      </c>
      <c r="Q498" s="17">
        <f t="shared" si="78"/>
        <v>0.78013287104597007</v>
      </c>
      <c r="R498" s="17">
        <f t="shared" si="79"/>
        <v>0.49740212830985508</v>
      </c>
      <c r="S498" s="17">
        <f>'02_지표정의'!$C$22*P498+'02_지표정의'!$C$23*Q498+'02_지표정의'!$C$24*R498</f>
        <v>0.56570670692416547</v>
      </c>
      <c r="T498" s="5">
        <f t="shared" si="80"/>
        <v>0</v>
      </c>
      <c r="U498" s="5" t="str">
        <f t="shared" si="81"/>
        <v>보고서</v>
      </c>
      <c r="V498" s="18">
        <f t="shared" si="82"/>
        <v>269</v>
      </c>
      <c r="W498" s="5">
        <f t="shared" si="83"/>
        <v>218</v>
      </c>
      <c r="X498" s="5">
        <f t="shared" si="84"/>
        <v>0</v>
      </c>
      <c r="Y498" s="5">
        <f t="shared" si="85"/>
        <v>217</v>
      </c>
      <c r="Z498" s="19">
        <f t="shared" si="86"/>
        <v>54</v>
      </c>
      <c r="AA498" s="20">
        <f>ABS(S498-SUMPRODUCT(('05B_가정검정'!$A$5:$A$19=B498)*('05B_가정검정'!$B$5:$B$19=C498)*'05B_가정검정'!$E$5:$E$19))</f>
        <v>3.441428522244383E-2</v>
      </c>
      <c r="AB498" s="20">
        <f t="shared" si="87"/>
        <v>3.8157674545579168E-2</v>
      </c>
    </row>
    <row r="499" spans="1:28">
      <c r="A499" s="15" t="s">
        <v>156</v>
      </c>
      <c r="B499" s="15" t="s">
        <v>116</v>
      </c>
      <c r="C499" s="15" t="s">
        <v>119</v>
      </c>
      <c r="D499" s="16">
        <v>0.30537634408602199</v>
      </c>
      <c r="E499" s="16">
        <v>0.47863247863247899</v>
      </c>
      <c r="F499" s="16">
        <v>0.19130434782608699</v>
      </c>
      <c r="G499" s="16">
        <v>0.427350427350427</v>
      </c>
      <c r="H499" s="16">
        <v>0.340233877716838</v>
      </c>
      <c r="I499" s="16">
        <v>0.255199775197265</v>
      </c>
      <c r="J499" s="16">
        <v>0.77022074933037499</v>
      </c>
      <c r="K499" s="16">
        <v>0.70147398343364997</v>
      </c>
      <c r="L499" s="16">
        <v>0.85508960288907898</v>
      </c>
      <c r="M499" s="16">
        <v>0.51515151515151503</v>
      </c>
      <c r="N499" s="16">
        <v>0.213483146067416</v>
      </c>
      <c r="O499" s="16">
        <v>1</v>
      </c>
      <c r="P499" s="17">
        <f t="shared" si="77"/>
        <v>0.3330162084681863</v>
      </c>
      <c r="Q499" s="17">
        <f t="shared" si="78"/>
        <v>0.77559477855103465</v>
      </c>
      <c r="R499" s="17">
        <f t="shared" si="79"/>
        <v>0.57621155373964372</v>
      </c>
      <c r="S499" s="17">
        <f>'02_지표정의'!$C$22*P499+'02_지표정의'!$C$23*Q499+'02_지표정의'!$C$24*R499</f>
        <v>0.61729493585047823</v>
      </c>
      <c r="T499" s="5">
        <f t="shared" si="80"/>
        <v>0</v>
      </c>
      <c r="U499" s="5" t="str">
        <f t="shared" si="81"/>
        <v>보고서</v>
      </c>
      <c r="V499" s="18">
        <f t="shared" si="82"/>
        <v>476</v>
      </c>
      <c r="W499" s="5">
        <f t="shared" si="83"/>
        <v>0</v>
      </c>
      <c r="X499" s="5">
        <f t="shared" si="84"/>
        <v>209</v>
      </c>
      <c r="Y499" s="5">
        <f t="shared" si="85"/>
        <v>357</v>
      </c>
      <c r="Z499" s="19">
        <f t="shared" si="86"/>
        <v>61</v>
      </c>
      <c r="AA499" s="20">
        <f>ABS(S499-SUMPRODUCT(('05B_가정검정'!$A$5:$A$19=B499)*('05B_가정검정'!$B$5:$B$19=C499)*'05B_가정검정'!$E$5:$E$19))</f>
        <v>6.4271419107695626E-2</v>
      </c>
      <c r="AB499" s="20">
        <f t="shared" si="87"/>
        <v>6.0842452174298178E-2</v>
      </c>
    </row>
    <row r="500" spans="1:28">
      <c r="A500" s="15" t="s">
        <v>156</v>
      </c>
      <c r="B500" s="15" t="s">
        <v>120</v>
      </c>
      <c r="C500" s="15" t="s">
        <v>117</v>
      </c>
      <c r="D500" s="16">
        <v>0.25667351129363503</v>
      </c>
      <c r="E500" s="16">
        <v>0.33082706766917302</v>
      </c>
      <c r="F500" s="16">
        <v>9.0909090909090898E-2</v>
      </c>
      <c r="G500" s="16">
        <v>0.21804511278195499</v>
      </c>
      <c r="H500" s="16">
        <v>0.31661101458173302</v>
      </c>
      <c r="I500" s="16">
        <v>0.18329533562007899</v>
      </c>
      <c r="J500" s="16">
        <v>0.71287468239043705</v>
      </c>
      <c r="K500" s="16">
        <v>0.62952696400969599</v>
      </c>
      <c r="L500" s="16">
        <v>0.77187528469623301</v>
      </c>
      <c r="M500" s="16">
        <v>0.56707317073170704</v>
      </c>
      <c r="N500" s="16">
        <v>0.52127659574468099</v>
      </c>
      <c r="O500" s="16">
        <v>1</v>
      </c>
      <c r="P500" s="17">
        <f t="shared" si="77"/>
        <v>0.23272685547594438</v>
      </c>
      <c r="Q500" s="17">
        <f t="shared" si="78"/>
        <v>0.70475897703212198</v>
      </c>
      <c r="R500" s="17">
        <f t="shared" si="79"/>
        <v>0.69611658882546268</v>
      </c>
      <c r="S500" s="17">
        <f>'02_지표정의'!$C$22*P500+'02_지표정의'!$C$23*Q500+'02_지표정의'!$C$24*R500</f>
        <v>0.60732771684855569</v>
      </c>
      <c r="T500" s="5">
        <f t="shared" si="80"/>
        <v>0</v>
      </c>
      <c r="U500" s="5" t="str">
        <f t="shared" si="81"/>
        <v>보고서</v>
      </c>
      <c r="V500" s="18">
        <f t="shared" si="82"/>
        <v>420</v>
      </c>
      <c r="W500" s="5">
        <f t="shared" si="83"/>
        <v>341</v>
      </c>
      <c r="X500" s="5">
        <f t="shared" si="84"/>
        <v>180</v>
      </c>
      <c r="Y500" s="5">
        <f t="shared" si="85"/>
        <v>0</v>
      </c>
      <c r="Z500" s="19">
        <f t="shared" si="86"/>
        <v>13</v>
      </c>
      <c r="AA500" s="20">
        <f>ABS(S500-SUMPRODUCT(('05B_가정검정'!$A$5:$A$19=B500)*('05B_가정검정'!$B$5:$B$19=C500)*'05B_가정검정'!$E$5:$E$19))</f>
        <v>2.0721243208565387E-2</v>
      </c>
      <c r="AB500" s="20">
        <f t="shared" si="87"/>
        <v>-2.3974986576201451E-2</v>
      </c>
    </row>
    <row r="501" spans="1:28">
      <c r="A501" s="15" t="s">
        <v>156</v>
      </c>
      <c r="B501" s="15" t="s">
        <v>120</v>
      </c>
      <c r="C501" s="15" t="s">
        <v>118</v>
      </c>
      <c r="D501" s="16">
        <v>0.31168831168831201</v>
      </c>
      <c r="E501" s="16">
        <v>0.29971181556196003</v>
      </c>
      <c r="F501" s="16">
        <v>0.11014492753623201</v>
      </c>
      <c r="G501" s="16">
        <v>0.219020172910663</v>
      </c>
      <c r="H501" s="16">
        <v>0.23476836319595701</v>
      </c>
      <c r="I501" s="16">
        <v>0.26542737578556702</v>
      </c>
      <c r="J501" s="16">
        <v>0.73678135869779204</v>
      </c>
      <c r="K501" s="16">
        <v>0.66747195036109297</v>
      </c>
      <c r="L501" s="16">
        <v>0.82720751052781905</v>
      </c>
      <c r="M501" s="16">
        <v>0.53046594982078898</v>
      </c>
      <c r="N501" s="16">
        <v>0.52713178294573704</v>
      </c>
      <c r="O501" s="16">
        <v>1</v>
      </c>
      <c r="P501" s="17">
        <f t="shared" si="77"/>
        <v>0.24012682777978187</v>
      </c>
      <c r="Q501" s="17">
        <f t="shared" si="78"/>
        <v>0.74382027319556798</v>
      </c>
      <c r="R501" s="17">
        <f t="shared" si="79"/>
        <v>0.6858659109221753</v>
      </c>
      <c r="S501" s="17">
        <f>'02_지표정의'!$C$22*P501+'02_지표정의'!$C$23*Q501+'02_지표정의'!$C$24*R501</f>
        <v>0.62279755731672326</v>
      </c>
      <c r="T501" s="5">
        <f t="shared" si="80"/>
        <v>0</v>
      </c>
      <c r="U501" s="5" t="str">
        <f t="shared" si="81"/>
        <v>보고서</v>
      </c>
      <c r="V501" s="18">
        <f t="shared" si="82"/>
        <v>502</v>
      </c>
      <c r="W501" s="5">
        <f t="shared" si="83"/>
        <v>404</v>
      </c>
      <c r="X501" s="5">
        <f t="shared" si="84"/>
        <v>0</v>
      </c>
      <c r="Y501" s="5">
        <f t="shared" si="85"/>
        <v>380</v>
      </c>
      <c r="Z501" s="19">
        <f t="shared" si="86"/>
        <v>52</v>
      </c>
      <c r="AA501" s="20">
        <f>ABS(S501-SUMPRODUCT(('05B_가정검정'!$A$5:$A$19=B501)*('05B_가정검정'!$B$5:$B$19=C501)*'05B_가정검정'!$E$5:$E$19))</f>
        <v>3.1968708735095275E-2</v>
      </c>
      <c r="AB501" s="20">
        <f t="shared" si="87"/>
        <v>4.790678135461246E-2</v>
      </c>
    </row>
    <row r="502" spans="1:28">
      <c r="A502" s="15" t="s">
        <v>156</v>
      </c>
      <c r="B502" s="15" t="s">
        <v>120</v>
      </c>
      <c r="C502" s="15" t="s">
        <v>119</v>
      </c>
      <c r="D502" s="16">
        <v>0.26717557251908403</v>
      </c>
      <c r="E502" s="16">
        <v>0.40449438202247201</v>
      </c>
      <c r="F502" s="16">
        <v>0.14772727272727301</v>
      </c>
      <c r="G502" s="16">
        <v>0.29213483146067398</v>
      </c>
      <c r="H502" s="16">
        <v>0.19901616091652799</v>
      </c>
      <c r="I502" s="16">
        <v>0.21305889598893199</v>
      </c>
      <c r="J502" s="16">
        <v>0.74096794356048401</v>
      </c>
      <c r="K502" s="16">
        <v>0.61898471846377301</v>
      </c>
      <c r="L502" s="16">
        <v>0.85212233969721596</v>
      </c>
      <c r="M502" s="16">
        <v>0.56707317073170704</v>
      </c>
      <c r="N502" s="16">
        <v>0.52127659574468099</v>
      </c>
      <c r="O502" s="16">
        <v>1</v>
      </c>
      <c r="P502" s="17">
        <f t="shared" si="77"/>
        <v>0.25393451927249383</v>
      </c>
      <c r="Q502" s="17">
        <f t="shared" si="78"/>
        <v>0.73735833390715777</v>
      </c>
      <c r="R502" s="17">
        <f t="shared" si="79"/>
        <v>0.69611658882546268</v>
      </c>
      <c r="S502" s="17">
        <f>'02_지표정의'!$C$22*P502+'02_지표정의'!$C$23*Q502+'02_지표정의'!$C$24*R502</f>
        <v>0.62623896020163172</v>
      </c>
      <c r="T502" s="5">
        <f t="shared" si="80"/>
        <v>0</v>
      </c>
      <c r="U502" s="5" t="str">
        <f t="shared" si="81"/>
        <v>보고서</v>
      </c>
      <c r="V502" s="18">
        <f t="shared" si="82"/>
        <v>514</v>
      </c>
      <c r="W502" s="5">
        <f t="shared" si="83"/>
        <v>0</v>
      </c>
      <c r="X502" s="5">
        <f t="shared" si="84"/>
        <v>226</v>
      </c>
      <c r="Y502" s="5">
        <f t="shared" si="85"/>
        <v>387</v>
      </c>
      <c r="Z502" s="19">
        <f t="shared" si="86"/>
        <v>10</v>
      </c>
      <c r="AA502" s="20">
        <f>ABS(S502-SUMPRODUCT(('05B_가정검정'!$A$5:$A$19=B502)*('05B_가정검정'!$B$5:$B$19=C502)*'05B_가정검정'!$E$5:$E$19))</f>
        <v>3.7438356279754559E-2</v>
      </c>
      <c r="AB502" s="20">
        <f t="shared" si="87"/>
        <v>-3.2184047309183894E-2</v>
      </c>
    </row>
    <row r="503" spans="1:28">
      <c r="A503" s="15" t="s">
        <v>156</v>
      </c>
      <c r="B503" s="15" t="s">
        <v>121</v>
      </c>
      <c r="C503" s="15" t="s">
        <v>117</v>
      </c>
      <c r="D503" s="16">
        <v>0.25265957446808501</v>
      </c>
      <c r="E503" s="16">
        <v>0.32407407407407401</v>
      </c>
      <c r="F503" s="16">
        <v>0.14018691588785101</v>
      </c>
      <c r="G503" s="16">
        <v>0.296296296296296</v>
      </c>
      <c r="H503" s="16">
        <v>0.28415234099093201</v>
      </c>
      <c r="I503" s="16">
        <v>0.20698231466404801</v>
      </c>
      <c r="J503" s="16">
        <v>0.73168457409162801</v>
      </c>
      <c r="K503" s="16">
        <v>0.80104847644983002</v>
      </c>
      <c r="L503" s="16">
        <v>0.89972303595174796</v>
      </c>
      <c r="M503" s="16">
        <v>0.90654205607476601</v>
      </c>
      <c r="N503" s="16">
        <v>0.91666666666666696</v>
      </c>
      <c r="O503" s="16">
        <v>1</v>
      </c>
      <c r="P503" s="17">
        <f t="shared" si="77"/>
        <v>0.25072525273021434</v>
      </c>
      <c r="Q503" s="17">
        <f t="shared" si="78"/>
        <v>0.81081869549773533</v>
      </c>
      <c r="R503" s="17">
        <f t="shared" si="79"/>
        <v>0.94106957424714432</v>
      </c>
      <c r="S503" s="17">
        <f>'02_지표정의'!$C$22*P503+'02_지표정의'!$C$23*Q503+'02_지표정의'!$C$24*R503</f>
        <v>0.74438781450652425</v>
      </c>
      <c r="T503" s="5">
        <f t="shared" si="80"/>
        <v>1</v>
      </c>
      <c r="U503" s="5" t="str">
        <f t="shared" si="81"/>
        <v>보고서</v>
      </c>
      <c r="V503" s="18">
        <f t="shared" si="82"/>
        <v>941</v>
      </c>
      <c r="W503" s="5">
        <f t="shared" si="83"/>
        <v>641</v>
      </c>
      <c r="X503" s="5">
        <f t="shared" si="84"/>
        <v>616</v>
      </c>
      <c r="Y503" s="5">
        <f t="shared" si="85"/>
        <v>0</v>
      </c>
      <c r="Z503" s="19">
        <f t="shared" si="86"/>
        <v>57</v>
      </c>
      <c r="AA503" s="20">
        <f>ABS(S503-SUMPRODUCT(('05B_가정검정'!$A$5:$A$19=B503)*('05B_가정검정'!$B$5:$B$19=C503)*'05B_가정검정'!$E$5:$E$19))</f>
        <v>1.4955743124643095E-2</v>
      </c>
      <c r="AB503" s="20">
        <f t="shared" si="87"/>
        <v>2.6736021433643287E-2</v>
      </c>
    </row>
    <row r="504" spans="1:28">
      <c r="A504" s="15" t="s">
        <v>156</v>
      </c>
      <c r="B504" s="15" t="s">
        <v>121</v>
      </c>
      <c r="C504" s="15" t="s">
        <v>118</v>
      </c>
      <c r="D504" s="16">
        <v>0.25673940949935797</v>
      </c>
      <c r="E504" s="16">
        <v>0.20202020202020199</v>
      </c>
      <c r="F504" s="16">
        <v>8.1355932203389797E-2</v>
      </c>
      <c r="G504" s="16">
        <v>0.18181818181818199</v>
      </c>
      <c r="H504" s="16">
        <v>0.15470221481260199</v>
      </c>
      <c r="I504" s="16">
        <v>0.20223414475807</v>
      </c>
      <c r="J504" s="16">
        <v>0.76771022593712002</v>
      </c>
      <c r="K504" s="16">
        <v>0.76882617162417899</v>
      </c>
      <c r="L504" s="16">
        <v>0.899540746664098</v>
      </c>
      <c r="M504" s="16">
        <v>0.34767025089605702</v>
      </c>
      <c r="N504" s="16">
        <v>0.42635658914728702</v>
      </c>
      <c r="O504" s="16">
        <v>1</v>
      </c>
      <c r="P504" s="17">
        <f t="shared" si="77"/>
        <v>0.1798116808519673</v>
      </c>
      <c r="Q504" s="17">
        <f t="shared" si="78"/>
        <v>0.81202571474179897</v>
      </c>
      <c r="R504" s="17">
        <f t="shared" si="79"/>
        <v>0.591342280014448</v>
      </c>
      <c r="S504" s="17">
        <f>'02_지표정의'!$C$22*P504+'02_지표정의'!$C$23*Q504+'02_지표정의'!$C$24*R504</f>
        <v>0.60834370580925978</v>
      </c>
      <c r="T504" s="5">
        <f t="shared" si="80"/>
        <v>0</v>
      </c>
      <c r="U504" s="5" t="str">
        <f t="shared" si="81"/>
        <v>보고서</v>
      </c>
      <c r="V504" s="18">
        <f t="shared" si="82"/>
        <v>426</v>
      </c>
      <c r="W504" s="5">
        <f t="shared" si="83"/>
        <v>347</v>
      </c>
      <c r="X504" s="5">
        <f t="shared" si="84"/>
        <v>0</v>
      </c>
      <c r="Y504" s="5">
        <f t="shared" si="85"/>
        <v>324</v>
      </c>
      <c r="Z504" s="19">
        <f t="shared" si="86"/>
        <v>40</v>
      </c>
      <c r="AA504" s="20">
        <f>ABS(S504-SUMPRODUCT(('05B_가정검정'!$A$5:$A$19=B504)*('05B_가정검정'!$B$5:$B$19=C504)*'05B_가정검정'!$E$5:$E$19))</f>
        <v>9.7642156422913517E-3</v>
      </c>
      <c r="AB504" s="20">
        <f t="shared" si="87"/>
        <v>2.8944631282446509E-2</v>
      </c>
    </row>
    <row r="505" spans="1:28">
      <c r="A505" s="15" t="s">
        <v>156</v>
      </c>
      <c r="B505" s="15" t="s">
        <v>121</v>
      </c>
      <c r="C505" s="15" t="s">
        <v>119</v>
      </c>
      <c r="D505" s="16">
        <v>0.30851063829787201</v>
      </c>
      <c r="E505" s="16">
        <v>0.421875</v>
      </c>
      <c r="F505" s="16">
        <v>0.206349206349206</v>
      </c>
      <c r="G505" s="16">
        <v>0.390625</v>
      </c>
      <c r="H505" s="16">
        <v>0.447938138364259</v>
      </c>
      <c r="I505" s="16">
        <v>0.215410114716101</v>
      </c>
      <c r="J505" s="16">
        <v>0.78702643248114301</v>
      </c>
      <c r="K505" s="16">
        <v>0.76120816824281701</v>
      </c>
      <c r="L505" s="16">
        <v>0.88429685683899595</v>
      </c>
      <c r="M505" s="16">
        <v>0.90654205607476601</v>
      </c>
      <c r="N505" s="16">
        <v>0.91666666666666696</v>
      </c>
      <c r="O505" s="16">
        <v>1</v>
      </c>
      <c r="P505" s="17">
        <f t="shared" si="77"/>
        <v>0.33178468295457297</v>
      </c>
      <c r="Q505" s="17">
        <f t="shared" si="78"/>
        <v>0.81084381918765203</v>
      </c>
      <c r="R505" s="17">
        <f t="shared" si="79"/>
        <v>0.94106957424714432</v>
      </c>
      <c r="S505" s="17">
        <f>'02_지표정의'!$C$22*P505+'02_지표정의'!$C$23*Q505+'02_지표정의'!$C$24*R505</f>
        <v>0.76061100621185851</v>
      </c>
      <c r="T505" s="5">
        <f t="shared" si="80"/>
        <v>0</v>
      </c>
      <c r="U505" s="5" t="str">
        <f t="shared" si="81"/>
        <v>보고서</v>
      </c>
      <c r="V505" s="18">
        <f t="shared" si="82"/>
        <v>964</v>
      </c>
      <c r="W505" s="5">
        <f t="shared" si="83"/>
        <v>0</v>
      </c>
      <c r="X505" s="5">
        <f t="shared" si="84"/>
        <v>639</v>
      </c>
      <c r="Y505" s="5">
        <f t="shared" si="85"/>
        <v>639</v>
      </c>
      <c r="Z505" s="19">
        <f t="shared" si="86"/>
        <v>57</v>
      </c>
      <c r="AA505" s="20">
        <f>ABS(S505-SUMPRODUCT(('05B_가정검정'!$A$5:$A$19=B505)*('05B_가정검정'!$B$5:$B$19=C505)*'05B_가정검정'!$E$5:$E$19))</f>
        <v>6.829116341600483E-2</v>
      </c>
      <c r="AB505" s="20">
        <f t="shared" si="87"/>
        <v>7.2374030792247468E-2</v>
      </c>
    </row>
    <row r="506" spans="1:28">
      <c r="A506" s="15" t="s">
        <v>156</v>
      </c>
      <c r="B506" s="15" t="s">
        <v>122</v>
      </c>
      <c r="C506" s="15" t="s">
        <v>117</v>
      </c>
      <c r="D506" s="16">
        <v>0.28458498023715401</v>
      </c>
      <c r="E506" s="16">
        <v>0.30769230769230799</v>
      </c>
      <c r="F506" s="16">
        <v>0.100456621004566</v>
      </c>
      <c r="G506" s="16">
        <v>0.25339366515837097</v>
      </c>
      <c r="H506" s="16">
        <v>0.316864428423344</v>
      </c>
      <c r="I506" s="16">
        <v>0.24050916930006699</v>
      </c>
      <c r="J506" s="16">
        <v>0.74119152282465195</v>
      </c>
      <c r="K506" s="16">
        <v>0.650717837032323</v>
      </c>
      <c r="L506" s="16">
        <v>0.80445020401095102</v>
      </c>
      <c r="M506" s="16">
        <v>0.65925925925925899</v>
      </c>
      <c r="N506" s="16">
        <v>0.66216216216216195</v>
      </c>
      <c r="O506" s="16">
        <v>1</v>
      </c>
      <c r="P506" s="17">
        <f t="shared" si="77"/>
        <v>0.25058352863596828</v>
      </c>
      <c r="Q506" s="17">
        <f t="shared" si="78"/>
        <v>0.73211985462264195</v>
      </c>
      <c r="R506" s="17">
        <f t="shared" si="79"/>
        <v>0.77380714047380694</v>
      </c>
      <c r="S506" s="17">
        <f>'02_지표정의'!$C$22*P506+'02_지표정의'!$C$23*Q506+'02_지표정의'!$C$24*R506</f>
        <v>0.65040313947321504</v>
      </c>
      <c r="T506" s="5">
        <f t="shared" si="80"/>
        <v>0</v>
      </c>
      <c r="U506" s="5" t="str">
        <f t="shared" si="81"/>
        <v>보고서</v>
      </c>
      <c r="V506" s="18">
        <f t="shared" si="82"/>
        <v>619</v>
      </c>
      <c r="W506" s="5">
        <f t="shared" si="83"/>
        <v>471</v>
      </c>
      <c r="X506" s="5">
        <f t="shared" si="84"/>
        <v>305</v>
      </c>
      <c r="Y506" s="5">
        <f t="shared" si="85"/>
        <v>0</v>
      </c>
      <c r="Z506" s="19">
        <f t="shared" si="86"/>
        <v>39</v>
      </c>
      <c r="AA506" s="20">
        <f>ABS(S506-SUMPRODUCT(('05B_가정검정'!$A$5:$A$19=B506)*('05B_가정검정'!$B$5:$B$19=C506)*'05B_가정검정'!$E$5:$E$19))</f>
        <v>1.1050184764536564E-2</v>
      </c>
      <c r="AB506" s="20">
        <f t="shared" si="87"/>
        <v>2.7521517283568886E-2</v>
      </c>
    </row>
    <row r="507" spans="1:28">
      <c r="A507" s="15" t="s">
        <v>156</v>
      </c>
      <c r="B507" s="15" t="s">
        <v>122</v>
      </c>
      <c r="C507" s="15" t="s">
        <v>118</v>
      </c>
      <c r="D507" s="16">
        <v>0.28498727735369001</v>
      </c>
      <c r="E507" s="16">
        <v>0.27152317880794702</v>
      </c>
      <c r="F507" s="16">
        <v>9.3333333333333296E-2</v>
      </c>
      <c r="G507" s="16">
        <v>0.231788079470199</v>
      </c>
      <c r="H507" s="16">
        <v>0.195485384363913</v>
      </c>
      <c r="I507" s="16">
        <v>0.202766282506985</v>
      </c>
      <c r="J507" s="16">
        <v>0.720209274781762</v>
      </c>
      <c r="K507" s="16">
        <v>0.71239572489607905</v>
      </c>
      <c r="L507" s="16">
        <v>0.85060490333198502</v>
      </c>
      <c r="M507" s="16">
        <v>0.42652329749104001</v>
      </c>
      <c r="N507" s="16">
        <v>0.372093023255814</v>
      </c>
      <c r="O507" s="16">
        <v>1</v>
      </c>
      <c r="P507" s="17">
        <f t="shared" si="77"/>
        <v>0.21331392263934454</v>
      </c>
      <c r="Q507" s="17">
        <f t="shared" si="78"/>
        <v>0.76106996766994195</v>
      </c>
      <c r="R507" s="17">
        <f t="shared" si="79"/>
        <v>0.59953877358228469</v>
      </c>
      <c r="S507" s="17">
        <f>'02_지표정의'!$C$22*P507+'02_지표정의'!$C$23*Q507+'02_지표정의'!$C$24*R507</f>
        <v>0.59498284073314245</v>
      </c>
      <c r="T507" s="5">
        <f t="shared" si="80"/>
        <v>1</v>
      </c>
      <c r="U507" s="5" t="str">
        <f t="shared" si="81"/>
        <v>보고서</v>
      </c>
      <c r="V507" s="18">
        <f t="shared" si="82"/>
        <v>367</v>
      </c>
      <c r="W507" s="5">
        <f t="shared" si="83"/>
        <v>296</v>
      </c>
      <c r="X507" s="5">
        <f t="shared" si="84"/>
        <v>0</v>
      </c>
      <c r="Y507" s="5">
        <f t="shared" si="85"/>
        <v>282</v>
      </c>
      <c r="Z507" s="19">
        <f t="shared" si="86"/>
        <v>38</v>
      </c>
      <c r="AA507" s="20">
        <f>ABS(S507-SUMPRODUCT(('05B_가정검정'!$A$5:$A$19=B507)*('05B_가정검정'!$B$5:$B$19=C507)*'05B_가정검정'!$E$5:$E$19))</f>
        <v>8.0609047359841979E-3</v>
      </c>
      <c r="AB507" s="20">
        <f t="shared" si="87"/>
        <v>1.3759564515458678E-2</v>
      </c>
    </row>
    <row r="508" spans="1:28">
      <c r="A508" s="15" t="s">
        <v>156</v>
      </c>
      <c r="B508" s="15" t="s">
        <v>122</v>
      </c>
      <c r="C508" s="15" t="s">
        <v>119</v>
      </c>
      <c r="D508" s="16">
        <v>0.28721541155866898</v>
      </c>
      <c r="E508" s="16">
        <v>0.45112781954887199</v>
      </c>
      <c r="F508" s="16">
        <v>0.213740458015267</v>
      </c>
      <c r="G508" s="16">
        <v>0.406015037593985</v>
      </c>
      <c r="H508" s="16">
        <v>0.33934896215683102</v>
      </c>
      <c r="I508" s="16">
        <v>0.228915289144834</v>
      </c>
      <c r="J508" s="16">
        <v>0.722893394396393</v>
      </c>
      <c r="K508" s="16">
        <v>0.63442715846169595</v>
      </c>
      <c r="L508" s="16">
        <v>0.86137818190117699</v>
      </c>
      <c r="M508" s="16">
        <v>0.65925925925925899</v>
      </c>
      <c r="N508" s="16">
        <v>0.66216216216216195</v>
      </c>
      <c r="O508" s="16">
        <v>1</v>
      </c>
      <c r="P508" s="17">
        <f t="shared" si="77"/>
        <v>0.32106049633640971</v>
      </c>
      <c r="Q508" s="17">
        <f t="shared" si="78"/>
        <v>0.7395662449197552</v>
      </c>
      <c r="R508" s="17">
        <f t="shared" si="79"/>
        <v>0.77380714047380694</v>
      </c>
      <c r="S508" s="17">
        <f>'02_지표정의'!$C$22*P508+'02_지표정의'!$C$23*Q508+'02_지표정의'!$C$24*R508</f>
        <v>0.66784940864700415</v>
      </c>
      <c r="T508" s="5">
        <f t="shared" si="80"/>
        <v>0</v>
      </c>
      <c r="U508" s="5" t="str">
        <f t="shared" si="81"/>
        <v>보고서</v>
      </c>
      <c r="V508" s="18">
        <f t="shared" si="82"/>
        <v>707</v>
      </c>
      <c r="W508" s="5">
        <f t="shared" si="83"/>
        <v>0</v>
      </c>
      <c r="X508" s="5">
        <f t="shared" si="84"/>
        <v>387</v>
      </c>
      <c r="Y508" s="5">
        <f t="shared" si="85"/>
        <v>520</v>
      </c>
      <c r="Z508" s="19">
        <f t="shared" si="86"/>
        <v>50</v>
      </c>
      <c r="AA508" s="20">
        <f>ABS(S508-SUMPRODUCT(('05B_가정검정'!$A$5:$A$19=B508)*('05B_가정검정'!$B$5:$B$19=C508)*'05B_가정검정'!$E$5:$E$19))</f>
        <v>3.2243220745552748E-2</v>
      </c>
      <c r="AB508" s="20">
        <f t="shared" si="87"/>
        <v>3.6460542332118151E-2</v>
      </c>
    </row>
    <row r="509" spans="1:28">
      <c r="A509" s="15" t="s">
        <v>156</v>
      </c>
      <c r="B509" s="15" t="s">
        <v>123</v>
      </c>
      <c r="C509" s="15" t="s">
        <v>117</v>
      </c>
      <c r="D509" s="16">
        <v>0.280092592592593</v>
      </c>
      <c r="E509" s="16">
        <v>0.33035714285714302</v>
      </c>
      <c r="F509" s="16">
        <v>0.135135135135135</v>
      </c>
      <c r="G509" s="16">
        <v>0.27678571428571402</v>
      </c>
      <c r="H509" s="16">
        <v>0.40734582549042803</v>
      </c>
      <c r="I509" s="16">
        <v>0.26157066147812602</v>
      </c>
      <c r="J509" s="16">
        <v>0.75908838766532205</v>
      </c>
      <c r="K509" s="16">
        <v>0.682333812443779</v>
      </c>
      <c r="L509" s="16">
        <v>0.82482622626901103</v>
      </c>
      <c r="M509" s="16">
        <v>0.90654205607476601</v>
      </c>
      <c r="N509" s="16">
        <v>0.91666666666666696</v>
      </c>
      <c r="O509" s="16">
        <v>1</v>
      </c>
      <c r="P509" s="17">
        <f t="shared" si="77"/>
        <v>0.28188117863985651</v>
      </c>
      <c r="Q509" s="17">
        <f t="shared" si="78"/>
        <v>0.75541614212603736</v>
      </c>
      <c r="R509" s="17">
        <f t="shared" si="79"/>
        <v>0.94106957424714432</v>
      </c>
      <c r="S509" s="17">
        <f>'02_지표정의'!$C$22*P509+'02_지표정의'!$C$23*Q509+'02_지표정의'!$C$24*R509</f>
        <v>0.72568785067118857</v>
      </c>
      <c r="T509" s="5">
        <f t="shared" si="80"/>
        <v>0</v>
      </c>
      <c r="U509" s="5" t="str">
        <f t="shared" si="81"/>
        <v>보고서</v>
      </c>
      <c r="V509" s="18">
        <f t="shared" si="82"/>
        <v>896</v>
      </c>
      <c r="W509" s="5">
        <f t="shared" si="83"/>
        <v>602</v>
      </c>
      <c r="X509" s="5">
        <f t="shared" si="84"/>
        <v>571</v>
      </c>
      <c r="Y509" s="5">
        <f t="shared" si="85"/>
        <v>0</v>
      </c>
      <c r="Z509" s="19">
        <f t="shared" si="86"/>
        <v>52</v>
      </c>
      <c r="AA509" s="20">
        <f>ABS(S509-SUMPRODUCT(('05B_가정검정'!$A$5:$A$19=B509)*('05B_가정검정'!$B$5:$B$19=C509)*'05B_가정검정'!$E$5:$E$19))</f>
        <v>1.0764967894964839E-2</v>
      </c>
      <c r="AB509" s="20">
        <f t="shared" si="87"/>
        <v>1.7702398859945401E-2</v>
      </c>
    </row>
    <row r="510" spans="1:28">
      <c r="A510" s="15" t="s">
        <v>156</v>
      </c>
      <c r="B510" s="15" t="s">
        <v>123</v>
      </c>
      <c r="C510" s="15" t="s">
        <v>118</v>
      </c>
      <c r="D510" s="16">
        <v>0.249158249158249</v>
      </c>
      <c r="E510" s="16">
        <v>0.21639344262295099</v>
      </c>
      <c r="F510" s="16">
        <v>9.2409240924092403E-2</v>
      </c>
      <c r="G510" s="16">
        <v>0.19672131147541</v>
      </c>
      <c r="H510" s="16">
        <v>0.21251326389731001</v>
      </c>
      <c r="I510" s="16">
        <v>0.23361047235441501</v>
      </c>
      <c r="J510" s="16">
        <v>0.72652103354182695</v>
      </c>
      <c r="K510" s="16">
        <v>0.69855297766888802</v>
      </c>
      <c r="L510" s="16">
        <v>0.84449825337888096</v>
      </c>
      <c r="M510" s="16">
        <v>0.34767025089605702</v>
      </c>
      <c r="N510" s="16">
        <v>0.42635658914728702</v>
      </c>
      <c r="O510" s="16">
        <v>1</v>
      </c>
      <c r="P510" s="17">
        <f t="shared" si="77"/>
        <v>0.20013433007207124</v>
      </c>
      <c r="Q510" s="17">
        <f t="shared" si="78"/>
        <v>0.75652408819653194</v>
      </c>
      <c r="R510" s="17">
        <f t="shared" si="79"/>
        <v>0.591342280014448</v>
      </c>
      <c r="S510" s="17">
        <f>'02_지표정의'!$C$22*P510+'02_지표정의'!$C$23*Q510+'02_지표정의'!$C$24*R510</f>
        <v>0.58743250370791045</v>
      </c>
      <c r="T510" s="5">
        <f t="shared" si="80"/>
        <v>0</v>
      </c>
      <c r="U510" s="5" t="str">
        <f t="shared" si="81"/>
        <v>보고서</v>
      </c>
      <c r="V510" s="18">
        <f t="shared" si="82"/>
        <v>343</v>
      </c>
      <c r="W510" s="5">
        <f t="shared" si="83"/>
        <v>280</v>
      </c>
      <c r="X510" s="5">
        <f t="shared" si="84"/>
        <v>0</v>
      </c>
      <c r="Y510" s="5">
        <f t="shared" si="85"/>
        <v>260</v>
      </c>
      <c r="Z510" s="19">
        <f t="shared" si="86"/>
        <v>41</v>
      </c>
      <c r="AA510" s="20">
        <f>ABS(S510-SUMPRODUCT(('05B_가정검정'!$A$5:$A$19=B510)*('05B_가정검정'!$B$5:$B$19=C510)*'05B_가정검정'!$E$5:$E$19))</f>
        <v>1.2133676828940732E-2</v>
      </c>
      <c r="AB510" s="20">
        <f t="shared" si="87"/>
        <v>2.7560895783419359E-2</v>
      </c>
    </row>
    <row r="511" spans="1:28">
      <c r="A511" s="15" t="s">
        <v>156</v>
      </c>
      <c r="B511" s="15" t="s">
        <v>123</v>
      </c>
      <c r="C511" s="15" t="s">
        <v>119</v>
      </c>
      <c r="D511" s="16">
        <v>0.27218934911242598</v>
      </c>
      <c r="E511" s="16">
        <v>0.42647058823529399</v>
      </c>
      <c r="F511" s="16">
        <v>0.238805970149254</v>
      </c>
      <c r="G511" s="16">
        <v>0.42647058823529399</v>
      </c>
      <c r="H511" s="16">
        <v>0.31854194446825701</v>
      </c>
      <c r="I511" s="16">
        <v>0.25623747347343301</v>
      </c>
      <c r="J511" s="16">
        <v>0.73835289600599596</v>
      </c>
      <c r="K511" s="16">
        <v>0.71454281718236301</v>
      </c>
      <c r="L511" s="16">
        <v>0.91248964785196895</v>
      </c>
      <c r="M511" s="16">
        <v>0.90654205607476601</v>
      </c>
      <c r="N511" s="16">
        <v>0.91666666666666696</v>
      </c>
      <c r="O511" s="16">
        <v>1</v>
      </c>
      <c r="P511" s="17">
        <f t="shared" si="77"/>
        <v>0.32311931894565965</v>
      </c>
      <c r="Q511" s="17">
        <f t="shared" si="78"/>
        <v>0.78846178701344261</v>
      </c>
      <c r="R511" s="17">
        <f t="shared" si="79"/>
        <v>0.94106957424714432</v>
      </c>
      <c r="S511" s="17">
        <f>'02_지표정의'!$C$22*P511+'02_지표정의'!$C$23*Q511+'02_지표정의'!$C$24*R511</f>
        <v>0.74880601893168164</v>
      </c>
      <c r="T511" s="5">
        <f t="shared" si="80"/>
        <v>1</v>
      </c>
      <c r="U511" s="5" t="str">
        <f t="shared" si="81"/>
        <v>보고서</v>
      </c>
      <c r="V511" s="18">
        <f t="shared" si="82"/>
        <v>950</v>
      </c>
      <c r="W511" s="5">
        <f t="shared" si="83"/>
        <v>0</v>
      </c>
      <c r="X511" s="5">
        <f t="shared" si="84"/>
        <v>625</v>
      </c>
      <c r="Y511" s="5">
        <f t="shared" si="85"/>
        <v>629</v>
      </c>
      <c r="Z511" s="19">
        <f t="shared" si="86"/>
        <v>57</v>
      </c>
      <c r="AA511" s="20">
        <f>ABS(S511-SUMPRODUCT(('05B_가정검정'!$A$5:$A$19=B511)*('05B_가정검정'!$B$5:$B$19=C511)*'05B_가정검정'!$E$5:$E$19))</f>
        <v>6.3176221607454286E-2</v>
      </c>
      <c r="AB511" s="20">
        <f t="shared" si="87"/>
        <v>6.6387285886679859E-2</v>
      </c>
    </row>
    <row r="512" spans="1:28">
      <c r="A512" s="15" t="s">
        <v>157</v>
      </c>
      <c r="B512" s="15" t="s">
        <v>116</v>
      </c>
      <c r="C512" s="15" t="s">
        <v>117</v>
      </c>
      <c r="D512" s="16">
        <v>0.23309352517985599</v>
      </c>
      <c r="E512" s="16">
        <v>0.386266094420601</v>
      </c>
      <c r="F512" s="16">
        <v>0.147186147186147</v>
      </c>
      <c r="G512" s="16">
        <v>0.274678111587983</v>
      </c>
      <c r="H512" s="16">
        <v>0.22693664320592499</v>
      </c>
      <c r="I512" s="16">
        <v>0.26745089245343301</v>
      </c>
      <c r="J512" s="16">
        <v>0.71193432001249302</v>
      </c>
      <c r="K512" s="16">
        <v>0.61045563361958899</v>
      </c>
      <c r="L512" s="16">
        <v>0.78239972368020805</v>
      </c>
      <c r="M512" s="16">
        <v>0.51515151515151503</v>
      </c>
      <c r="N512" s="16">
        <v>0.213483146067416</v>
      </c>
      <c r="O512" s="16">
        <v>1</v>
      </c>
      <c r="P512" s="17">
        <f t="shared" si="77"/>
        <v>0.25593523567232412</v>
      </c>
      <c r="Q512" s="17">
        <f t="shared" si="78"/>
        <v>0.70159655910409668</v>
      </c>
      <c r="R512" s="17">
        <f t="shared" si="79"/>
        <v>0.57621155373964372</v>
      </c>
      <c r="S512" s="17">
        <f>'02_지표정의'!$C$22*P512+'02_지표정의'!$C$23*Q512+'02_지표정의'!$C$24*R512</f>
        <v>0.56857954254018361</v>
      </c>
      <c r="T512" s="5">
        <f t="shared" si="80"/>
        <v>0</v>
      </c>
      <c r="U512" s="5" t="str">
        <f t="shared" si="81"/>
        <v>보고서</v>
      </c>
      <c r="V512" s="18">
        <f t="shared" si="82"/>
        <v>278</v>
      </c>
      <c r="W512" s="5">
        <f t="shared" si="83"/>
        <v>226</v>
      </c>
      <c r="X512" s="5">
        <f t="shared" si="84"/>
        <v>109</v>
      </c>
      <c r="Y512" s="5">
        <f t="shared" si="85"/>
        <v>0</v>
      </c>
      <c r="Z512" s="19">
        <f t="shared" si="86"/>
        <v>48</v>
      </c>
      <c r="AA512" s="20">
        <f>ABS(S512-SUMPRODUCT(('05B_가정검정'!$A$5:$A$19=B512)*('05B_가정검정'!$B$5:$B$19=C512)*'05B_가정검정'!$E$5:$E$19))</f>
        <v>1.1175837555216339E-2</v>
      </c>
      <c r="AB512" s="20">
        <f t="shared" si="87"/>
        <v>1.6028377127560223E-2</v>
      </c>
    </row>
    <row r="513" spans="1:28">
      <c r="A513" s="15" t="s">
        <v>157</v>
      </c>
      <c r="B513" s="15" t="s">
        <v>116</v>
      </c>
      <c r="C513" s="15" t="s">
        <v>118</v>
      </c>
      <c r="D513" s="16">
        <v>0.30427350427350403</v>
      </c>
      <c r="E513" s="16">
        <v>0.342592592592593</v>
      </c>
      <c r="F513" s="16">
        <v>0.13084112149532701</v>
      </c>
      <c r="G513" s="16">
        <v>0.26851851851851899</v>
      </c>
      <c r="H513" s="16">
        <v>0.163131162126114</v>
      </c>
      <c r="I513" s="16">
        <v>0.28053824421825801</v>
      </c>
      <c r="J513" s="16">
        <v>0.68144468073331799</v>
      </c>
      <c r="K513" s="16">
        <v>0.67985882192243396</v>
      </c>
      <c r="L513" s="16">
        <v>0.81691368118097696</v>
      </c>
      <c r="M513" s="16">
        <v>0.44039735099337801</v>
      </c>
      <c r="N513" s="16">
        <v>0</v>
      </c>
      <c r="O513" s="16">
        <v>0.52631578947368396</v>
      </c>
      <c r="P513" s="17">
        <f t="shared" si="77"/>
        <v>0.2483158572040525</v>
      </c>
      <c r="Q513" s="17">
        <f t="shared" si="78"/>
        <v>0.72607239461224304</v>
      </c>
      <c r="R513" s="17">
        <f t="shared" si="79"/>
        <v>0.32223771348902064</v>
      </c>
      <c r="S513" s="17">
        <f>'02_지표정의'!$C$22*P513+'02_지표정의'!$C$23*Q513+'02_지표정의'!$C$24*R513</f>
        <v>0.48917894873747714</v>
      </c>
      <c r="T513" s="5">
        <f t="shared" si="80"/>
        <v>0</v>
      </c>
      <c r="U513" s="5" t="str">
        <f t="shared" si="81"/>
        <v>보고서</v>
      </c>
      <c r="V513" s="18">
        <f t="shared" si="82"/>
        <v>30</v>
      </c>
      <c r="W513" s="5">
        <f t="shared" si="83"/>
        <v>24</v>
      </c>
      <c r="X513" s="5">
        <f t="shared" si="84"/>
        <v>0</v>
      </c>
      <c r="Y513" s="5">
        <f t="shared" si="85"/>
        <v>28</v>
      </c>
      <c r="Z513" s="19">
        <f t="shared" si="86"/>
        <v>16</v>
      </c>
      <c r="AA513" s="20">
        <f>ABS(S513-SUMPRODUCT(('05B_가정검정'!$A$5:$A$19=B513)*('05B_가정검정'!$B$5:$B$19=C513)*'05B_가정검정'!$E$5:$E$19))</f>
        <v>4.2113472964244503E-2</v>
      </c>
      <c r="AB513" s="20">
        <f t="shared" si="87"/>
        <v>-3.8370083641109165E-2</v>
      </c>
    </row>
    <row r="514" spans="1:28">
      <c r="A514" s="15" t="s">
        <v>157</v>
      </c>
      <c r="B514" s="15" t="s">
        <v>116</v>
      </c>
      <c r="C514" s="15" t="s">
        <v>119</v>
      </c>
      <c r="D514" s="16">
        <v>0.27683615819209001</v>
      </c>
      <c r="E514" s="16">
        <v>0.32234432234432198</v>
      </c>
      <c r="F514" s="16">
        <v>0.11070110701107</v>
      </c>
      <c r="G514" s="16">
        <v>0.22710622710622699</v>
      </c>
      <c r="H514" s="16">
        <v>0.179301616464211</v>
      </c>
      <c r="I514" s="16">
        <v>0.23917171309172999</v>
      </c>
      <c r="J514" s="16">
        <v>0.68163368440396699</v>
      </c>
      <c r="K514" s="16">
        <v>0.640182847381908</v>
      </c>
      <c r="L514" s="16">
        <v>0.81030562856700905</v>
      </c>
      <c r="M514" s="16">
        <v>0.45662100456621002</v>
      </c>
      <c r="N514" s="16">
        <v>0</v>
      </c>
      <c r="O514" s="16">
        <v>1</v>
      </c>
      <c r="P514" s="17">
        <f t="shared" ref="P514:P577" si="88">AVERAGE(D514:I514)</f>
        <v>0.22591019070160831</v>
      </c>
      <c r="Q514" s="17">
        <f t="shared" ref="Q514:Q577" si="89">AVERAGE(J514:L514)</f>
        <v>0.71070738678429468</v>
      </c>
      <c r="R514" s="17">
        <f t="shared" ref="R514:R577" si="90">AVERAGE(M514:O514)</f>
        <v>0.48554033485540332</v>
      </c>
      <c r="S514" s="17">
        <f>'02_지표정의'!$C$22*P514+'02_지표정의'!$C$23*Q514+'02_지표정의'!$C$24*R514</f>
        <v>0.53493947939264541</v>
      </c>
      <c r="T514" s="5">
        <f t="shared" ref="T514:T577" si="91">IF(OR(AND(B514="gemini",C514="gemma"),AND(B514="qwen3_6",C514="qwen"),AND(B514="mistral",C514="ministral")),1,0)</f>
        <v>0</v>
      </c>
      <c r="U514" s="5" t="str">
        <f t="shared" ref="U514:U577" si="92">IF(LEFT(A514,3)="PAT","특허","보고서")</f>
        <v>보고서</v>
      </c>
      <c r="V514" s="18">
        <f t="shared" ref="V514:V577" si="93">COUNTIF($S$2:$S$976,"&lt;"&amp;S514)+(COUNTIF($S$2:$S$976,"="&amp;S514)+1)/2</f>
        <v>152</v>
      </c>
      <c r="W514" s="5">
        <f t="shared" ref="W514:W577" si="94">IF(C514="qwen",0,COUNTIFS($C$2:$C$976,"&lt;&gt;qwen",$S$2:$S$976,"&lt;"&amp;S514)+1)</f>
        <v>0</v>
      </c>
      <c r="X514" s="5">
        <f t="shared" ref="X514:X577" si="95">IF(C514="ministral",0,COUNTIFS($C$2:$C$976,"&lt;&gt;ministral",$S$2:$S$976,"&lt;"&amp;S514)+1)</f>
        <v>32</v>
      </c>
      <c r="Y514" s="5">
        <f t="shared" ref="Y514:Y577" si="96">IF(C514="gemma",0,COUNTIFS($C$2:$C$976,"&lt;&gt;gemma",$S$2:$S$976,"&lt;"&amp;S514)+1)</f>
        <v>138</v>
      </c>
      <c r="Z514" s="19">
        <f t="shared" ref="Z514:Z577" si="97">COUNTIFS($B$2:$B$976,B514,$C$2:$C$976,C514,$S$2:$S$976,"&lt;"&amp;S514)+1</f>
        <v>13</v>
      </c>
      <c r="AA514" s="20">
        <f>ABS(S514-SUMPRODUCT(('05B_가정검정'!$A$5:$A$19=B514)*('05B_가정검정'!$B$5:$B$19=C514)*'05B_가정검정'!$E$5:$E$19))</f>
        <v>1.8084037350137194E-2</v>
      </c>
      <c r="AB514" s="20">
        <f t="shared" ref="AB514:AB577" si="98">S514-AVERAGEIFS($S$2:$S$976,$B$2:$B$976,B514,$C$2:$C$976,C514)</f>
        <v>-2.1513004283534642E-2</v>
      </c>
    </row>
    <row r="515" spans="1:28">
      <c r="A515" s="15" t="s">
        <v>157</v>
      </c>
      <c r="B515" s="15" t="s">
        <v>120</v>
      </c>
      <c r="C515" s="15" t="s">
        <v>117</v>
      </c>
      <c r="D515" s="16">
        <v>0.20925925925925901</v>
      </c>
      <c r="E515" s="16">
        <v>0.33424657534246599</v>
      </c>
      <c r="F515" s="16">
        <v>0.11570247933884301</v>
      </c>
      <c r="G515" s="16">
        <v>0.219178082191781</v>
      </c>
      <c r="H515" s="16">
        <v>0.30402269345740701</v>
      </c>
      <c r="I515" s="16">
        <v>0.238784638340656</v>
      </c>
      <c r="J515" s="16">
        <v>0.68483674962538099</v>
      </c>
      <c r="K515" s="16">
        <v>0.66404783364618702</v>
      </c>
      <c r="L515" s="16">
        <v>0.84450518508966099</v>
      </c>
      <c r="M515" s="16">
        <v>0.62</v>
      </c>
      <c r="N515" s="16">
        <v>0.56321839080459801</v>
      </c>
      <c r="O515" s="16">
        <v>1</v>
      </c>
      <c r="P515" s="17">
        <f t="shared" si="88"/>
        <v>0.23686562132173536</v>
      </c>
      <c r="Q515" s="17">
        <f t="shared" si="89"/>
        <v>0.73112992278707623</v>
      </c>
      <c r="R515" s="17">
        <f t="shared" si="90"/>
        <v>0.72773946360153274</v>
      </c>
      <c r="S515" s="17">
        <f>'02_지표정의'!$C$22*P515+'02_지표정의'!$C$23*Q515+'02_지표정의'!$C$24*R515</f>
        <v>0.63109040177906783</v>
      </c>
      <c r="T515" s="5">
        <f t="shared" si="91"/>
        <v>0</v>
      </c>
      <c r="U515" s="5" t="str">
        <f t="shared" si="92"/>
        <v>보고서</v>
      </c>
      <c r="V515" s="18">
        <f t="shared" si="93"/>
        <v>531</v>
      </c>
      <c r="W515" s="5">
        <f t="shared" si="94"/>
        <v>425</v>
      </c>
      <c r="X515" s="5">
        <f t="shared" si="95"/>
        <v>236</v>
      </c>
      <c r="Y515" s="5">
        <f t="shared" si="96"/>
        <v>0</v>
      </c>
      <c r="Z515" s="19">
        <f t="shared" si="97"/>
        <v>35</v>
      </c>
      <c r="AA515" s="20">
        <f>ABS(S515-SUMPRODUCT(('05B_가정검정'!$A$5:$A$19=B515)*('05B_가정검정'!$B$5:$B$19=C515)*'05B_가정검정'!$E$5:$E$19))</f>
        <v>3.0414417219467582E-3</v>
      </c>
      <c r="AB515" s="20">
        <f t="shared" si="98"/>
        <v>-2.1230164568930565E-4</v>
      </c>
    </row>
    <row r="516" spans="1:28">
      <c r="A516" s="15" t="s">
        <v>157</v>
      </c>
      <c r="B516" s="15" t="s">
        <v>120</v>
      </c>
      <c r="C516" s="15" t="s">
        <v>118</v>
      </c>
      <c r="D516" s="16">
        <v>0.239175257731959</v>
      </c>
      <c r="E516" s="16">
        <v>0.29885057471264398</v>
      </c>
      <c r="F516" s="16">
        <v>9.2485549132948E-2</v>
      </c>
      <c r="G516" s="16">
        <v>0.252873563218391</v>
      </c>
      <c r="H516" s="16">
        <v>0.25444638961523602</v>
      </c>
      <c r="I516" s="16">
        <v>0.250798379651055</v>
      </c>
      <c r="J516" s="16">
        <v>0.67345024934929898</v>
      </c>
      <c r="K516" s="16">
        <v>0.65890423139840704</v>
      </c>
      <c r="L516" s="16">
        <v>0.81693786099916499</v>
      </c>
      <c r="M516" s="16">
        <v>0.44701986754966899</v>
      </c>
      <c r="N516" s="16">
        <v>0.23200000000000001</v>
      </c>
      <c r="O516" s="16">
        <v>0.52631578947368396</v>
      </c>
      <c r="P516" s="17">
        <f t="shared" si="88"/>
        <v>0.23143828567703886</v>
      </c>
      <c r="Q516" s="17">
        <f t="shared" si="89"/>
        <v>0.71643078058229037</v>
      </c>
      <c r="R516" s="17">
        <f t="shared" si="90"/>
        <v>0.40177855234111765</v>
      </c>
      <c r="S516" s="17">
        <f>'02_지표정의'!$C$22*P516+'02_지표정의'!$C$23*Q516+'02_지표정의'!$C$24*R516</f>
        <v>0.50930400171682966</v>
      </c>
      <c r="T516" s="5">
        <f t="shared" si="91"/>
        <v>0</v>
      </c>
      <c r="U516" s="5" t="str">
        <f t="shared" si="92"/>
        <v>보고서</v>
      </c>
      <c r="V516" s="18">
        <f t="shared" si="93"/>
        <v>63</v>
      </c>
      <c r="W516" s="5">
        <f t="shared" si="94"/>
        <v>55</v>
      </c>
      <c r="X516" s="5">
        <f t="shared" si="95"/>
        <v>0</v>
      </c>
      <c r="Y516" s="5">
        <f t="shared" si="96"/>
        <v>56</v>
      </c>
      <c r="Z516" s="19">
        <f t="shared" si="97"/>
        <v>4</v>
      </c>
      <c r="AA516" s="20">
        <f>ABS(S516-SUMPRODUCT(('05B_가정검정'!$A$5:$A$19=B516)*('05B_가정검정'!$B$5:$B$19=C516)*'05B_가정검정'!$E$5:$E$19))</f>
        <v>8.1524846864798328E-2</v>
      </c>
      <c r="AB516" s="20">
        <f t="shared" si="98"/>
        <v>-6.5586774245281143E-2</v>
      </c>
    </row>
    <row r="517" spans="1:28">
      <c r="A517" s="15" t="s">
        <v>157</v>
      </c>
      <c r="B517" s="15" t="s">
        <v>120</v>
      </c>
      <c r="C517" s="15" t="s">
        <v>119</v>
      </c>
      <c r="D517" s="16">
        <v>0.261665141811528</v>
      </c>
      <c r="E517" s="16">
        <v>0.41481481481481502</v>
      </c>
      <c r="F517" s="16">
        <v>0.12903225806451599</v>
      </c>
      <c r="G517" s="16">
        <v>0.26172839506172901</v>
      </c>
      <c r="H517" s="16">
        <v>0.35663347382803301</v>
      </c>
      <c r="I517" s="16">
        <v>0.35123913701873199</v>
      </c>
      <c r="J517" s="16">
        <v>0.71359165842201</v>
      </c>
      <c r="K517" s="16">
        <v>0.63597633890831395</v>
      </c>
      <c r="L517" s="16">
        <v>0.81305713947958602</v>
      </c>
      <c r="M517" s="16">
        <v>0.59360730593607303</v>
      </c>
      <c r="N517" s="16">
        <v>0.52991452991453003</v>
      </c>
      <c r="O517" s="16">
        <v>1</v>
      </c>
      <c r="P517" s="17">
        <f t="shared" si="88"/>
        <v>0.29585220343322555</v>
      </c>
      <c r="Q517" s="17">
        <f t="shared" si="89"/>
        <v>0.7208750456033034</v>
      </c>
      <c r="R517" s="17">
        <f t="shared" si="90"/>
        <v>0.70784061195020109</v>
      </c>
      <c r="S517" s="17">
        <f>'02_지표정의'!$C$22*P517+'02_지표정의'!$C$23*Q517+'02_지표정의'!$C$24*R517</f>
        <v>0.63130842539070198</v>
      </c>
      <c r="T517" s="5">
        <f t="shared" si="91"/>
        <v>0</v>
      </c>
      <c r="U517" s="5" t="str">
        <f t="shared" si="92"/>
        <v>보고서</v>
      </c>
      <c r="V517" s="18">
        <f t="shared" si="93"/>
        <v>534</v>
      </c>
      <c r="W517" s="5">
        <f t="shared" si="94"/>
        <v>0</v>
      </c>
      <c r="X517" s="5">
        <f t="shared" si="95"/>
        <v>238</v>
      </c>
      <c r="Y517" s="5">
        <f t="shared" si="96"/>
        <v>403</v>
      </c>
      <c r="Z517" s="19">
        <f t="shared" si="97"/>
        <v>12</v>
      </c>
      <c r="AA517" s="20">
        <f>ABS(S517-SUMPRODUCT(('05B_가정검정'!$A$5:$A$19=B517)*('05B_가정검정'!$B$5:$B$19=C517)*'05B_가정검정'!$E$5:$E$19))</f>
        <v>3.2368891090684304E-2</v>
      </c>
      <c r="AB517" s="20">
        <f t="shared" si="98"/>
        <v>-2.7114582120113639E-2</v>
      </c>
    </row>
    <row r="518" spans="1:28">
      <c r="A518" s="15" t="s">
        <v>157</v>
      </c>
      <c r="B518" s="15" t="s">
        <v>121</v>
      </c>
      <c r="C518" s="15" t="s">
        <v>117</v>
      </c>
      <c r="D518" s="16">
        <v>0.24317617866005001</v>
      </c>
      <c r="E518" s="16">
        <v>0.36</v>
      </c>
      <c r="F518" s="16">
        <v>0.15322580645161299</v>
      </c>
      <c r="G518" s="16">
        <v>0.27200000000000002</v>
      </c>
      <c r="H518" s="16">
        <v>0.292720455649852</v>
      </c>
      <c r="I518" s="16">
        <v>0.21712781412069501</v>
      </c>
      <c r="J518" s="16">
        <v>0.74451732166234996</v>
      </c>
      <c r="K518" s="16">
        <v>0.75617908047556504</v>
      </c>
      <c r="L518" s="16">
        <v>0.88768519327801698</v>
      </c>
      <c r="M518" s="16">
        <v>0.90654205607476601</v>
      </c>
      <c r="N518" s="16">
        <v>0.91666666666666696</v>
      </c>
      <c r="O518" s="16">
        <v>1</v>
      </c>
      <c r="P518" s="17">
        <f t="shared" si="88"/>
        <v>0.2563750424803683</v>
      </c>
      <c r="Q518" s="17">
        <f t="shared" si="89"/>
        <v>0.79612719847197733</v>
      </c>
      <c r="R518" s="17">
        <f t="shared" si="90"/>
        <v>0.94106957424714432</v>
      </c>
      <c r="S518" s="17">
        <f>'02_지표정의'!$C$22*P518+'02_지표정의'!$C$23*Q518+'02_지표정의'!$C$24*R518</f>
        <v>0.7389065987949639</v>
      </c>
      <c r="T518" s="5">
        <f t="shared" si="91"/>
        <v>1</v>
      </c>
      <c r="U518" s="5" t="str">
        <f t="shared" si="92"/>
        <v>보고서</v>
      </c>
      <c r="V518" s="18">
        <f t="shared" si="93"/>
        <v>923</v>
      </c>
      <c r="W518" s="5">
        <f t="shared" si="94"/>
        <v>626</v>
      </c>
      <c r="X518" s="5">
        <f t="shared" si="95"/>
        <v>598</v>
      </c>
      <c r="Y518" s="5">
        <f t="shared" si="96"/>
        <v>0</v>
      </c>
      <c r="Z518" s="19">
        <f t="shared" si="97"/>
        <v>45</v>
      </c>
      <c r="AA518" s="20">
        <f>ABS(S518-SUMPRODUCT(('05B_가정검정'!$A$5:$A$19=B518)*('05B_가정검정'!$B$5:$B$19=C518)*'05B_가정검정'!$E$5:$E$19))</f>
        <v>9.474527413082745E-3</v>
      </c>
      <c r="AB518" s="20">
        <f t="shared" si="98"/>
        <v>2.1254805722082937E-2</v>
      </c>
    </row>
    <row r="519" spans="1:28">
      <c r="A519" s="15" t="s">
        <v>157</v>
      </c>
      <c r="B519" s="15" t="s">
        <v>121</v>
      </c>
      <c r="C519" s="15" t="s">
        <v>118</v>
      </c>
      <c r="D519" s="16">
        <v>0.26436781609195398</v>
      </c>
      <c r="E519" s="16">
        <v>0.29184549356223199</v>
      </c>
      <c r="F519" s="16">
        <v>0.12121212121212099</v>
      </c>
      <c r="G519" s="16">
        <v>0.26609442060085797</v>
      </c>
      <c r="H519" s="16">
        <v>0.20795489713943199</v>
      </c>
      <c r="I519" s="16">
        <v>0.189279626930101</v>
      </c>
      <c r="J519" s="16">
        <v>0.71948247685331201</v>
      </c>
      <c r="K519" s="16">
        <v>0.76848526034022002</v>
      </c>
      <c r="L519" s="16">
        <v>0.89859683836098703</v>
      </c>
      <c r="M519" s="16">
        <v>0.32119205298013198</v>
      </c>
      <c r="N519" s="16">
        <v>0.29599999999999999</v>
      </c>
      <c r="O519" s="16">
        <v>0.52631578947368396</v>
      </c>
      <c r="P519" s="17">
        <f t="shared" si="88"/>
        <v>0.22345906258944961</v>
      </c>
      <c r="Q519" s="17">
        <f t="shared" si="89"/>
        <v>0.79552152518483965</v>
      </c>
      <c r="R519" s="17">
        <f t="shared" si="90"/>
        <v>0.38116928081793872</v>
      </c>
      <c r="S519" s="17">
        <f>'02_지표정의'!$C$22*P519+'02_지표정의'!$C$23*Q519+'02_지표정의'!$C$24*R519</f>
        <v>0.53608574713734636</v>
      </c>
      <c r="T519" s="5">
        <f t="shared" si="91"/>
        <v>0</v>
      </c>
      <c r="U519" s="5" t="str">
        <f t="shared" si="92"/>
        <v>보고서</v>
      </c>
      <c r="V519" s="18">
        <f t="shared" si="93"/>
        <v>156</v>
      </c>
      <c r="W519" s="5">
        <f t="shared" si="94"/>
        <v>138</v>
      </c>
      <c r="X519" s="5">
        <f t="shared" si="95"/>
        <v>0</v>
      </c>
      <c r="Y519" s="5">
        <f t="shared" si="96"/>
        <v>142</v>
      </c>
      <c r="Z519" s="19">
        <f t="shared" si="97"/>
        <v>18</v>
      </c>
      <c r="AA519" s="20">
        <f>ABS(S519-SUMPRODUCT(('05B_가정검정'!$A$5:$A$19=B519)*('05B_가정검정'!$B$5:$B$19=C519)*'05B_가정검정'!$E$5:$E$19))</f>
        <v>6.2493743029622073E-2</v>
      </c>
      <c r="AB519" s="20">
        <f t="shared" si="98"/>
        <v>-4.3313327389466916E-2</v>
      </c>
    </row>
    <row r="520" spans="1:28">
      <c r="A520" s="15" t="s">
        <v>157</v>
      </c>
      <c r="B520" s="15" t="s">
        <v>121</v>
      </c>
      <c r="C520" s="15" t="s">
        <v>119</v>
      </c>
      <c r="D520" s="16">
        <v>0.28815628815628802</v>
      </c>
      <c r="E520" s="16">
        <v>0.36551724137931002</v>
      </c>
      <c r="F520" s="16">
        <v>0.125</v>
      </c>
      <c r="G520" s="16">
        <v>0.22758620689655201</v>
      </c>
      <c r="H520" s="16">
        <v>0.24730825921789801</v>
      </c>
      <c r="I520" s="16">
        <v>0.26558402796470099</v>
      </c>
      <c r="J520" s="16">
        <v>0.75570329726071905</v>
      </c>
      <c r="K520" s="16">
        <v>0.76146438258006699</v>
      </c>
      <c r="L520" s="16">
        <v>0.89334868982281701</v>
      </c>
      <c r="M520" s="16">
        <v>0.442922374429224</v>
      </c>
      <c r="N520" s="16">
        <v>0.47008547008547003</v>
      </c>
      <c r="O520" s="16">
        <v>1</v>
      </c>
      <c r="P520" s="17">
        <f t="shared" si="88"/>
        <v>0.2531920039357915</v>
      </c>
      <c r="Q520" s="17">
        <f t="shared" si="89"/>
        <v>0.80350545655453443</v>
      </c>
      <c r="R520" s="17">
        <f t="shared" si="90"/>
        <v>0.63766928150489799</v>
      </c>
      <c r="S520" s="17">
        <f>'02_지표정의'!$C$22*P520+'02_지표정의'!$C$23*Q520+'02_지표정의'!$C$24*R520</f>
        <v>0.63540010476341313</v>
      </c>
      <c r="T520" s="5">
        <f t="shared" si="91"/>
        <v>0</v>
      </c>
      <c r="U520" s="5" t="str">
        <f t="shared" si="92"/>
        <v>보고서</v>
      </c>
      <c r="V520" s="18">
        <f t="shared" si="93"/>
        <v>557</v>
      </c>
      <c r="W520" s="5">
        <f t="shared" si="94"/>
        <v>0</v>
      </c>
      <c r="X520" s="5">
        <f t="shared" si="95"/>
        <v>257</v>
      </c>
      <c r="Y520" s="5">
        <f t="shared" si="96"/>
        <v>421</v>
      </c>
      <c r="Z520" s="19">
        <f t="shared" si="97"/>
        <v>3</v>
      </c>
      <c r="AA520" s="20">
        <f>ABS(S520-SUMPRODUCT(('05B_가정검정'!$A$5:$A$19=B520)*('05B_가정검정'!$B$5:$B$19=C520)*'05B_가정검정'!$E$5:$E$19))</f>
        <v>5.6919738032440548E-2</v>
      </c>
      <c r="AB520" s="20">
        <f t="shared" si="98"/>
        <v>-5.283687065619791E-2</v>
      </c>
    </row>
    <row r="521" spans="1:28">
      <c r="A521" s="15" t="s">
        <v>157</v>
      </c>
      <c r="B521" s="15" t="s">
        <v>122</v>
      </c>
      <c r="C521" s="15" t="s">
        <v>117</v>
      </c>
      <c r="D521" s="16">
        <v>0.191958495460441</v>
      </c>
      <c r="E521" s="16">
        <v>0.3</v>
      </c>
      <c r="F521" s="16">
        <v>0.107913669064748</v>
      </c>
      <c r="G521" s="16">
        <v>0.221428571428571</v>
      </c>
      <c r="H521" s="16">
        <v>0.27843072027810101</v>
      </c>
      <c r="I521" s="16">
        <v>0.233508170708772</v>
      </c>
      <c r="J521" s="16">
        <v>0.67604054521879398</v>
      </c>
      <c r="K521" s="16">
        <v>0.60883880627709797</v>
      </c>
      <c r="L521" s="16">
        <v>0.82087744315317102</v>
      </c>
      <c r="M521" s="16">
        <v>0.58940397350993401</v>
      </c>
      <c r="N521" s="16">
        <v>0.59756097560975596</v>
      </c>
      <c r="O521" s="16">
        <v>1</v>
      </c>
      <c r="P521" s="17">
        <f t="shared" si="88"/>
        <v>0.22220660449010551</v>
      </c>
      <c r="Q521" s="17">
        <f t="shared" si="89"/>
        <v>0.70191893154968765</v>
      </c>
      <c r="R521" s="17">
        <f t="shared" si="90"/>
        <v>0.72898831637323003</v>
      </c>
      <c r="S521" s="17">
        <f>'02_지표정의'!$C$22*P521+'02_지표정의'!$C$23*Q521+'02_지표정의'!$C$24*R521</f>
        <v>0.61545075082601097</v>
      </c>
      <c r="T521" s="5">
        <f t="shared" si="91"/>
        <v>0</v>
      </c>
      <c r="U521" s="5" t="str">
        <f t="shared" si="92"/>
        <v>보고서</v>
      </c>
      <c r="V521" s="18">
        <f t="shared" si="93"/>
        <v>465</v>
      </c>
      <c r="W521" s="5">
        <f t="shared" si="94"/>
        <v>379</v>
      </c>
      <c r="X521" s="5">
        <f t="shared" si="95"/>
        <v>200</v>
      </c>
      <c r="Y521" s="5">
        <f t="shared" si="96"/>
        <v>0</v>
      </c>
      <c r="Z521" s="19">
        <f t="shared" si="97"/>
        <v>26</v>
      </c>
      <c r="AA521" s="20">
        <f>ABS(S521-SUMPRODUCT(('05B_가정검정'!$A$5:$A$19=B521)*('05B_가정검정'!$B$5:$B$19=C521)*'05B_가정검정'!$E$5:$E$19))</f>
        <v>2.3902203882667505E-2</v>
      </c>
      <c r="AB521" s="20">
        <f t="shared" si="98"/>
        <v>-7.4308713636351831E-3</v>
      </c>
    </row>
    <row r="522" spans="1:28">
      <c r="A522" s="15" t="s">
        <v>157</v>
      </c>
      <c r="B522" s="15" t="s">
        <v>122</v>
      </c>
      <c r="C522" s="15" t="s">
        <v>118</v>
      </c>
      <c r="D522" s="16">
        <v>0.29652042360060499</v>
      </c>
      <c r="E522" s="16">
        <v>0.33460076045627402</v>
      </c>
      <c r="F522" s="16">
        <v>0.114942528735632</v>
      </c>
      <c r="G522" s="16">
        <v>0.25095057034220503</v>
      </c>
      <c r="H522" s="16">
        <v>0.234055692471552</v>
      </c>
      <c r="I522" s="16">
        <v>0.18462942696152701</v>
      </c>
      <c r="J522" s="16">
        <v>0.71742228319947099</v>
      </c>
      <c r="K522" s="16">
        <v>0.71067828166645797</v>
      </c>
      <c r="L522" s="16">
        <v>0.82607009523941</v>
      </c>
      <c r="M522" s="16">
        <v>0.43377483443708598</v>
      </c>
      <c r="N522" s="16">
        <v>0.13600000000000001</v>
      </c>
      <c r="O522" s="16">
        <v>0.52631578947368396</v>
      </c>
      <c r="P522" s="17">
        <f t="shared" si="88"/>
        <v>0.23594990042796582</v>
      </c>
      <c r="Q522" s="17">
        <f t="shared" si="89"/>
        <v>0.75139022003511291</v>
      </c>
      <c r="R522" s="17">
        <f t="shared" si="90"/>
        <v>0.36536354130359</v>
      </c>
      <c r="S522" s="17">
        <f>'02_지표정의'!$C$22*P522+'02_지표정의'!$C$23*Q522+'02_지표정의'!$C$24*R522</f>
        <v>0.51319281855765042</v>
      </c>
      <c r="T522" s="5">
        <f t="shared" si="91"/>
        <v>1</v>
      </c>
      <c r="U522" s="5" t="str">
        <f t="shared" si="92"/>
        <v>보고서</v>
      </c>
      <c r="V522" s="18">
        <f t="shared" si="93"/>
        <v>76</v>
      </c>
      <c r="W522" s="5">
        <f t="shared" si="94"/>
        <v>68</v>
      </c>
      <c r="X522" s="5">
        <f t="shared" si="95"/>
        <v>0</v>
      </c>
      <c r="Y522" s="5">
        <f t="shared" si="96"/>
        <v>69</v>
      </c>
      <c r="Z522" s="19">
        <f t="shared" si="97"/>
        <v>7</v>
      </c>
      <c r="AA522" s="20">
        <f>ABS(S522-SUMPRODUCT(('05B_가정검정'!$A$5:$A$19=B522)*('05B_가정검정'!$B$5:$B$19=C522)*'05B_가정검정'!$E$5:$E$19))</f>
        <v>7.372911743950783E-2</v>
      </c>
      <c r="AB522" s="20">
        <f t="shared" si="98"/>
        <v>-6.803045766003335E-2</v>
      </c>
    </row>
    <row r="523" spans="1:28">
      <c r="A523" s="15" t="s">
        <v>157</v>
      </c>
      <c r="B523" s="15" t="s">
        <v>122</v>
      </c>
      <c r="C523" s="15" t="s">
        <v>119</v>
      </c>
      <c r="D523" s="16">
        <v>0.31122448979591799</v>
      </c>
      <c r="E523" s="16">
        <v>0.4</v>
      </c>
      <c r="F523" s="16">
        <v>0.106918238993711</v>
      </c>
      <c r="G523" s="16">
        <v>0.23749999999999999</v>
      </c>
      <c r="H523" s="16">
        <v>0.279711145507894</v>
      </c>
      <c r="I523" s="16">
        <v>0.35454540929342898</v>
      </c>
      <c r="J523" s="16">
        <v>0.735652577330839</v>
      </c>
      <c r="K523" s="16">
        <v>0.681542886401583</v>
      </c>
      <c r="L523" s="16">
        <v>0.83465245554671896</v>
      </c>
      <c r="M523" s="16">
        <v>0.49771689497716898</v>
      </c>
      <c r="N523" s="16">
        <v>0.230769230769231</v>
      </c>
      <c r="O523" s="16">
        <v>1</v>
      </c>
      <c r="P523" s="17">
        <f t="shared" si="88"/>
        <v>0.281649880598492</v>
      </c>
      <c r="Q523" s="17">
        <f t="shared" si="89"/>
        <v>0.75061597309304695</v>
      </c>
      <c r="R523" s="17">
        <f t="shared" si="90"/>
        <v>0.57616204191546661</v>
      </c>
      <c r="S523" s="17">
        <f>'02_지표정의'!$C$22*P523+'02_지표정의'!$C$23*Q523+'02_지표정의'!$C$24*R523</f>
        <v>0.59576387868198277</v>
      </c>
      <c r="T523" s="5">
        <f t="shared" si="91"/>
        <v>0</v>
      </c>
      <c r="U523" s="5" t="str">
        <f t="shared" si="92"/>
        <v>보고서</v>
      </c>
      <c r="V523" s="18">
        <f t="shared" si="93"/>
        <v>373</v>
      </c>
      <c r="W523" s="5">
        <f t="shared" si="94"/>
        <v>0</v>
      </c>
      <c r="X523" s="5">
        <f t="shared" si="95"/>
        <v>158</v>
      </c>
      <c r="Y523" s="5">
        <f t="shared" si="96"/>
        <v>287</v>
      </c>
      <c r="Z523" s="19">
        <f t="shared" si="97"/>
        <v>12</v>
      </c>
      <c r="AA523" s="20">
        <f>ABS(S523-SUMPRODUCT(('05B_가정검정'!$A$5:$A$19=B523)*('05B_가정검정'!$B$5:$B$19=C523)*'05B_가정검정'!$E$5:$E$19))</f>
        <v>3.984230921946863E-2</v>
      </c>
      <c r="AB523" s="20">
        <f t="shared" si="98"/>
        <v>-3.5624987632903227E-2</v>
      </c>
    </row>
    <row r="524" spans="1:28">
      <c r="A524" s="15" t="s">
        <v>157</v>
      </c>
      <c r="B524" s="15" t="s">
        <v>123</v>
      </c>
      <c r="C524" s="15" t="s">
        <v>117</v>
      </c>
      <c r="D524" s="16">
        <v>0.25507900677200901</v>
      </c>
      <c r="E524" s="16">
        <v>0.34602076124567499</v>
      </c>
      <c r="F524" s="16">
        <v>0.104529616724739</v>
      </c>
      <c r="G524" s="16">
        <v>0.242214532871972</v>
      </c>
      <c r="H524" s="16">
        <v>0.41249371718209898</v>
      </c>
      <c r="I524" s="16">
        <v>0.26166023491478002</v>
      </c>
      <c r="J524" s="16">
        <v>0.703716845295697</v>
      </c>
      <c r="K524" s="16">
        <v>0.66717156033768099</v>
      </c>
      <c r="L524" s="16">
        <v>0.87038777181535798</v>
      </c>
      <c r="M524" s="16">
        <v>0.90654205607476601</v>
      </c>
      <c r="N524" s="16">
        <v>0.91666666666666696</v>
      </c>
      <c r="O524" s="16">
        <v>1</v>
      </c>
      <c r="P524" s="17">
        <f t="shared" si="88"/>
        <v>0.27033297828521236</v>
      </c>
      <c r="Q524" s="17">
        <f t="shared" si="89"/>
        <v>0.74709205914957855</v>
      </c>
      <c r="R524" s="17">
        <f t="shared" si="90"/>
        <v>0.94106957424714432</v>
      </c>
      <c r="S524" s="17">
        <f>'02_지표정의'!$C$22*P524+'02_지표정의'!$C$23*Q524+'02_지표정의'!$C$24*R524</f>
        <v>0.71963237326085328</v>
      </c>
      <c r="T524" s="5">
        <f t="shared" si="91"/>
        <v>0</v>
      </c>
      <c r="U524" s="5" t="str">
        <f t="shared" si="92"/>
        <v>보고서</v>
      </c>
      <c r="V524" s="18">
        <f t="shared" si="93"/>
        <v>877</v>
      </c>
      <c r="W524" s="5">
        <f t="shared" si="94"/>
        <v>585</v>
      </c>
      <c r="X524" s="5">
        <f t="shared" si="95"/>
        <v>552</v>
      </c>
      <c r="Y524" s="5">
        <f t="shared" si="96"/>
        <v>0</v>
      </c>
      <c r="Z524" s="19">
        <f t="shared" si="97"/>
        <v>42</v>
      </c>
      <c r="AA524" s="20">
        <f>ABS(S524-SUMPRODUCT(('05B_가정검정'!$A$5:$A$19=B524)*('05B_가정검정'!$B$5:$B$19=C524)*'05B_가정검정'!$E$5:$E$19))</f>
        <v>4.7094904846295416E-3</v>
      </c>
      <c r="AB524" s="20">
        <f t="shared" si="98"/>
        <v>1.1646921449610104E-2</v>
      </c>
    </row>
    <row r="525" spans="1:28">
      <c r="A525" s="15" t="s">
        <v>157</v>
      </c>
      <c r="B525" s="15" t="s">
        <v>123</v>
      </c>
      <c r="C525" s="15" t="s">
        <v>118</v>
      </c>
      <c r="D525" s="16">
        <v>0.26030927835051598</v>
      </c>
      <c r="E525" s="16">
        <v>0.33823529411764702</v>
      </c>
      <c r="F525" s="16">
        <v>0.11851851851851899</v>
      </c>
      <c r="G525" s="16">
        <v>0.26470588235294101</v>
      </c>
      <c r="H525" s="16">
        <v>0.24324124880214201</v>
      </c>
      <c r="I525" s="16">
        <v>0.20603694717211599</v>
      </c>
      <c r="J525" s="16">
        <v>0.70883020007156605</v>
      </c>
      <c r="K525" s="16">
        <v>0.66592836359603502</v>
      </c>
      <c r="L525" s="16">
        <v>0.82594578689040199</v>
      </c>
      <c r="M525" s="16">
        <v>0.32119205298013198</v>
      </c>
      <c r="N525" s="16">
        <v>0.29599999999999999</v>
      </c>
      <c r="O525" s="16">
        <v>0.52631578947368396</v>
      </c>
      <c r="P525" s="17">
        <f t="shared" si="88"/>
        <v>0.23850786155231352</v>
      </c>
      <c r="Q525" s="17">
        <f t="shared" si="89"/>
        <v>0.73356811685266765</v>
      </c>
      <c r="R525" s="17">
        <f t="shared" si="90"/>
        <v>0.38116928081793872</v>
      </c>
      <c r="S525" s="17">
        <f>'02_지표정의'!$C$22*P525+'02_지표정의'!$C$23*Q525+'02_지표정의'!$C$24*R525</f>
        <v>0.51121647318044172</v>
      </c>
      <c r="T525" s="5">
        <f t="shared" si="91"/>
        <v>0</v>
      </c>
      <c r="U525" s="5" t="str">
        <f t="shared" si="92"/>
        <v>보고서</v>
      </c>
      <c r="V525" s="18">
        <f t="shared" si="93"/>
        <v>70</v>
      </c>
      <c r="W525" s="5">
        <f t="shared" si="94"/>
        <v>62</v>
      </c>
      <c r="X525" s="5">
        <f t="shared" si="95"/>
        <v>0</v>
      </c>
      <c r="Y525" s="5">
        <f t="shared" si="96"/>
        <v>63</v>
      </c>
      <c r="Z525" s="19">
        <f t="shared" si="97"/>
        <v>15</v>
      </c>
      <c r="AA525" s="20">
        <f>ABS(S525-SUMPRODUCT(('05B_가정검정'!$A$5:$A$19=B525)*('05B_가정검정'!$B$5:$B$19=C525)*'05B_가정검정'!$E$5:$E$19))</f>
        <v>6.4082353698527994E-2</v>
      </c>
      <c r="AB525" s="20">
        <f t="shared" si="98"/>
        <v>-4.8655134744049366E-2</v>
      </c>
    </row>
    <row r="526" spans="1:28">
      <c r="A526" s="15" t="s">
        <v>157</v>
      </c>
      <c r="B526" s="15" t="s">
        <v>123</v>
      </c>
      <c r="C526" s="15" t="s">
        <v>119</v>
      </c>
      <c r="D526" s="16">
        <v>0.302558398220245</v>
      </c>
      <c r="E526" s="16">
        <v>0.46200607902735602</v>
      </c>
      <c r="F526" s="16">
        <v>0.16513761467889901</v>
      </c>
      <c r="G526" s="16">
        <v>0.303951367781155</v>
      </c>
      <c r="H526" s="16">
        <v>0.32608549027276101</v>
      </c>
      <c r="I526" s="16">
        <v>0.354160250068213</v>
      </c>
      <c r="J526" s="16">
        <v>0.73734345569840598</v>
      </c>
      <c r="K526" s="16">
        <v>0.70512475424086496</v>
      </c>
      <c r="L526" s="16">
        <v>0.85633835218671805</v>
      </c>
      <c r="M526" s="16">
        <v>0.442922374429224</v>
      </c>
      <c r="N526" s="16">
        <v>0.47008547008547003</v>
      </c>
      <c r="O526" s="16">
        <v>1</v>
      </c>
      <c r="P526" s="17">
        <f t="shared" si="88"/>
        <v>0.31898320000810482</v>
      </c>
      <c r="Q526" s="17">
        <f t="shared" si="89"/>
        <v>0.76626885404199641</v>
      </c>
      <c r="R526" s="17">
        <f t="shared" si="90"/>
        <v>0.63766928150489799</v>
      </c>
      <c r="S526" s="17">
        <f>'02_지표정의'!$C$22*P526+'02_지표정의'!$C$23*Q526+'02_지표정의'!$C$24*R526</f>
        <v>0.63180187284723366</v>
      </c>
      <c r="T526" s="5">
        <f t="shared" si="91"/>
        <v>1</v>
      </c>
      <c r="U526" s="5" t="str">
        <f t="shared" si="92"/>
        <v>보고서</v>
      </c>
      <c r="V526" s="18">
        <f t="shared" si="93"/>
        <v>537</v>
      </c>
      <c r="W526" s="5">
        <f t="shared" si="94"/>
        <v>0</v>
      </c>
      <c r="X526" s="5">
        <f t="shared" si="95"/>
        <v>240</v>
      </c>
      <c r="Y526" s="5">
        <f t="shared" si="96"/>
        <v>406</v>
      </c>
      <c r="Z526" s="19">
        <f t="shared" si="97"/>
        <v>4</v>
      </c>
      <c r="AA526" s="20">
        <f>ABS(S526-SUMPRODUCT(('05B_가정검정'!$A$5:$A$19=B526)*('05B_가정검정'!$B$5:$B$19=C526)*'05B_가정검정'!$E$5:$E$19))</f>
        <v>5.3827924476993694E-2</v>
      </c>
      <c r="AB526" s="20">
        <f t="shared" si="98"/>
        <v>-5.0616860197768121E-2</v>
      </c>
    </row>
    <row r="527" spans="1:28">
      <c r="A527" s="15" t="s">
        <v>158</v>
      </c>
      <c r="B527" s="15" t="s">
        <v>116</v>
      </c>
      <c r="C527" s="15" t="s">
        <v>117</v>
      </c>
      <c r="D527" s="16">
        <v>0.211612903225806</v>
      </c>
      <c r="E527" s="16">
        <v>0.27500000000000002</v>
      </c>
      <c r="F527" s="16">
        <v>0.126050420168067</v>
      </c>
      <c r="G527" s="16">
        <v>0.241666666666667</v>
      </c>
      <c r="H527" s="16">
        <v>0.19654734240713601</v>
      </c>
      <c r="I527" s="16">
        <v>0.28674830052142702</v>
      </c>
      <c r="J527" s="16">
        <v>0.63790114317346303</v>
      </c>
      <c r="K527" s="16">
        <v>0.59958051300941295</v>
      </c>
      <c r="L527" s="16">
        <v>0.743826190394971</v>
      </c>
      <c r="M527" s="16">
        <v>0.51515151515151503</v>
      </c>
      <c r="N527" s="16">
        <v>0.213483146067416</v>
      </c>
      <c r="O527" s="16">
        <v>1</v>
      </c>
      <c r="P527" s="17">
        <f t="shared" si="88"/>
        <v>0.22293760549818384</v>
      </c>
      <c r="Q527" s="17">
        <f t="shared" si="89"/>
        <v>0.66043594885928225</v>
      </c>
      <c r="R527" s="17">
        <f t="shared" si="90"/>
        <v>0.57621155373964372</v>
      </c>
      <c r="S527" s="17">
        <f>'02_지표정의'!$C$22*P527+'02_지표정의'!$C$23*Q527+'02_지표정의'!$C$24*R527</f>
        <v>0.54345774189518903</v>
      </c>
      <c r="T527" s="5">
        <f t="shared" si="91"/>
        <v>0</v>
      </c>
      <c r="U527" s="5" t="str">
        <f t="shared" si="92"/>
        <v>보고서</v>
      </c>
      <c r="V527" s="18">
        <f t="shared" si="93"/>
        <v>181</v>
      </c>
      <c r="W527" s="5">
        <f t="shared" si="94"/>
        <v>154</v>
      </c>
      <c r="X527" s="5">
        <f t="shared" si="95"/>
        <v>48</v>
      </c>
      <c r="Y527" s="5">
        <f t="shared" si="96"/>
        <v>0</v>
      </c>
      <c r="Z527" s="19">
        <f t="shared" si="97"/>
        <v>18</v>
      </c>
      <c r="AA527" s="20">
        <f>ABS(S527-SUMPRODUCT(('05B_가정검정'!$A$5:$A$19=B527)*('05B_가정검정'!$B$5:$B$19=C527)*'05B_가정검정'!$E$5:$E$19))</f>
        <v>1.3945963089778246E-2</v>
      </c>
      <c r="AB527" s="20">
        <f t="shared" si="98"/>
        <v>-9.0934235174343625E-3</v>
      </c>
    </row>
    <row r="528" spans="1:28">
      <c r="A528" s="15" t="s">
        <v>158</v>
      </c>
      <c r="B528" s="15" t="s">
        <v>116</v>
      </c>
      <c r="C528" s="15" t="s">
        <v>118</v>
      </c>
      <c r="D528" s="16">
        <v>0.25416036308623302</v>
      </c>
      <c r="E528" s="16">
        <v>0.30909090909090903</v>
      </c>
      <c r="F528" s="16">
        <v>0.155963302752294</v>
      </c>
      <c r="G528" s="16">
        <v>0.263636363636364</v>
      </c>
      <c r="H528" s="16">
        <v>0.13152320198610301</v>
      </c>
      <c r="I528" s="16">
        <v>0.41923643850755898</v>
      </c>
      <c r="J528" s="16">
        <v>0.67416943582074396</v>
      </c>
      <c r="K528" s="16">
        <v>0.69178504584816602</v>
      </c>
      <c r="L528" s="16">
        <v>0.78005363107400305</v>
      </c>
      <c r="M528" s="16">
        <v>0.41076487252124699</v>
      </c>
      <c r="N528" s="16">
        <v>0</v>
      </c>
      <c r="O528" s="16">
        <v>0.60526315789473695</v>
      </c>
      <c r="P528" s="17">
        <f t="shared" si="88"/>
        <v>0.25560176317657701</v>
      </c>
      <c r="Q528" s="17">
        <f t="shared" si="89"/>
        <v>0.71533603758097097</v>
      </c>
      <c r="R528" s="17">
        <f t="shared" si="90"/>
        <v>0.33867601013866128</v>
      </c>
      <c r="S528" s="17">
        <f>'02_지표정의'!$C$22*P528+'02_지표정의'!$C$23*Q528+'02_지표정의'!$C$24*R528</f>
        <v>0.49155817309528382</v>
      </c>
      <c r="T528" s="5">
        <f t="shared" si="91"/>
        <v>0</v>
      </c>
      <c r="U528" s="5" t="str">
        <f t="shared" si="92"/>
        <v>보고서</v>
      </c>
      <c r="V528" s="18">
        <f t="shared" si="93"/>
        <v>34</v>
      </c>
      <c r="W528" s="5">
        <f t="shared" si="94"/>
        <v>28</v>
      </c>
      <c r="X528" s="5">
        <f t="shared" si="95"/>
        <v>0</v>
      </c>
      <c r="Y528" s="5">
        <f t="shared" si="96"/>
        <v>30</v>
      </c>
      <c r="Z528" s="19">
        <f t="shared" si="97"/>
        <v>18</v>
      </c>
      <c r="AA528" s="20">
        <f>ABS(S528-SUMPRODUCT(('05B_가정검정'!$A$5:$A$19=B528)*('05B_가정검정'!$B$5:$B$19=C528)*'05B_가정검정'!$E$5:$E$19))</f>
        <v>3.9734248606437816E-2</v>
      </c>
      <c r="AB528" s="20">
        <f t="shared" si="98"/>
        <v>-3.5990859283302479E-2</v>
      </c>
    </row>
    <row r="529" spans="1:28">
      <c r="A529" s="15" t="s">
        <v>158</v>
      </c>
      <c r="B529" s="15" t="s">
        <v>116</v>
      </c>
      <c r="C529" s="15" t="s">
        <v>119</v>
      </c>
      <c r="D529" s="16">
        <v>0.27812500000000001</v>
      </c>
      <c r="E529" s="16">
        <v>0.46625766871165603</v>
      </c>
      <c r="F529" s="16">
        <v>0.22360248447205</v>
      </c>
      <c r="G529" s="16">
        <v>0.380368098159509</v>
      </c>
      <c r="H529" s="16">
        <v>0.2253234455557</v>
      </c>
      <c r="I529" s="16">
        <v>0.44747871391365401</v>
      </c>
      <c r="J529" s="16">
        <v>0.678293751553528</v>
      </c>
      <c r="K529" s="16">
        <v>0.62739746074737501</v>
      </c>
      <c r="L529" s="16">
        <v>0.75172955874689196</v>
      </c>
      <c r="M529" s="16">
        <v>0.38461538461538503</v>
      </c>
      <c r="N529" s="16">
        <v>0</v>
      </c>
      <c r="O529" s="16">
        <v>1</v>
      </c>
      <c r="P529" s="17">
        <f t="shared" si="88"/>
        <v>0.3368592351354282</v>
      </c>
      <c r="Q529" s="17">
        <f t="shared" si="89"/>
        <v>0.68580692368259832</v>
      </c>
      <c r="R529" s="17">
        <f t="shared" si="90"/>
        <v>0.46153846153846168</v>
      </c>
      <c r="S529" s="17">
        <f>'02_지표정의'!$C$22*P529+'02_지표정의'!$C$23*Q529+'02_지표정의'!$C$24*R529</f>
        <v>0.53752342422271648</v>
      </c>
      <c r="T529" s="5">
        <f t="shared" si="91"/>
        <v>0</v>
      </c>
      <c r="U529" s="5" t="str">
        <f t="shared" si="92"/>
        <v>보고서</v>
      </c>
      <c r="V529" s="18">
        <f t="shared" si="93"/>
        <v>159</v>
      </c>
      <c r="W529" s="5">
        <f t="shared" si="94"/>
        <v>0</v>
      </c>
      <c r="X529" s="5">
        <f t="shared" si="95"/>
        <v>35</v>
      </c>
      <c r="Y529" s="5">
        <f t="shared" si="96"/>
        <v>144</v>
      </c>
      <c r="Z529" s="19">
        <f t="shared" si="97"/>
        <v>15</v>
      </c>
      <c r="AA529" s="20">
        <f>ABS(S529-SUMPRODUCT(('05B_가정검정'!$A$5:$A$19=B529)*('05B_가정검정'!$B$5:$B$19=C529)*'05B_가정검정'!$E$5:$E$19))</f>
        <v>1.5500092520066122E-2</v>
      </c>
      <c r="AB529" s="20">
        <f t="shared" si="98"/>
        <v>-1.892905945346357E-2</v>
      </c>
    </row>
    <row r="530" spans="1:28">
      <c r="A530" s="15" t="s">
        <v>158</v>
      </c>
      <c r="B530" s="15" t="s">
        <v>120</v>
      </c>
      <c r="C530" s="15" t="s">
        <v>117</v>
      </c>
      <c r="D530" s="16">
        <v>0.212341197822142</v>
      </c>
      <c r="E530" s="16">
        <v>0.27922077922077898</v>
      </c>
      <c r="F530" s="16">
        <v>8.4967320261437898E-2</v>
      </c>
      <c r="G530" s="16">
        <v>0.19480519480519501</v>
      </c>
      <c r="H530" s="16">
        <v>0.313251873498054</v>
      </c>
      <c r="I530" s="16">
        <v>0.208171928808563</v>
      </c>
      <c r="J530" s="16">
        <v>0.67593164327643396</v>
      </c>
      <c r="K530" s="16">
        <v>0.61441644514875204</v>
      </c>
      <c r="L530" s="16">
        <v>0.82025123125183697</v>
      </c>
      <c r="M530" s="16">
        <v>0.56707317073170704</v>
      </c>
      <c r="N530" s="16">
        <v>0.52127659574468099</v>
      </c>
      <c r="O530" s="16">
        <v>1</v>
      </c>
      <c r="P530" s="17">
        <f t="shared" si="88"/>
        <v>0.21545971573602848</v>
      </c>
      <c r="Q530" s="17">
        <f t="shared" si="89"/>
        <v>0.70353310655900769</v>
      </c>
      <c r="R530" s="17">
        <f t="shared" si="90"/>
        <v>0.69611658882546268</v>
      </c>
      <c r="S530" s="17">
        <f>'02_지표정의'!$C$22*P530+'02_지표정의'!$C$23*Q530+'02_지표정의'!$C$24*R530</f>
        <v>0.60332264718767115</v>
      </c>
      <c r="T530" s="5">
        <f t="shared" si="91"/>
        <v>0</v>
      </c>
      <c r="U530" s="5" t="str">
        <f t="shared" si="92"/>
        <v>보고서</v>
      </c>
      <c r="V530" s="18">
        <f t="shared" si="93"/>
        <v>403</v>
      </c>
      <c r="W530" s="5">
        <f t="shared" si="94"/>
        <v>326</v>
      </c>
      <c r="X530" s="5">
        <f t="shared" si="95"/>
        <v>173</v>
      </c>
      <c r="Y530" s="5">
        <f t="shared" si="96"/>
        <v>0</v>
      </c>
      <c r="Z530" s="19">
        <f t="shared" si="97"/>
        <v>9</v>
      </c>
      <c r="AA530" s="20">
        <f>ABS(S530-SUMPRODUCT(('05B_가정검정'!$A$5:$A$19=B530)*('05B_가정검정'!$B$5:$B$19=C530)*'05B_가정검정'!$E$5:$E$19))</f>
        <v>2.4726312869449929E-2</v>
      </c>
      <c r="AB530" s="20">
        <f t="shared" si="98"/>
        <v>-2.7980056237085993E-2</v>
      </c>
    </row>
    <row r="531" spans="1:28">
      <c r="A531" s="15" t="s">
        <v>158</v>
      </c>
      <c r="B531" s="15" t="s">
        <v>120</v>
      </c>
      <c r="C531" s="15" t="s">
        <v>118</v>
      </c>
      <c r="D531" s="16">
        <v>0.251012145748988</v>
      </c>
      <c r="E531" s="16">
        <v>0.31944444444444497</v>
      </c>
      <c r="F531" s="16">
        <v>0.111888111888112</v>
      </c>
      <c r="G531" s="16">
        <v>0.26388888888888901</v>
      </c>
      <c r="H531" s="16">
        <v>0.248565524564066</v>
      </c>
      <c r="I531" s="16">
        <v>0.33750475974234301</v>
      </c>
      <c r="J531" s="16">
        <v>0.72857128662408799</v>
      </c>
      <c r="K531" s="16">
        <v>0.64805104421322801</v>
      </c>
      <c r="L531" s="16">
        <v>0.83331196313953404</v>
      </c>
      <c r="M531" s="16">
        <v>0.43626062322946202</v>
      </c>
      <c r="N531" s="16">
        <v>0.24</v>
      </c>
      <c r="O531" s="16">
        <v>0.62105263157894697</v>
      </c>
      <c r="P531" s="17">
        <f t="shared" si="88"/>
        <v>0.25538397921280714</v>
      </c>
      <c r="Q531" s="17">
        <f t="shared" si="89"/>
        <v>0.73664476465895001</v>
      </c>
      <c r="R531" s="17">
        <f t="shared" si="90"/>
        <v>0.43243775160280301</v>
      </c>
      <c r="S531" s="17">
        <f>'02_지표정의'!$C$22*P531+'02_지표정의'!$C$23*Q531+'02_지표정의'!$C$24*R531</f>
        <v>0.5339201530000699</v>
      </c>
      <c r="T531" s="5">
        <f t="shared" si="91"/>
        <v>0</v>
      </c>
      <c r="U531" s="5" t="str">
        <f t="shared" si="92"/>
        <v>보고서</v>
      </c>
      <c r="V531" s="18">
        <f t="shared" si="93"/>
        <v>147</v>
      </c>
      <c r="W531" s="5">
        <f t="shared" si="94"/>
        <v>132</v>
      </c>
      <c r="X531" s="5">
        <f t="shared" si="95"/>
        <v>0</v>
      </c>
      <c r="Y531" s="5">
        <f t="shared" si="96"/>
        <v>133</v>
      </c>
      <c r="Z531" s="19">
        <f t="shared" si="97"/>
        <v>23</v>
      </c>
      <c r="AA531" s="20">
        <f>ABS(S531-SUMPRODUCT(('05B_가정검정'!$A$5:$A$19=B531)*('05B_가정검정'!$B$5:$B$19=C531)*'05B_가정검정'!$E$5:$E$19))</f>
        <v>5.6908695581558089E-2</v>
      </c>
      <c r="AB531" s="20">
        <f t="shared" si="98"/>
        <v>-4.0970622962040903E-2</v>
      </c>
    </row>
    <row r="532" spans="1:28">
      <c r="A532" s="15" t="s">
        <v>158</v>
      </c>
      <c r="B532" s="15" t="s">
        <v>120</v>
      </c>
      <c r="C532" s="15" t="s">
        <v>119</v>
      </c>
      <c r="D532" s="16">
        <v>0.241985522233713</v>
      </c>
      <c r="E532" s="16">
        <v>0.45021645021645001</v>
      </c>
      <c r="F532" s="16">
        <v>0.21834061135371199</v>
      </c>
      <c r="G532" s="16">
        <v>0.354978354978355</v>
      </c>
      <c r="H532" s="16">
        <v>0.33772858758611102</v>
      </c>
      <c r="I532" s="16">
        <v>0.289733349273122</v>
      </c>
      <c r="J532" s="16">
        <v>0.71701686836885903</v>
      </c>
      <c r="K532" s="16">
        <v>0.65665787884420501</v>
      </c>
      <c r="L532" s="16">
        <v>0.85180175950485404</v>
      </c>
      <c r="M532" s="16">
        <v>0.61538461538461497</v>
      </c>
      <c r="N532" s="16">
        <v>0.54901960784313697</v>
      </c>
      <c r="O532" s="16">
        <v>1</v>
      </c>
      <c r="P532" s="17">
        <f t="shared" si="88"/>
        <v>0.31549714594024381</v>
      </c>
      <c r="Q532" s="17">
        <f t="shared" si="89"/>
        <v>0.7418255022393061</v>
      </c>
      <c r="R532" s="17">
        <f t="shared" si="90"/>
        <v>0.72146807440925065</v>
      </c>
      <c r="S532" s="17">
        <f>'02_지표정의'!$C$22*P532+'02_지표정의'!$C$23*Q532+'02_지표정의'!$C$24*R532</f>
        <v>0.64943473123897422</v>
      </c>
      <c r="T532" s="5">
        <f t="shared" si="91"/>
        <v>0</v>
      </c>
      <c r="U532" s="5" t="str">
        <f t="shared" si="92"/>
        <v>보고서</v>
      </c>
      <c r="V532" s="18">
        <f t="shared" si="93"/>
        <v>615</v>
      </c>
      <c r="W532" s="5">
        <f t="shared" si="94"/>
        <v>0</v>
      </c>
      <c r="X532" s="5">
        <f t="shared" si="95"/>
        <v>302</v>
      </c>
      <c r="Y532" s="5">
        <f t="shared" si="96"/>
        <v>460</v>
      </c>
      <c r="Z532" s="19">
        <f t="shared" si="97"/>
        <v>22</v>
      </c>
      <c r="AA532" s="20">
        <f>ABS(S532-SUMPRODUCT(('05B_가정검정'!$A$5:$A$19=B532)*('05B_가정검정'!$B$5:$B$19=C532)*'05B_가정검정'!$E$5:$E$19))</f>
        <v>1.4242585242412065E-2</v>
      </c>
      <c r="AB532" s="20">
        <f t="shared" si="98"/>
        <v>-8.9882762718414E-3</v>
      </c>
    </row>
    <row r="533" spans="1:28">
      <c r="A533" s="15" t="s">
        <v>158</v>
      </c>
      <c r="B533" s="15" t="s">
        <v>121</v>
      </c>
      <c r="C533" s="15" t="s">
        <v>117</v>
      </c>
      <c r="D533" s="16">
        <v>0.20168067226890801</v>
      </c>
      <c r="E533" s="16">
        <v>0.26556016597510401</v>
      </c>
      <c r="F533" s="16">
        <v>0.100418410041841</v>
      </c>
      <c r="G533" s="16">
        <v>0.24066390041493799</v>
      </c>
      <c r="H533" s="16">
        <v>0.238647921396129</v>
      </c>
      <c r="I533" s="16">
        <v>0.22512906219669701</v>
      </c>
      <c r="J533" s="16">
        <v>0.71424660488104497</v>
      </c>
      <c r="K533" s="16">
        <v>0.80003620005661602</v>
      </c>
      <c r="L533" s="16">
        <v>0.90646493785550097</v>
      </c>
      <c r="M533" s="16">
        <v>0.90654205607476601</v>
      </c>
      <c r="N533" s="16">
        <v>0.91666666666666696</v>
      </c>
      <c r="O533" s="16">
        <v>1</v>
      </c>
      <c r="P533" s="17">
        <f t="shared" si="88"/>
        <v>0.21201668871560284</v>
      </c>
      <c r="Q533" s="17">
        <f t="shared" si="89"/>
        <v>0.80691591426438736</v>
      </c>
      <c r="R533" s="17">
        <f t="shared" si="90"/>
        <v>0.94106957424714432</v>
      </c>
      <c r="S533" s="17">
        <f>'02_지표정의'!$C$22*P533+'02_지표정의'!$C$23*Q533+'02_지표정의'!$C$24*R533</f>
        <v>0.73488985014859542</v>
      </c>
      <c r="T533" s="5">
        <f t="shared" si="91"/>
        <v>1</v>
      </c>
      <c r="U533" s="5" t="str">
        <f t="shared" si="92"/>
        <v>보고서</v>
      </c>
      <c r="V533" s="18">
        <f t="shared" si="93"/>
        <v>915</v>
      </c>
      <c r="W533" s="5">
        <f t="shared" si="94"/>
        <v>620</v>
      </c>
      <c r="X533" s="5">
        <f t="shared" si="95"/>
        <v>590</v>
      </c>
      <c r="Y533" s="5">
        <f t="shared" si="96"/>
        <v>0</v>
      </c>
      <c r="Z533" s="19">
        <f t="shared" si="97"/>
        <v>43</v>
      </c>
      <c r="AA533" s="20">
        <f>ABS(S533-SUMPRODUCT(('05B_가정검정'!$A$5:$A$19=B533)*('05B_가정검정'!$B$5:$B$19=C533)*'05B_가정검정'!$E$5:$E$19))</f>
        <v>5.4577787667142719E-3</v>
      </c>
      <c r="AB533" s="20">
        <f t="shared" si="98"/>
        <v>1.7238057075714464E-2</v>
      </c>
    </row>
    <row r="534" spans="1:28">
      <c r="A534" s="15" t="s">
        <v>158</v>
      </c>
      <c r="B534" s="15" t="s">
        <v>121</v>
      </c>
      <c r="C534" s="15" t="s">
        <v>118</v>
      </c>
      <c r="D534" s="16">
        <v>0.20584144645340799</v>
      </c>
      <c r="E534" s="16">
        <v>0.289592760180995</v>
      </c>
      <c r="F534" s="16">
        <v>0.127853881278539</v>
      </c>
      <c r="G534" s="16">
        <v>0.23529411764705899</v>
      </c>
      <c r="H534" s="16">
        <v>0.156134709160203</v>
      </c>
      <c r="I534" s="16">
        <v>0.33596302235091702</v>
      </c>
      <c r="J534" s="16">
        <v>0.74947549317027595</v>
      </c>
      <c r="K534" s="16">
        <v>0.75493563632395</v>
      </c>
      <c r="L534" s="16">
        <v>0.88628944588985803</v>
      </c>
      <c r="M534" s="16">
        <v>0.274787535410765</v>
      </c>
      <c r="N534" s="16">
        <v>0.28666666666666701</v>
      </c>
      <c r="O534" s="16">
        <v>0.60526315789473695</v>
      </c>
      <c r="P534" s="17">
        <f t="shared" si="88"/>
        <v>0.22511332284518684</v>
      </c>
      <c r="Q534" s="17">
        <f t="shared" si="89"/>
        <v>0.79690019179469473</v>
      </c>
      <c r="R534" s="17">
        <f t="shared" si="90"/>
        <v>0.38890578665738967</v>
      </c>
      <c r="S534" s="17">
        <f>'02_지표정의'!$C$22*P534+'02_지표정의'!$C$23*Q534+'02_지표정의'!$C$24*R534</f>
        <v>0.53974477620673633</v>
      </c>
      <c r="T534" s="5">
        <f t="shared" si="91"/>
        <v>0</v>
      </c>
      <c r="U534" s="5" t="str">
        <f t="shared" si="92"/>
        <v>보고서</v>
      </c>
      <c r="V534" s="18">
        <f t="shared" si="93"/>
        <v>168</v>
      </c>
      <c r="W534" s="5">
        <f t="shared" si="94"/>
        <v>146</v>
      </c>
      <c r="X534" s="5">
        <f t="shared" si="95"/>
        <v>0</v>
      </c>
      <c r="Y534" s="5">
        <f t="shared" si="96"/>
        <v>151</v>
      </c>
      <c r="Z534" s="19">
        <f t="shared" si="97"/>
        <v>21</v>
      </c>
      <c r="AA534" s="20">
        <f>ABS(S534-SUMPRODUCT(('05B_가정검정'!$A$5:$A$19=B534)*('05B_가정검정'!$B$5:$B$19=C534)*'05B_가정검정'!$E$5:$E$19))</f>
        <v>5.8834713960232099E-2</v>
      </c>
      <c r="AB534" s="20">
        <f t="shared" si="98"/>
        <v>-3.9654298320076942E-2</v>
      </c>
    </row>
    <row r="535" spans="1:28">
      <c r="A535" s="15" t="s">
        <v>158</v>
      </c>
      <c r="B535" s="15" t="s">
        <v>121</v>
      </c>
      <c r="C535" s="15" t="s">
        <v>119</v>
      </c>
      <c r="D535" s="16">
        <v>0.25787965616045799</v>
      </c>
      <c r="E535" s="16">
        <v>0.41463414634146301</v>
      </c>
      <c r="F535" s="16">
        <v>0.18518518518518501</v>
      </c>
      <c r="G535" s="16">
        <v>0.32926829268292701</v>
      </c>
      <c r="H535" s="16">
        <v>0.26837719253824199</v>
      </c>
      <c r="I535" s="16">
        <v>0.35872334254161697</v>
      </c>
      <c r="J535" s="16">
        <v>0.76946116893127903</v>
      </c>
      <c r="K535" s="16">
        <v>0.76706821629847699</v>
      </c>
      <c r="L535" s="16">
        <v>0.88662115374117401</v>
      </c>
      <c r="M535" s="16">
        <v>0.57396449704142005</v>
      </c>
      <c r="N535" s="16">
        <v>0.53921568627451</v>
      </c>
      <c r="O535" s="16">
        <v>1</v>
      </c>
      <c r="P535" s="17">
        <f t="shared" si="88"/>
        <v>0.30234463590831534</v>
      </c>
      <c r="Q535" s="17">
        <f t="shared" si="89"/>
        <v>0.80771684632364327</v>
      </c>
      <c r="R535" s="17">
        <f t="shared" si="90"/>
        <v>0.70439339443864346</v>
      </c>
      <c r="S535" s="17">
        <f>'02_지표정의'!$C$22*P535+'02_지표정의'!$C$23*Q535+'02_지표정의'!$C$24*R535</f>
        <v>0.67047919608082773</v>
      </c>
      <c r="T535" s="5">
        <f t="shared" si="91"/>
        <v>0</v>
      </c>
      <c r="U535" s="5" t="str">
        <f t="shared" si="92"/>
        <v>보고서</v>
      </c>
      <c r="V535" s="18">
        <f t="shared" si="93"/>
        <v>720</v>
      </c>
      <c r="W535" s="5">
        <f t="shared" si="94"/>
        <v>0</v>
      </c>
      <c r="X535" s="5">
        <f t="shared" si="95"/>
        <v>399</v>
      </c>
      <c r="Y535" s="5">
        <f t="shared" si="96"/>
        <v>526</v>
      </c>
      <c r="Z535" s="19">
        <f t="shared" si="97"/>
        <v>26</v>
      </c>
      <c r="AA535" s="20">
        <f>ABS(S535-SUMPRODUCT(('05B_가정검정'!$A$5:$A$19=B535)*('05B_가정검정'!$B$5:$B$19=C535)*'05B_가정검정'!$E$5:$E$19))</f>
        <v>2.1840646715025946E-2</v>
      </c>
      <c r="AB535" s="20">
        <f t="shared" si="98"/>
        <v>-1.7757779338783308E-2</v>
      </c>
    </row>
    <row r="536" spans="1:28">
      <c r="A536" s="15" t="s">
        <v>158</v>
      </c>
      <c r="B536" s="15" t="s">
        <v>122</v>
      </c>
      <c r="C536" s="15" t="s">
        <v>117</v>
      </c>
      <c r="D536" s="16">
        <v>0.25396825396825401</v>
      </c>
      <c r="E536" s="16">
        <v>0.31226765799256501</v>
      </c>
      <c r="F536" s="16">
        <v>8.2397003745318401E-2</v>
      </c>
      <c r="G536" s="16">
        <v>0.20817843866171001</v>
      </c>
      <c r="H536" s="16">
        <v>0.29426482916706698</v>
      </c>
      <c r="I536" s="16">
        <v>0.31718997995871701</v>
      </c>
      <c r="J536" s="16">
        <v>0.65152871142352697</v>
      </c>
      <c r="K536" s="16">
        <v>0.70021502010679804</v>
      </c>
      <c r="L536" s="16">
        <v>0.82504464946999201</v>
      </c>
      <c r="M536" s="16">
        <v>0.62237762237762195</v>
      </c>
      <c r="N536" s="16">
        <v>0.61250000000000004</v>
      </c>
      <c r="O536" s="16">
        <v>0.76</v>
      </c>
      <c r="P536" s="17">
        <f t="shared" si="88"/>
        <v>0.24471102724893859</v>
      </c>
      <c r="Q536" s="17">
        <f t="shared" si="89"/>
        <v>0.72559612700010578</v>
      </c>
      <c r="R536" s="17">
        <f t="shared" si="90"/>
        <v>0.66495920745920734</v>
      </c>
      <c r="S536" s="17">
        <f>'02_지표정의'!$C$22*P536+'02_지표정의'!$C$23*Q536+'02_지표정의'!$C$24*R536</f>
        <v>0.60819618521055796</v>
      </c>
      <c r="T536" s="5">
        <f t="shared" si="91"/>
        <v>0</v>
      </c>
      <c r="U536" s="5" t="str">
        <f t="shared" si="92"/>
        <v>보고서</v>
      </c>
      <c r="V536" s="18">
        <f t="shared" si="93"/>
        <v>424</v>
      </c>
      <c r="W536" s="5">
        <f t="shared" si="94"/>
        <v>345</v>
      </c>
      <c r="X536" s="5">
        <f t="shared" si="95"/>
        <v>181</v>
      </c>
      <c r="Y536" s="5">
        <f t="shared" si="96"/>
        <v>0</v>
      </c>
      <c r="Z536" s="19">
        <f t="shared" si="97"/>
        <v>23</v>
      </c>
      <c r="AA536" s="20">
        <f>ABS(S536-SUMPRODUCT(('05B_가정검정'!$A$5:$A$19=B536)*('05B_가정검정'!$B$5:$B$19=C536)*'05B_가정검정'!$E$5:$E$19))</f>
        <v>3.1156769498120518E-2</v>
      </c>
      <c r="AB536" s="20">
        <f t="shared" si="98"/>
        <v>-1.4685436979088196E-2</v>
      </c>
    </row>
    <row r="537" spans="1:28">
      <c r="A537" s="15" t="s">
        <v>158</v>
      </c>
      <c r="B537" s="15" t="s">
        <v>122</v>
      </c>
      <c r="C537" s="15" t="s">
        <v>118</v>
      </c>
      <c r="D537" s="16">
        <v>0.30729166666666702</v>
      </c>
      <c r="E537" s="16">
        <v>0.32931726907630499</v>
      </c>
      <c r="F537" s="16">
        <v>0.12955465587044501</v>
      </c>
      <c r="G537" s="16">
        <v>0.22489959839357401</v>
      </c>
      <c r="H537" s="16">
        <v>0.22784780018436501</v>
      </c>
      <c r="I537" s="16">
        <v>0.40895090444912602</v>
      </c>
      <c r="J537" s="16">
        <v>0.69066313282466896</v>
      </c>
      <c r="K537" s="16">
        <v>0.72491496928076704</v>
      </c>
      <c r="L537" s="16">
        <v>0.84750967773854102</v>
      </c>
      <c r="M537" s="16">
        <v>0.371104815864023</v>
      </c>
      <c r="N537" s="16">
        <v>0.16666666666666699</v>
      </c>
      <c r="O537" s="16">
        <v>0.46</v>
      </c>
      <c r="P537" s="17">
        <f t="shared" si="88"/>
        <v>0.27131031577341369</v>
      </c>
      <c r="Q537" s="17">
        <f t="shared" si="89"/>
        <v>0.75436259328132571</v>
      </c>
      <c r="R537" s="17">
        <f t="shared" si="90"/>
        <v>0.33259049417689668</v>
      </c>
      <c r="S537" s="17">
        <f>'02_지표정의'!$C$22*P537+'02_지표정의'!$C$23*Q537+'02_지표정의'!$C$24*R537</f>
        <v>0.51013190309319312</v>
      </c>
      <c r="T537" s="5">
        <f t="shared" si="91"/>
        <v>1</v>
      </c>
      <c r="U537" s="5" t="str">
        <f t="shared" si="92"/>
        <v>보고서</v>
      </c>
      <c r="V537" s="18">
        <f t="shared" si="93"/>
        <v>67</v>
      </c>
      <c r="W537" s="5">
        <f t="shared" si="94"/>
        <v>59</v>
      </c>
      <c r="X537" s="5">
        <f t="shared" si="95"/>
        <v>0</v>
      </c>
      <c r="Y537" s="5">
        <f t="shared" si="96"/>
        <v>60</v>
      </c>
      <c r="Z537" s="19">
        <f t="shared" si="97"/>
        <v>6</v>
      </c>
      <c r="AA537" s="20">
        <f>ABS(S537-SUMPRODUCT(('05B_가정검정'!$A$5:$A$19=B537)*('05B_가정검정'!$B$5:$B$19=C537)*'05B_가정검정'!$E$5:$E$19))</f>
        <v>7.6790032903965133E-2</v>
      </c>
      <c r="AB537" s="20">
        <f t="shared" si="98"/>
        <v>-7.1091373124490653E-2</v>
      </c>
    </row>
    <row r="538" spans="1:28">
      <c r="A538" s="15" t="s">
        <v>158</v>
      </c>
      <c r="B538" s="15" t="s">
        <v>122</v>
      </c>
      <c r="C538" s="15" t="s">
        <v>119</v>
      </c>
      <c r="D538" s="16">
        <v>0.265060240963855</v>
      </c>
      <c r="E538" s="16">
        <v>0.44791666666666702</v>
      </c>
      <c r="F538" s="16">
        <v>0.168421052631579</v>
      </c>
      <c r="G538" s="16">
        <v>0.3125</v>
      </c>
      <c r="H538" s="16">
        <v>0.311702939108365</v>
      </c>
      <c r="I538" s="16">
        <v>0.34346203769845302</v>
      </c>
      <c r="J538" s="16">
        <v>0.69301910597733996</v>
      </c>
      <c r="K538" s="16">
        <v>0.70678874654042001</v>
      </c>
      <c r="L538" s="16">
        <v>0.87847613233406996</v>
      </c>
      <c r="M538" s="16">
        <v>0.50887573964497002</v>
      </c>
      <c r="N538" s="16">
        <v>0.28431372549019601</v>
      </c>
      <c r="O538" s="16">
        <v>0.76</v>
      </c>
      <c r="P538" s="17">
        <f t="shared" si="88"/>
        <v>0.30817715617815317</v>
      </c>
      <c r="Q538" s="17">
        <f t="shared" si="89"/>
        <v>0.75942799495060997</v>
      </c>
      <c r="R538" s="17">
        <f t="shared" si="90"/>
        <v>0.51772982171172199</v>
      </c>
      <c r="S538" s="17">
        <f>'02_지표정의'!$C$22*P538+'02_지표정의'!$C$23*Q538+'02_지표정의'!$C$24*R538</f>
        <v>0.58458346656250781</v>
      </c>
      <c r="T538" s="5">
        <f t="shared" si="91"/>
        <v>0</v>
      </c>
      <c r="U538" s="5" t="str">
        <f t="shared" si="92"/>
        <v>보고서</v>
      </c>
      <c r="V538" s="18">
        <f t="shared" si="93"/>
        <v>336</v>
      </c>
      <c r="W538" s="5">
        <f t="shared" si="94"/>
        <v>0</v>
      </c>
      <c r="X538" s="5">
        <f t="shared" si="95"/>
        <v>144</v>
      </c>
      <c r="Y538" s="5">
        <f t="shared" si="96"/>
        <v>254</v>
      </c>
      <c r="Z538" s="19">
        <f t="shared" si="97"/>
        <v>6</v>
      </c>
      <c r="AA538" s="20">
        <f>ABS(S538-SUMPRODUCT(('05B_가정검정'!$A$5:$A$19=B538)*('05B_가정검정'!$B$5:$B$19=C538)*'05B_가정검정'!$E$5:$E$19))</f>
        <v>5.1022721338943589E-2</v>
      </c>
      <c r="AB538" s="20">
        <f t="shared" si="98"/>
        <v>-4.6805399752378185E-2</v>
      </c>
    </row>
    <row r="539" spans="1:28">
      <c r="A539" s="15" t="s">
        <v>158</v>
      </c>
      <c r="B539" s="15" t="s">
        <v>123</v>
      </c>
      <c r="C539" s="15" t="s">
        <v>117</v>
      </c>
      <c r="D539" s="16">
        <v>0.25714285714285701</v>
      </c>
      <c r="E539" s="16">
        <v>0.37956204379561997</v>
      </c>
      <c r="F539" s="16">
        <v>0.10294117647058799</v>
      </c>
      <c r="G539" s="16">
        <v>0.27737226277372301</v>
      </c>
      <c r="H539" s="16">
        <v>0.38458776539974099</v>
      </c>
      <c r="I539" s="16">
        <v>0.30209045229886899</v>
      </c>
      <c r="J539" s="16">
        <v>0.73524847141468197</v>
      </c>
      <c r="K539" s="16">
        <v>0.68912208136497</v>
      </c>
      <c r="L539" s="16">
        <v>0.84237963307546704</v>
      </c>
      <c r="M539" s="16">
        <v>0.90654205607476601</v>
      </c>
      <c r="N539" s="16">
        <v>0.91666666666666696</v>
      </c>
      <c r="O539" s="16">
        <v>1</v>
      </c>
      <c r="P539" s="17">
        <f t="shared" si="88"/>
        <v>0.28394942631356629</v>
      </c>
      <c r="Q539" s="17">
        <f t="shared" si="89"/>
        <v>0.75558339528503959</v>
      </c>
      <c r="R539" s="17">
        <f t="shared" si="90"/>
        <v>0.94106957424714432</v>
      </c>
      <c r="S539" s="17">
        <f>'02_지표정의'!$C$22*P539+'02_지표정의'!$C$23*Q539+'02_지표정의'!$C$24*R539</f>
        <v>0.72617676412748156</v>
      </c>
      <c r="T539" s="5">
        <f t="shared" si="91"/>
        <v>0</v>
      </c>
      <c r="U539" s="5" t="str">
        <f t="shared" si="92"/>
        <v>보고서</v>
      </c>
      <c r="V539" s="18">
        <f t="shared" si="93"/>
        <v>897</v>
      </c>
      <c r="W539" s="5">
        <f t="shared" si="94"/>
        <v>603</v>
      </c>
      <c r="X539" s="5">
        <f t="shared" si="95"/>
        <v>572</v>
      </c>
      <c r="Y539" s="5">
        <f t="shared" si="96"/>
        <v>0</v>
      </c>
      <c r="Z539" s="19">
        <f t="shared" si="97"/>
        <v>53</v>
      </c>
      <c r="AA539" s="20">
        <f>ABS(S539-SUMPRODUCT(('05B_가정검정'!$A$5:$A$19=B539)*('05B_가정검정'!$B$5:$B$19=C539)*'05B_가정검정'!$E$5:$E$19))</f>
        <v>1.1253881351257822E-2</v>
      </c>
      <c r="AB539" s="20">
        <f t="shared" si="98"/>
        <v>1.8191312316238384E-2</v>
      </c>
    </row>
    <row r="540" spans="1:28">
      <c r="A540" s="15" t="s">
        <v>158</v>
      </c>
      <c r="B540" s="15" t="s">
        <v>123</v>
      </c>
      <c r="C540" s="15" t="s">
        <v>118</v>
      </c>
      <c r="D540" s="16">
        <v>0.24942263279445701</v>
      </c>
      <c r="E540" s="16">
        <v>0.29921259842519699</v>
      </c>
      <c r="F540" s="16">
        <v>0.119047619047619</v>
      </c>
      <c r="G540" s="16">
        <v>0.244094488188976</v>
      </c>
      <c r="H540" s="16">
        <v>0.22761158812275201</v>
      </c>
      <c r="I540" s="16">
        <v>0.332165442458838</v>
      </c>
      <c r="J540" s="16">
        <v>0.72989800515883296</v>
      </c>
      <c r="K540" s="16">
        <v>0.699663843678763</v>
      </c>
      <c r="L540" s="16">
        <v>0.85296134437369098</v>
      </c>
      <c r="M540" s="16">
        <v>0.274787535410765</v>
      </c>
      <c r="N540" s="16">
        <v>0.28666666666666701</v>
      </c>
      <c r="O540" s="16">
        <v>0.60526315789473695</v>
      </c>
      <c r="P540" s="17">
        <f t="shared" si="88"/>
        <v>0.2452590615063065</v>
      </c>
      <c r="Q540" s="17">
        <f t="shared" si="89"/>
        <v>0.76084106440376231</v>
      </c>
      <c r="R540" s="17">
        <f t="shared" si="90"/>
        <v>0.38890578665738967</v>
      </c>
      <c r="S540" s="17">
        <f>'02_지표정의'!$C$22*P540+'02_지표정의'!$C$23*Q540+'02_지표정의'!$C$24*R540</f>
        <v>0.52754731661304077</v>
      </c>
      <c r="T540" s="5">
        <f t="shared" si="91"/>
        <v>0</v>
      </c>
      <c r="U540" s="5" t="str">
        <f t="shared" si="92"/>
        <v>보고서</v>
      </c>
      <c r="V540" s="18">
        <f t="shared" si="93"/>
        <v>123</v>
      </c>
      <c r="W540" s="5">
        <f t="shared" si="94"/>
        <v>110</v>
      </c>
      <c r="X540" s="5">
        <f t="shared" si="95"/>
        <v>0</v>
      </c>
      <c r="Y540" s="5">
        <f t="shared" si="96"/>
        <v>111</v>
      </c>
      <c r="Z540" s="19">
        <f t="shared" si="97"/>
        <v>25</v>
      </c>
      <c r="AA540" s="20">
        <f>ABS(S540-SUMPRODUCT(('05B_가정검정'!$A$5:$A$19=B540)*('05B_가정검정'!$B$5:$B$19=C540)*'05B_가정검정'!$E$5:$E$19))</f>
        <v>4.7751510265928943E-2</v>
      </c>
      <c r="AB540" s="20">
        <f t="shared" si="98"/>
        <v>-3.2324291311450315E-2</v>
      </c>
    </row>
    <row r="541" spans="1:28">
      <c r="A541" s="15" t="s">
        <v>158</v>
      </c>
      <c r="B541" s="15" t="s">
        <v>123</v>
      </c>
      <c r="C541" s="15" t="s">
        <v>119</v>
      </c>
      <c r="D541" s="16">
        <v>0.288757396449704</v>
      </c>
      <c r="E541" s="16">
        <v>0.42639593908629397</v>
      </c>
      <c r="F541" s="16">
        <v>0.17435897435897399</v>
      </c>
      <c r="G541" s="16">
        <v>0.34517766497461899</v>
      </c>
      <c r="H541" s="16">
        <v>0.43687262635947899</v>
      </c>
      <c r="I541" s="16">
        <v>0.41550779650686398</v>
      </c>
      <c r="J541" s="16">
        <v>0.74884844875526702</v>
      </c>
      <c r="K541" s="16">
        <v>0.72622841746983802</v>
      </c>
      <c r="L541" s="16">
        <v>0.893965875914844</v>
      </c>
      <c r="M541" s="16">
        <v>0.57396449704142005</v>
      </c>
      <c r="N541" s="16">
        <v>0.53921568627451</v>
      </c>
      <c r="O541" s="16">
        <v>1</v>
      </c>
      <c r="P541" s="17">
        <f t="shared" si="88"/>
        <v>0.34784506628932227</v>
      </c>
      <c r="Q541" s="17">
        <f t="shared" si="89"/>
        <v>0.78968091404664964</v>
      </c>
      <c r="R541" s="17">
        <f t="shared" si="90"/>
        <v>0.70439339443864346</v>
      </c>
      <c r="S541" s="17">
        <f>'02_지표정의'!$C$22*P541+'02_지표정의'!$C$23*Q541+'02_지표정의'!$C$24*R541</f>
        <v>0.67146311263238201</v>
      </c>
      <c r="T541" s="5">
        <f t="shared" si="91"/>
        <v>1</v>
      </c>
      <c r="U541" s="5" t="str">
        <f t="shared" si="92"/>
        <v>보고서</v>
      </c>
      <c r="V541" s="18">
        <f t="shared" si="93"/>
        <v>724</v>
      </c>
      <c r="W541" s="5">
        <f t="shared" si="94"/>
        <v>0</v>
      </c>
      <c r="X541" s="5">
        <f t="shared" si="95"/>
        <v>403</v>
      </c>
      <c r="Y541" s="5">
        <f t="shared" si="96"/>
        <v>529</v>
      </c>
      <c r="Z541" s="19">
        <f t="shared" si="97"/>
        <v>27</v>
      </c>
      <c r="AA541" s="20">
        <f>ABS(S541-SUMPRODUCT(('05B_가정검정'!$A$5:$A$19=B541)*('05B_가정검정'!$B$5:$B$19=C541)*'05B_가정검정'!$E$5:$E$19))</f>
        <v>1.4166684691845344E-2</v>
      </c>
      <c r="AB541" s="20">
        <f t="shared" si="98"/>
        <v>-1.0955620412619771E-2</v>
      </c>
    </row>
    <row r="542" spans="1:28">
      <c r="A542" s="15" t="s">
        <v>159</v>
      </c>
      <c r="B542" s="15" t="s">
        <v>116</v>
      </c>
      <c r="C542" s="15" t="s">
        <v>117</v>
      </c>
      <c r="D542" s="16">
        <v>0.26151930261519302</v>
      </c>
      <c r="E542" s="16">
        <v>0.30281690140845102</v>
      </c>
      <c r="F542" s="16">
        <v>0.11347517730496499</v>
      </c>
      <c r="G542" s="16">
        <v>0.22535211267605601</v>
      </c>
      <c r="H542" s="16">
        <v>0.305432043207366</v>
      </c>
      <c r="I542" s="16">
        <v>0.30002785225344197</v>
      </c>
      <c r="J542" s="16">
        <v>0.64866595169794306</v>
      </c>
      <c r="K542" s="16">
        <v>0.56220072867790605</v>
      </c>
      <c r="L542" s="16">
        <v>0.76930552543910602</v>
      </c>
      <c r="M542" s="16">
        <v>0.24611398963730599</v>
      </c>
      <c r="N542" s="16">
        <v>0.107954545454545</v>
      </c>
      <c r="O542" s="16">
        <v>1</v>
      </c>
      <c r="P542" s="17">
        <f t="shared" si="88"/>
        <v>0.25143723157757886</v>
      </c>
      <c r="Q542" s="17">
        <f t="shared" si="89"/>
        <v>0.66005740193831841</v>
      </c>
      <c r="R542" s="17">
        <f t="shared" si="90"/>
        <v>0.45135617836395037</v>
      </c>
      <c r="S542" s="17">
        <f>'02_지표정의'!$C$22*P542+'02_지표정의'!$C$23*Q542+'02_지표정의'!$C$24*R542</f>
        <v>0.50528793961514173</v>
      </c>
      <c r="T542" s="5">
        <f t="shared" si="91"/>
        <v>0</v>
      </c>
      <c r="U542" s="5" t="str">
        <f t="shared" si="92"/>
        <v>보고서</v>
      </c>
      <c r="V542" s="18">
        <f t="shared" si="93"/>
        <v>57</v>
      </c>
      <c r="W542" s="5">
        <f t="shared" si="94"/>
        <v>51</v>
      </c>
      <c r="X542" s="5">
        <f t="shared" si="95"/>
        <v>13</v>
      </c>
      <c r="Y542" s="5">
        <f t="shared" si="96"/>
        <v>0</v>
      </c>
      <c r="Z542" s="19">
        <f t="shared" si="97"/>
        <v>6</v>
      </c>
      <c r="AA542" s="20">
        <f>ABS(S542-SUMPRODUCT(('05B_가정검정'!$A$5:$A$19=B542)*('05B_가정검정'!$B$5:$B$19=C542)*'05B_가정검정'!$E$5:$E$19))</f>
        <v>5.211576536982554E-2</v>
      </c>
      <c r="AB542" s="20">
        <f t="shared" si="98"/>
        <v>-4.7263225797481656E-2</v>
      </c>
    </row>
    <row r="543" spans="1:28">
      <c r="A543" s="15" t="s">
        <v>159</v>
      </c>
      <c r="B543" s="15" t="s">
        <v>116</v>
      </c>
      <c r="C543" s="15" t="s">
        <v>118</v>
      </c>
      <c r="D543" s="16">
        <v>0.34182908545727098</v>
      </c>
      <c r="E543" s="16">
        <v>0.32275132275132301</v>
      </c>
      <c r="F543" s="16">
        <v>9.0425531914893595E-2</v>
      </c>
      <c r="G543" s="16">
        <v>0.227513227513228</v>
      </c>
      <c r="H543" s="16">
        <v>0.260568104986793</v>
      </c>
      <c r="I543" s="16">
        <v>0.41024037203987301</v>
      </c>
      <c r="J543" s="16">
        <v>0.68870250648098297</v>
      </c>
      <c r="K543" s="16">
        <v>0.67426521228210201</v>
      </c>
      <c r="L543" s="16">
        <v>0.82834485665106194</v>
      </c>
      <c r="M543" s="16">
        <v>0.34313725490196101</v>
      </c>
      <c r="N543" s="16">
        <v>0</v>
      </c>
      <c r="O543" s="16">
        <v>0.69497607655502402</v>
      </c>
      <c r="P543" s="17">
        <f t="shared" si="88"/>
        <v>0.27555460744389693</v>
      </c>
      <c r="Q543" s="17">
        <f t="shared" si="89"/>
        <v>0.73043752513804894</v>
      </c>
      <c r="R543" s="17">
        <f t="shared" si="90"/>
        <v>0.34603777715232836</v>
      </c>
      <c r="S543" s="17">
        <f>'02_지표정의'!$C$22*P543+'02_지표정의'!$C$23*Q543+'02_지표정의'!$C$24*R543</f>
        <v>0.50492102980421638</v>
      </c>
      <c r="T543" s="5">
        <f t="shared" si="91"/>
        <v>0</v>
      </c>
      <c r="U543" s="5" t="str">
        <f t="shared" si="92"/>
        <v>보고서</v>
      </c>
      <c r="V543" s="18">
        <f t="shared" si="93"/>
        <v>54</v>
      </c>
      <c r="W543" s="5">
        <f t="shared" si="94"/>
        <v>48</v>
      </c>
      <c r="X543" s="5">
        <f t="shared" si="95"/>
        <v>0</v>
      </c>
      <c r="Y543" s="5">
        <f t="shared" si="96"/>
        <v>48</v>
      </c>
      <c r="Z543" s="19">
        <f t="shared" si="97"/>
        <v>24</v>
      </c>
      <c r="AA543" s="20">
        <f>ABS(S543-SUMPRODUCT(('05B_가정검정'!$A$5:$A$19=B543)*('05B_가정검정'!$B$5:$B$19=C543)*'05B_가정검정'!$E$5:$E$19))</f>
        <v>2.6371391897505259E-2</v>
      </c>
      <c r="AB543" s="20">
        <f t="shared" si="98"/>
        <v>-2.2628002574369921E-2</v>
      </c>
    </row>
    <row r="544" spans="1:28">
      <c r="A544" s="15" t="s">
        <v>159</v>
      </c>
      <c r="B544" s="15" t="s">
        <v>116</v>
      </c>
      <c r="C544" s="15" t="s">
        <v>119</v>
      </c>
      <c r="D544" s="16">
        <v>0.308965517241379</v>
      </c>
      <c r="E544" s="16">
        <v>0.42105263157894801</v>
      </c>
      <c r="F544" s="16">
        <v>0.122448979591837</v>
      </c>
      <c r="G544" s="16">
        <v>0.331983805668016</v>
      </c>
      <c r="H544" s="16">
        <v>0.36717623174653402</v>
      </c>
      <c r="I544" s="16">
        <v>0.38755269481447402</v>
      </c>
      <c r="J544" s="16">
        <v>0.67175612983497102</v>
      </c>
      <c r="K544" s="16">
        <v>0.62775147434924405</v>
      </c>
      <c r="L544" s="16">
        <v>0.823859802788937</v>
      </c>
      <c r="M544" s="16">
        <v>0.295336787564767</v>
      </c>
      <c r="N544" s="16">
        <v>0</v>
      </c>
      <c r="O544" s="16">
        <v>1</v>
      </c>
      <c r="P544" s="17">
        <f t="shared" si="88"/>
        <v>0.32319664344019799</v>
      </c>
      <c r="Q544" s="17">
        <f t="shared" si="89"/>
        <v>0.70778913565771739</v>
      </c>
      <c r="R544" s="17">
        <f t="shared" si="90"/>
        <v>0.43177892918825567</v>
      </c>
      <c r="S544" s="17">
        <f>'02_지표정의'!$C$22*P544+'02_지표정의'!$C$23*Q544+'02_지표정의'!$C$24*R544</f>
        <v>0.53426706494990195</v>
      </c>
      <c r="T544" s="5">
        <f t="shared" si="91"/>
        <v>0</v>
      </c>
      <c r="U544" s="5" t="str">
        <f t="shared" si="92"/>
        <v>보고서</v>
      </c>
      <c r="V544" s="18">
        <f t="shared" si="93"/>
        <v>150</v>
      </c>
      <c r="W544" s="5">
        <f t="shared" si="94"/>
        <v>0</v>
      </c>
      <c r="X544" s="5">
        <f t="shared" si="95"/>
        <v>30</v>
      </c>
      <c r="Y544" s="5">
        <f t="shared" si="96"/>
        <v>136</v>
      </c>
      <c r="Z544" s="19">
        <f t="shared" si="97"/>
        <v>11</v>
      </c>
      <c r="AA544" s="20">
        <f>ABS(S544-SUMPRODUCT(('05B_가정검정'!$A$5:$A$19=B544)*('05B_가정검정'!$B$5:$B$19=C544)*'05B_가정검정'!$E$5:$E$19))</f>
        <v>1.8756451792880657E-2</v>
      </c>
      <c r="AB544" s="20">
        <f t="shared" si="98"/>
        <v>-2.2185418726278106E-2</v>
      </c>
    </row>
    <row r="545" spans="1:28">
      <c r="A545" s="15" t="s">
        <v>159</v>
      </c>
      <c r="B545" s="15" t="s">
        <v>120</v>
      </c>
      <c r="C545" s="15" t="s">
        <v>117</v>
      </c>
      <c r="D545" s="16">
        <v>0.24209575429087599</v>
      </c>
      <c r="E545" s="16">
        <v>0.32380952380952399</v>
      </c>
      <c r="F545" s="16">
        <v>8.3067092651757199E-2</v>
      </c>
      <c r="G545" s="16">
        <v>0.184126984126984</v>
      </c>
      <c r="H545" s="16">
        <v>0.31985928633502497</v>
      </c>
      <c r="I545" s="16">
        <v>0.27534077870051499</v>
      </c>
      <c r="J545" s="16">
        <v>0.64256033263674395</v>
      </c>
      <c r="K545" s="16">
        <v>0.638741647042121</v>
      </c>
      <c r="L545" s="16">
        <v>0.80250750700753404</v>
      </c>
      <c r="M545" s="16">
        <v>0.56707317073170704</v>
      </c>
      <c r="N545" s="16">
        <v>0.52127659574468099</v>
      </c>
      <c r="O545" s="16">
        <v>1</v>
      </c>
      <c r="P545" s="17">
        <f t="shared" si="88"/>
        <v>0.23804990331911355</v>
      </c>
      <c r="Q545" s="17">
        <f t="shared" si="89"/>
        <v>0.6946031622287997</v>
      </c>
      <c r="R545" s="17">
        <f t="shared" si="90"/>
        <v>0.69611658882546268</v>
      </c>
      <c r="S545" s="17">
        <f>'02_지표정의'!$C$22*P545+'02_지표정의'!$C$23*Q545+'02_지표정의'!$C$24*R545</f>
        <v>0.60382220975569445</v>
      </c>
      <c r="T545" s="5">
        <f t="shared" si="91"/>
        <v>0</v>
      </c>
      <c r="U545" s="5" t="str">
        <f t="shared" si="92"/>
        <v>보고서</v>
      </c>
      <c r="V545" s="18">
        <f t="shared" si="93"/>
        <v>406</v>
      </c>
      <c r="W545" s="5">
        <f t="shared" si="94"/>
        <v>328</v>
      </c>
      <c r="X545" s="5">
        <f t="shared" si="95"/>
        <v>176</v>
      </c>
      <c r="Y545" s="5">
        <f t="shared" si="96"/>
        <v>0</v>
      </c>
      <c r="Z545" s="19">
        <f t="shared" si="97"/>
        <v>11</v>
      </c>
      <c r="AA545" s="20">
        <f>ABS(S545-SUMPRODUCT(('05B_가정검정'!$A$5:$A$19=B545)*('05B_가정검정'!$B$5:$B$19=C545)*'05B_가정검정'!$E$5:$E$19))</f>
        <v>2.4226750301426625E-2</v>
      </c>
      <c r="AB545" s="20">
        <f t="shared" si="98"/>
        <v>-2.7480493669062689E-2</v>
      </c>
    </row>
    <row r="546" spans="1:28">
      <c r="A546" s="15" t="s">
        <v>159</v>
      </c>
      <c r="B546" s="15" t="s">
        <v>120</v>
      </c>
      <c r="C546" s="15" t="s">
        <v>118</v>
      </c>
      <c r="D546" s="16">
        <v>0.28012358393408898</v>
      </c>
      <c r="E546" s="16">
        <v>0.29339853300733498</v>
      </c>
      <c r="F546" s="16">
        <v>9.8280098280098302E-2</v>
      </c>
      <c r="G546" s="16">
        <v>0.205378973105135</v>
      </c>
      <c r="H546" s="16">
        <v>0.24195314595560899</v>
      </c>
      <c r="I546" s="16">
        <v>0.30757305515053601</v>
      </c>
      <c r="J546" s="16">
        <v>0.71107688627108201</v>
      </c>
      <c r="K546" s="16">
        <v>0.683646405653903</v>
      </c>
      <c r="L546" s="16">
        <v>0.82757915090313605</v>
      </c>
      <c r="M546" s="16">
        <v>0.38725490196078399</v>
      </c>
      <c r="N546" s="16">
        <v>0.22093023255814001</v>
      </c>
      <c r="O546" s="16">
        <v>0.69497607655502402</v>
      </c>
      <c r="P546" s="17">
        <f t="shared" si="88"/>
        <v>0.23778456490546704</v>
      </c>
      <c r="Q546" s="17">
        <f t="shared" si="89"/>
        <v>0.74076748094270695</v>
      </c>
      <c r="R546" s="17">
        <f t="shared" si="90"/>
        <v>0.43438707035798263</v>
      </c>
      <c r="S546" s="17">
        <f>'02_지표정의'!$C$22*P546+'02_지표정의'!$C$23*Q546+'02_지표정의'!$C$24*R546</f>
        <v>0.53293775403060539</v>
      </c>
      <c r="T546" s="5">
        <f t="shared" si="91"/>
        <v>0</v>
      </c>
      <c r="U546" s="5" t="str">
        <f t="shared" si="92"/>
        <v>보고서</v>
      </c>
      <c r="V546" s="18">
        <f t="shared" si="93"/>
        <v>142</v>
      </c>
      <c r="W546" s="5">
        <f t="shared" si="94"/>
        <v>128</v>
      </c>
      <c r="X546" s="5">
        <f t="shared" si="95"/>
        <v>0</v>
      </c>
      <c r="Y546" s="5">
        <f t="shared" si="96"/>
        <v>128</v>
      </c>
      <c r="Z546" s="19">
        <f t="shared" si="97"/>
        <v>21</v>
      </c>
      <c r="AA546" s="20">
        <f>ABS(S546-SUMPRODUCT(('05B_가정검정'!$A$5:$A$19=B546)*('05B_가정검정'!$B$5:$B$19=C546)*'05B_가정검정'!$E$5:$E$19))</f>
        <v>5.7891094551022593E-2</v>
      </c>
      <c r="AB546" s="20">
        <f t="shared" si="98"/>
        <v>-4.1953021931505408E-2</v>
      </c>
    </row>
    <row r="547" spans="1:28">
      <c r="A547" s="15" t="s">
        <v>159</v>
      </c>
      <c r="B547" s="15" t="s">
        <v>120</v>
      </c>
      <c r="C547" s="15" t="s">
        <v>119</v>
      </c>
      <c r="D547" s="16">
        <v>0.25072886297376101</v>
      </c>
      <c r="E547" s="16">
        <v>0.41726618705036</v>
      </c>
      <c r="F547" s="16">
        <v>0.14492753623188401</v>
      </c>
      <c r="G547" s="16">
        <v>0.30215827338129497</v>
      </c>
      <c r="H547" s="16">
        <v>0.35518519229525602</v>
      </c>
      <c r="I547" s="16">
        <v>0.32466578270414098</v>
      </c>
      <c r="J547" s="16">
        <v>0.686020129670593</v>
      </c>
      <c r="K547" s="16">
        <v>0.67180864860108003</v>
      </c>
      <c r="L547" s="16">
        <v>0.84820952949625605</v>
      </c>
      <c r="M547" s="16">
        <v>0.69512195121951204</v>
      </c>
      <c r="N547" s="16">
        <v>0.73404255319148903</v>
      </c>
      <c r="O547" s="16">
        <v>1</v>
      </c>
      <c r="P547" s="17">
        <f t="shared" si="88"/>
        <v>0.29915530577278282</v>
      </c>
      <c r="Q547" s="17">
        <f t="shared" si="89"/>
        <v>0.73534610258930966</v>
      </c>
      <c r="R547" s="17">
        <f t="shared" si="90"/>
        <v>0.80972150147033373</v>
      </c>
      <c r="S547" s="17">
        <f>'02_지표정의'!$C$22*P547+'02_지표정의'!$C$23*Q547+'02_지표정의'!$C$24*R547</f>
        <v>0.67413933283436278</v>
      </c>
      <c r="T547" s="5">
        <f t="shared" si="91"/>
        <v>0</v>
      </c>
      <c r="U547" s="5" t="str">
        <f t="shared" si="92"/>
        <v>보고서</v>
      </c>
      <c r="V547" s="18">
        <f t="shared" si="93"/>
        <v>734</v>
      </c>
      <c r="W547" s="5">
        <f t="shared" si="94"/>
        <v>0</v>
      </c>
      <c r="X547" s="5">
        <f t="shared" si="95"/>
        <v>413</v>
      </c>
      <c r="Y547" s="5">
        <f t="shared" si="96"/>
        <v>534</v>
      </c>
      <c r="Z547" s="19">
        <f t="shared" si="97"/>
        <v>41</v>
      </c>
      <c r="AA547" s="20">
        <f>ABS(S547-SUMPRODUCT(('05B_가정검정'!$A$5:$A$19=B547)*('05B_가정검정'!$B$5:$B$19=C547)*'05B_가정검정'!$E$5:$E$19))</f>
        <v>1.04620163529765E-2</v>
      </c>
      <c r="AB547" s="20">
        <f t="shared" si="98"/>
        <v>1.5716325323547164E-2</v>
      </c>
    </row>
    <row r="548" spans="1:28">
      <c r="A548" s="15" t="s">
        <v>159</v>
      </c>
      <c r="B548" s="15" t="s">
        <v>121</v>
      </c>
      <c r="C548" s="15" t="s">
        <v>117</v>
      </c>
      <c r="D548" s="16">
        <v>0.233796296296296</v>
      </c>
      <c r="E548" s="16">
        <v>0.33064516129032301</v>
      </c>
      <c r="F548" s="16">
        <v>0.113821138211382</v>
      </c>
      <c r="G548" s="16">
        <v>0.225806451612903</v>
      </c>
      <c r="H548" s="16">
        <v>0.25748237548060998</v>
      </c>
      <c r="I548" s="16">
        <v>0.28089270035573499</v>
      </c>
      <c r="J548" s="16">
        <v>0.72240988097734404</v>
      </c>
      <c r="K548" s="16">
        <v>0.79682522059306304</v>
      </c>
      <c r="L548" s="16">
        <v>0.90866041503814099</v>
      </c>
      <c r="M548" s="16">
        <v>0.90654205607476601</v>
      </c>
      <c r="N548" s="16">
        <v>0.91666666666666696</v>
      </c>
      <c r="O548" s="16">
        <v>1</v>
      </c>
      <c r="P548" s="17">
        <f t="shared" si="88"/>
        <v>0.24040735387454149</v>
      </c>
      <c r="Q548" s="17">
        <f t="shared" si="89"/>
        <v>0.80929850553618277</v>
      </c>
      <c r="R548" s="17">
        <f t="shared" si="90"/>
        <v>0.94106957424714432</v>
      </c>
      <c r="S548" s="17">
        <f>'02_지표정의'!$C$22*P548+'02_지표정의'!$C$23*Q548+'02_지표정의'!$C$24*R548</f>
        <v>0.74164014925269106</v>
      </c>
      <c r="T548" s="5">
        <f t="shared" si="91"/>
        <v>1</v>
      </c>
      <c r="U548" s="5" t="str">
        <f t="shared" si="92"/>
        <v>보고서</v>
      </c>
      <c r="V548" s="18">
        <f t="shared" si="93"/>
        <v>930</v>
      </c>
      <c r="W548" s="5">
        <f t="shared" si="94"/>
        <v>631</v>
      </c>
      <c r="X548" s="5">
        <f t="shared" si="95"/>
        <v>605</v>
      </c>
      <c r="Y548" s="5">
        <f t="shared" si="96"/>
        <v>0</v>
      </c>
      <c r="Z548" s="19">
        <f t="shared" si="97"/>
        <v>50</v>
      </c>
      <c r="AA548" s="20">
        <f>ABS(S548-SUMPRODUCT(('05B_가정검정'!$A$5:$A$19=B548)*('05B_가정검정'!$B$5:$B$19=C548)*'05B_가정검정'!$E$5:$E$19))</f>
        <v>1.2208077870809908E-2</v>
      </c>
      <c r="AB548" s="20">
        <f t="shared" si="98"/>
        <v>2.39883561798101E-2</v>
      </c>
    </row>
    <row r="549" spans="1:28">
      <c r="A549" s="15" t="s">
        <v>159</v>
      </c>
      <c r="B549" s="15" t="s">
        <v>121</v>
      </c>
      <c r="C549" s="15" t="s">
        <v>118</v>
      </c>
      <c r="D549" s="16">
        <v>0.28296703296703302</v>
      </c>
      <c r="E549" s="16">
        <v>0.251461988304094</v>
      </c>
      <c r="F549" s="16">
        <v>0.1</v>
      </c>
      <c r="G549" s="16">
        <v>0.19298245614035101</v>
      </c>
      <c r="H549" s="16">
        <v>0.182542056344839</v>
      </c>
      <c r="I549" s="16">
        <v>0.32010631870983802</v>
      </c>
      <c r="J549" s="16">
        <v>0.76103964448500705</v>
      </c>
      <c r="K549" s="16">
        <v>0.78837428779739105</v>
      </c>
      <c r="L549" s="16">
        <v>0.91095365991323896</v>
      </c>
      <c r="M549" s="16">
        <v>0.23774509803921601</v>
      </c>
      <c r="N549" s="16">
        <v>0.21511627906976799</v>
      </c>
      <c r="O549" s="16">
        <v>0.66124401913875597</v>
      </c>
      <c r="P549" s="17">
        <f t="shared" si="88"/>
        <v>0.22167664207769253</v>
      </c>
      <c r="Q549" s="17">
        <f t="shared" si="89"/>
        <v>0.82012253073187902</v>
      </c>
      <c r="R549" s="17">
        <f t="shared" si="90"/>
        <v>0.37136846541591328</v>
      </c>
      <c r="S549" s="17">
        <f>'02_지표정의'!$C$22*P549+'02_지표정의'!$C$23*Q549+'02_지표정의'!$C$24*R549</f>
        <v>0.54336943014045369</v>
      </c>
      <c r="T549" s="5">
        <f t="shared" si="91"/>
        <v>0</v>
      </c>
      <c r="U549" s="5" t="str">
        <f t="shared" si="92"/>
        <v>보고서</v>
      </c>
      <c r="V549" s="18">
        <f t="shared" si="93"/>
        <v>180</v>
      </c>
      <c r="W549" s="5">
        <f t="shared" si="94"/>
        <v>153</v>
      </c>
      <c r="X549" s="5">
        <f t="shared" si="95"/>
        <v>0</v>
      </c>
      <c r="Y549" s="5">
        <f t="shared" si="96"/>
        <v>160</v>
      </c>
      <c r="Z549" s="19">
        <f t="shared" si="97"/>
        <v>22</v>
      </c>
      <c r="AA549" s="20">
        <f>ABS(S549-SUMPRODUCT(('05B_가정검정'!$A$5:$A$19=B549)*('05B_가정검정'!$B$5:$B$19=C549)*'05B_가정검정'!$E$5:$E$19))</f>
        <v>5.521006002651474E-2</v>
      </c>
      <c r="AB549" s="20">
        <f t="shared" si="98"/>
        <v>-3.6029644386359583E-2</v>
      </c>
    </row>
    <row r="550" spans="1:28">
      <c r="A550" s="15" t="s">
        <v>159</v>
      </c>
      <c r="B550" s="15" t="s">
        <v>121</v>
      </c>
      <c r="C550" s="15" t="s">
        <v>119</v>
      </c>
      <c r="D550" s="16">
        <v>0.24173027989821899</v>
      </c>
      <c r="E550" s="16">
        <v>0.38862559241706202</v>
      </c>
      <c r="F550" s="16">
        <v>0.105263157894737</v>
      </c>
      <c r="G550" s="16">
        <v>0.255924170616114</v>
      </c>
      <c r="H550" s="16">
        <v>0.282473694899677</v>
      </c>
      <c r="I550" s="16">
        <v>0.30639493502609799</v>
      </c>
      <c r="J550" s="16">
        <v>0.76192224517708096</v>
      </c>
      <c r="K550" s="16">
        <v>0.75212215411872396</v>
      </c>
      <c r="L550" s="16">
        <v>0.88846581636772404</v>
      </c>
      <c r="M550" s="16">
        <v>0.70289855072463803</v>
      </c>
      <c r="N550" s="16">
        <v>0.67901234567901203</v>
      </c>
      <c r="O550" s="16">
        <v>1</v>
      </c>
      <c r="P550" s="17">
        <f t="shared" si="88"/>
        <v>0.26340197179198449</v>
      </c>
      <c r="Q550" s="17">
        <f t="shared" si="89"/>
        <v>0.80083673855450976</v>
      </c>
      <c r="R550" s="17">
        <f t="shared" si="90"/>
        <v>0.79397029880121661</v>
      </c>
      <c r="S550" s="17">
        <f>'02_지표정의'!$C$22*P550+'02_지표정의'!$C$23*Q550+'02_지표정의'!$C$24*R550</f>
        <v>0.69094653128835204</v>
      </c>
      <c r="T550" s="5">
        <f t="shared" si="91"/>
        <v>0</v>
      </c>
      <c r="U550" s="5" t="str">
        <f t="shared" si="92"/>
        <v>보고서</v>
      </c>
      <c r="V550" s="18">
        <f t="shared" si="93"/>
        <v>790</v>
      </c>
      <c r="W550" s="5">
        <f t="shared" si="94"/>
        <v>0</v>
      </c>
      <c r="X550" s="5">
        <f t="shared" si="95"/>
        <v>465</v>
      </c>
      <c r="Y550" s="5">
        <f t="shared" si="96"/>
        <v>571</v>
      </c>
      <c r="Z550" s="19">
        <f t="shared" si="97"/>
        <v>32</v>
      </c>
      <c r="AA550" s="20">
        <f>ABS(S550-SUMPRODUCT(('05B_가정검정'!$A$5:$A$19=B550)*('05B_가정검정'!$B$5:$B$19=C550)*'05B_가정검정'!$E$5:$E$19))</f>
        <v>1.37331150750164E-3</v>
      </c>
      <c r="AB550" s="20">
        <f t="shared" si="98"/>
        <v>2.7095558687409982E-3</v>
      </c>
    </row>
    <row r="551" spans="1:28">
      <c r="A551" s="15" t="s">
        <v>159</v>
      </c>
      <c r="B551" s="15" t="s">
        <v>122</v>
      </c>
      <c r="C551" s="15" t="s">
        <v>117</v>
      </c>
      <c r="D551" s="16">
        <v>0.27884615384615402</v>
      </c>
      <c r="E551" s="16">
        <v>0.329113924050633</v>
      </c>
      <c r="F551" s="16">
        <v>0.11914893617021299</v>
      </c>
      <c r="G551" s="16">
        <v>0.227848101265823</v>
      </c>
      <c r="H551" s="16">
        <v>0.27982925293858002</v>
      </c>
      <c r="I551" s="16">
        <v>0.214787599618495</v>
      </c>
      <c r="J551" s="16">
        <v>0.70048762184507296</v>
      </c>
      <c r="K551" s="16">
        <v>0.65597075892296597</v>
      </c>
      <c r="L551" s="16">
        <v>0.77821710776429098</v>
      </c>
      <c r="M551" s="16">
        <v>0.65925925925925899</v>
      </c>
      <c r="N551" s="16">
        <v>0.66216216216216195</v>
      </c>
      <c r="O551" s="16">
        <v>1</v>
      </c>
      <c r="P551" s="17">
        <f t="shared" si="88"/>
        <v>0.241595661314983</v>
      </c>
      <c r="Q551" s="17">
        <f t="shared" si="89"/>
        <v>0.71155849617744327</v>
      </c>
      <c r="R551" s="17">
        <f t="shared" si="90"/>
        <v>0.77380714047380694</v>
      </c>
      <c r="S551" s="17">
        <f>'02_지표정의'!$C$22*P551+'02_지표정의'!$C$23*Q551+'02_지표정의'!$C$24*R551</f>
        <v>0.63935295470867848</v>
      </c>
      <c r="T551" s="5">
        <f t="shared" si="91"/>
        <v>0</v>
      </c>
      <c r="U551" s="5" t="str">
        <f t="shared" si="92"/>
        <v>보고서</v>
      </c>
      <c r="V551" s="18">
        <f t="shared" si="93"/>
        <v>571</v>
      </c>
      <c r="W551" s="5">
        <f t="shared" si="94"/>
        <v>445</v>
      </c>
      <c r="X551" s="5">
        <f t="shared" si="95"/>
        <v>267</v>
      </c>
      <c r="Y551" s="5">
        <f t="shared" si="96"/>
        <v>0</v>
      </c>
      <c r="Z551" s="19">
        <f t="shared" si="97"/>
        <v>33</v>
      </c>
      <c r="AA551" s="20">
        <f>ABS(S551-SUMPRODUCT(('05B_가정검정'!$A$5:$A$19=B551)*('05B_가정검정'!$B$5:$B$19=C551)*'05B_가정검정'!$E$5:$E$19))</f>
        <v>0</v>
      </c>
      <c r="AB551" s="20">
        <f t="shared" si="98"/>
        <v>1.6471332519032322E-2</v>
      </c>
    </row>
    <row r="552" spans="1:28">
      <c r="A552" s="15" t="s">
        <v>159</v>
      </c>
      <c r="B552" s="15" t="s">
        <v>122</v>
      </c>
      <c r="C552" s="15" t="s">
        <v>118</v>
      </c>
      <c r="D552" s="16">
        <v>0.359195402298851</v>
      </c>
      <c r="E552" s="16">
        <v>0.29003021148036301</v>
      </c>
      <c r="F552" s="16">
        <v>0.151975683890578</v>
      </c>
      <c r="G552" s="16">
        <v>0.22356495468278001</v>
      </c>
      <c r="H552" s="16">
        <v>0.20930629196967901</v>
      </c>
      <c r="I552" s="16">
        <v>0.39342786778080902</v>
      </c>
      <c r="J552" s="16">
        <v>0.70071691647993595</v>
      </c>
      <c r="K552" s="16">
        <v>0.69298253615320005</v>
      </c>
      <c r="L552" s="16">
        <v>0.799323443761911</v>
      </c>
      <c r="M552" s="16">
        <v>0.31372549019607798</v>
      </c>
      <c r="N552" s="16">
        <v>0.19186046511627899</v>
      </c>
      <c r="O552" s="16">
        <v>0.66124401913875597</v>
      </c>
      <c r="P552" s="17">
        <f t="shared" si="88"/>
        <v>0.27125006868384333</v>
      </c>
      <c r="Q552" s="17">
        <f t="shared" si="89"/>
        <v>0.73100763213168241</v>
      </c>
      <c r="R552" s="17">
        <f t="shared" si="90"/>
        <v>0.38894332481703769</v>
      </c>
      <c r="S552" s="17">
        <f>'02_지표정의'!$C$22*P552+'02_지표정의'!$C$23*Q552+'02_지표정의'!$C$24*R552</f>
        <v>0.5193336118819889</v>
      </c>
      <c r="T552" s="5">
        <f t="shared" si="91"/>
        <v>1</v>
      </c>
      <c r="U552" s="5" t="str">
        <f t="shared" si="92"/>
        <v>보고서</v>
      </c>
      <c r="V552" s="18">
        <f t="shared" si="93"/>
        <v>91</v>
      </c>
      <c r="W552" s="5">
        <f t="shared" si="94"/>
        <v>82</v>
      </c>
      <c r="X552" s="5">
        <f t="shared" si="95"/>
        <v>0</v>
      </c>
      <c r="Y552" s="5">
        <f t="shared" si="96"/>
        <v>83</v>
      </c>
      <c r="Z552" s="19">
        <f t="shared" si="97"/>
        <v>8</v>
      </c>
      <c r="AA552" s="20">
        <f>ABS(S552-SUMPRODUCT(('05B_가정검정'!$A$5:$A$19=B552)*('05B_가정검정'!$B$5:$B$19=C552)*'05B_가정검정'!$E$5:$E$19))</f>
        <v>6.7588324115169351E-2</v>
      </c>
      <c r="AB552" s="20">
        <f t="shared" si="98"/>
        <v>-6.1889664335694872E-2</v>
      </c>
    </row>
    <row r="553" spans="1:28">
      <c r="A553" s="15" t="s">
        <v>159</v>
      </c>
      <c r="B553" s="15" t="s">
        <v>122</v>
      </c>
      <c r="C553" s="15" t="s">
        <v>119</v>
      </c>
      <c r="D553" s="16">
        <v>0.29708222811671098</v>
      </c>
      <c r="E553" s="16">
        <v>0.43</v>
      </c>
      <c r="F553" s="16">
        <v>0.15151515151515199</v>
      </c>
      <c r="G553" s="16">
        <v>0.3</v>
      </c>
      <c r="H553" s="16">
        <v>0.31459165326896599</v>
      </c>
      <c r="I553" s="16">
        <v>0.32421952431613099</v>
      </c>
      <c r="J553" s="16">
        <v>0.70683391147177199</v>
      </c>
      <c r="K553" s="16">
        <v>0.70580611746433997</v>
      </c>
      <c r="L553" s="16">
        <v>0.85049175108058195</v>
      </c>
      <c r="M553" s="16">
        <v>0.55797101449275399</v>
      </c>
      <c r="N553" s="16">
        <v>0.43209876543209902</v>
      </c>
      <c r="O553" s="16">
        <v>1</v>
      </c>
      <c r="P553" s="17">
        <f t="shared" si="88"/>
        <v>0.30290142620282662</v>
      </c>
      <c r="Q553" s="17">
        <f t="shared" si="89"/>
        <v>0.7543772600055646</v>
      </c>
      <c r="R553" s="17">
        <f t="shared" si="90"/>
        <v>0.66335659330828434</v>
      </c>
      <c r="S553" s="17">
        <f>'02_지표정의'!$C$22*P553+'02_지표정의'!$C$23*Q553+'02_지표정의'!$C$24*R553</f>
        <v>0.63222485990096899</v>
      </c>
      <c r="T553" s="5">
        <f t="shared" si="91"/>
        <v>0</v>
      </c>
      <c r="U553" s="5" t="str">
        <f t="shared" si="92"/>
        <v>보고서</v>
      </c>
      <c r="V553" s="18">
        <f t="shared" si="93"/>
        <v>540</v>
      </c>
      <c r="W553" s="5">
        <f t="shared" si="94"/>
        <v>0</v>
      </c>
      <c r="X553" s="5">
        <f t="shared" si="95"/>
        <v>243</v>
      </c>
      <c r="Y553" s="5">
        <f t="shared" si="96"/>
        <v>407</v>
      </c>
      <c r="Z553" s="19">
        <f t="shared" si="97"/>
        <v>27</v>
      </c>
      <c r="AA553" s="20">
        <f>ABS(S553-SUMPRODUCT(('05B_가정검정'!$A$5:$A$19=B553)*('05B_가정검정'!$B$5:$B$19=C553)*'05B_가정검정'!$E$5:$E$19))</f>
        <v>3.3813280004824087E-3</v>
      </c>
      <c r="AB553" s="20">
        <f t="shared" si="98"/>
        <v>8.3599358608299479E-4</v>
      </c>
    </row>
    <row r="554" spans="1:28">
      <c r="A554" s="15" t="s">
        <v>159</v>
      </c>
      <c r="B554" s="15" t="s">
        <v>123</v>
      </c>
      <c r="C554" s="15" t="s">
        <v>117</v>
      </c>
      <c r="D554" s="16">
        <v>0.25971370143149303</v>
      </c>
      <c r="E554" s="16">
        <v>0.37313432835820898</v>
      </c>
      <c r="F554" s="16">
        <v>0.105263157894737</v>
      </c>
      <c r="G554" s="16">
        <v>0.22388059701492499</v>
      </c>
      <c r="H554" s="16">
        <v>0.37654354922938499</v>
      </c>
      <c r="I554" s="16">
        <v>0.32830243098022599</v>
      </c>
      <c r="J554" s="16">
        <v>0.72318778804790795</v>
      </c>
      <c r="K554" s="16">
        <v>0.66163406517599999</v>
      </c>
      <c r="L554" s="16">
        <v>0.82761643215476599</v>
      </c>
      <c r="M554" s="16">
        <v>0.90654205607476601</v>
      </c>
      <c r="N554" s="16">
        <v>0.91666666666666696</v>
      </c>
      <c r="O554" s="16">
        <v>1</v>
      </c>
      <c r="P554" s="17">
        <f t="shared" si="88"/>
        <v>0.27780629415149588</v>
      </c>
      <c r="Q554" s="17">
        <f t="shared" si="89"/>
        <v>0.73747942845955805</v>
      </c>
      <c r="R554" s="17">
        <f t="shared" si="90"/>
        <v>0.94106957424714432</v>
      </c>
      <c r="S554" s="17">
        <f>'02_지표정의'!$C$22*P554+'02_지표정의'!$C$23*Q554+'02_지표정의'!$C$24*R554</f>
        <v>0.71680135262360078</v>
      </c>
      <c r="T554" s="5">
        <f t="shared" si="91"/>
        <v>0</v>
      </c>
      <c r="U554" s="5" t="str">
        <f t="shared" si="92"/>
        <v>보고서</v>
      </c>
      <c r="V554" s="18">
        <f t="shared" si="93"/>
        <v>866</v>
      </c>
      <c r="W554" s="5">
        <f t="shared" si="94"/>
        <v>576</v>
      </c>
      <c r="X554" s="5">
        <f t="shared" si="95"/>
        <v>541</v>
      </c>
      <c r="Y554" s="5">
        <f t="shared" si="96"/>
        <v>0</v>
      </c>
      <c r="Z554" s="19">
        <f t="shared" si="97"/>
        <v>35</v>
      </c>
      <c r="AA554" s="20">
        <f>ABS(S554-SUMPRODUCT(('05B_가정검정'!$A$5:$A$19=B554)*('05B_가정검정'!$B$5:$B$19=C554)*'05B_가정검정'!$E$5:$E$19))</f>
        <v>1.8784698473770511E-3</v>
      </c>
      <c r="AB554" s="20">
        <f t="shared" si="98"/>
        <v>8.8159008123576132E-3</v>
      </c>
    </row>
    <row r="555" spans="1:28">
      <c r="A555" s="15" t="s">
        <v>159</v>
      </c>
      <c r="B555" s="15" t="s">
        <v>123</v>
      </c>
      <c r="C555" s="15" t="s">
        <v>118</v>
      </c>
      <c r="D555" s="16">
        <v>0.26128266033254199</v>
      </c>
      <c r="E555" s="16">
        <v>0.287292817679558</v>
      </c>
      <c r="F555" s="16">
        <v>0.11111111111111099</v>
      </c>
      <c r="G555" s="16">
        <v>0.20994475138121599</v>
      </c>
      <c r="H555" s="16">
        <v>0.21770050819155101</v>
      </c>
      <c r="I555" s="16">
        <v>0.290490370541581</v>
      </c>
      <c r="J555" s="16">
        <v>0.72145152264001</v>
      </c>
      <c r="K555" s="16">
        <v>0.69416111696191996</v>
      </c>
      <c r="L555" s="16">
        <v>0.83254074132039002</v>
      </c>
      <c r="M555" s="16">
        <v>0.23774509803921601</v>
      </c>
      <c r="N555" s="16">
        <v>0.21511627906976799</v>
      </c>
      <c r="O555" s="16">
        <v>0.66124401913875597</v>
      </c>
      <c r="P555" s="17">
        <f t="shared" si="88"/>
        <v>0.22963703653959314</v>
      </c>
      <c r="Q555" s="17">
        <f t="shared" si="89"/>
        <v>0.74938446030743988</v>
      </c>
      <c r="R555" s="17">
        <f t="shared" si="90"/>
        <v>0.37136846541591328</v>
      </c>
      <c r="S555" s="17">
        <f>'02_지표정의'!$C$22*P555+'02_지표정의'!$C$23*Q555+'02_지표정의'!$C$24*R555</f>
        <v>0.51312937734183617</v>
      </c>
      <c r="T555" s="5">
        <f t="shared" si="91"/>
        <v>0</v>
      </c>
      <c r="U555" s="5" t="str">
        <f t="shared" si="92"/>
        <v>보고서</v>
      </c>
      <c r="V555" s="18">
        <f t="shared" si="93"/>
        <v>75</v>
      </c>
      <c r="W555" s="5">
        <f t="shared" si="94"/>
        <v>67</v>
      </c>
      <c r="X555" s="5">
        <f t="shared" si="95"/>
        <v>0</v>
      </c>
      <c r="Y555" s="5">
        <f t="shared" si="96"/>
        <v>68</v>
      </c>
      <c r="Z555" s="19">
        <f t="shared" si="97"/>
        <v>17</v>
      </c>
      <c r="AA555" s="20">
        <f>ABS(S555-SUMPRODUCT(('05B_가정검정'!$A$5:$A$19=B555)*('05B_가정검정'!$B$5:$B$19=C555)*'05B_가정검정'!$E$5:$E$19))</f>
        <v>6.2169449537133548E-2</v>
      </c>
      <c r="AB555" s="20">
        <f t="shared" si="98"/>
        <v>-4.674223058265492E-2</v>
      </c>
    </row>
    <row r="556" spans="1:28">
      <c r="A556" s="15" t="s">
        <v>159</v>
      </c>
      <c r="B556" s="15" t="s">
        <v>123</v>
      </c>
      <c r="C556" s="15" t="s">
        <v>119</v>
      </c>
      <c r="D556" s="16">
        <v>0.28222222222222199</v>
      </c>
      <c r="E556" s="16">
        <v>0.40692640692640702</v>
      </c>
      <c r="F556" s="16">
        <v>0.16593886462882099</v>
      </c>
      <c r="G556" s="16">
        <v>0.30303030303030298</v>
      </c>
      <c r="H556" s="16">
        <v>0.414066372883097</v>
      </c>
      <c r="I556" s="16">
        <v>0.42738539399165698</v>
      </c>
      <c r="J556" s="16">
        <v>0.73649862924081699</v>
      </c>
      <c r="K556" s="16">
        <v>0.72947156218930898</v>
      </c>
      <c r="L556" s="16">
        <v>0.87979225789822901</v>
      </c>
      <c r="M556" s="16">
        <v>0.70289855072463803</v>
      </c>
      <c r="N556" s="16">
        <v>0.67901234567901203</v>
      </c>
      <c r="O556" s="16">
        <v>1</v>
      </c>
      <c r="P556" s="17">
        <f t="shared" si="88"/>
        <v>0.33326159394708449</v>
      </c>
      <c r="Q556" s="17">
        <f t="shared" si="89"/>
        <v>0.78192081644278499</v>
      </c>
      <c r="R556" s="17">
        <f t="shared" si="90"/>
        <v>0.79397029880121661</v>
      </c>
      <c r="S556" s="17">
        <f>'02_지표정의'!$C$22*P556+'02_지표정의'!$C$23*Q556+'02_지표정의'!$C$24*R556</f>
        <v>0.69640629076909599</v>
      </c>
      <c r="T556" s="5">
        <f t="shared" si="91"/>
        <v>1</v>
      </c>
      <c r="U556" s="5" t="str">
        <f t="shared" si="92"/>
        <v>보고서</v>
      </c>
      <c r="V556" s="18">
        <f t="shared" si="93"/>
        <v>813</v>
      </c>
      <c r="W556" s="5">
        <f t="shared" si="94"/>
        <v>0</v>
      </c>
      <c r="X556" s="5">
        <f t="shared" si="95"/>
        <v>488</v>
      </c>
      <c r="Y556" s="5">
        <f t="shared" si="96"/>
        <v>586</v>
      </c>
      <c r="Z556" s="19">
        <f t="shared" si="97"/>
        <v>42</v>
      </c>
      <c r="AA556" s="20">
        <f>ABS(S556-SUMPRODUCT(('05B_가정검정'!$A$5:$A$19=B556)*('05B_가정검정'!$B$5:$B$19=C556)*'05B_가정검정'!$E$5:$E$19))</f>
        <v>1.077649344486864E-2</v>
      </c>
      <c r="AB556" s="20">
        <f t="shared" si="98"/>
        <v>1.3987557724094213E-2</v>
      </c>
    </row>
    <row r="557" spans="1:28">
      <c r="A557" s="15" t="s">
        <v>160</v>
      </c>
      <c r="B557" s="15" t="s">
        <v>116</v>
      </c>
      <c r="C557" s="15" t="s">
        <v>117</v>
      </c>
      <c r="D557" s="16">
        <v>0.249211356466877</v>
      </c>
      <c r="E557" s="16">
        <v>0.33333333333333298</v>
      </c>
      <c r="F557" s="16">
        <v>0.11224489795918401</v>
      </c>
      <c r="G557" s="16">
        <v>0.26262626262626299</v>
      </c>
      <c r="H557" s="16">
        <v>0.22996466111939401</v>
      </c>
      <c r="I557" s="16">
        <v>0.25721856639326901</v>
      </c>
      <c r="J557" s="16">
        <v>0.67581059227578899</v>
      </c>
      <c r="K557" s="16">
        <v>0.63583134189929602</v>
      </c>
      <c r="L557" s="16">
        <v>0.75806212137906803</v>
      </c>
      <c r="M557" s="16">
        <v>0.51515151515151503</v>
      </c>
      <c r="N557" s="16">
        <v>0.213483146067416</v>
      </c>
      <c r="O557" s="16">
        <v>1</v>
      </c>
      <c r="P557" s="17">
        <f t="shared" si="88"/>
        <v>0.24076651298305332</v>
      </c>
      <c r="Q557" s="17">
        <f t="shared" si="89"/>
        <v>0.68990135185138435</v>
      </c>
      <c r="R557" s="17">
        <f t="shared" si="90"/>
        <v>0.57621155373964372</v>
      </c>
      <c r="S557" s="17">
        <f>'02_지표정의'!$C$22*P557+'02_지표정의'!$C$23*Q557+'02_지표정의'!$C$24*R557</f>
        <v>0.5602829547386089</v>
      </c>
      <c r="T557" s="5">
        <f t="shared" si="91"/>
        <v>0</v>
      </c>
      <c r="U557" s="5" t="str">
        <f t="shared" si="92"/>
        <v>보고서</v>
      </c>
      <c r="V557" s="18">
        <f t="shared" si="93"/>
        <v>253</v>
      </c>
      <c r="W557" s="5">
        <f t="shared" si="94"/>
        <v>207</v>
      </c>
      <c r="X557" s="5">
        <f t="shared" si="95"/>
        <v>92</v>
      </c>
      <c r="Y557" s="5">
        <f t="shared" si="96"/>
        <v>0</v>
      </c>
      <c r="Z557" s="19">
        <f t="shared" si="97"/>
        <v>37</v>
      </c>
      <c r="AA557" s="20">
        <f>ABS(S557-SUMPRODUCT(('05B_가정검정'!$A$5:$A$19=B557)*('05B_가정검정'!$B$5:$B$19=C557)*'05B_가정검정'!$E$5:$E$19))</f>
        <v>2.8792497536416217E-3</v>
      </c>
      <c r="AB557" s="20">
        <f t="shared" si="98"/>
        <v>7.7317893259855053E-3</v>
      </c>
    </row>
    <row r="558" spans="1:28">
      <c r="A558" s="15" t="s">
        <v>160</v>
      </c>
      <c r="B558" s="15" t="s">
        <v>116</v>
      </c>
      <c r="C558" s="15" t="s">
        <v>118</v>
      </c>
      <c r="D558" s="16">
        <v>0.27669172932330799</v>
      </c>
      <c r="E558" s="16">
        <v>0.22222222222222199</v>
      </c>
      <c r="F558" s="16">
        <v>8.1355932203389797E-2</v>
      </c>
      <c r="G558" s="16">
        <v>0.17508417508417501</v>
      </c>
      <c r="H558" s="16">
        <v>0.12965905281527501</v>
      </c>
      <c r="I558" s="16">
        <v>0.33439827011446799</v>
      </c>
      <c r="J558" s="16">
        <v>0.64574866800583897</v>
      </c>
      <c r="K558" s="16">
        <v>0.70328762357892805</v>
      </c>
      <c r="L558" s="16">
        <v>0.77662747563739398</v>
      </c>
      <c r="M558" s="16">
        <v>0.35362997658079598</v>
      </c>
      <c r="N558" s="16">
        <v>0.154255319148936</v>
      </c>
      <c r="O558" s="16">
        <v>0.60526315789473695</v>
      </c>
      <c r="P558" s="17">
        <f t="shared" si="88"/>
        <v>0.2032352302938063</v>
      </c>
      <c r="Q558" s="17">
        <f t="shared" si="89"/>
        <v>0.70855458907405355</v>
      </c>
      <c r="R558" s="17">
        <f t="shared" si="90"/>
        <v>0.37104948454148962</v>
      </c>
      <c r="S558" s="17">
        <f>'02_지표정의'!$C$22*P558+'02_지표정의'!$C$23*Q558+'02_지표정의'!$C$24*R558</f>
        <v>0.48936393073160678</v>
      </c>
      <c r="T558" s="5">
        <f t="shared" si="91"/>
        <v>0</v>
      </c>
      <c r="U558" s="5" t="str">
        <f t="shared" si="92"/>
        <v>보고서</v>
      </c>
      <c r="V558" s="18">
        <f t="shared" si="93"/>
        <v>31</v>
      </c>
      <c r="W558" s="5">
        <f t="shared" si="94"/>
        <v>25</v>
      </c>
      <c r="X558" s="5">
        <f t="shared" si="95"/>
        <v>0</v>
      </c>
      <c r="Y558" s="5">
        <f t="shared" si="96"/>
        <v>29</v>
      </c>
      <c r="Z558" s="19">
        <f t="shared" si="97"/>
        <v>17</v>
      </c>
      <c r="AA558" s="20">
        <f>ABS(S558-SUMPRODUCT(('05B_가정검정'!$A$5:$A$19=B558)*('05B_가정검정'!$B$5:$B$19=C558)*'05B_가정검정'!$E$5:$E$19))</f>
        <v>4.1928490970114862E-2</v>
      </c>
      <c r="AB558" s="20">
        <f t="shared" si="98"/>
        <v>-3.8185101646979525E-2</v>
      </c>
    </row>
    <row r="559" spans="1:28">
      <c r="A559" s="15" t="s">
        <v>160</v>
      </c>
      <c r="B559" s="15" t="s">
        <v>116</v>
      </c>
      <c r="C559" s="15" t="s">
        <v>119</v>
      </c>
      <c r="D559" s="16">
        <v>0.234398782343988</v>
      </c>
      <c r="E559" s="16">
        <v>0.334728033472803</v>
      </c>
      <c r="F559" s="16">
        <v>0.16033755274261599</v>
      </c>
      <c r="G559" s="16">
        <v>0.25941422594142299</v>
      </c>
      <c r="H559" s="16">
        <v>0.21781549833799499</v>
      </c>
      <c r="I559" s="16">
        <v>0.27753920513508601</v>
      </c>
      <c r="J559" s="16">
        <v>0.61340516289638403</v>
      </c>
      <c r="K559" s="16">
        <v>0.61042229446440099</v>
      </c>
      <c r="L559" s="16">
        <v>0.75854270552504099</v>
      </c>
      <c r="M559" s="16">
        <v>0.51515151515151503</v>
      </c>
      <c r="N559" s="16">
        <v>0.213483146067416</v>
      </c>
      <c r="O559" s="16">
        <v>1</v>
      </c>
      <c r="P559" s="17">
        <f t="shared" si="88"/>
        <v>0.24737221632898518</v>
      </c>
      <c r="Q559" s="17">
        <f t="shared" si="89"/>
        <v>0.66079005429527538</v>
      </c>
      <c r="R559" s="17">
        <f t="shared" si="90"/>
        <v>0.57621155373964372</v>
      </c>
      <c r="S559" s="17">
        <f>'02_지표정의'!$C$22*P559+'02_지표정의'!$C$23*Q559+'02_지표정의'!$C$24*R559</f>
        <v>0.54850401150754624</v>
      </c>
      <c r="T559" s="5">
        <f t="shared" si="91"/>
        <v>0</v>
      </c>
      <c r="U559" s="5" t="str">
        <f t="shared" si="92"/>
        <v>보고서</v>
      </c>
      <c r="V559" s="18">
        <f t="shared" si="93"/>
        <v>198</v>
      </c>
      <c r="W559" s="5">
        <f t="shared" si="94"/>
        <v>0</v>
      </c>
      <c r="X559" s="5">
        <f t="shared" si="95"/>
        <v>62</v>
      </c>
      <c r="Y559" s="5">
        <f t="shared" si="96"/>
        <v>172</v>
      </c>
      <c r="Z559" s="19">
        <f t="shared" si="97"/>
        <v>30</v>
      </c>
      <c r="AA559" s="20">
        <f>ABS(S559-SUMPRODUCT(('05B_가정검정'!$A$5:$A$19=B559)*('05B_가정검정'!$B$5:$B$19=C559)*'05B_가정검정'!$E$5:$E$19))</f>
        <v>4.5195052352363652E-3</v>
      </c>
      <c r="AB559" s="20">
        <f t="shared" si="98"/>
        <v>-7.9484721686338133E-3</v>
      </c>
    </row>
    <row r="560" spans="1:28">
      <c r="A560" s="15" t="s">
        <v>160</v>
      </c>
      <c r="B560" s="15" t="s">
        <v>120</v>
      </c>
      <c r="C560" s="15" t="s">
        <v>117</v>
      </c>
      <c r="D560" s="16">
        <v>0.24282982791586999</v>
      </c>
      <c r="E560" s="16">
        <v>0.32530120481927699</v>
      </c>
      <c r="F560" s="16">
        <v>6.6666666666666693E-2</v>
      </c>
      <c r="G560" s="16">
        <v>0.17469879518072301</v>
      </c>
      <c r="H560" s="16">
        <v>0.31188881184919598</v>
      </c>
      <c r="I560" s="16">
        <v>0.22045248721972199</v>
      </c>
      <c r="J560" s="16">
        <v>0.68415439936910805</v>
      </c>
      <c r="K560" s="16">
        <v>0.66488098105990801</v>
      </c>
      <c r="L560" s="16">
        <v>0.84875439956816701</v>
      </c>
      <c r="M560" s="16">
        <v>0.64583333333333304</v>
      </c>
      <c r="N560" s="16">
        <v>0.58333333333333304</v>
      </c>
      <c r="O560" s="16">
        <v>1</v>
      </c>
      <c r="P560" s="17">
        <f t="shared" si="88"/>
        <v>0.22363963227524244</v>
      </c>
      <c r="Q560" s="17">
        <f t="shared" si="89"/>
        <v>0.73259659333239435</v>
      </c>
      <c r="R560" s="17">
        <f t="shared" si="90"/>
        <v>0.74305555555555536</v>
      </c>
      <c r="S560" s="17">
        <f>'02_지표정의'!$C$22*P560+'02_지표정의'!$C$23*Q560+'02_지표정의'!$C$24*R560</f>
        <v>0.6344658378990703</v>
      </c>
      <c r="T560" s="5">
        <f t="shared" si="91"/>
        <v>0</v>
      </c>
      <c r="U560" s="5" t="str">
        <f t="shared" si="92"/>
        <v>보고서</v>
      </c>
      <c r="V560" s="18">
        <f t="shared" si="93"/>
        <v>551</v>
      </c>
      <c r="W560" s="5">
        <f t="shared" si="94"/>
        <v>433</v>
      </c>
      <c r="X560" s="5">
        <f t="shared" si="95"/>
        <v>254</v>
      </c>
      <c r="Y560" s="5">
        <f t="shared" si="96"/>
        <v>0</v>
      </c>
      <c r="Z560" s="19">
        <f t="shared" si="97"/>
        <v>40</v>
      </c>
      <c r="AA560" s="20">
        <f>ABS(S560-SUMPRODUCT(('05B_가정검정'!$A$5:$A$19=B560)*('05B_가정검정'!$B$5:$B$19=C560)*'05B_가정검정'!$E$5:$E$19))</f>
        <v>6.4168778419492201E-3</v>
      </c>
      <c r="AB560" s="20">
        <f t="shared" si="98"/>
        <v>3.1631344743131562E-3</v>
      </c>
    </row>
    <row r="561" spans="1:28">
      <c r="A561" s="15" t="s">
        <v>160</v>
      </c>
      <c r="B561" s="15" t="s">
        <v>120</v>
      </c>
      <c r="C561" s="15" t="s">
        <v>118</v>
      </c>
      <c r="D561" s="16">
        <v>0.29897864438254401</v>
      </c>
      <c r="E561" s="16">
        <v>0.264501160092807</v>
      </c>
      <c r="F561" s="16">
        <v>7.9254079254079304E-2</v>
      </c>
      <c r="G561" s="16">
        <v>0.19025522041763299</v>
      </c>
      <c r="H561" s="16">
        <v>0.243570904285103</v>
      </c>
      <c r="I561" s="16">
        <v>0.27563741495968902</v>
      </c>
      <c r="J561" s="16">
        <v>0.71715797638762002</v>
      </c>
      <c r="K561" s="16">
        <v>0.70873033112143702</v>
      </c>
      <c r="L561" s="16">
        <v>0.82830379266518595</v>
      </c>
      <c r="M561" s="16">
        <v>0.33723653395784597</v>
      </c>
      <c r="N561" s="16">
        <v>0.28723404255319201</v>
      </c>
      <c r="O561" s="16">
        <v>0.62105263157894697</v>
      </c>
      <c r="P561" s="17">
        <f t="shared" si="88"/>
        <v>0.22536623723197591</v>
      </c>
      <c r="Q561" s="17">
        <f t="shared" si="89"/>
        <v>0.75139736672474766</v>
      </c>
      <c r="R561" s="17">
        <f t="shared" si="90"/>
        <v>0.41517440269666167</v>
      </c>
      <c r="S561" s="17">
        <f>'02_지표정의'!$C$22*P561+'02_지표정의'!$C$23*Q561+'02_지표정의'!$C$24*R561</f>
        <v>0.52851310341636326</v>
      </c>
      <c r="T561" s="5">
        <f t="shared" si="91"/>
        <v>0</v>
      </c>
      <c r="U561" s="5" t="str">
        <f t="shared" si="92"/>
        <v>보고서</v>
      </c>
      <c r="V561" s="18">
        <f t="shared" si="93"/>
        <v>128</v>
      </c>
      <c r="W561" s="5">
        <f t="shared" si="94"/>
        <v>115</v>
      </c>
      <c r="X561" s="5">
        <f t="shared" si="95"/>
        <v>0</v>
      </c>
      <c r="Y561" s="5">
        <f t="shared" si="96"/>
        <v>116</v>
      </c>
      <c r="Z561" s="19">
        <f t="shared" si="97"/>
        <v>20</v>
      </c>
      <c r="AA561" s="20">
        <f>ABS(S561-SUMPRODUCT(('05B_가정검정'!$A$5:$A$19=B561)*('05B_가정검정'!$B$5:$B$19=C561)*'05B_가정검정'!$E$5:$E$19))</f>
        <v>6.2315745165264724E-2</v>
      </c>
      <c r="AB561" s="20">
        <f t="shared" si="98"/>
        <v>-4.6377672545747539E-2</v>
      </c>
    </row>
    <row r="562" spans="1:28">
      <c r="A562" s="15" t="s">
        <v>160</v>
      </c>
      <c r="B562" s="15" t="s">
        <v>120</v>
      </c>
      <c r="C562" s="15" t="s">
        <v>119</v>
      </c>
      <c r="D562" s="16">
        <v>0.269410664172124</v>
      </c>
      <c r="E562" s="16">
        <v>0.46112600536192999</v>
      </c>
      <c r="F562" s="16">
        <v>0.25336927223719702</v>
      </c>
      <c r="G562" s="16">
        <v>0.278820375335121</v>
      </c>
      <c r="H562" s="16">
        <v>0.31240978946257603</v>
      </c>
      <c r="I562" s="16">
        <v>0.32134863490981302</v>
      </c>
      <c r="J562" s="16">
        <v>0.67602455836074304</v>
      </c>
      <c r="K562" s="16">
        <v>0.65622368079240501</v>
      </c>
      <c r="L562" s="16">
        <v>0.81849947666996903</v>
      </c>
      <c r="M562" s="16">
        <v>0.64583333333333304</v>
      </c>
      <c r="N562" s="16">
        <v>0.58333333333333304</v>
      </c>
      <c r="O562" s="16">
        <v>1</v>
      </c>
      <c r="P562" s="17">
        <f t="shared" si="88"/>
        <v>0.31608079024646019</v>
      </c>
      <c r="Q562" s="17">
        <f t="shared" si="89"/>
        <v>0.71691590527437243</v>
      </c>
      <c r="R562" s="17">
        <f t="shared" si="90"/>
        <v>0.74305555555555536</v>
      </c>
      <c r="S562" s="17">
        <f>'02_지표정의'!$C$22*P562+'02_지표정의'!$C$23*Q562+'02_지표정의'!$C$24*R562</f>
        <v>0.64589775986720399</v>
      </c>
      <c r="T562" s="5">
        <f t="shared" si="91"/>
        <v>0</v>
      </c>
      <c r="U562" s="5" t="str">
        <f t="shared" si="92"/>
        <v>보고서</v>
      </c>
      <c r="V562" s="18">
        <f t="shared" si="93"/>
        <v>598</v>
      </c>
      <c r="W562" s="5">
        <f t="shared" si="94"/>
        <v>0</v>
      </c>
      <c r="X562" s="5">
        <f t="shared" si="95"/>
        <v>289</v>
      </c>
      <c r="Y562" s="5">
        <f t="shared" si="96"/>
        <v>447</v>
      </c>
      <c r="Z562" s="19">
        <f t="shared" si="97"/>
        <v>18</v>
      </c>
      <c r="AA562" s="20">
        <f>ABS(S562-SUMPRODUCT(('05B_가정검정'!$A$5:$A$19=B562)*('05B_가정검정'!$B$5:$B$19=C562)*'05B_가정검정'!$E$5:$E$19))</f>
        <v>1.777955661418229E-2</v>
      </c>
      <c r="AB562" s="20">
        <f t="shared" si="98"/>
        <v>-1.2525247643611626E-2</v>
      </c>
    </row>
    <row r="563" spans="1:28">
      <c r="A563" s="15" t="s">
        <v>160</v>
      </c>
      <c r="B563" s="15" t="s">
        <v>121</v>
      </c>
      <c r="C563" s="15" t="s">
        <v>117</v>
      </c>
      <c r="D563" s="16">
        <v>0.24668435013262599</v>
      </c>
      <c r="E563" s="16">
        <v>0.36123348017621099</v>
      </c>
      <c r="F563" s="16">
        <v>8.8888888888888906E-2</v>
      </c>
      <c r="G563" s="16">
        <v>0.22026431718061701</v>
      </c>
      <c r="H563" s="16">
        <v>0.31377628985969502</v>
      </c>
      <c r="I563" s="16">
        <v>0.177307671944922</v>
      </c>
      <c r="J563" s="16">
        <v>0.742914519593048</v>
      </c>
      <c r="K563" s="16">
        <v>0.73416619037753195</v>
      </c>
      <c r="L563" s="16">
        <v>0.87272746615150598</v>
      </c>
      <c r="M563" s="16">
        <v>0.86915887850467299</v>
      </c>
      <c r="N563" s="16">
        <v>0.88333333333333297</v>
      </c>
      <c r="O563" s="16">
        <v>1</v>
      </c>
      <c r="P563" s="17">
        <f t="shared" si="88"/>
        <v>0.23469249969716</v>
      </c>
      <c r="Q563" s="17">
        <f t="shared" si="89"/>
        <v>0.78326939204069534</v>
      </c>
      <c r="R563" s="17">
        <f t="shared" si="90"/>
        <v>0.91749740394600199</v>
      </c>
      <c r="S563" s="17">
        <f>'02_지표정의'!$C$22*P563+'02_지표정의'!$C$23*Q563+'02_지표정의'!$C$24*R563</f>
        <v>0.72053381773884562</v>
      </c>
      <c r="T563" s="5">
        <f t="shared" si="91"/>
        <v>1</v>
      </c>
      <c r="U563" s="5" t="str">
        <f t="shared" si="92"/>
        <v>보고서</v>
      </c>
      <c r="V563" s="18">
        <f t="shared" si="93"/>
        <v>883</v>
      </c>
      <c r="W563" s="5">
        <f t="shared" si="94"/>
        <v>590</v>
      </c>
      <c r="X563" s="5">
        <f t="shared" si="95"/>
        <v>558</v>
      </c>
      <c r="Y563" s="5">
        <f t="shared" si="96"/>
        <v>0</v>
      </c>
      <c r="Z563" s="19">
        <f t="shared" si="97"/>
        <v>27</v>
      </c>
      <c r="AA563" s="20">
        <f>ABS(S563-SUMPRODUCT(('05B_가정검정'!$A$5:$A$19=B563)*('05B_가정검정'!$B$5:$B$19=C563)*'05B_가정검정'!$E$5:$E$19))</f>
        <v>8.8982536430355363E-3</v>
      </c>
      <c r="AB563" s="20">
        <f t="shared" si="98"/>
        <v>2.8820246659646553E-3</v>
      </c>
    </row>
    <row r="564" spans="1:28">
      <c r="A564" s="15" t="s">
        <v>160</v>
      </c>
      <c r="B564" s="15" t="s">
        <v>121</v>
      </c>
      <c r="C564" s="15" t="s">
        <v>118</v>
      </c>
      <c r="D564" s="16">
        <v>0.25477707006369399</v>
      </c>
      <c r="E564" s="16">
        <v>0.220858895705521</v>
      </c>
      <c r="F564" s="16">
        <v>7.4074074074074098E-2</v>
      </c>
      <c r="G564" s="16">
        <v>0.159509202453988</v>
      </c>
      <c r="H564" s="16">
        <v>0.163392466164029</v>
      </c>
      <c r="I564" s="16">
        <v>0.22333888156679699</v>
      </c>
      <c r="J564" s="16">
        <v>0.73840790916538501</v>
      </c>
      <c r="K564" s="16">
        <v>0.79688516769774098</v>
      </c>
      <c r="L564" s="16">
        <v>0.91119917145729901</v>
      </c>
      <c r="M564" s="16">
        <v>0.23653395784543299</v>
      </c>
      <c r="N564" s="16">
        <v>0.23936170212766</v>
      </c>
      <c r="O564" s="16">
        <v>0.60526315789473695</v>
      </c>
      <c r="P564" s="17">
        <f t="shared" si="88"/>
        <v>0.18265843167135051</v>
      </c>
      <c r="Q564" s="17">
        <f t="shared" si="89"/>
        <v>0.81549741610680826</v>
      </c>
      <c r="R564" s="17">
        <f t="shared" si="90"/>
        <v>0.36038627262260997</v>
      </c>
      <c r="S564" s="17">
        <f>'02_지표정의'!$C$22*P564+'02_지표정의'!$C$23*Q564+'02_지표정의'!$C$24*R564</f>
        <v>0.52964071900024734</v>
      </c>
      <c r="T564" s="5">
        <f t="shared" si="91"/>
        <v>0</v>
      </c>
      <c r="U564" s="5" t="str">
        <f t="shared" si="92"/>
        <v>보고서</v>
      </c>
      <c r="V564" s="18">
        <f t="shared" si="93"/>
        <v>132</v>
      </c>
      <c r="W564" s="5">
        <f t="shared" si="94"/>
        <v>118</v>
      </c>
      <c r="X564" s="5">
        <f t="shared" si="95"/>
        <v>0</v>
      </c>
      <c r="Y564" s="5">
        <f t="shared" si="96"/>
        <v>120</v>
      </c>
      <c r="Z564" s="19">
        <f t="shared" si="97"/>
        <v>14</v>
      </c>
      <c r="AA564" s="20">
        <f>ABS(S564-SUMPRODUCT(('05B_가정검정'!$A$5:$A$19=B564)*('05B_가정검정'!$B$5:$B$19=C564)*'05B_가정검정'!$E$5:$E$19))</f>
        <v>6.8938771166721091E-2</v>
      </c>
      <c r="AB564" s="20">
        <f t="shared" si="98"/>
        <v>-4.9758355526565934E-2</v>
      </c>
    </row>
    <row r="565" spans="1:28">
      <c r="A565" s="15" t="s">
        <v>160</v>
      </c>
      <c r="B565" s="15" t="s">
        <v>121</v>
      </c>
      <c r="C565" s="15" t="s">
        <v>119</v>
      </c>
      <c r="D565" s="16">
        <v>0.25482625482625498</v>
      </c>
      <c r="E565" s="16">
        <v>0.48507462686567199</v>
      </c>
      <c r="F565" s="16">
        <v>0.24812030075187999</v>
      </c>
      <c r="G565" s="16">
        <v>0.33582089552238797</v>
      </c>
      <c r="H565" s="16">
        <v>0.32225534301360798</v>
      </c>
      <c r="I565" s="16">
        <v>0.352559682165628</v>
      </c>
      <c r="J565" s="16">
        <v>0.72692393397885802</v>
      </c>
      <c r="K565" s="16">
        <v>0.74946474709552402</v>
      </c>
      <c r="L565" s="16">
        <v>0.87930878003031099</v>
      </c>
      <c r="M565" s="16">
        <v>0.86915887850467299</v>
      </c>
      <c r="N565" s="16">
        <v>0.88333333333333297</v>
      </c>
      <c r="O565" s="16">
        <v>1</v>
      </c>
      <c r="P565" s="17">
        <f t="shared" si="88"/>
        <v>0.33310951719090515</v>
      </c>
      <c r="Q565" s="17">
        <f t="shared" si="89"/>
        <v>0.78523248703489779</v>
      </c>
      <c r="R565" s="17">
        <f t="shared" si="90"/>
        <v>0.91749740394600199</v>
      </c>
      <c r="S565" s="17">
        <f>'02_지표정의'!$C$22*P565+'02_지표정의'!$C$23*Q565+'02_지표정의'!$C$24*R565</f>
        <v>0.74110061398498561</v>
      </c>
      <c r="T565" s="5">
        <f t="shared" si="91"/>
        <v>0</v>
      </c>
      <c r="U565" s="5" t="str">
        <f t="shared" si="92"/>
        <v>보고서</v>
      </c>
      <c r="V565" s="18">
        <f t="shared" si="93"/>
        <v>926</v>
      </c>
      <c r="W565" s="5">
        <f t="shared" si="94"/>
        <v>0</v>
      </c>
      <c r="X565" s="5">
        <f t="shared" si="95"/>
        <v>601</v>
      </c>
      <c r="Y565" s="5">
        <f t="shared" si="96"/>
        <v>623</v>
      </c>
      <c r="Z565" s="19">
        <f t="shared" si="97"/>
        <v>51</v>
      </c>
      <c r="AA565" s="20">
        <f>ABS(S565-SUMPRODUCT(('05B_가정검정'!$A$5:$A$19=B565)*('05B_가정검정'!$B$5:$B$19=C565)*'05B_가정검정'!$E$5:$E$19))</f>
        <v>4.8780771189131933E-2</v>
      </c>
      <c r="AB565" s="20">
        <f t="shared" si="98"/>
        <v>5.2863638565374571E-2</v>
      </c>
    </row>
    <row r="566" spans="1:28">
      <c r="A566" s="15" t="s">
        <v>160</v>
      </c>
      <c r="B566" s="15" t="s">
        <v>122</v>
      </c>
      <c r="C566" s="15" t="s">
        <v>117</v>
      </c>
      <c r="D566" s="16">
        <v>0.25130890052355997</v>
      </c>
      <c r="E566" s="16">
        <v>0.32038834951456302</v>
      </c>
      <c r="F566" s="16">
        <v>0.10784313725490199</v>
      </c>
      <c r="G566" s="16">
        <v>0.233009708737864</v>
      </c>
      <c r="H566" s="16">
        <v>0.310203947684765</v>
      </c>
      <c r="I566" s="16">
        <v>0.20322869197795601</v>
      </c>
      <c r="J566" s="16">
        <v>0.68668599009314102</v>
      </c>
      <c r="K566" s="16">
        <v>0.66411772806177605</v>
      </c>
      <c r="L566" s="16">
        <v>0.84695752936143698</v>
      </c>
      <c r="M566" s="16">
        <v>0.747899159663866</v>
      </c>
      <c r="N566" s="16">
        <v>0.74242424242424199</v>
      </c>
      <c r="O566" s="16">
        <v>1</v>
      </c>
      <c r="P566" s="17">
        <f t="shared" si="88"/>
        <v>0.23766378928226831</v>
      </c>
      <c r="Q566" s="17">
        <f t="shared" si="89"/>
        <v>0.73258708250545135</v>
      </c>
      <c r="R566" s="17">
        <f t="shared" si="90"/>
        <v>0.83010780069603596</v>
      </c>
      <c r="S566" s="17">
        <f>'02_지표정의'!$C$22*P566+'02_지표정의'!$C$23*Q566+'02_지표정의'!$C$24*R566</f>
        <v>0.66773467522751928</v>
      </c>
      <c r="T566" s="5">
        <f t="shared" si="91"/>
        <v>0</v>
      </c>
      <c r="U566" s="5" t="str">
        <f t="shared" si="92"/>
        <v>보고서</v>
      </c>
      <c r="V566" s="18">
        <f t="shared" si="93"/>
        <v>706</v>
      </c>
      <c r="W566" s="5">
        <f t="shared" si="94"/>
        <v>507</v>
      </c>
      <c r="X566" s="5">
        <f t="shared" si="95"/>
        <v>386</v>
      </c>
      <c r="Y566" s="5">
        <f t="shared" si="96"/>
        <v>0</v>
      </c>
      <c r="Z566" s="19">
        <f t="shared" si="97"/>
        <v>58</v>
      </c>
      <c r="AA566" s="20">
        <f>ABS(S566-SUMPRODUCT(('05B_가정검정'!$A$5:$A$19=B566)*('05B_가정검정'!$B$5:$B$19=C566)*'05B_가정검정'!$E$5:$E$19))</f>
        <v>2.8381720518840803E-2</v>
      </c>
      <c r="AB566" s="20">
        <f t="shared" si="98"/>
        <v>4.4853053037873125E-2</v>
      </c>
    </row>
    <row r="567" spans="1:28">
      <c r="A567" s="15" t="s">
        <v>160</v>
      </c>
      <c r="B567" s="15" t="s">
        <v>122</v>
      </c>
      <c r="C567" s="15" t="s">
        <v>118</v>
      </c>
      <c r="D567" s="16">
        <v>0.35723270440251598</v>
      </c>
      <c r="E567" s="16">
        <v>0.28196721311475398</v>
      </c>
      <c r="F567" s="16">
        <v>0.12541254125412499</v>
      </c>
      <c r="G567" s="16">
        <v>0.22950819672131201</v>
      </c>
      <c r="H567" s="16">
        <v>0.19735825165399401</v>
      </c>
      <c r="I567" s="16">
        <v>0.35765999573894502</v>
      </c>
      <c r="J567" s="16">
        <v>0.72615828659008197</v>
      </c>
      <c r="K567" s="16">
        <v>0.73061136450187802</v>
      </c>
      <c r="L567" s="16">
        <v>0.85569781561206504</v>
      </c>
      <c r="M567" s="16">
        <v>0.26932084309133503</v>
      </c>
      <c r="N567" s="16">
        <v>0.19148936170212799</v>
      </c>
      <c r="O567" s="16">
        <v>0.60526315789473695</v>
      </c>
      <c r="P567" s="17">
        <f t="shared" si="88"/>
        <v>0.25818981714760764</v>
      </c>
      <c r="Q567" s="17">
        <f t="shared" si="89"/>
        <v>0.77082248890134164</v>
      </c>
      <c r="R567" s="17">
        <f t="shared" si="90"/>
        <v>0.35535778756273334</v>
      </c>
      <c r="S567" s="17">
        <f>'02_지표정의'!$C$22*P567+'02_지표정의'!$C$23*Q567+'02_지표정의'!$C$24*R567</f>
        <v>0.52288330908208192</v>
      </c>
      <c r="T567" s="5">
        <f t="shared" si="91"/>
        <v>1</v>
      </c>
      <c r="U567" s="5" t="str">
        <f t="shared" si="92"/>
        <v>보고서</v>
      </c>
      <c r="V567" s="18">
        <f t="shared" si="93"/>
        <v>109</v>
      </c>
      <c r="W567" s="5">
        <f t="shared" si="94"/>
        <v>99</v>
      </c>
      <c r="X567" s="5">
        <f t="shared" si="95"/>
        <v>0</v>
      </c>
      <c r="Y567" s="5">
        <f t="shared" si="96"/>
        <v>100</v>
      </c>
      <c r="Z567" s="19">
        <f t="shared" si="97"/>
        <v>11</v>
      </c>
      <c r="AA567" s="20">
        <f>ABS(S567-SUMPRODUCT(('05B_가정검정'!$A$5:$A$19=B567)*('05B_가정검정'!$B$5:$B$19=C567)*'05B_가정검정'!$E$5:$E$19))</f>
        <v>6.4038626915076335E-2</v>
      </c>
      <c r="AB567" s="20">
        <f t="shared" si="98"/>
        <v>-5.8339967135601856E-2</v>
      </c>
    </row>
    <row r="568" spans="1:28">
      <c r="A568" s="15" t="s">
        <v>160</v>
      </c>
      <c r="B568" s="15" t="s">
        <v>122</v>
      </c>
      <c r="C568" s="15" t="s">
        <v>119</v>
      </c>
      <c r="D568" s="16">
        <v>0.28970775095298601</v>
      </c>
      <c r="E568" s="16">
        <v>0.331983805668016</v>
      </c>
      <c r="F568" s="16">
        <v>0.114285714285714</v>
      </c>
      <c r="G568" s="16">
        <v>0.23481781376518199</v>
      </c>
      <c r="H568" s="16">
        <v>0.302676955042815</v>
      </c>
      <c r="I568" s="16">
        <v>0.20862814209410199</v>
      </c>
      <c r="J568" s="16">
        <v>0.74260711435935101</v>
      </c>
      <c r="K568" s="16">
        <v>0.642131406441664</v>
      </c>
      <c r="L568" s="16">
        <v>0.80406182472530296</v>
      </c>
      <c r="M568" s="16">
        <v>0.747899159663866</v>
      </c>
      <c r="N568" s="16">
        <v>0.74242424242424199</v>
      </c>
      <c r="O568" s="16">
        <v>1</v>
      </c>
      <c r="P568" s="17">
        <f t="shared" si="88"/>
        <v>0.2470166969681358</v>
      </c>
      <c r="Q568" s="17">
        <f t="shared" si="89"/>
        <v>0.72960011517543932</v>
      </c>
      <c r="R568" s="17">
        <f t="shared" si="90"/>
        <v>0.83010780069603596</v>
      </c>
      <c r="S568" s="17">
        <f>'02_지표정의'!$C$22*P568+'02_지표정의'!$C$23*Q568+'02_지표정의'!$C$24*R568</f>
        <v>0.66826112146618744</v>
      </c>
      <c r="T568" s="5">
        <f t="shared" si="91"/>
        <v>0</v>
      </c>
      <c r="U568" s="5" t="str">
        <f t="shared" si="92"/>
        <v>보고서</v>
      </c>
      <c r="V568" s="18">
        <f t="shared" si="93"/>
        <v>709</v>
      </c>
      <c r="W568" s="5">
        <f t="shared" si="94"/>
        <v>0</v>
      </c>
      <c r="X568" s="5">
        <f t="shared" si="95"/>
        <v>389</v>
      </c>
      <c r="Y568" s="5">
        <f t="shared" si="96"/>
        <v>522</v>
      </c>
      <c r="Z568" s="19">
        <f t="shared" si="97"/>
        <v>51</v>
      </c>
      <c r="AA568" s="20">
        <f>ABS(S568-SUMPRODUCT(('05B_가정검정'!$A$5:$A$19=B568)*('05B_가정검정'!$B$5:$B$19=C568)*'05B_가정검정'!$E$5:$E$19))</f>
        <v>3.2654933564736033E-2</v>
      </c>
      <c r="AB568" s="20">
        <f t="shared" si="98"/>
        <v>3.6872255151301436E-2</v>
      </c>
    </row>
    <row r="569" spans="1:28">
      <c r="A569" s="15" t="s">
        <v>160</v>
      </c>
      <c r="B569" s="15" t="s">
        <v>123</v>
      </c>
      <c r="C569" s="15" t="s">
        <v>117</v>
      </c>
      <c r="D569" s="16">
        <v>0.29107981220657297</v>
      </c>
      <c r="E569" s="16">
        <v>0.40939597315436199</v>
      </c>
      <c r="F569" s="16">
        <v>0.114864864864865</v>
      </c>
      <c r="G569" s="16">
        <v>0.24161073825503401</v>
      </c>
      <c r="H569" s="16">
        <v>0.451206124320573</v>
      </c>
      <c r="I569" s="16">
        <v>0.21865483873855299</v>
      </c>
      <c r="J569" s="16">
        <v>0.72922361894532495</v>
      </c>
      <c r="K569" s="16">
        <v>0.71379767561172303</v>
      </c>
      <c r="L569" s="16">
        <v>0.89212734758478096</v>
      </c>
      <c r="M569" s="16">
        <v>0.90654205607476601</v>
      </c>
      <c r="N569" s="16">
        <v>0.91666666666666696</v>
      </c>
      <c r="O569" s="16">
        <v>1</v>
      </c>
      <c r="P569" s="17">
        <f t="shared" si="88"/>
        <v>0.2878020585899933</v>
      </c>
      <c r="Q569" s="17">
        <f t="shared" si="89"/>
        <v>0.7783828807139429</v>
      </c>
      <c r="R569" s="17">
        <f t="shared" si="90"/>
        <v>0.94106957424714432</v>
      </c>
      <c r="S569" s="17">
        <f>'02_지표정의'!$C$22*P569+'02_지표정의'!$C$23*Q569+'02_지표정의'!$C$24*R569</f>
        <v>0.73720705902577344</v>
      </c>
      <c r="T569" s="5">
        <f t="shared" si="91"/>
        <v>0</v>
      </c>
      <c r="U569" s="5" t="str">
        <f t="shared" si="92"/>
        <v>보고서</v>
      </c>
      <c r="V569" s="18">
        <f t="shared" si="93"/>
        <v>919</v>
      </c>
      <c r="W569" s="5">
        <f t="shared" si="94"/>
        <v>623</v>
      </c>
      <c r="X569" s="5">
        <f t="shared" si="95"/>
        <v>594</v>
      </c>
      <c r="Y569" s="5">
        <f t="shared" si="96"/>
        <v>0</v>
      </c>
      <c r="Z569" s="19">
        <f t="shared" si="97"/>
        <v>60</v>
      </c>
      <c r="AA569" s="20">
        <f>ABS(S569-SUMPRODUCT(('05B_가정검정'!$A$5:$A$19=B569)*('05B_가정검정'!$B$5:$B$19=C569)*'05B_가정검정'!$E$5:$E$19))</f>
        <v>2.2284176249549703E-2</v>
      </c>
      <c r="AB569" s="20">
        <f t="shared" si="98"/>
        <v>2.9221607214530265E-2</v>
      </c>
    </row>
    <row r="570" spans="1:28">
      <c r="A570" s="15" t="s">
        <v>160</v>
      </c>
      <c r="B570" s="15" t="s">
        <v>123</v>
      </c>
      <c r="C570" s="15" t="s">
        <v>118</v>
      </c>
      <c r="D570" s="16">
        <v>0.22876557191392999</v>
      </c>
      <c r="E570" s="16">
        <v>0.201511335012594</v>
      </c>
      <c r="F570" s="16">
        <v>7.5949367088607597E-2</v>
      </c>
      <c r="G570" s="16">
        <v>0.17128463476070499</v>
      </c>
      <c r="H570" s="16">
        <v>0.208698749681719</v>
      </c>
      <c r="I570" s="16">
        <v>0.15664433230966199</v>
      </c>
      <c r="J570" s="16">
        <v>0.71322135031566203</v>
      </c>
      <c r="K570" s="16">
        <v>0.70948065246149905</v>
      </c>
      <c r="L570" s="16">
        <v>0.85038181400734203</v>
      </c>
      <c r="M570" s="16">
        <v>0.227166276346604</v>
      </c>
      <c r="N570" s="16">
        <v>0.22872340425531901</v>
      </c>
      <c r="O570" s="16">
        <v>0.60526315789473695</v>
      </c>
      <c r="P570" s="17">
        <f t="shared" si="88"/>
        <v>0.1738089984612029</v>
      </c>
      <c r="Q570" s="17">
        <f t="shared" si="89"/>
        <v>0.75769460559483426</v>
      </c>
      <c r="R570" s="17">
        <f t="shared" si="90"/>
        <v>0.35371761283221997</v>
      </c>
      <c r="S570" s="17">
        <f>'02_지표정의'!$C$22*P570+'02_지표정의'!$C$23*Q570+'02_지표정의'!$C$24*R570</f>
        <v>0.49952553670119298</v>
      </c>
      <c r="T570" s="5">
        <f t="shared" si="91"/>
        <v>0</v>
      </c>
      <c r="U570" s="5" t="str">
        <f t="shared" si="92"/>
        <v>보고서</v>
      </c>
      <c r="V570" s="18">
        <f t="shared" si="93"/>
        <v>45</v>
      </c>
      <c r="W570" s="5">
        <f t="shared" si="94"/>
        <v>39</v>
      </c>
      <c r="X570" s="5">
        <f t="shared" si="95"/>
        <v>0</v>
      </c>
      <c r="Y570" s="5">
        <f t="shared" si="96"/>
        <v>40</v>
      </c>
      <c r="Z570" s="19">
        <f t="shared" si="97"/>
        <v>8</v>
      </c>
      <c r="AA570" s="20">
        <f>ABS(S570-SUMPRODUCT(('05B_가정검정'!$A$5:$A$19=B570)*('05B_가정검정'!$B$5:$B$19=C570)*'05B_가정검정'!$E$5:$E$19))</f>
        <v>7.5773290177776731E-2</v>
      </c>
      <c r="AB570" s="20">
        <f t="shared" si="98"/>
        <v>-6.0346071223298103E-2</v>
      </c>
    </row>
    <row r="571" spans="1:28">
      <c r="A571" s="15" t="s">
        <v>160</v>
      </c>
      <c r="B571" s="15" t="s">
        <v>123</v>
      </c>
      <c r="C571" s="15" t="s">
        <v>119</v>
      </c>
      <c r="D571" s="16">
        <v>0.310857142857143</v>
      </c>
      <c r="E571" s="16">
        <v>0.49557522123893799</v>
      </c>
      <c r="F571" s="16">
        <v>0.29080118694362</v>
      </c>
      <c r="G571" s="16">
        <v>0.37758112094395302</v>
      </c>
      <c r="H571" s="16">
        <v>0.45387768548890201</v>
      </c>
      <c r="I571" s="16">
        <v>0.45861858588297999</v>
      </c>
      <c r="J571" s="16">
        <v>0.75821060646568506</v>
      </c>
      <c r="K571" s="16">
        <v>0.68315121792126499</v>
      </c>
      <c r="L571" s="16">
        <v>0.82482114607057</v>
      </c>
      <c r="M571" s="16">
        <v>0.90654205607476601</v>
      </c>
      <c r="N571" s="16">
        <v>0.91666666666666696</v>
      </c>
      <c r="O571" s="16">
        <v>1</v>
      </c>
      <c r="P571" s="17">
        <f t="shared" si="88"/>
        <v>0.39788515722592271</v>
      </c>
      <c r="Q571" s="17">
        <f t="shared" si="89"/>
        <v>0.7553943234858399</v>
      </c>
      <c r="R571" s="17">
        <f t="shared" si="90"/>
        <v>0.94106957424714432</v>
      </c>
      <c r="S571" s="17">
        <f>'02_지표정의'!$C$22*P571+'02_지표정의'!$C$23*Q571+'02_지표정의'!$C$24*R571</f>
        <v>0.74887882800031302</v>
      </c>
      <c r="T571" s="5">
        <f t="shared" si="91"/>
        <v>1</v>
      </c>
      <c r="U571" s="5" t="str">
        <f t="shared" si="92"/>
        <v>보고서</v>
      </c>
      <c r="V571" s="18">
        <f t="shared" si="93"/>
        <v>951</v>
      </c>
      <c r="W571" s="5">
        <f t="shared" si="94"/>
        <v>0</v>
      </c>
      <c r="X571" s="5">
        <f t="shared" si="95"/>
        <v>626</v>
      </c>
      <c r="Y571" s="5">
        <f t="shared" si="96"/>
        <v>630</v>
      </c>
      <c r="Z571" s="19">
        <f t="shared" si="97"/>
        <v>58</v>
      </c>
      <c r="AA571" s="20">
        <f>ABS(S571-SUMPRODUCT(('05B_가정검정'!$A$5:$A$19=B571)*('05B_가정검정'!$B$5:$B$19=C571)*'05B_가정검정'!$E$5:$E$19))</f>
        <v>6.3249030676085671E-2</v>
      </c>
      <c r="AB571" s="20">
        <f t="shared" si="98"/>
        <v>6.6460094955311244E-2</v>
      </c>
    </row>
    <row r="572" spans="1:28">
      <c r="A572" s="15" t="s">
        <v>161</v>
      </c>
      <c r="B572" s="15" t="s">
        <v>116</v>
      </c>
      <c r="C572" s="15" t="s">
        <v>117</v>
      </c>
      <c r="D572" s="16">
        <v>0.219020172910663</v>
      </c>
      <c r="E572" s="16">
        <v>0.344444444444444</v>
      </c>
      <c r="F572" s="16">
        <v>0.13483146067415699</v>
      </c>
      <c r="G572" s="16">
        <v>0.28888888888888897</v>
      </c>
      <c r="H572" s="16">
        <v>0.215843574259454</v>
      </c>
      <c r="I572" s="16">
        <v>0.25952522692686297</v>
      </c>
      <c r="J572" s="16">
        <v>0.67497561729462896</v>
      </c>
      <c r="K572" s="16">
        <v>0.63627565301270705</v>
      </c>
      <c r="L572" s="16">
        <v>0.80734396944780495</v>
      </c>
      <c r="M572" s="16">
        <v>0.51515151515151503</v>
      </c>
      <c r="N572" s="16">
        <v>0.213483146067416</v>
      </c>
      <c r="O572" s="16">
        <v>1</v>
      </c>
      <c r="P572" s="17">
        <f t="shared" si="88"/>
        <v>0.24375896135074501</v>
      </c>
      <c r="Q572" s="17">
        <f t="shared" si="89"/>
        <v>0.70619841325171373</v>
      </c>
      <c r="R572" s="17">
        <f t="shared" si="90"/>
        <v>0.57621155373964372</v>
      </c>
      <c r="S572" s="17">
        <f>'02_지표정의'!$C$22*P572+'02_지표정의'!$C$23*Q572+'02_지표정의'!$C$24*R572</f>
        <v>0.56821512204229552</v>
      </c>
      <c r="T572" s="5">
        <f t="shared" si="91"/>
        <v>0</v>
      </c>
      <c r="U572" s="5" t="str">
        <f t="shared" si="92"/>
        <v>보고서</v>
      </c>
      <c r="V572" s="18">
        <f t="shared" si="93"/>
        <v>277</v>
      </c>
      <c r="W572" s="5">
        <f t="shared" si="94"/>
        <v>225</v>
      </c>
      <c r="X572" s="5">
        <f t="shared" si="95"/>
        <v>108</v>
      </c>
      <c r="Y572" s="5">
        <f t="shared" si="96"/>
        <v>0</v>
      </c>
      <c r="Z572" s="19">
        <f t="shared" si="97"/>
        <v>47</v>
      </c>
      <c r="AA572" s="20">
        <f>ABS(S572-SUMPRODUCT(('05B_가정검정'!$A$5:$A$19=B572)*('05B_가정검정'!$B$5:$B$19=C572)*'05B_가정검정'!$E$5:$E$19))</f>
        <v>1.0811417057328243E-2</v>
      </c>
      <c r="AB572" s="20">
        <f t="shared" si="98"/>
        <v>1.5663956629672127E-2</v>
      </c>
    </row>
    <row r="573" spans="1:28">
      <c r="A573" s="15" t="s">
        <v>161</v>
      </c>
      <c r="B573" s="15" t="s">
        <v>116</v>
      </c>
      <c r="C573" s="15" t="s">
        <v>118</v>
      </c>
      <c r="D573" s="16">
        <v>0.29109589041095901</v>
      </c>
      <c r="E573" s="16">
        <v>0.32258064516128998</v>
      </c>
      <c r="F573" s="16">
        <v>0.17073170731707299</v>
      </c>
      <c r="G573" s="16">
        <v>0.282258064516129</v>
      </c>
      <c r="H573" s="16">
        <v>0.166716418837901</v>
      </c>
      <c r="I573" s="16">
        <v>0.20459309361161099</v>
      </c>
      <c r="J573" s="16">
        <v>0.67620191091031601</v>
      </c>
      <c r="K573" s="16">
        <v>0.62533039016754</v>
      </c>
      <c r="L573" s="16">
        <v>0.76102121781509002</v>
      </c>
      <c r="M573" s="16">
        <v>0.46067415730337102</v>
      </c>
      <c r="N573" s="16">
        <v>1.58730158730159E-2</v>
      </c>
      <c r="O573" s="16">
        <v>1</v>
      </c>
      <c r="P573" s="17">
        <f t="shared" si="88"/>
        <v>0.23966263664249379</v>
      </c>
      <c r="Q573" s="17">
        <f t="shared" si="89"/>
        <v>0.6875178396309819</v>
      </c>
      <c r="R573" s="17">
        <f t="shared" si="90"/>
        <v>0.49218239105879569</v>
      </c>
      <c r="S573" s="17">
        <f>'02_지표정의'!$C$22*P573+'02_지표정의'!$C$23*Q573+'02_지표정의'!$C$24*R573</f>
        <v>0.52957939203301907</v>
      </c>
      <c r="T573" s="5">
        <f t="shared" si="91"/>
        <v>0</v>
      </c>
      <c r="U573" s="5" t="str">
        <f t="shared" si="92"/>
        <v>보고서</v>
      </c>
      <c r="V573" s="18">
        <f t="shared" si="93"/>
        <v>131</v>
      </c>
      <c r="W573" s="5">
        <f t="shared" si="94"/>
        <v>117</v>
      </c>
      <c r="X573" s="5">
        <f t="shared" si="95"/>
        <v>0</v>
      </c>
      <c r="Y573" s="5">
        <f t="shared" si="96"/>
        <v>119</v>
      </c>
      <c r="Z573" s="19">
        <f t="shared" si="97"/>
        <v>32</v>
      </c>
      <c r="AA573" s="20">
        <f>ABS(S573-SUMPRODUCT(('05B_가정검정'!$A$5:$A$19=B573)*('05B_가정검정'!$B$5:$B$19=C573)*'05B_가정검정'!$E$5:$E$19))</f>
        <v>1.7130296687025703E-3</v>
      </c>
      <c r="AB573" s="20">
        <f t="shared" si="98"/>
        <v>2.0303596544327673E-3</v>
      </c>
    </row>
    <row r="574" spans="1:28">
      <c r="A574" s="15" t="s">
        <v>161</v>
      </c>
      <c r="B574" s="15" t="s">
        <v>116</v>
      </c>
      <c r="C574" s="15" t="s">
        <v>119</v>
      </c>
      <c r="D574" s="16">
        <v>0.28118811881188099</v>
      </c>
      <c r="E574" s="16">
        <v>0.51034482758620703</v>
      </c>
      <c r="F574" s="16">
        <v>0.26573426573426601</v>
      </c>
      <c r="G574" s="16">
        <v>0.45517241379310402</v>
      </c>
      <c r="H574" s="16">
        <v>0.30629874601340801</v>
      </c>
      <c r="I574" s="16">
        <v>0.19983337533152801</v>
      </c>
      <c r="J574" s="16">
        <v>0.69447875705225803</v>
      </c>
      <c r="K574" s="16">
        <v>0.60778130243722595</v>
      </c>
      <c r="L574" s="16">
        <v>0.86559699574363702</v>
      </c>
      <c r="M574" s="16">
        <v>0.51515151515151503</v>
      </c>
      <c r="N574" s="16">
        <v>0.213483146067416</v>
      </c>
      <c r="O574" s="16">
        <v>1</v>
      </c>
      <c r="P574" s="17">
        <f t="shared" si="88"/>
        <v>0.33642862454506567</v>
      </c>
      <c r="Q574" s="17">
        <f t="shared" si="89"/>
        <v>0.72261901841104026</v>
      </c>
      <c r="R574" s="17">
        <f t="shared" si="90"/>
        <v>0.57621155373964372</v>
      </c>
      <c r="S574" s="17">
        <f>'02_지표정의'!$C$22*P574+'02_지표정의'!$C$23*Q574+'02_지표정의'!$C$24*R574</f>
        <v>0.59413832700285651</v>
      </c>
      <c r="T574" s="5">
        <f t="shared" si="91"/>
        <v>0</v>
      </c>
      <c r="U574" s="5" t="str">
        <f t="shared" si="92"/>
        <v>보고서</v>
      </c>
      <c r="V574" s="18">
        <f t="shared" si="93"/>
        <v>360</v>
      </c>
      <c r="W574" s="5">
        <f t="shared" si="94"/>
        <v>0</v>
      </c>
      <c r="X574" s="5">
        <f t="shared" si="95"/>
        <v>154</v>
      </c>
      <c r="Y574" s="5">
        <f t="shared" si="96"/>
        <v>276</v>
      </c>
      <c r="Z574" s="19">
        <f t="shared" si="97"/>
        <v>55</v>
      </c>
      <c r="AA574" s="20">
        <f>ABS(S574-SUMPRODUCT(('05B_가정검정'!$A$5:$A$19=B574)*('05B_가정검정'!$B$5:$B$19=C574)*'05B_가정검정'!$E$5:$E$19))</f>
        <v>4.1114810260073908E-2</v>
      </c>
      <c r="AB574" s="20">
        <f t="shared" si="98"/>
        <v>3.768584332667646E-2</v>
      </c>
    </row>
    <row r="575" spans="1:28">
      <c r="A575" s="15" t="s">
        <v>161</v>
      </c>
      <c r="B575" s="15" t="s">
        <v>120</v>
      </c>
      <c r="C575" s="15" t="s">
        <v>117</v>
      </c>
      <c r="D575" s="16">
        <v>0.21633554083885201</v>
      </c>
      <c r="E575" s="16">
        <v>0.4</v>
      </c>
      <c r="F575" s="16">
        <v>0.125</v>
      </c>
      <c r="G575" s="16">
        <v>0.27619047619047599</v>
      </c>
      <c r="H575" s="16">
        <v>0.25383071395123702</v>
      </c>
      <c r="I575" s="16">
        <v>0.175716457317176</v>
      </c>
      <c r="J575" s="16">
        <v>0.70482376698412497</v>
      </c>
      <c r="K575" s="16">
        <v>0.66196048073974501</v>
      </c>
      <c r="L575" s="16">
        <v>0.87515510257267104</v>
      </c>
      <c r="M575" s="16">
        <v>0.86915887850467299</v>
      </c>
      <c r="N575" s="16">
        <v>0.88333333333333297</v>
      </c>
      <c r="O575" s="16">
        <v>1</v>
      </c>
      <c r="P575" s="17">
        <f t="shared" si="88"/>
        <v>0.24117886471629016</v>
      </c>
      <c r="Q575" s="17">
        <f t="shared" si="89"/>
        <v>0.74731311676551371</v>
      </c>
      <c r="R575" s="17">
        <f t="shared" si="90"/>
        <v>0.91749740394600199</v>
      </c>
      <c r="S575" s="17">
        <f>'02_지표정의'!$C$22*P575+'02_지표정의'!$C$23*Q575+'02_지표정의'!$C$24*R575</f>
        <v>0.70565076686883987</v>
      </c>
      <c r="T575" s="5">
        <f t="shared" si="91"/>
        <v>0</v>
      </c>
      <c r="U575" s="5" t="str">
        <f t="shared" si="92"/>
        <v>보고서</v>
      </c>
      <c r="V575" s="18">
        <f t="shared" si="93"/>
        <v>836</v>
      </c>
      <c r="W575" s="5">
        <f t="shared" si="94"/>
        <v>559</v>
      </c>
      <c r="X575" s="5">
        <f t="shared" si="95"/>
        <v>511</v>
      </c>
      <c r="Y575" s="5">
        <f t="shared" si="96"/>
        <v>0</v>
      </c>
      <c r="Z575" s="19">
        <f t="shared" si="97"/>
        <v>65</v>
      </c>
      <c r="AA575" s="20">
        <f>ABS(S575-SUMPRODUCT(('05B_가정검정'!$A$5:$A$19=B575)*('05B_가정검정'!$B$5:$B$19=C575)*'05B_가정검정'!$E$5:$E$19))</f>
        <v>7.7601806811718799E-2</v>
      </c>
      <c r="AB575" s="20">
        <f t="shared" si="98"/>
        <v>7.4348063444082735E-2</v>
      </c>
    </row>
    <row r="576" spans="1:28">
      <c r="A576" s="15" t="s">
        <v>161</v>
      </c>
      <c r="B576" s="15" t="s">
        <v>120</v>
      </c>
      <c r="C576" s="15" t="s">
        <v>118</v>
      </c>
      <c r="D576" s="16">
        <v>0.25879396984924602</v>
      </c>
      <c r="E576" s="16">
        <v>0.37410071942445999</v>
      </c>
      <c r="F576" s="16">
        <v>0.18115942028985499</v>
      </c>
      <c r="G576" s="16">
        <v>0.25179856115107901</v>
      </c>
      <c r="H576" s="16">
        <v>0.18425919015839601</v>
      </c>
      <c r="I576" s="16">
        <v>0.15984930785142701</v>
      </c>
      <c r="J576" s="16">
        <v>0.699958915265117</v>
      </c>
      <c r="K576" s="16">
        <v>0.62692754851657295</v>
      </c>
      <c r="L576" s="16">
        <v>0.80891294745408204</v>
      </c>
      <c r="M576" s="16">
        <v>0.36329588014981301</v>
      </c>
      <c r="N576" s="16">
        <v>0.42063492063492097</v>
      </c>
      <c r="O576" s="16">
        <v>1</v>
      </c>
      <c r="P576" s="17">
        <f t="shared" si="88"/>
        <v>0.23499352812074381</v>
      </c>
      <c r="Q576" s="17">
        <f t="shared" si="89"/>
        <v>0.71193313707859074</v>
      </c>
      <c r="R576" s="17">
        <f t="shared" si="90"/>
        <v>0.59464360026157792</v>
      </c>
      <c r="S576" s="17">
        <f>'02_지표정의'!$C$22*P576+'02_지표정의'!$C$23*Q576+'02_지표정의'!$C$24*R576</f>
        <v>0.57549387740106683</v>
      </c>
      <c r="T576" s="5">
        <f t="shared" si="91"/>
        <v>0</v>
      </c>
      <c r="U576" s="5" t="str">
        <f t="shared" si="92"/>
        <v>보고서</v>
      </c>
      <c r="V576" s="18">
        <f t="shared" si="93"/>
        <v>310</v>
      </c>
      <c r="W576" s="5">
        <f t="shared" si="94"/>
        <v>251</v>
      </c>
      <c r="X576" s="5">
        <f t="shared" si="95"/>
        <v>0</v>
      </c>
      <c r="Y576" s="5">
        <f t="shared" si="96"/>
        <v>238</v>
      </c>
      <c r="Z576" s="19">
        <f t="shared" si="97"/>
        <v>32</v>
      </c>
      <c r="AA576" s="20">
        <f>ABS(S576-SUMPRODUCT(('05B_가정검정'!$A$5:$A$19=B576)*('05B_가정검정'!$B$5:$B$19=C576)*'05B_가정검정'!$E$5:$E$19))</f>
        <v>1.5334971180561152E-2</v>
      </c>
      <c r="AB576" s="20">
        <f t="shared" si="98"/>
        <v>6.0310143895603296E-4</v>
      </c>
    </row>
    <row r="577" spans="1:28">
      <c r="A577" s="15" t="s">
        <v>161</v>
      </c>
      <c r="B577" s="15" t="s">
        <v>120</v>
      </c>
      <c r="C577" s="15" t="s">
        <v>119</v>
      </c>
      <c r="D577" s="16">
        <v>0.24825662482566299</v>
      </c>
      <c r="E577" s="16">
        <v>0.51428571428571401</v>
      </c>
      <c r="F577" s="16">
        <v>0.23121387283236999</v>
      </c>
      <c r="G577" s="16">
        <v>0.38857142857142901</v>
      </c>
      <c r="H577" s="16">
        <v>0.34064526129133399</v>
      </c>
      <c r="I577" s="16">
        <v>0.18809600088794101</v>
      </c>
      <c r="J577" s="16">
        <v>0.70657205616948204</v>
      </c>
      <c r="K577" s="16">
        <v>0.61467092210241903</v>
      </c>
      <c r="L577" s="16">
        <v>0.85096987456905704</v>
      </c>
      <c r="M577" s="16">
        <v>0.86915887850467299</v>
      </c>
      <c r="N577" s="16">
        <v>0.88333333333333297</v>
      </c>
      <c r="O577" s="16">
        <v>1</v>
      </c>
      <c r="P577" s="17">
        <f t="shared" si="88"/>
        <v>0.31851148378240851</v>
      </c>
      <c r="Q577" s="17">
        <f t="shared" si="89"/>
        <v>0.72407095094698593</v>
      </c>
      <c r="R577" s="17">
        <f t="shared" si="90"/>
        <v>0.91749740394600199</v>
      </c>
      <c r="S577" s="17">
        <f>'02_지표정의'!$C$22*P577+'02_지표정의'!$C$23*Q577+'02_지표정의'!$C$24*R577</f>
        <v>0.71065831606372609</v>
      </c>
      <c r="T577" s="5">
        <f t="shared" si="91"/>
        <v>0</v>
      </c>
      <c r="U577" s="5" t="str">
        <f t="shared" si="92"/>
        <v>보고서</v>
      </c>
      <c r="V577" s="18">
        <f t="shared" si="93"/>
        <v>847</v>
      </c>
      <c r="W577" s="5">
        <f t="shared" si="94"/>
        <v>0</v>
      </c>
      <c r="X577" s="5">
        <f t="shared" si="95"/>
        <v>522</v>
      </c>
      <c r="Y577" s="5">
        <f t="shared" si="96"/>
        <v>609</v>
      </c>
      <c r="Z577" s="19">
        <f t="shared" si="97"/>
        <v>63</v>
      </c>
      <c r="AA577" s="20">
        <f>ABS(S577-SUMPRODUCT(('05B_가정검정'!$A$5:$A$19=B577)*('05B_가정검정'!$B$5:$B$19=C577)*'05B_가정검정'!$E$5:$E$19))</f>
        <v>4.6980999582339811E-2</v>
      </c>
      <c r="AB577" s="20">
        <f t="shared" si="98"/>
        <v>5.2235308552910475E-2</v>
      </c>
    </row>
    <row r="578" spans="1:28">
      <c r="A578" s="15" t="s">
        <v>161</v>
      </c>
      <c r="B578" s="15" t="s">
        <v>121</v>
      </c>
      <c r="C578" s="15" t="s">
        <v>117</v>
      </c>
      <c r="D578" s="16">
        <v>0.202304737516005</v>
      </c>
      <c r="E578" s="16">
        <v>0.35294117647058798</v>
      </c>
      <c r="F578" s="16">
        <v>0.12972972972972999</v>
      </c>
      <c r="G578" s="16">
        <v>0.28877005347593598</v>
      </c>
      <c r="H578" s="16">
        <v>0.26824118869957397</v>
      </c>
      <c r="I578" s="16">
        <v>0.14580828087599901</v>
      </c>
      <c r="J578" s="16">
        <v>0.73520340881724699</v>
      </c>
      <c r="K578" s="16">
        <v>0.79746447286031796</v>
      </c>
      <c r="L578" s="16">
        <v>0.90711391584534595</v>
      </c>
      <c r="M578" s="16">
        <v>0.90654205607476601</v>
      </c>
      <c r="N578" s="16">
        <v>0.91666666666666696</v>
      </c>
      <c r="O578" s="16">
        <v>1</v>
      </c>
      <c r="P578" s="17">
        <f t="shared" ref="P578:P641" si="99">AVERAGE(D578:I578)</f>
        <v>0.23129919446130531</v>
      </c>
      <c r="Q578" s="17">
        <f t="shared" ref="Q578:Q641" si="100">AVERAGE(J578:L578)</f>
        <v>0.8132605991743036</v>
      </c>
      <c r="R578" s="17">
        <f t="shared" ref="R578:R641" si="101">AVERAGE(M578:O578)</f>
        <v>0.94106957424714432</v>
      </c>
      <c r="S578" s="17">
        <f>'02_지표정의'!$C$22*P578+'02_지표정의'!$C$23*Q578+'02_지표정의'!$C$24*R578</f>
        <v>0.74160145950719814</v>
      </c>
      <c r="T578" s="5">
        <f t="shared" ref="T578:T641" si="102">IF(OR(AND(B578="gemini",C578="gemma"),AND(B578="qwen3_6",C578="qwen"),AND(B578="mistral",C578="ministral")),1,0)</f>
        <v>1</v>
      </c>
      <c r="U578" s="5" t="str">
        <f t="shared" ref="U578:U641" si="103">IF(LEFT(A578,3)="PAT","특허","보고서")</f>
        <v>보고서</v>
      </c>
      <c r="V578" s="18">
        <f t="shared" ref="V578:V641" si="104">COUNTIF($S$2:$S$976,"&lt;"&amp;S578)+(COUNTIF($S$2:$S$976,"="&amp;S578)+1)/2</f>
        <v>929</v>
      </c>
      <c r="W578" s="5">
        <f t="shared" ref="W578:W641" si="105">IF(C578="qwen",0,COUNTIFS($C$2:$C$976,"&lt;&gt;qwen",$S$2:$S$976,"&lt;"&amp;S578)+1)</f>
        <v>630</v>
      </c>
      <c r="X578" s="5">
        <f t="shared" ref="X578:X641" si="106">IF(C578="ministral",0,COUNTIFS($C$2:$C$976,"&lt;&gt;ministral",$S$2:$S$976,"&lt;"&amp;S578)+1)</f>
        <v>604</v>
      </c>
      <c r="Y578" s="5">
        <f t="shared" ref="Y578:Y641" si="107">IF(C578="gemma",0,COUNTIFS($C$2:$C$976,"&lt;&gt;gemma",$S$2:$S$976,"&lt;"&amp;S578)+1)</f>
        <v>0</v>
      </c>
      <c r="Z578" s="19">
        <f t="shared" ref="Z578:Z641" si="108">COUNTIFS($B$2:$B$976,B578,$C$2:$C$976,C578,$S$2:$S$976,"&lt;"&amp;S578)+1</f>
        <v>49</v>
      </c>
      <c r="AA578" s="20">
        <f>ABS(S578-SUMPRODUCT(('05B_가정검정'!$A$5:$A$19=B578)*('05B_가정검정'!$B$5:$B$19=C578)*'05B_가정검정'!$E$5:$E$19))</f>
        <v>1.2169388125316982E-2</v>
      </c>
      <c r="AB578" s="20">
        <f t="shared" ref="AB578:AB641" si="109">S578-AVERAGEIFS($S$2:$S$976,$B$2:$B$976,B578,$C$2:$C$976,C578)</f>
        <v>2.3949666434317174E-2</v>
      </c>
    </row>
    <row r="579" spans="1:28">
      <c r="A579" s="15" t="s">
        <v>161</v>
      </c>
      <c r="B579" s="15" t="s">
        <v>121</v>
      </c>
      <c r="C579" s="15" t="s">
        <v>118</v>
      </c>
      <c r="D579" s="16">
        <v>0.23845007451564801</v>
      </c>
      <c r="E579" s="16">
        <v>0.32156862745098003</v>
      </c>
      <c r="F579" s="16">
        <v>0.173913043478261</v>
      </c>
      <c r="G579" s="16">
        <v>0.266666666666667</v>
      </c>
      <c r="H579" s="16">
        <v>0.17671401883483701</v>
      </c>
      <c r="I579" s="16">
        <v>0.14231383405012599</v>
      </c>
      <c r="J579" s="16">
        <v>0.72517638420368202</v>
      </c>
      <c r="K579" s="16">
        <v>0.75039245434421997</v>
      </c>
      <c r="L579" s="16">
        <v>0.866225622526968</v>
      </c>
      <c r="M579" s="16">
        <v>0.36329588014981301</v>
      </c>
      <c r="N579" s="16">
        <v>0.43650793650793701</v>
      </c>
      <c r="O579" s="16">
        <v>1</v>
      </c>
      <c r="P579" s="17">
        <f t="shared" si="99"/>
        <v>0.21993771083275318</v>
      </c>
      <c r="Q579" s="17">
        <f t="shared" si="100"/>
        <v>0.78059815369162333</v>
      </c>
      <c r="R579" s="17">
        <f t="shared" si="101"/>
        <v>0.59993460555258338</v>
      </c>
      <c r="S579" s="17">
        <f>'02_지표정의'!$C$22*P579+'02_지표정의'!$C$23*Q579+'02_지표정의'!$C$24*R579</f>
        <v>0.60523382327118536</v>
      </c>
      <c r="T579" s="5">
        <f t="shared" si="102"/>
        <v>0</v>
      </c>
      <c r="U579" s="5" t="str">
        <f t="shared" si="103"/>
        <v>보고서</v>
      </c>
      <c r="V579" s="18">
        <f t="shared" si="104"/>
        <v>414</v>
      </c>
      <c r="W579" s="5">
        <f t="shared" si="105"/>
        <v>335</v>
      </c>
      <c r="X579" s="5">
        <f t="shared" si="106"/>
        <v>0</v>
      </c>
      <c r="Y579" s="5">
        <f t="shared" si="107"/>
        <v>314</v>
      </c>
      <c r="Z579" s="19">
        <f t="shared" si="108"/>
        <v>37</v>
      </c>
      <c r="AA579" s="20">
        <f>ABS(S579-SUMPRODUCT(('05B_가정검정'!$A$5:$A$19=B579)*('05B_가정검정'!$B$5:$B$19=C579)*'05B_가정검정'!$E$5:$E$19))</f>
        <v>6.6543331042169251E-3</v>
      </c>
      <c r="AB579" s="20">
        <f t="shared" si="109"/>
        <v>2.5834748744372082E-2</v>
      </c>
    </row>
    <row r="580" spans="1:28">
      <c r="A580" s="15" t="s">
        <v>161</v>
      </c>
      <c r="B580" s="15" t="s">
        <v>121</v>
      </c>
      <c r="C580" s="15" t="s">
        <v>119</v>
      </c>
      <c r="D580" s="16">
        <v>0.239864864864865</v>
      </c>
      <c r="E580" s="16">
        <v>0.51315789473684204</v>
      </c>
      <c r="F580" s="16">
        <v>0.25333333333333302</v>
      </c>
      <c r="G580" s="16">
        <v>0.42105263157894701</v>
      </c>
      <c r="H580" s="16">
        <v>0.38227366691903503</v>
      </c>
      <c r="I580" s="16">
        <v>0.188518129663689</v>
      </c>
      <c r="J580" s="16">
        <v>0.770330836011477</v>
      </c>
      <c r="K580" s="16">
        <v>0.76684377317184504</v>
      </c>
      <c r="L580" s="16">
        <v>0.89426881304669303</v>
      </c>
      <c r="M580" s="16">
        <v>0.90654205607476601</v>
      </c>
      <c r="N580" s="16">
        <v>0.91666666666666696</v>
      </c>
      <c r="O580" s="16">
        <v>1</v>
      </c>
      <c r="P580" s="17">
        <f t="shared" si="99"/>
        <v>0.3330334201827852</v>
      </c>
      <c r="Q580" s="17">
        <f t="shared" si="100"/>
        <v>0.81048114074333844</v>
      </c>
      <c r="R580" s="17">
        <f t="shared" si="101"/>
        <v>0.94106957424714432</v>
      </c>
      <c r="S580" s="17">
        <f>'02_지표정의'!$C$22*P580+'02_지표정의'!$C$23*Q580+'02_지표정의'!$C$24*R580</f>
        <v>0.76069754835755976</v>
      </c>
      <c r="T580" s="5">
        <f t="shared" si="102"/>
        <v>0</v>
      </c>
      <c r="U580" s="5" t="str">
        <f t="shared" si="103"/>
        <v>보고서</v>
      </c>
      <c r="V580" s="18">
        <f t="shared" si="104"/>
        <v>965</v>
      </c>
      <c r="W580" s="5">
        <f t="shared" si="105"/>
        <v>0</v>
      </c>
      <c r="X580" s="5">
        <f t="shared" si="106"/>
        <v>640</v>
      </c>
      <c r="Y580" s="5">
        <f t="shared" si="107"/>
        <v>640</v>
      </c>
      <c r="Z580" s="19">
        <f t="shared" si="108"/>
        <v>58</v>
      </c>
      <c r="AA580" s="20">
        <f>ABS(S580-SUMPRODUCT(('05B_가정검정'!$A$5:$A$19=B580)*('05B_가정검정'!$B$5:$B$19=C580)*'05B_가정검정'!$E$5:$E$19))</f>
        <v>6.8377705561706081E-2</v>
      </c>
      <c r="AB580" s="20">
        <f t="shared" si="109"/>
        <v>7.246057293794872E-2</v>
      </c>
    </row>
    <row r="581" spans="1:28">
      <c r="A581" s="15" t="s">
        <v>161</v>
      </c>
      <c r="B581" s="15" t="s">
        <v>122</v>
      </c>
      <c r="C581" s="15" t="s">
        <v>117</v>
      </c>
      <c r="D581" s="16">
        <v>0.194148936170213</v>
      </c>
      <c r="E581" s="16">
        <v>0.33695652173912999</v>
      </c>
      <c r="F581" s="16">
        <v>0.14285714285714299</v>
      </c>
      <c r="G581" s="16">
        <v>0.27173913043478298</v>
      </c>
      <c r="H581" s="16">
        <v>0.26217786638367102</v>
      </c>
      <c r="I581" s="16">
        <v>0.13071588005808801</v>
      </c>
      <c r="J581" s="16">
        <v>0.71638412669357798</v>
      </c>
      <c r="K581" s="16">
        <v>0.73653945290105804</v>
      </c>
      <c r="L581" s="16">
        <v>0.86752104072332603</v>
      </c>
      <c r="M581" s="16">
        <v>0.65925925925925899</v>
      </c>
      <c r="N581" s="16">
        <v>0.66216216216216195</v>
      </c>
      <c r="O581" s="16">
        <v>1</v>
      </c>
      <c r="P581" s="17">
        <f t="shared" si="99"/>
        <v>0.22309924627383801</v>
      </c>
      <c r="Q581" s="17">
        <f t="shared" si="100"/>
        <v>0.77348154010598735</v>
      </c>
      <c r="R581" s="17">
        <f t="shared" si="101"/>
        <v>0.77380714047380694</v>
      </c>
      <c r="S581" s="17">
        <f>'02_지표정의'!$C$22*P581+'02_지표정의'!$C$23*Q581+'02_지표정의'!$C$24*R581</f>
        <v>0.66351904146829432</v>
      </c>
      <c r="T581" s="5">
        <f t="shared" si="102"/>
        <v>0</v>
      </c>
      <c r="U581" s="5" t="str">
        <f t="shared" si="103"/>
        <v>보고서</v>
      </c>
      <c r="V581" s="18">
        <f t="shared" si="104"/>
        <v>688</v>
      </c>
      <c r="W581" s="5">
        <f t="shared" si="105"/>
        <v>500</v>
      </c>
      <c r="X581" s="5">
        <f t="shared" si="106"/>
        <v>369</v>
      </c>
      <c r="Y581" s="5">
        <f t="shared" si="107"/>
        <v>0</v>
      </c>
      <c r="Z581" s="19">
        <f t="shared" si="108"/>
        <v>55</v>
      </c>
      <c r="AA581" s="20">
        <f>ABS(S581-SUMPRODUCT(('05B_가정검정'!$A$5:$A$19=B581)*('05B_가정검정'!$B$5:$B$19=C581)*'05B_가정검정'!$E$5:$E$19))</f>
        <v>2.4166086759615846E-2</v>
      </c>
      <c r="AB581" s="20">
        <f t="shared" si="109"/>
        <v>4.0637419278648168E-2</v>
      </c>
    </row>
    <row r="582" spans="1:28">
      <c r="A582" s="15" t="s">
        <v>161</v>
      </c>
      <c r="B582" s="15" t="s">
        <v>122</v>
      </c>
      <c r="C582" s="15" t="s">
        <v>118</v>
      </c>
      <c r="D582" s="16">
        <v>0.29906542056074797</v>
      </c>
      <c r="E582" s="16">
        <v>0.34920634920634902</v>
      </c>
      <c r="F582" s="16">
        <v>0.2</v>
      </c>
      <c r="G582" s="16">
        <v>0.30158730158730201</v>
      </c>
      <c r="H582" s="16">
        <v>0.192080550602374</v>
      </c>
      <c r="I582" s="16">
        <v>0.15763838638217101</v>
      </c>
      <c r="J582" s="16">
        <v>0.73368978361750803</v>
      </c>
      <c r="K582" s="16">
        <v>0.66763347568868003</v>
      </c>
      <c r="L582" s="16">
        <v>0.832421650818156</v>
      </c>
      <c r="M582" s="16">
        <v>0.43820224719101097</v>
      </c>
      <c r="N582" s="16">
        <v>0.38095238095238099</v>
      </c>
      <c r="O582" s="16">
        <v>1</v>
      </c>
      <c r="P582" s="17">
        <f t="shared" si="99"/>
        <v>0.24992966805649067</v>
      </c>
      <c r="Q582" s="17">
        <f t="shared" si="100"/>
        <v>0.74458163670811472</v>
      </c>
      <c r="R582" s="17">
        <f t="shared" si="101"/>
        <v>0.60638487604779734</v>
      </c>
      <c r="S582" s="17">
        <f>'02_지표정의'!$C$22*P582+'02_지표정의'!$C$23*Q582+'02_지표정의'!$C$24*R582</f>
        <v>0.59728237674667883</v>
      </c>
      <c r="T582" s="5">
        <f t="shared" si="102"/>
        <v>1</v>
      </c>
      <c r="U582" s="5" t="str">
        <f t="shared" si="103"/>
        <v>보고서</v>
      </c>
      <c r="V582" s="18">
        <f t="shared" si="104"/>
        <v>384</v>
      </c>
      <c r="W582" s="5">
        <f t="shared" si="105"/>
        <v>310</v>
      </c>
      <c r="X582" s="5">
        <f t="shared" si="106"/>
        <v>0</v>
      </c>
      <c r="Y582" s="5">
        <f t="shared" si="107"/>
        <v>293</v>
      </c>
      <c r="Z582" s="19">
        <f t="shared" si="108"/>
        <v>43</v>
      </c>
      <c r="AA582" s="20">
        <f>ABS(S582-SUMPRODUCT(('05B_가정검정'!$A$5:$A$19=B582)*('05B_가정검정'!$B$5:$B$19=C582)*'05B_가정검정'!$E$5:$E$19))</f>
        <v>1.0360440749520583E-2</v>
      </c>
      <c r="AB582" s="20">
        <f t="shared" si="109"/>
        <v>1.6059100528995063E-2</v>
      </c>
    </row>
    <row r="583" spans="1:28">
      <c r="A583" s="15" t="s">
        <v>161</v>
      </c>
      <c r="B583" s="15" t="s">
        <v>122</v>
      </c>
      <c r="C583" s="15" t="s">
        <v>119</v>
      </c>
      <c r="D583" s="16">
        <v>0.28419182948490201</v>
      </c>
      <c r="E583" s="16">
        <v>0.48322147651006703</v>
      </c>
      <c r="F583" s="16">
        <v>0.24489795918367299</v>
      </c>
      <c r="G583" s="16">
        <v>0.42953020134228198</v>
      </c>
      <c r="H583" s="16">
        <v>0.38267437713091501</v>
      </c>
      <c r="I583" s="16">
        <v>0.170285536870938</v>
      </c>
      <c r="J583" s="16">
        <v>0.77047164916189903</v>
      </c>
      <c r="K583" s="16">
        <v>0.71929679377870703</v>
      </c>
      <c r="L583" s="16">
        <v>0.862313711016649</v>
      </c>
      <c r="M583" s="16">
        <v>0.65925925925925899</v>
      </c>
      <c r="N583" s="16">
        <v>0.66216216216216195</v>
      </c>
      <c r="O583" s="16">
        <v>1</v>
      </c>
      <c r="P583" s="17">
        <f t="shared" si="99"/>
        <v>0.33246689675379615</v>
      </c>
      <c r="Q583" s="17">
        <f t="shared" si="100"/>
        <v>0.78402738465241839</v>
      </c>
      <c r="R583" s="17">
        <f t="shared" si="101"/>
        <v>0.77380714047380694</v>
      </c>
      <c r="S583" s="17">
        <f>'02_지표정의'!$C$22*P583+'02_지표정의'!$C$23*Q583+'02_지표정의'!$C$24*R583</f>
        <v>0.69013820161017991</v>
      </c>
      <c r="T583" s="5">
        <f t="shared" si="102"/>
        <v>0</v>
      </c>
      <c r="U583" s="5" t="str">
        <f t="shared" si="103"/>
        <v>보고서</v>
      </c>
      <c r="V583" s="18">
        <f t="shared" si="104"/>
        <v>787</v>
      </c>
      <c r="W583" s="5">
        <f t="shared" si="105"/>
        <v>0</v>
      </c>
      <c r="X583" s="5">
        <f t="shared" si="106"/>
        <v>463</v>
      </c>
      <c r="Y583" s="5">
        <f t="shared" si="107"/>
        <v>569</v>
      </c>
      <c r="Z583" s="19">
        <f t="shared" si="108"/>
        <v>62</v>
      </c>
      <c r="AA583" s="20">
        <f>ABS(S583-SUMPRODUCT(('05B_가정검정'!$A$5:$A$19=B583)*('05B_가정검정'!$B$5:$B$19=C583)*'05B_가정검정'!$E$5:$E$19))</f>
        <v>5.4532013708728511E-2</v>
      </c>
      <c r="AB583" s="20">
        <f t="shared" si="109"/>
        <v>5.8749335295293914E-2</v>
      </c>
    </row>
    <row r="584" spans="1:28">
      <c r="A584" s="15" t="s">
        <v>161</v>
      </c>
      <c r="B584" s="15" t="s">
        <v>123</v>
      </c>
      <c r="C584" s="15" t="s">
        <v>117</v>
      </c>
      <c r="D584" s="16">
        <v>0.228320526893524</v>
      </c>
      <c r="E584" s="16">
        <v>0.34482758620689702</v>
      </c>
      <c r="F584" s="16">
        <v>0.11304347826087</v>
      </c>
      <c r="G584" s="16">
        <v>0.26724137931034497</v>
      </c>
      <c r="H584" s="16">
        <v>0.39469173477876901</v>
      </c>
      <c r="I584" s="16">
        <v>0.18078610380437499</v>
      </c>
      <c r="J584" s="16">
        <v>0.73247106083192703</v>
      </c>
      <c r="K584" s="16">
        <v>0.71596733404478297</v>
      </c>
      <c r="L584" s="16">
        <v>0.90399121347979605</v>
      </c>
      <c r="M584" s="16">
        <v>0.90654205607476601</v>
      </c>
      <c r="N584" s="16">
        <v>0.91666666666666696</v>
      </c>
      <c r="O584" s="16">
        <v>1</v>
      </c>
      <c r="P584" s="17">
        <f t="shared" si="99"/>
        <v>0.25481846820913001</v>
      </c>
      <c r="Q584" s="17">
        <f t="shared" si="100"/>
        <v>0.78414320278550198</v>
      </c>
      <c r="R584" s="17">
        <f t="shared" si="101"/>
        <v>0.94106957424714432</v>
      </c>
      <c r="S584" s="17">
        <f>'02_지표정의'!$C$22*P584+'02_지표정의'!$C$23*Q584+'02_지표정의'!$C$24*R584</f>
        <v>0.73320248588180237</v>
      </c>
      <c r="T584" s="5">
        <f t="shared" si="102"/>
        <v>0</v>
      </c>
      <c r="U584" s="5" t="str">
        <f t="shared" si="103"/>
        <v>보고서</v>
      </c>
      <c r="V584" s="18">
        <f t="shared" si="104"/>
        <v>911</v>
      </c>
      <c r="W584" s="5">
        <f t="shared" si="105"/>
        <v>616</v>
      </c>
      <c r="X584" s="5">
        <f t="shared" si="106"/>
        <v>586</v>
      </c>
      <c r="Y584" s="5">
        <f t="shared" si="107"/>
        <v>0</v>
      </c>
      <c r="Z584" s="19">
        <f t="shared" si="108"/>
        <v>57</v>
      </c>
      <c r="AA584" s="20">
        <f>ABS(S584-SUMPRODUCT(('05B_가정검정'!$A$5:$A$19=B584)*('05B_가정검정'!$B$5:$B$19=C584)*'05B_가정검정'!$E$5:$E$19))</f>
        <v>1.8279603105578635E-2</v>
      </c>
      <c r="AB584" s="20">
        <f t="shared" si="109"/>
        <v>2.5217034070559197E-2</v>
      </c>
    </row>
    <row r="585" spans="1:28">
      <c r="A585" s="15" t="s">
        <v>161</v>
      </c>
      <c r="B585" s="15" t="s">
        <v>123</v>
      </c>
      <c r="C585" s="15" t="s">
        <v>118</v>
      </c>
      <c r="D585" s="16">
        <v>0.219725343320849</v>
      </c>
      <c r="E585" s="16">
        <v>0.353333333333333</v>
      </c>
      <c r="F585" s="16">
        <v>0.17449664429530201</v>
      </c>
      <c r="G585" s="16">
        <v>0.25333333333333302</v>
      </c>
      <c r="H585" s="16">
        <v>0.23144376349920101</v>
      </c>
      <c r="I585" s="16">
        <v>0.178406603538519</v>
      </c>
      <c r="J585" s="16">
        <v>0.71206855090510601</v>
      </c>
      <c r="K585" s="16">
        <v>0.60010847915244503</v>
      </c>
      <c r="L585" s="16">
        <v>0.809803509219433</v>
      </c>
      <c r="M585" s="16">
        <v>0.36329588014981301</v>
      </c>
      <c r="N585" s="16">
        <v>0.43650793650793701</v>
      </c>
      <c r="O585" s="16">
        <v>1</v>
      </c>
      <c r="P585" s="17">
        <f t="shared" si="99"/>
        <v>0.23512317022008952</v>
      </c>
      <c r="Q585" s="17">
        <f t="shared" si="100"/>
        <v>0.70732684642566135</v>
      </c>
      <c r="R585" s="17">
        <f t="shared" si="101"/>
        <v>0.59993460555258338</v>
      </c>
      <c r="S585" s="17">
        <f>'02_지표정의'!$C$22*P585+'02_지표정의'!$C$23*Q585+'02_지표정의'!$C$24*R585</f>
        <v>0.57529882687896972</v>
      </c>
      <c r="T585" s="5">
        <f t="shared" si="102"/>
        <v>0</v>
      </c>
      <c r="U585" s="5" t="str">
        <f t="shared" si="103"/>
        <v>보고서</v>
      </c>
      <c r="V585" s="18">
        <f t="shared" si="104"/>
        <v>308</v>
      </c>
      <c r="W585" s="5">
        <f t="shared" si="105"/>
        <v>249</v>
      </c>
      <c r="X585" s="5">
        <f t="shared" si="106"/>
        <v>0</v>
      </c>
      <c r="Y585" s="5">
        <f t="shared" si="107"/>
        <v>237</v>
      </c>
      <c r="Z585" s="19">
        <f t="shared" si="108"/>
        <v>33</v>
      </c>
      <c r="AA585" s="20">
        <f>ABS(S585-SUMPRODUCT(('05B_가정검정'!$A$5:$A$19=B585)*('05B_가정검정'!$B$5:$B$19=C585)*'05B_가정검정'!$E$5:$E$19))</f>
        <v>0</v>
      </c>
      <c r="AB585" s="20">
        <f t="shared" si="109"/>
        <v>1.5427218954478628E-2</v>
      </c>
    </row>
    <row r="586" spans="1:28">
      <c r="A586" s="15" t="s">
        <v>161</v>
      </c>
      <c r="B586" s="15" t="s">
        <v>123</v>
      </c>
      <c r="C586" s="15" t="s">
        <v>119</v>
      </c>
      <c r="D586" s="16">
        <v>0.26038781163434899</v>
      </c>
      <c r="E586" s="16">
        <v>0.47715736040609102</v>
      </c>
      <c r="F586" s="16">
        <v>0.18461538461538499</v>
      </c>
      <c r="G586" s="16">
        <v>0.365482233502538</v>
      </c>
      <c r="H586" s="16">
        <v>0.363647717592751</v>
      </c>
      <c r="I586" s="16">
        <v>0.16590980347817399</v>
      </c>
      <c r="J586" s="16">
        <v>0.73252085675485401</v>
      </c>
      <c r="K586" s="16">
        <v>0.69372142249185398</v>
      </c>
      <c r="L586" s="16">
        <v>0.89896677033789296</v>
      </c>
      <c r="M586" s="16">
        <v>0.90654205607476601</v>
      </c>
      <c r="N586" s="16">
        <v>0.91666666666666696</v>
      </c>
      <c r="O586" s="16">
        <v>1</v>
      </c>
      <c r="P586" s="17">
        <f t="shared" si="99"/>
        <v>0.30286671853821467</v>
      </c>
      <c r="Q586" s="17">
        <f t="shared" si="100"/>
        <v>0.77506968319486702</v>
      </c>
      <c r="R586" s="17">
        <f t="shared" si="101"/>
        <v>0.94106957424714432</v>
      </c>
      <c r="S586" s="17">
        <f>'02_지표정의'!$C$22*P586+'02_지표정의'!$C$23*Q586+'02_지표정의'!$C$24*R586</f>
        <v>0.7387290521318336</v>
      </c>
      <c r="T586" s="5">
        <f t="shared" si="102"/>
        <v>1</v>
      </c>
      <c r="U586" s="5" t="str">
        <f t="shared" si="103"/>
        <v>보고서</v>
      </c>
      <c r="V586" s="18">
        <f t="shared" si="104"/>
        <v>922</v>
      </c>
      <c r="W586" s="5">
        <f t="shared" si="105"/>
        <v>0</v>
      </c>
      <c r="X586" s="5">
        <f t="shared" si="106"/>
        <v>597</v>
      </c>
      <c r="Y586" s="5">
        <f t="shared" si="107"/>
        <v>622</v>
      </c>
      <c r="Z586" s="19">
        <f t="shared" si="108"/>
        <v>52</v>
      </c>
      <c r="AA586" s="20">
        <f>ABS(S586-SUMPRODUCT(('05B_가정검정'!$A$5:$A$19=B586)*('05B_가정검정'!$B$5:$B$19=C586)*'05B_가정검정'!$E$5:$E$19))</f>
        <v>5.3099254807606244E-2</v>
      </c>
      <c r="AB586" s="20">
        <f t="shared" si="109"/>
        <v>5.6310319086831817E-2</v>
      </c>
    </row>
    <row r="587" spans="1:28">
      <c r="A587" s="15" t="s">
        <v>162</v>
      </c>
      <c r="B587" s="15" t="s">
        <v>116</v>
      </c>
      <c r="C587" s="15" t="s">
        <v>117</v>
      </c>
      <c r="D587" s="16">
        <v>0.20110192837465601</v>
      </c>
      <c r="E587" s="16">
        <v>0.29447852760736198</v>
      </c>
      <c r="F587" s="16">
        <v>0.12422360248447201</v>
      </c>
      <c r="G587" s="16">
        <v>0.29447852760736198</v>
      </c>
      <c r="H587" s="16">
        <v>0.21340649890585101</v>
      </c>
      <c r="I587" s="16">
        <v>0.17713760426775099</v>
      </c>
      <c r="J587" s="16">
        <v>0.67255985716278199</v>
      </c>
      <c r="K587" s="16">
        <v>0.59472061116717401</v>
      </c>
      <c r="L587" s="16">
        <v>0.75016311979406003</v>
      </c>
      <c r="M587" s="16">
        <v>0.51515151515151503</v>
      </c>
      <c r="N587" s="16">
        <v>0.213483146067416</v>
      </c>
      <c r="O587" s="16">
        <v>1</v>
      </c>
      <c r="P587" s="17">
        <f t="shared" si="99"/>
        <v>0.21747111487457568</v>
      </c>
      <c r="Q587" s="17">
        <f t="shared" si="100"/>
        <v>0.67248119604133871</v>
      </c>
      <c r="R587" s="17">
        <f t="shared" si="101"/>
        <v>0.57621155373964372</v>
      </c>
      <c r="S587" s="17">
        <f>'02_지표정의'!$C$22*P587+'02_지표정의'!$C$23*Q587+'02_지표정의'!$C$24*R587</f>
        <v>0.54778480500239279</v>
      </c>
      <c r="T587" s="5">
        <f t="shared" si="102"/>
        <v>0</v>
      </c>
      <c r="U587" s="5" t="str">
        <f t="shared" si="103"/>
        <v>보고서</v>
      </c>
      <c r="V587" s="18">
        <f t="shared" si="104"/>
        <v>194</v>
      </c>
      <c r="W587" s="5">
        <f t="shared" si="105"/>
        <v>161</v>
      </c>
      <c r="X587" s="5">
        <f t="shared" si="106"/>
        <v>59</v>
      </c>
      <c r="Y587" s="5">
        <f t="shared" si="107"/>
        <v>0</v>
      </c>
      <c r="Z587" s="19">
        <f t="shared" si="108"/>
        <v>22</v>
      </c>
      <c r="AA587" s="20">
        <f>ABS(S587-SUMPRODUCT(('05B_가정검정'!$A$5:$A$19=B587)*('05B_가정검정'!$B$5:$B$19=C587)*'05B_가정검정'!$E$5:$E$19))</f>
        <v>9.6188999825744803E-3</v>
      </c>
      <c r="AB587" s="20">
        <f t="shared" si="109"/>
        <v>-4.7663604102305968E-3</v>
      </c>
    </row>
    <row r="588" spans="1:28">
      <c r="A588" s="15" t="s">
        <v>162</v>
      </c>
      <c r="B588" s="15" t="s">
        <v>116</v>
      </c>
      <c r="C588" s="15" t="s">
        <v>118</v>
      </c>
      <c r="D588" s="16">
        <v>0.277495769881557</v>
      </c>
      <c r="E588" s="16">
        <v>0.27385892116182597</v>
      </c>
      <c r="F588" s="16">
        <v>0.108786610878661</v>
      </c>
      <c r="G588" s="16">
        <v>0.24066390041493799</v>
      </c>
      <c r="H588" s="16">
        <v>0.162894968308505</v>
      </c>
      <c r="I588" s="16">
        <v>0.38146450390532199</v>
      </c>
      <c r="J588" s="16">
        <v>0.64073765325840504</v>
      </c>
      <c r="K588" s="16">
        <v>0.67274539401723799</v>
      </c>
      <c r="L588" s="16">
        <v>0.77650733736723399</v>
      </c>
      <c r="M588" s="16">
        <v>0.52118644067796605</v>
      </c>
      <c r="N588" s="16">
        <v>1.88679245283019E-2</v>
      </c>
      <c r="O588" s="16">
        <v>1</v>
      </c>
      <c r="P588" s="17">
        <f t="shared" si="99"/>
        <v>0.24086077909180148</v>
      </c>
      <c r="Q588" s="17">
        <f t="shared" si="100"/>
        <v>0.6966634615476256</v>
      </c>
      <c r="R588" s="17">
        <f t="shared" si="101"/>
        <v>0.51335145506875601</v>
      </c>
      <c r="S588" s="17">
        <f>'02_지표정의'!$C$22*P588+'02_지표정의'!$C$23*Q588+'02_지표정의'!$C$24*R588</f>
        <v>0.54134372278885645</v>
      </c>
      <c r="T588" s="5">
        <f t="shared" si="102"/>
        <v>0</v>
      </c>
      <c r="U588" s="5" t="str">
        <f t="shared" si="103"/>
        <v>보고서</v>
      </c>
      <c r="V588" s="18">
        <f t="shared" si="104"/>
        <v>175</v>
      </c>
      <c r="W588" s="5">
        <f t="shared" si="105"/>
        <v>151</v>
      </c>
      <c r="X588" s="5">
        <f t="shared" si="106"/>
        <v>0</v>
      </c>
      <c r="Y588" s="5">
        <f t="shared" si="107"/>
        <v>156</v>
      </c>
      <c r="Z588" s="19">
        <f t="shared" si="108"/>
        <v>41</v>
      </c>
      <c r="AA588" s="20">
        <f>ABS(S588-SUMPRODUCT(('05B_가정검정'!$A$5:$A$19=B588)*('05B_가정검정'!$B$5:$B$19=C588)*'05B_가정검정'!$E$5:$E$19))</f>
        <v>1.0051301087134812E-2</v>
      </c>
      <c r="AB588" s="20">
        <f t="shared" si="109"/>
        <v>1.379469041027015E-2</v>
      </c>
    </row>
    <row r="589" spans="1:28">
      <c r="A589" s="15" t="s">
        <v>162</v>
      </c>
      <c r="B589" s="15" t="s">
        <v>116</v>
      </c>
      <c r="C589" s="15" t="s">
        <v>119</v>
      </c>
      <c r="D589" s="16">
        <v>0.30935251798561197</v>
      </c>
      <c r="E589" s="16">
        <v>0.37125748502993999</v>
      </c>
      <c r="F589" s="16">
        <v>0.16969696969697001</v>
      </c>
      <c r="G589" s="16">
        <v>0.32335329341317398</v>
      </c>
      <c r="H589" s="16">
        <v>0.28689236032134102</v>
      </c>
      <c r="I589" s="16">
        <v>0.29688067349163</v>
      </c>
      <c r="J589" s="16">
        <v>0.68055120041384898</v>
      </c>
      <c r="K589" s="16">
        <v>0.60576560055946704</v>
      </c>
      <c r="L589" s="16">
        <v>0.79516747574243996</v>
      </c>
      <c r="M589" s="16">
        <v>0.39393939393939398</v>
      </c>
      <c r="N589" s="16">
        <v>0.325842696629214</v>
      </c>
      <c r="O589" s="16">
        <v>1</v>
      </c>
      <c r="P589" s="17">
        <f t="shared" si="99"/>
        <v>0.29290554998977786</v>
      </c>
      <c r="Q589" s="17">
        <f t="shared" si="100"/>
        <v>0.69382809223858521</v>
      </c>
      <c r="R589" s="17">
        <f t="shared" si="101"/>
        <v>0.57326069685620273</v>
      </c>
      <c r="S589" s="17">
        <f>'02_지표정의'!$C$22*P589+'02_지표정의'!$C$23*Q589+'02_지표정의'!$C$24*R589</f>
        <v>0.57144499540498983</v>
      </c>
      <c r="T589" s="5">
        <f t="shared" si="102"/>
        <v>0</v>
      </c>
      <c r="U589" s="5" t="str">
        <f t="shared" si="103"/>
        <v>보고서</v>
      </c>
      <c r="V589" s="18">
        <f t="shared" si="104"/>
        <v>292</v>
      </c>
      <c r="W589" s="5">
        <f t="shared" si="105"/>
        <v>0</v>
      </c>
      <c r="X589" s="5">
        <f t="shared" si="106"/>
        <v>120</v>
      </c>
      <c r="Y589" s="5">
        <f t="shared" si="107"/>
        <v>228</v>
      </c>
      <c r="Z589" s="19">
        <f t="shared" si="108"/>
        <v>47</v>
      </c>
      <c r="AA589" s="20">
        <f>ABS(S589-SUMPRODUCT(('05B_가정검정'!$A$5:$A$19=B589)*('05B_가정검정'!$B$5:$B$19=C589)*'05B_가정검정'!$E$5:$E$19))</f>
        <v>1.8421478662207225E-2</v>
      </c>
      <c r="AB589" s="20">
        <f t="shared" si="109"/>
        <v>1.4992511728809776E-2</v>
      </c>
    </row>
    <row r="590" spans="1:28">
      <c r="A590" s="15" t="s">
        <v>162</v>
      </c>
      <c r="B590" s="15" t="s">
        <v>120</v>
      </c>
      <c r="C590" s="15" t="s">
        <v>117</v>
      </c>
      <c r="D590" s="16">
        <v>0.21698113207547201</v>
      </c>
      <c r="E590" s="16">
        <v>0.29838709677419401</v>
      </c>
      <c r="F590" s="16">
        <v>7.3170731707317097E-2</v>
      </c>
      <c r="G590" s="16">
        <v>0.209677419354839</v>
      </c>
      <c r="H590" s="16">
        <v>0.30985176848090101</v>
      </c>
      <c r="I590" s="16">
        <v>0.119561091549076</v>
      </c>
      <c r="J590" s="16">
        <v>0.68219135777209705</v>
      </c>
      <c r="K590" s="16">
        <v>0.66271521404793698</v>
      </c>
      <c r="L590" s="16">
        <v>0.85880609618328996</v>
      </c>
      <c r="M590" s="16">
        <v>0.56707317073170704</v>
      </c>
      <c r="N590" s="16">
        <v>0.52127659574468099</v>
      </c>
      <c r="O590" s="16">
        <v>1</v>
      </c>
      <c r="P590" s="17">
        <f t="shared" si="99"/>
        <v>0.2046048733236332</v>
      </c>
      <c r="Q590" s="17">
        <f t="shared" si="100"/>
        <v>0.73457088933444137</v>
      </c>
      <c r="R590" s="17">
        <f t="shared" si="101"/>
        <v>0.69611658882546268</v>
      </c>
      <c r="S590" s="17">
        <f>'02_지표정의'!$C$22*P590+'02_지표정의'!$C$23*Q590+'02_지표정의'!$C$24*R590</f>
        <v>0.61511868095413713</v>
      </c>
      <c r="T590" s="5">
        <f t="shared" si="102"/>
        <v>0</v>
      </c>
      <c r="U590" s="5" t="str">
        <f t="shared" si="103"/>
        <v>보고서</v>
      </c>
      <c r="V590" s="18">
        <f t="shared" si="104"/>
        <v>462</v>
      </c>
      <c r="W590" s="5">
        <f t="shared" si="105"/>
        <v>377</v>
      </c>
      <c r="X590" s="5">
        <f t="shared" si="106"/>
        <v>198</v>
      </c>
      <c r="Y590" s="5">
        <f t="shared" si="107"/>
        <v>0</v>
      </c>
      <c r="Z590" s="19">
        <f t="shared" si="108"/>
        <v>22</v>
      </c>
      <c r="AA590" s="20">
        <f>ABS(S590-SUMPRODUCT(('05B_가정검정'!$A$5:$A$19=B590)*('05B_가정검정'!$B$5:$B$19=C590)*'05B_가정검정'!$E$5:$E$19))</f>
        <v>1.2930279102983944E-2</v>
      </c>
      <c r="AB590" s="20">
        <f t="shared" si="109"/>
        <v>-1.6184022470620008E-2</v>
      </c>
    </row>
    <row r="591" spans="1:28">
      <c r="A591" s="15" t="s">
        <v>162</v>
      </c>
      <c r="B591" s="15" t="s">
        <v>120</v>
      </c>
      <c r="C591" s="15" t="s">
        <v>118</v>
      </c>
      <c r="D591" s="16">
        <v>0.24</v>
      </c>
      <c r="E591" s="16">
        <v>0.33128834355828202</v>
      </c>
      <c r="F591" s="16">
        <v>0.12345679012345701</v>
      </c>
      <c r="G591" s="16">
        <v>0.245398773006135</v>
      </c>
      <c r="H591" s="16">
        <v>0.27533738272274799</v>
      </c>
      <c r="I591" s="16">
        <v>0.33371952849505299</v>
      </c>
      <c r="J591" s="16">
        <v>0.68016751508433904</v>
      </c>
      <c r="K591" s="16">
        <v>0.64119393246796297</v>
      </c>
      <c r="L591" s="16">
        <v>0.82891733949998103</v>
      </c>
      <c r="M591" s="16">
        <v>0.61016949152542399</v>
      </c>
      <c r="N591" s="16">
        <v>0.64150943396226401</v>
      </c>
      <c r="O591" s="16">
        <v>1</v>
      </c>
      <c r="P591" s="17">
        <f t="shared" si="99"/>
        <v>0.25820013631761252</v>
      </c>
      <c r="Q591" s="17">
        <f t="shared" si="100"/>
        <v>0.71675959568409431</v>
      </c>
      <c r="R591" s="17">
        <f t="shared" si="101"/>
        <v>0.7505596418292293</v>
      </c>
      <c r="S591" s="17">
        <f>'02_지표정의'!$C$22*P591+'02_지표정의'!$C$23*Q591+'02_지표정의'!$C$24*R591</f>
        <v>0.63687771996159515</v>
      </c>
      <c r="T591" s="5">
        <f t="shared" si="102"/>
        <v>0</v>
      </c>
      <c r="U591" s="5" t="str">
        <f t="shared" si="103"/>
        <v>보고서</v>
      </c>
      <c r="V591" s="18">
        <f t="shared" si="104"/>
        <v>567</v>
      </c>
      <c r="W591" s="5">
        <f t="shared" si="105"/>
        <v>442</v>
      </c>
      <c r="X591" s="5">
        <f t="shared" si="106"/>
        <v>0</v>
      </c>
      <c r="Y591" s="5">
        <f t="shared" si="107"/>
        <v>428</v>
      </c>
      <c r="Z591" s="19">
        <f t="shared" si="108"/>
        <v>61</v>
      </c>
      <c r="AA591" s="20">
        <f>ABS(S591-SUMPRODUCT(('05B_가정검정'!$A$5:$A$19=B591)*('05B_가정검정'!$B$5:$B$19=C591)*'05B_가정검정'!$E$5:$E$19))</f>
        <v>4.604887137996716E-2</v>
      </c>
      <c r="AB591" s="20">
        <f t="shared" si="109"/>
        <v>6.1986943999484345E-2</v>
      </c>
    </row>
    <row r="592" spans="1:28">
      <c r="A592" s="15" t="s">
        <v>162</v>
      </c>
      <c r="B592" s="15" t="s">
        <v>120</v>
      </c>
      <c r="C592" s="15" t="s">
        <v>119</v>
      </c>
      <c r="D592" s="16">
        <v>0.25168539325842698</v>
      </c>
      <c r="E592" s="16">
        <v>0.46031746031746001</v>
      </c>
      <c r="F592" s="16">
        <v>0.192</v>
      </c>
      <c r="G592" s="16">
        <v>0.30952380952380998</v>
      </c>
      <c r="H592" s="16">
        <v>0.27851342214255798</v>
      </c>
      <c r="I592" s="16">
        <v>0.35875811085092801</v>
      </c>
      <c r="J592" s="16">
        <v>0.70135139204783503</v>
      </c>
      <c r="K592" s="16">
        <v>0.65495577142115402</v>
      </c>
      <c r="L592" s="16">
        <v>0.86204304301353096</v>
      </c>
      <c r="M592" s="16">
        <v>0.44512195121951198</v>
      </c>
      <c r="N592" s="16">
        <v>0.41489361702127697</v>
      </c>
      <c r="O592" s="16">
        <v>1</v>
      </c>
      <c r="P592" s="17">
        <f t="shared" si="99"/>
        <v>0.30846636601553051</v>
      </c>
      <c r="Q592" s="17">
        <f t="shared" si="100"/>
        <v>0.73945006882750663</v>
      </c>
      <c r="R592" s="17">
        <f t="shared" si="101"/>
        <v>0.62000518941359628</v>
      </c>
      <c r="S592" s="17">
        <f>'02_지표정의'!$C$22*P592+'02_지표정의'!$C$23*Q592+'02_지표정의'!$C$24*R592</f>
        <v>0.61144762047024281</v>
      </c>
      <c r="T592" s="5">
        <f t="shared" si="102"/>
        <v>0</v>
      </c>
      <c r="U592" s="5" t="str">
        <f t="shared" si="103"/>
        <v>보고서</v>
      </c>
      <c r="V592" s="18">
        <f t="shared" si="104"/>
        <v>438</v>
      </c>
      <c r="W592" s="5">
        <f t="shared" si="105"/>
        <v>0</v>
      </c>
      <c r="X592" s="5">
        <f t="shared" si="106"/>
        <v>187</v>
      </c>
      <c r="Y592" s="5">
        <f t="shared" si="107"/>
        <v>334</v>
      </c>
      <c r="Z592" s="19">
        <f t="shared" si="108"/>
        <v>4</v>
      </c>
      <c r="AA592" s="20">
        <f>ABS(S592-SUMPRODUCT(('05B_가정검정'!$A$5:$A$19=B592)*('05B_가정검정'!$B$5:$B$19=C592)*'05B_가정검정'!$E$5:$E$19))</f>
        <v>5.2229696011143467E-2</v>
      </c>
      <c r="AB592" s="20">
        <f t="shared" si="109"/>
        <v>-4.6975387040572802E-2</v>
      </c>
    </row>
    <row r="593" spans="1:28">
      <c r="A593" s="15" t="s">
        <v>162</v>
      </c>
      <c r="B593" s="15" t="s">
        <v>121</v>
      </c>
      <c r="C593" s="15" t="s">
        <v>117</v>
      </c>
      <c r="D593" s="16">
        <v>0.22111801242236001</v>
      </c>
      <c r="E593" s="16">
        <v>0.35106382978723399</v>
      </c>
      <c r="F593" s="16">
        <v>0.12903225806451599</v>
      </c>
      <c r="G593" s="16">
        <v>0.27659574468085102</v>
      </c>
      <c r="H593" s="16">
        <v>0.27793917482504799</v>
      </c>
      <c r="I593" s="16">
        <v>0.13911588555704699</v>
      </c>
      <c r="J593" s="16">
        <v>0.73891790596806595</v>
      </c>
      <c r="K593" s="16">
        <v>0.76431165526384004</v>
      </c>
      <c r="L593" s="16">
        <v>0.88412734639672796</v>
      </c>
      <c r="M593" s="16">
        <v>0.90654205607476601</v>
      </c>
      <c r="N593" s="16">
        <v>0.91666666666666696</v>
      </c>
      <c r="O593" s="16">
        <v>1</v>
      </c>
      <c r="P593" s="17">
        <f t="shared" si="99"/>
        <v>0.23247748422284265</v>
      </c>
      <c r="Q593" s="17">
        <f t="shared" si="100"/>
        <v>0.79578563587621132</v>
      </c>
      <c r="R593" s="17">
        <f t="shared" si="101"/>
        <v>0.94106957424714432</v>
      </c>
      <c r="S593" s="17">
        <f>'02_지표정의'!$C$22*P593+'02_지표정의'!$C$23*Q593+'02_지표정의'!$C$24*R593</f>
        <v>0.73397338397536416</v>
      </c>
      <c r="T593" s="5">
        <f t="shared" si="102"/>
        <v>1</v>
      </c>
      <c r="U593" s="5" t="str">
        <f t="shared" si="103"/>
        <v>보고서</v>
      </c>
      <c r="V593" s="18">
        <f t="shared" si="104"/>
        <v>912</v>
      </c>
      <c r="W593" s="5">
        <f t="shared" si="105"/>
        <v>617</v>
      </c>
      <c r="X593" s="5">
        <f t="shared" si="106"/>
        <v>587</v>
      </c>
      <c r="Y593" s="5">
        <f t="shared" si="107"/>
        <v>0</v>
      </c>
      <c r="Z593" s="19">
        <f t="shared" si="108"/>
        <v>40</v>
      </c>
      <c r="AA593" s="20">
        <f>ABS(S593-SUMPRODUCT(('05B_가정검정'!$A$5:$A$19=B593)*('05B_가정검정'!$B$5:$B$19=C593)*'05B_가정검정'!$E$5:$E$19))</f>
        <v>4.5413125934830045E-3</v>
      </c>
      <c r="AB593" s="20">
        <f t="shared" si="109"/>
        <v>1.6321590902483196E-2</v>
      </c>
    </row>
    <row r="594" spans="1:28">
      <c r="A594" s="15" t="s">
        <v>162</v>
      </c>
      <c r="B594" s="15" t="s">
        <v>121</v>
      </c>
      <c r="C594" s="15" t="s">
        <v>118</v>
      </c>
      <c r="D594" s="16">
        <v>0.277611940298507</v>
      </c>
      <c r="E594" s="16">
        <v>0.28571428571428598</v>
      </c>
      <c r="F594" s="16">
        <v>0.10606060606060599</v>
      </c>
      <c r="G594" s="16">
        <v>0.22556390977443599</v>
      </c>
      <c r="H594" s="16">
        <v>0.20564900261331101</v>
      </c>
      <c r="I594" s="16">
        <v>0.29072686834524902</v>
      </c>
      <c r="J594" s="16">
        <v>0.73253422557323999</v>
      </c>
      <c r="K594" s="16">
        <v>0.78839775910547505</v>
      </c>
      <c r="L594" s="16">
        <v>0.90573820855264997</v>
      </c>
      <c r="M594" s="16">
        <v>0.411016949152542</v>
      </c>
      <c r="N594" s="16">
        <v>0.51886792452830199</v>
      </c>
      <c r="O594" s="16">
        <v>1</v>
      </c>
      <c r="P594" s="17">
        <f t="shared" si="99"/>
        <v>0.23188776880106585</v>
      </c>
      <c r="Q594" s="17">
        <f t="shared" si="100"/>
        <v>0.80889006441045497</v>
      </c>
      <c r="R594" s="17">
        <f t="shared" si="101"/>
        <v>0.64329495789361468</v>
      </c>
      <c r="S594" s="17">
        <f>'02_지표정의'!$C$22*P594+'02_지표정의'!$C$23*Q594+'02_지표정의'!$C$24*R594</f>
        <v>0.63553131800768303</v>
      </c>
      <c r="T594" s="5">
        <f t="shared" si="102"/>
        <v>0</v>
      </c>
      <c r="U594" s="5" t="str">
        <f t="shared" si="103"/>
        <v>보고서</v>
      </c>
      <c r="V594" s="18">
        <f t="shared" si="104"/>
        <v>561</v>
      </c>
      <c r="W594" s="5">
        <f t="shared" si="105"/>
        <v>439</v>
      </c>
      <c r="X594" s="5">
        <f t="shared" si="106"/>
        <v>0</v>
      </c>
      <c r="Y594" s="5">
        <f t="shared" si="107"/>
        <v>423</v>
      </c>
      <c r="Z594" s="19">
        <f t="shared" si="108"/>
        <v>59</v>
      </c>
      <c r="AA594" s="20">
        <f>ABS(S594-SUMPRODUCT(('05B_가정검정'!$A$5:$A$19=B594)*('05B_가정검정'!$B$5:$B$19=C594)*'05B_가정검정'!$E$5:$E$19))</f>
        <v>3.6951827840714602E-2</v>
      </c>
      <c r="AB594" s="20">
        <f t="shared" si="109"/>
        <v>5.6132243480869759E-2</v>
      </c>
    </row>
    <row r="595" spans="1:28">
      <c r="A595" s="15" t="s">
        <v>162</v>
      </c>
      <c r="B595" s="15" t="s">
        <v>121</v>
      </c>
      <c r="C595" s="15" t="s">
        <v>119</v>
      </c>
      <c r="D595" s="16">
        <v>0.30866141732283497</v>
      </c>
      <c r="E595" s="16">
        <v>0.42708333333333298</v>
      </c>
      <c r="F595" s="16">
        <v>0.157894736842105</v>
      </c>
      <c r="G595" s="16">
        <v>0.3125</v>
      </c>
      <c r="H595" s="16">
        <v>0.33854633192823802</v>
      </c>
      <c r="I595" s="16">
        <v>0.27440012029979299</v>
      </c>
      <c r="J595" s="16">
        <v>0.75098878053206997</v>
      </c>
      <c r="K595" s="16">
        <v>0.74317069630997001</v>
      </c>
      <c r="L595" s="16">
        <v>0.87366172015180998</v>
      </c>
      <c r="M595" s="16">
        <v>0.69072164948453596</v>
      </c>
      <c r="N595" s="16">
        <v>0.72727272727272696</v>
      </c>
      <c r="O595" s="16">
        <v>1</v>
      </c>
      <c r="P595" s="17">
        <f t="shared" si="99"/>
        <v>0.30318098995438397</v>
      </c>
      <c r="Q595" s="17">
        <f t="shared" si="100"/>
        <v>0.78927373233128328</v>
      </c>
      <c r="R595" s="17">
        <f t="shared" si="101"/>
        <v>0.80599812558575434</v>
      </c>
      <c r="S595" s="17">
        <f>'02_지표정의'!$C$22*P595+'02_지표정의'!$C$23*Q595+'02_지표정의'!$C$24*R595</f>
        <v>0.6979087214949683</v>
      </c>
      <c r="T595" s="5">
        <f t="shared" si="102"/>
        <v>0</v>
      </c>
      <c r="U595" s="5" t="str">
        <f t="shared" si="103"/>
        <v>보고서</v>
      </c>
      <c r="V595" s="18">
        <f t="shared" si="104"/>
        <v>819</v>
      </c>
      <c r="W595" s="5">
        <f t="shared" si="105"/>
        <v>0</v>
      </c>
      <c r="X595" s="5">
        <f t="shared" si="106"/>
        <v>494</v>
      </c>
      <c r="Y595" s="5">
        <f t="shared" si="107"/>
        <v>590</v>
      </c>
      <c r="Z595" s="19">
        <f t="shared" si="108"/>
        <v>38</v>
      </c>
      <c r="AA595" s="20">
        <f>ABS(S595-SUMPRODUCT(('05B_가정검정'!$A$5:$A$19=B595)*('05B_가정검정'!$B$5:$B$19=C595)*'05B_가정검정'!$E$5:$E$19))</f>
        <v>5.5888786991146189E-3</v>
      </c>
      <c r="AB595" s="20">
        <f t="shared" si="109"/>
        <v>9.6717460753572571E-3</v>
      </c>
    </row>
    <row r="596" spans="1:28">
      <c r="A596" s="15" t="s">
        <v>162</v>
      </c>
      <c r="B596" s="15" t="s">
        <v>122</v>
      </c>
      <c r="C596" s="15" t="s">
        <v>117</v>
      </c>
      <c r="D596" s="16">
        <v>0.23201856148491901</v>
      </c>
      <c r="E596" s="16">
        <v>0.31007751937984501</v>
      </c>
      <c r="F596" s="16">
        <v>8.59375E-2</v>
      </c>
      <c r="G596" s="16">
        <v>0.217054263565892</v>
      </c>
      <c r="H596" s="16">
        <v>0.28665713551065602</v>
      </c>
      <c r="I596" s="16">
        <v>0.11553652219924899</v>
      </c>
      <c r="J596" s="16">
        <v>0.68075391964244403</v>
      </c>
      <c r="K596" s="16">
        <v>0.63934709393996703</v>
      </c>
      <c r="L596" s="16">
        <v>0.82898745208068303</v>
      </c>
      <c r="M596" s="16">
        <v>0.50857142857142901</v>
      </c>
      <c r="N596" s="16">
        <v>0.55681818181818199</v>
      </c>
      <c r="O596" s="16">
        <v>1</v>
      </c>
      <c r="P596" s="17">
        <f t="shared" si="99"/>
        <v>0.20788025035676017</v>
      </c>
      <c r="Q596" s="17">
        <f t="shared" si="100"/>
        <v>0.71636282188769795</v>
      </c>
      <c r="R596" s="17">
        <f t="shared" si="101"/>
        <v>0.68846320346320367</v>
      </c>
      <c r="S596" s="17">
        <f>'02_지표정의'!$C$22*P596+'02_지표정의'!$C$23*Q596+'02_지표정의'!$C$24*R596</f>
        <v>0.60490144113293731</v>
      </c>
      <c r="T596" s="5">
        <f t="shared" si="102"/>
        <v>0</v>
      </c>
      <c r="U596" s="5" t="str">
        <f t="shared" si="103"/>
        <v>보고서</v>
      </c>
      <c r="V596" s="18">
        <f t="shared" si="104"/>
        <v>411</v>
      </c>
      <c r="W596" s="5">
        <f t="shared" si="105"/>
        <v>332</v>
      </c>
      <c r="X596" s="5">
        <f t="shared" si="106"/>
        <v>178</v>
      </c>
      <c r="Y596" s="5">
        <f t="shared" si="107"/>
        <v>0</v>
      </c>
      <c r="Z596" s="19">
        <f t="shared" si="108"/>
        <v>22</v>
      </c>
      <c r="AA596" s="20">
        <f>ABS(S596-SUMPRODUCT(('05B_가정검정'!$A$5:$A$19=B596)*('05B_가정검정'!$B$5:$B$19=C596)*'05B_가정검정'!$E$5:$E$19))</f>
        <v>3.4451513575741166E-2</v>
      </c>
      <c r="AB596" s="20">
        <f t="shared" si="109"/>
        <v>-1.7980181056708844E-2</v>
      </c>
    </row>
    <row r="597" spans="1:28">
      <c r="A597" s="15" t="s">
        <v>162</v>
      </c>
      <c r="B597" s="15" t="s">
        <v>122</v>
      </c>
      <c r="C597" s="15" t="s">
        <v>118</v>
      </c>
      <c r="D597" s="16">
        <v>0.29711141678129299</v>
      </c>
      <c r="E597" s="16">
        <v>0.44047619047619102</v>
      </c>
      <c r="F597" s="16">
        <v>0.20359281437125801</v>
      </c>
      <c r="G597" s="16">
        <v>0.30357142857142899</v>
      </c>
      <c r="H597" s="16">
        <v>0.27465110756143202</v>
      </c>
      <c r="I597" s="16">
        <v>0.52637099989019098</v>
      </c>
      <c r="J597" s="16">
        <v>0.73339475552043298</v>
      </c>
      <c r="K597" s="16">
        <v>0.71251607298692499</v>
      </c>
      <c r="L597" s="16">
        <v>0.83855143966590895</v>
      </c>
      <c r="M597" s="16">
        <v>0.51271186440677996</v>
      </c>
      <c r="N597" s="16">
        <v>0.54716981132075504</v>
      </c>
      <c r="O597" s="16">
        <v>1</v>
      </c>
      <c r="P597" s="17">
        <f t="shared" si="99"/>
        <v>0.34096232627529899</v>
      </c>
      <c r="Q597" s="17">
        <f t="shared" si="100"/>
        <v>0.76148742272442227</v>
      </c>
      <c r="R597" s="17">
        <f t="shared" si="101"/>
        <v>0.68662722524251174</v>
      </c>
      <c r="S597" s="17">
        <f>'02_지표정의'!$C$22*P597+'02_지표정의'!$C$23*Q597+'02_지표정의'!$C$24*R597</f>
        <v>0.65118133431592895</v>
      </c>
      <c r="T597" s="5">
        <f t="shared" si="102"/>
        <v>1</v>
      </c>
      <c r="U597" s="5" t="str">
        <f t="shared" si="103"/>
        <v>보고서</v>
      </c>
      <c r="V597" s="18">
        <f t="shared" si="104"/>
        <v>624</v>
      </c>
      <c r="W597" s="5">
        <f t="shared" si="105"/>
        <v>473</v>
      </c>
      <c r="X597" s="5">
        <f t="shared" si="106"/>
        <v>0</v>
      </c>
      <c r="Y597" s="5">
        <f t="shared" si="107"/>
        <v>466</v>
      </c>
      <c r="Z597" s="19">
        <f t="shared" si="108"/>
        <v>59</v>
      </c>
      <c r="AA597" s="20">
        <f>ABS(S597-SUMPRODUCT(('05B_가정검정'!$A$5:$A$19=B597)*('05B_가정검정'!$B$5:$B$19=C597)*'05B_가정검정'!$E$5:$E$19))</f>
        <v>6.42593983187707E-2</v>
      </c>
      <c r="AB597" s="20">
        <f t="shared" si="109"/>
        <v>6.9958058098245179E-2</v>
      </c>
    </row>
    <row r="598" spans="1:28">
      <c r="A598" s="15" t="s">
        <v>162</v>
      </c>
      <c r="B598" s="15" t="s">
        <v>122</v>
      </c>
      <c r="C598" s="15" t="s">
        <v>119</v>
      </c>
      <c r="D598" s="16">
        <v>0.28901734104046201</v>
      </c>
      <c r="E598" s="16">
        <v>0.43511450381679401</v>
      </c>
      <c r="F598" s="16">
        <v>0.2</v>
      </c>
      <c r="G598" s="16">
        <v>0.29007633587786302</v>
      </c>
      <c r="H598" s="16">
        <v>0.37425423500014199</v>
      </c>
      <c r="I598" s="16">
        <v>0.41936631482419601</v>
      </c>
      <c r="J598" s="16">
        <v>0.712841283756806</v>
      </c>
      <c r="K598" s="16">
        <v>0.66880023851762704</v>
      </c>
      <c r="L598" s="16">
        <v>0.86517665916208797</v>
      </c>
      <c r="M598" s="16">
        <v>0.39428571428571402</v>
      </c>
      <c r="N598" s="16">
        <v>0.44318181818181801</v>
      </c>
      <c r="O598" s="16">
        <v>1</v>
      </c>
      <c r="P598" s="17">
        <f t="shared" si="99"/>
        <v>0.33463812175990953</v>
      </c>
      <c r="Q598" s="17">
        <f t="shared" si="100"/>
        <v>0.74893939381217367</v>
      </c>
      <c r="R598" s="17">
        <f t="shared" si="101"/>
        <v>0.61248917748917731</v>
      </c>
      <c r="S598" s="17">
        <f>'02_지표정의'!$C$22*P598+'02_지표정의'!$C$23*Q598+'02_지표정의'!$C$24*R598</f>
        <v>0.61832156368867208</v>
      </c>
      <c r="T598" s="5">
        <f t="shared" si="102"/>
        <v>0</v>
      </c>
      <c r="U598" s="5" t="str">
        <f t="shared" si="103"/>
        <v>보고서</v>
      </c>
      <c r="V598" s="18">
        <f t="shared" si="104"/>
        <v>482</v>
      </c>
      <c r="W598" s="5">
        <f t="shared" si="105"/>
        <v>0</v>
      </c>
      <c r="X598" s="5">
        <f t="shared" si="106"/>
        <v>213</v>
      </c>
      <c r="Y598" s="5">
        <f t="shared" si="107"/>
        <v>362</v>
      </c>
      <c r="Z598" s="19">
        <f t="shared" si="108"/>
        <v>21</v>
      </c>
      <c r="AA598" s="20">
        <f>ABS(S598-SUMPRODUCT(('05B_가정검정'!$A$5:$A$19=B598)*('05B_가정검정'!$B$5:$B$19=C598)*'05B_가정검정'!$E$5:$E$19))</f>
        <v>1.728462421277932E-2</v>
      </c>
      <c r="AB598" s="20">
        <f t="shared" si="109"/>
        <v>-1.3067302626213917E-2</v>
      </c>
    </row>
    <row r="599" spans="1:28">
      <c r="A599" s="15" t="s">
        <v>162</v>
      </c>
      <c r="B599" s="15" t="s">
        <v>123</v>
      </c>
      <c r="C599" s="15" t="s">
        <v>117</v>
      </c>
      <c r="D599" s="16">
        <v>0.225263157894737</v>
      </c>
      <c r="E599" s="16">
        <v>0.30327868852459</v>
      </c>
      <c r="F599" s="16">
        <v>9.0909090909090898E-2</v>
      </c>
      <c r="G599" s="16">
        <v>0.22950819672131201</v>
      </c>
      <c r="H599" s="16">
        <v>0.38037128110151303</v>
      </c>
      <c r="I599" s="16">
        <v>0.161297598991716</v>
      </c>
      <c r="J599" s="16">
        <v>0.71287893950868997</v>
      </c>
      <c r="K599" s="16">
        <v>0.67073502024032705</v>
      </c>
      <c r="L599" s="16">
        <v>0.85900601751100802</v>
      </c>
      <c r="M599" s="16">
        <v>0.90654205607476601</v>
      </c>
      <c r="N599" s="16">
        <v>0.91666666666666696</v>
      </c>
      <c r="O599" s="16">
        <v>1</v>
      </c>
      <c r="P599" s="17">
        <f t="shared" si="99"/>
        <v>0.23177133569049316</v>
      </c>
      <c r="Q599" s="17">
        <f t="shared" si="100"/>
        <v>0.74753999242000846</v>
      </c>
      <c r="R599" s="17">
        <f t="shared" si="101"/>
        <v>0.94106957424714432</v>
      </c>
      <c r="S599" s="17">
        <f>'02_지표정의'!$C$22*P599+'02_지표정의'!$C$23*Q599+'02_지표정의'!$C$24*R599</f>
        <v>0.71212161471360291</v>
      </c>
      <c r="T599" s="5">
        <f t="shared" si="102"/>
        <v>0</v>
      </c>
      <c r="U599" s="5" t="str">
        <f t="shared" si="103"/>
        <v>보고서</v>
      </c>
      <c r="V599" s="18">
        <f t="shared" si="104"/>
        <v>851</v>
      </c>
      <c r="W599" s="5">
        <f t="shared" si="105"/>
        <v>566</v>
      </c>
      <c r="X599" s="5">
        <f t="shared" si="106"/>
        <v>526</v>
      </c>
      <c r="Y599" s="5">
        <f t="shared" si="107"/>
        <v>0</v>
      </c>
      <c r="Z599" s="19">
        <f t="shared" si="108"/>
        <v>28</v>
      </c>
      <c r="AA599" s="20">
        <f>ABS(S599-SUMPRODUCT(('05B_가정검정'!$A$5:$A$19=B599)*('05B_가정검정'!$B$5:$B$19=C599)*'05B_가정검정'!$E$5:$E$19))</f>
        <v>2.8012680626208208E-3</v>
      </c>
      <c r="AB599" s="20">
        <f t="shared" si="109"/>
        <v>4.1361629023597413E-3</v>
      </c>
    </row>
    <row r="600" spans="1:28">
      <c r="A600" s="15" t="s">
        <v>162</v>
      </c>
      <c r="B600" s="15" t="s">
        <v>123</v>
      </c>
      <c r="C600" s="15" t="s">
        <v>118</v>
      </c>
      <c r="D600" s="16">
        <v>0.24049079754601199</v>
      </c>
      <c r="E600" s="16">
        <v>0.31055900621117999</v>
      </c>
      <c r="F600" s="16">
        <v>0.11874999999999999</v>
      </c>
      <c r="G600" s="16">
        <v>0.24223602484472101</v>
      </c>
      <c r="H600" s="16">
        <v>0.25692195728761502</v>
      </c>
      <c r="I600" s="16">
        <v>0.285573484054848</v>
      </c>
      <c r="J600" s="16">
        <v>0.72402501290405497</v>
      </c>
      <c r="K600" s="16">
        <v>0.68066303622074897</v>
      </c>
      <c r="L600" s="16">
        <v>0.83784070410509304</v>
      </c>
      <c r="M600" s="16">
        <v>0.411016949152542</v>
      </c>
      <c r="N600" s="16">
        <v>0.51886792452830199</v>
      </c>
      <c r="O600" s="16">
        <v>1</v>
      </c>
      <c r="P600" s="17">
        <f t="shared" si="99"/>
        <v>0.24242187832406267</v>
      </c>
      <c r="Q600" s="17">
        <f t="shared" si="100"/>
        <v>0.74750958440996573</v>
      </c>
      <c r="R600" s="17">
        <f t="shared" si="101"/>
        <v>0.64329495789361468</v>
      </c>
      <c r="S600" s="17">
        <f>'02_지표정의'!$C$22*P600+'02_지표정의'!$C$23*Q600+'02_지표정의'!$C$24*R600</f>
        <v>0.61001692391206219</v>
      </c>
      <c r="T600" s="5">
        <f t="shared" si="102"/>
        <v>0</v>
      </c>
      <c r="U600" s="5" t="str">
        <f t="shared" si="103"/>
        <v>보고서</v>
      </c>
      <c r="V600" s="18">
        <f t="shared" si="104"/>
        <v>430</v>
      </c>
      <c r="W600" s="5">
        <f t="shared" si="105"/>
        <v>350</v>
      </c>
      <c r="X600" s="5">
        <f t="shared" si="106"/>
        <v>0</v>
      </c>
      <c r="Y600" s="5">
        <f t="shared" si="107"/>
        <v>328</v>
      </c>
      <c r="Z600" s="19">
        <f t="shared" si="108"/>
        <v>55</v>
      </c>
      <c r="AA600" s="20">
        <f>ABS(S600-SUMPRODUCT(('05B_가정검정'!$A$5:$A$19=B600)*('05B_가정검정'!$B$5:$B$19=C600)*'05B_가정검정'!$E$5:$E$19))</f>
        <v>3.4718097033092477E-2</v>
      </c>
      <c r="AB600" s="20">
        <f t="shared" si="109"/>
        <v>5.0145315987571104E-2</v>
      </c>
    </row>
    <row r="601" spans="1:28">
      <c r="A601" s="15" t="s">
        <v>162</v>
      </c>
      <c r="B601" s="15" t="s">
        <v>123</v>
      </c>
      <c r="C601" s="15" t="s">
        <v>119</v>
      </c>
      <c r="D601" s="16">
        <v>0.32564102564102598</v>
      </c>
      <c r="E601" s="16">
        <v>0.47580645161290303</v>
      </c>
      <c r="F601" s="16">
        <v>0.203252032520325</v>
      </c>
      <c r="G601" s="16">
        <v>0.36290322580645201</v>
      </c>
      <c r="H601" s="16">
        <v>0.45627195926786002</v>
      </c>
      <c r="I601" s="16">
        <v>0.45139000327224199</v>
      </c>
      <c r="J601" s="16">
        <v>0.74297328996149703</v>
      </c>
      <c r="K601" s="16">
        <v>0.69665989047888</v>
      </c>
      <c r="L601" s="16">
        <v>0.88532924592478401</v>
      </c>
      <c r="M601" s="16">
        <v>0.69696969696969702</v>
      </c>
      <c r="N601" s="16">
        <v>0.73214285714285698</v>
      </c>
      <c r="O601" s="16">
        <v>1</v>
      </c>
      <c r="P601" s="17">
        <f t="shared" si="99"/>
        <v>0.37921078302013472</v>
      </c>
      <c r="Q601" s="17">
        <f t="shared" si="100"/>
        <v>0.77498747545505375</v>
      </c>
      <c r="R601" s="17">
        <f t="shared" si="101"/>
        <v>0.8097041847041847</v>
      </c>
      <c r="S601" s="17">
        <f>'02_지표정의'!$C$22*P601+'02_지표정의'!$C$23*Q601+'02_지표정의'!$C$24*R601</f>
        <v>0.7079829852052657</v>
      </c>
      <c r="T601" s="5">
        <f t="shared" si="102"/>
        <v>1</v>
      </c>
      <c r="U601" s="5" t="str">
        <f t="shared" si="103"/>
        <v>보고서</v>
      </c>
      <c r="V601" s="18">
        <f t="shared" si="104"/>
        <v>838</v>
      </c>
      <c r="W601" s="5">
        <f t="shared" si="105"/>
        <v>0</v>
      </c>
      <c r="X601" s="5">
        <f t="shared" si="106"/>
        <v>513</v>
      </c>
      <c r="Y601" s="5">
        <f t="shared" si="107"/>
        <v>603</v>
      </c>
      <c r="Z601" s="19">
        <f t="shared" si="108"/>
        <v>45</v>
      </c>
      <c r="AA601" s="20">
        <f>ABS(S601-SUMPRODUCT(('05B_가정검정'!$A$5:$A$19=B601)*('05B_가정검정'!$B$5:$B$19=C601)*'05B_가정검정'!$E$5:$E$19))</f>
        <v>2.235318788103835E-2</v>
      </c>
      <c r="AB601" s="20">
        <f t="shared" si="109"/>
        <v>2.5564252160263923E-2</v>
      </c>
    </row>
    <row r="602" spans="1:28">
      <c r="A602" s="15" t="s">
        <v>163</v>
      </c>
      <c r="B602" s="15" t="s">
        <v>116</v>
      </c>
      <c r="C602" s="15" t="s">
        <v>117</v>
      </c>
      <c r="D602" s="16">
        <v>0.265486725663717</v>
      </c>
      <c r="E602" s="16">
        <v>0.37007874015747999</v>
      </c>
      <c r="F602" s="16">
        <v>0.23015873015873001</v>
      </c>
      <c r="G602" s="16">
        <v>0.29921259842519699</v>
      </c>
      <c r="H602" s="16">
        <v>0.22070424709702299</v>
      </c>
      <c r="I602" s="16">
        <v>0.26615245560599499</v>
      </c>
      <c r="J602" s="16">
        <v>0.64882734091564598</v>
      </c>
      <c r="K602" s="16">
        <v>0.60606023263281505</v>
      </c>
      <c r="L602" s="16">
        <v>0.78998464099159205</v>
      </c>
      <c r="M602" s="16">
        <v>0.55757575757575795</v>
      </c>
      <c r="N602" s="16">
        <v>0.101123595505618</v>
      </c>
      <c r="O602" s="16">
        <v>1</v>
      </c>
      <c r="P602" s="17">
        <f t="shared" si="99"/>
        <v>0.27529891618469032</v>
      </c>
      <c r="Q602" s="17">
        <f t="shared" si="100"/>
        <v>0.68162407151335103</v>
      </c>
      <c r="R602" s="17">
        <f t="shared" si="101"/>
        <v>0.55289978436045872</v>
      </c>
      <c r="S602" s="17">
        <f>'02_지표정의'!$C$22*P602+'02_지표정의'!$C$23*Q602+'02_지표정의'!$C$24*R602</f>
        <v>0.55530553994410659</v>
      </c>
      <c r="T602" s="5">
        <f t="shared" si="102"/>
        <v>0</v>
      </c>
      <c r="U602" s="5" t="str">
        <f t="shared" si="103"/>
        <v>보고서</v>
      </c>
      <c r="V602" s="18">
        <f t="shared" si="104"/>
        <v>231</v>
      </c>
      <c r="W602" s="5">
        <f t="shared" si="105"/>
        <v>189</v>
      </c>
      <c r="X602" s="5">
        <f t="shared" si="106"/>
        <v>78</v>
      </c>
      <c r="Y602" s="5">
        <f t="shared" si="107"/>
        <v>0</v>
      </c>
      <c r="Z602" s="19">
        <f t="shared" si="108"/>
        <v>29</v>
      </c>
      <c r="AA602" s="20">
        <f>ABS(S602-SUMPRODUCT(('05B_가정검정'!$A$5:$A$19=B602)*('05B_가정검정'!$B$5:$B$19=C602)*'05B_가정검정'!$E$5:$E$19))</f>
        <v>2.0981650408606889E-3</v>
      </c>
      <c r="AB602" s="20">
        <f t="shared" si="109"/>
        <v>2.7543745314831947E-3</v>
      </c>
    </row>
    <row r="603" spans="1:28">
      <c r="A603" s="15" t="s">
        <v>163</v>
      </c>
      <c r="B603" s="15" t="s">
        <v>116</v>
      </c>
      <c r="C603" s="15" t="s">
        <v>118</v>
      </c>
      <c r="D603" s="16">
        <v>0.29608127721335298</v>
      </c>
      <c r="E603" s="16">
        <v>0.334426229508197</v>
      </c>
      <c r="F603" s="16">
        <v>0.171617161716172</v>
      </c>
      <c r="G603" s="16">
        <v>0.28196721311475398</v>
      </c>
      <c r="H603" s="16">
        <v>0.14921562867996799</v>
      </c>
      <c r="I603" s="16">
        <v>0.274168706392446</v>
      </c>
      <c r="J603" s="16">
        <v>0.68197215815394896</v>
      </c>
      <c r="K603" s="16">
        <v>0.69366732412262899</v>
      </c>
      <c r="L603" s="16">
        <v>0.83928363904821501</v>
      </c>
      <c r="M603" s="16">
        <v>0.36144578313253001</v>
      </c>
      <c r="N603" s="16">
        <v>0</v>
      </c>
      <c r="O603" s="16">
        <v>0.52631578947368396</v>
      </c>
      <c r="P603" s="17">
        <f t="shared" si="99"/>
        <v>0.25124603610414836</v>
      </c>
      <c r="Q603" s="17">
        <f t="shared" si="100"/>
        <v>0.73830770710826421</v>
      </c>
      <c r="R603" s="17">
        <f t="shared" si="101"/>
        <v>0.29592052420207132</v>
      </c>
      <c r="S603" s="17">
        <f>'02_지표정의'!$C$22*P603+'02_지표정의'!$C$23*Q603+'02_지표정의'!$C$24*R603</f>
        <v>0.48605985889027348</v>
      </c>
      <c r="T603" s="5">
        <f t="shared" si="102"/>
        <v>0</v>
      </c>
      <c r="U603" s="5" t="str">
        <f t="shared" si="103"/>
        <v>보고서</v>
      </c>
      <c r="V603" s="18">
        <f t="shared" si="104"/>
        <v>22</v>
      </c>
      <c r="W603" s="5">
        <f t="shared" si="105"/>
        <v>16</v>
      </c>
      <c r="X603" s="5">
        <f t="shared" si="106"/>
        <v>0</v>
      </c>
      <c r="Y603" s="5">
        <f t="shared" si="107"/>
        <v>20</v>
      </c>
      <c r="Z603" s="19">
        <f t="shared" si="108"/>
        <v>10</v>
      </c>
      <c r="AA603" s="20">
        <f>ABS(S603-SUMPRODUCT(('05B_가정검정'!$A$5:$A$19=B603)*('05B_가정검정'!$B$5:$B$19=C603)*'05B_가정검정'!$E$5:$E$19))</f>
        <v>4.5232562811448163E-2</v>
      </c>
      <c r="AB603" s="20">
        <f t="shared" si="109"/>
        <v>-4.1489173488312825E-2</v>
      </c>
    </row>
    <row r="604" spans="1:28">
      <c r="A604" s="15" t="s">
        <v>163</v>
      </c>
      <c r="B604" s="15" t="s">
        <v>116</v>
      </c>
      <c r="C604" s="15" t="s">
        <v>119</v>
      </c>
      <c r="D604" s="16">
        <v>0.26594301221166899</v>
      </c>
      <c r="E604" s="16">
        <v>0.37768240343347598</v>
      </c>
      <c r="F604" s="16">
        <v>0.207792207792208</v>
      </c>
      <c r="G604" s="16">
        <v>0.257510729613734</v>
      </c>
      <c r="H604" s="16">
        <v>0.21352360503663201</v>
      </c>
      <c r="I604" s="16">
        <v>0.29754031432346401</v>
      </c>
      <c r="J604" s="16">
        <v>0.70329150266171503</v>
      </c>
      <c r="K604" s="16">
        <v>0.61988124013081503</v>
      </c>
      <c r="L604" s="16">
        <v>0.79408925594251101</v>
      </c>
      <c r="M604" s="16">
        <v>0.46700507614213199</v>
      </c>
      <c r="N604" s="16">
        <v>0</v>
      </c>
      <c r="O604" s="16">
        <v>1</v>
      </c>
      <c r="P604" s="17">
        <f t="shared" si="99"/>
        <v>0.26999871206853049</v>
      </c>
      <c r="Q604" s="17">
        <f t="shared" si="100"/>
        <v>0.70575399957834717</v>
      </c>
      <c r="R604" s="17">
        <f t="shared" si="101"/>
        <v>0.48900169204737737</v>
      </c>
      <c r="S604" s="17">
        <f>'02_지표정의'!$C$22*P604+'02_지표정의'!$C$23*Q604+'02_지표정의'!$C$24*R604</f>
        <v>0.54273963444054441</v>
      </c>
      <c r="T604" s="5">
        <f t="shared" si="102"/>
        <v>0</v>
      </c>
      <c r="U604" s="5" t="str">
        <f t="shared" si="103"/>
        <v>보고서</v>
      </c>
      <c r="V604" s="18">
        <f t="shared" si="104"/>
        <v>177</v>
      </c>
      <c r="W604" s="5">
        <f t="shared" si="105"/>
        <v>0</v>
      </c>
      <c r="X604" s="5">
        <f t="shared" si="106"/>
        <v>45</v>
      </c>
      <c r="Y604" s="5">
        <f t="shared" si="107"/>
        <v>157</v>
      </c>
      <c r="Z604" s="19">
        <f t="shared" si="108"/>
        <v>20</v>
      </c>
      <c r="AA604" s="20">
        <f>ABS(S604-SUMPRODUCT(('05B_가정검정'!$A$5:$A$19=B604)*('05B_가정검정'!$B$5:$B$19=C604)*'05B_가정검정'!$E$5:$E$19))</f>
        <v>1.0283882302238201E-2</v>
      </c>
      <c r="AB604" s="20">
        <f t="shared" si="109"/>
        <v>-1.3712849235635649E-2</v>
      </c>
    </row>
    <row r="605" spans="1:28">
      <c r="A605" s="15" t="s">
        <v>163</v>
      </c>
      <c r="B605" s="15" t="s">
        <v>120</v>
      </c>
      <c r="C605" s="15" t="s">
        <v>117</v>
      </c>
      <c r="D605" s="16">
        <v>0.276870163370593</v>
      </c>
      <c r="E605" s="16">
        <v>0.34733893557423001</v>
      </c>
      <c r="F605" s="16">
        <v>0.140845070422535</v>
      </c>
      <c r="G605" s="16">
        <v>0.252100840336134</v>
      </c>
      <c r="H605" s="16">
        <v>0.33120582087961897</v>
      </c>
      <c r="I605" s="16">
        <v>0.22174287666758399</v>
      </c>
      <c r="J605" s="16">
        <v>0.66370141989993603</v>
      </c>
      <c r="K605" s="16">
        <v>0.60931125859758195</v>
      </c>
      <c r="L605" s="16">
        <v>0.82203429497388403</v>
      </c>
      <c r="M605" s="16">
        <v>0.530612244897959</v>
      </c>
      <c r="N605" s="16">
        <v>0.46428571428571402</v>
      </c>
      <c r="O605" s="16">
        <v>1</v>
      </c>
      <c r="P605" s="17">
        <f t="shared" si="99"/>
        <v>0.26168395120844917</v>
      </c>
      <c r="Q605" s="17">
        <f t="shared" si="100"/>
        <v>0.698348991157134</v>
      </c>
      <c r="R605" s="17">
        <f t="shared" si="101"/>
        <v>0.66496598639455773</v>
      </c>
      <c r="S605" s="17">
        <f>'02_지표정의'!$C$22*P605+'02_지표정의'!$C$23*Q605+'02_지표정의'!$C$24*R605</f>
        <v>0.59933193150049535</v>
      </c>
      <c r="T605" s="5">
        <f t="shared" si="102"/>
        <v>0</v>
      </c>
      <c r="U605" s="5" t="str">
        <f t="shared" si="103"/>
        <v>보고서</v>
      </c>
      <c r="V605" s="18">
        <f t="shared" si="104"/>
        <v>389</v>
      </c>
      <c r="W605" s="5">
        <f t="shared" si="105"/>
        <v>315</v>
      </c>
      <c r="X605" s="5">
        <f t="shared" si="106"/>
        <v>166</v>
      </c>
      <c r="Y605" s="5">
        <f t="shared" si="107"/>
        <v>0</v>
      </c>
      <c r="Z605" s="19">
        <f t="shared" si="108"/>
        <v>5</v>
      </c>
      <c r="AA605" s="20">
        <f>ABS(S605-SUMPRODUCT(('05B_가정검정'!$A$5:$A$19=B605)*('05B_가정검정'!$B$5:$B$19=C605)*'05B_가정검정'!$E$5:$E$19))</f>
        <v>2.8717028556625723E-2</v>
      </c>
      <c r="AB605" s="20">
        <f t="shared" si="109"/>
        <v>-3.1970771924261787E-2</v>
      </c>
    </row>
    <row r="606" spans="1:28">
      <c r="A606" s="15" t="s">
        <v>163</v>
      </c>
      <c r="B606" s="15" t="s">
        <v>120</v>
      </c>
      <c r="C606" s="15" t="s">
        <v>118</v>
      </c>
      <c r="D606" s="16">
        <v>0.27709707822808699</v>
      </c>
      <c r="E606" s="16">
        <v>0.29901960784313703</v>
      </c>
      <c r="F606" s="16">
        <v>0.152709359605911</v>
      </c>
      <c r="G606" s="16">
        <v>0.26470588235294101</v>
      </c>
      <c r="H606" s="16">
        <v>0.244022044105702</v>
      </c>
      <c r="I606" s="16">
        <v>0.23647007322135499</v>
      </c>
      <c r="J606" s="16">
        <v>0.68436461233615098</v>
      </c>
      <c r="K606" s="16">
        <v>0.63708815002825403</v>
      </c>
      <c r="L606" s="16">
        <v>0.82345612133788404</v>
      </c>
      <c r="M606" s="16">
        <v>0.34698795180722902</v>
      </c>
      <c r="N606" s="16">
        <v>0.28571428571428598</v>
      </c>
      <c r="O606" s="16">
        <v>0.52631578947368396</v>
      </c>
      <c r="P606" s="17">
        <f t="shared" si="99"/>
        <v>0.24567067422618882</v>
      </c>
      <c r="Q606" s="17">
        <f t="shared" si="100"/>
        <v>0.71496962790076302</v>
      </c>
      <c r="R606" s="17">
        <f t="shared" si="101"/>
        <v>0.386339342331733</v>
      </c>
      <c r="S606" s="17">
        <f>'02_지표정의'!$C$22*P606+'02_지표정의'!$C$23*Q606+'02_지표정의'!$C$24*R606</f>
        <v>0.50608923721668764</v>
      </c>
      <c r="T606" s="5">
        <f t="shared" si="102"/>
        <v>0</v>
      </c>
      <c r="U606" s="5" t="str">
        <f t="shared" si="103"/>
        <v>보고서</v>
      </c>
      <c r="V606" s="18">
        <f t="shared" si="104"/>
        <v>59</v>
      </c>
      <c r="W606" s="5">
        <f t="shared" si="105"/>
        <v>53</v>
      </c>
      <c r="X606" s="5">
        <f t="shared" si="106"/>
        <v>0</v>
      </c>
      <c r="Y606" s="5">
        <f t="shared" si="107"/>
        <v>52</v>
      </c>
      <c r="Z606" s="19">
        <f t="shared" si="108"/>
        <v>3</v>
      </c>
      <c r="AA606" s="20">
        <f>ABS(S606-SUMPRODUCT(('05B_가정검정'!$A$5:$A$19=B606)*('05B_가정검정'!$B$5:$B$19=C606)*'05B_가정검정'!$E$5:$E$19))</f>
        <v>8.4739611364940348E-2</v>
      </c>
      <c r="AB606" s="20">
        <f t="shared" si="109"/>
        <v>-6.8801538745423163E-2</v>
      </c>
    </row>
    <row r="607" spans="1:28">
      <c r="A607" s="15" t="s">
        <v>163</v>
      </c>
      <c r="B607" s="15" t="s">
        <v>120</v>
      </c>
      <c r="C607" s="15" t="s">
        <v>119</v>
      </c>
      <c r="D607" s="16">
        <v>0.28854824165915199</v>
      </c>
      <c r="E607" s="16">
        <v>0.42857142857142899</v>
      </c>
      <c r="F607" s="16">
        <v>0.215568862275449</v>
      </c>
      <c r="G607" s="16">
        <v>0.30952380952380998</v>
      </c>
      <c r="H607" s="16">
        <v>0.361488088170413</v>
      </c>
      <c r="I607" s="16">
        <v>0.394129253725296</v>
      </c>
      <c r="J607" s="16">
        <v>0.69375498095896504</v>
      </c>
      <c r="K607" s="16">
        <v>0.66941478570027002</v>
      </c>
      <c r="L607" s="16">
        <v>0.86067130199161002</v>
      </c>
      <c r="M607" s="16">
        <v>0.63451776649746205</v>
      </c>
      <c r="N607" s="16">
        <v>0.58558558558558604</v>
      </c>
      <c r="O607" s="16">
        <v>1</v>
      </c>
      <c r="P607" s="17">
        <f t="shared" si="99"/>
        <v>0.33297161398759151</v>
      </c>
      <c r="Q607" s="17">
        <f t="shared" si="100"/>
        <v>0.74128035621694843</v>
      </c>
      <c r="R607" s="17">
        <f t="shared" si="101"/>
        <v>0.74003445069434937</v>
      </c>
      <c r="S607" s="17">
        <f>'02_지표정의'!$C$22*P607+'02_지표정의'!$C$23*Q607+'02_지표정의'!$C$24*R607</f>
        <v>0.65918254083816741</v>
      </c>
      <c r="T607" s="5">
        <f t="shared" si="102"/>
        <v>0</v>
      </c>
      <c r="U607" s="5" t="str">
        <f t="shared" si="103"/>
        <v>보고서</v>
      </c>
      <c r="V607" s="18">
        <f t="shared" si="104"/>
        <v>666</v>
      </c>
      <c r="W607" s="5">
        <f t="shared" si="105"/>
        <v>0</v>
      </c>
      <c r="X607" s="5">
        <f t="shared" si="106"/>
        <v>347</v>
      </c>
      <c r="Y607" s="5">
        <f t="shared" si="107"/>
        <v>493</v>
      </c>
      <c r="Z607" s="19">
        <f t="shared" si="108"/>
        <v>27</v>
      </c>
      <c r="AA607" s="20">
        <f>ABS(S607-SUMPRODUCT(('05B_가정검정'!$A$5:$A$19=B607)*('05B_가정검정'!$B$5:$B$19=C607)*'05B_가정검정'!$E$5:$E$19))</f>
        <v>4.4947756432188735E-3</v>
      </c>
      <c r="AB607" s="20">
        <f t="shared" si="109"/>
        <v>7.5953332735179124E-4</v>
      </c>
    </row>
    <row r="608" spans="1:28">
      <c r="A608" s="15" t="s">
        <v>163</v>
      </c>
      <c r="B608" s="15" t="s">
        <v>121</v>
      </c>
      <c r="C608" s="15" t="s">
        <v>117</v>
      </c>
      <c r="D608" s="16">
        <v>0.256227758007117</v>
      </c>
      <c r="E608" s="16">
        <v>0.35714285714285698</v>
      </c>
      <c r="F608" s="16">
        <v>0.14399999999999999</v>
      </c>
      <c r="G608" s="16">
        <v>0.24603174603174599</v>
      </c>
      <c r="H608" s="16">
        <v>0.25046900391715599</v>
      </c>
      <c r="I608" s="16">
        <v>0.22083598613475999</v>
      </c>
      <c r="J608" s="16">
        <v>0.72289768716043301</v>
      </c>
      <c r="K608" s="16">
        <v>0.77344260636447704</v>
      </c>
      <c r="L608" s="16">
        <v>0.89763001554962096</v>
      </c>
      <c r="M608" s="16">
        <v>0.65986394557823103</v>
      </c>
      <c r="N608" s="16">
        <v>0.78571428571428603</v>
      </c>
      <c r="O608" s="16">
        <v>1</v>
      </c>
      <c r="P608" s="17">
        <f t="shared" si="99"/>
        <v>0.24578455853893932</v>
      </c>
      <c r="Q608" s="17">
        <f t="shared" si="100"/>
        <v>0.79799010302484374</v>
      </c>
      <c r="R608" s="17">
        <f t="shared" si="101"/>
        <v>0.81519274376417228</v>
      </c>
      <c r="S608" s="17">
        <f>'02_지표정의'!$C$22*P608+'02_지표정의'!$C$23*Q608+'02_지표정의'!$C$24*R608</f>
        <v>0.6935699183864279</v>
      </c>
      <c r="T608" s="5">
        <f t="shared" si="102"/>
        <v>1</v>
      </c>
      <c r="U608" s="5" t="str">
        <f t="shared" si="103"/>
        <v>보고서</v>
      </c>
      <c r="V608" s="18">
        <f t="shared" si="104"/>
        <v>798</v>
      </c>
      <c r="W608" s="5">
        <f t="shared" si="105"/>
        <v>548</v>
      </c>
      <c r="X608" s="5">
        <f t="shared" si="106"/>
        <v>473</v>
      </c>
      <c r="Y608" s="5">
        <f t="shared" si="107"/>
        <v>0</v>
      </c>
      <c r="Z608" s="19">
        <f t="shared" si="108"/>
        <v>14</v>
      </c>
      <c r="AA608" s="20">
        <f>ABS(S608-SUMPRODUCT(('05B_가정검정'!$A$5:$A$19=B608)*('05B_가정검정'!$B$5:$B$19=C608)*'05B_가정검정'!$E$5:$E$19))</f>
        <v>3.5862152995453256E-2</v>
      </c>
      <c r="AB608" s="20">
        <f t="shared" si="109"/>
        <v>-2.4081874686453064E-2</v>
      </c>
    </row>
    <row r="609" spans="1:28">
      <c r="A609" s="15" t="s">
        <v>163</v>
      </c>
      <c r="B609" s="15" t="s">
        <v>121</v>
      </c>
      <c r="C609" s="15" t="s">
        <v>118</v>
      </c>
      <c r="D609" s="16">
        <v>0.26990553306342802</v>
      </c>
      <c r="E609" s="16">
        <v>0.25082508250825097</v>
      </c>
      <c r="F609" s="16">
        <v>9.3023255813953501E-2</v>
      </c>
      <c r="G609" s="16">
        <v>0.19141914191419099</v>
      </c>
      <c r="H609" s="16">
        <v>0.15717008516744099</v>
      </c>
      <c r="I609" s="16">
        <v>0.21591969237426401</v>
      </c>
      <c r="J609" s="16">
        <v>0.725993925237024</v>
      </c>
      <c r="K609" s="16">
        <v>0.75967458288315204</v>
      </c>
      <c r="L609" s="16">
        <v>0.88797950312858498</v>
      </c>
      <c r="M609" s="16">
        <v>0.233734939759036</v>
      </c>
      <c r="N609" s="16">
        <v>0.22023809523809501</v>
      </c>
      <c r="O609" s="16">
        <v>0.52631578947368396</v>
      </c>
      <c r="P609" s="17">
        <f t="shared" si="99"/>
        <v>0.1963771318069214</v>
      </c>
      <c r="Q609" s="17">
        <f t="shared" si="100"/>
        <v>0.79121600374958712</v>
      </c>
      <c r="R609" s="17">
        <f t="shared" si="101"/>
        <v>0.32676294149027169</v>
      </c>
      <c r="S609" s="17">
        <f>'02_지표정의'!$C$22*P609+'02_지표정의'!$C$23*Q609+'02_지표정의'!$C$24*R609</f>
        <v>0.5096896575702935</v>
      </c>
      <c r="T609" s="5">
        <f t="shared" si="102"/>
        <v>0</v>
      </c>
      <c r="U609" s="5" t="str">
        <f t="shared" si="103"/>
        <v>보고서</v>
      </c>
      <c r="V609" s="18">
        <f t="shared" si="104"/>
        <v>65</v>
      </c>
      <c r="W609" s="5">
        <f t="shared" si="105"/>
        <v>57</v>
      </c>
      <c r="X609" s="5">
        <f t="shared" si="106"/>
        <v>0</v>
      </c>
      <c r="Y609" s="5">
        <f t="shared" si="107"/>
        <v>58</v>
      </c>
      <c r="Z609" s="19">
        <f t="shared" si="108"/>
        <v>2</v>
      </c>
      <c r="AA609" s="20">
        <f>ABS(S609-SUMPRODUCT(('05B_가정검정'!$A$5:$A$19=B609)*('05B_가정검정'!$B$5:$B$19=C609)*'05B_가정검정'!$E$5:$E$19))</f>
        <v>8.8889832596674934E-2</v>
      </c>
      <c r="AB609" s="20">
        <f t="shared" si="109"/>
        <v>-6.9709416956519776E-2</v>
      </c>
    </row>
    <row r="610" spans="1:28">
      <c r="A610" s="15" t="s">
        <v>163</v>
      </c>
      <c r="B610" s="15" t="s">
        <v>121</v>
      </c>
      <c r="C610" s="15" t="s">
        <v>119</v>
      </c>
      <c r="D610" s="16">
        <v>0.288973384030418</v>
      </c>
      <c r="E610" s="16">
        <v>0.40692640692640702</v>
      </c>
      <c r="F610" s="16">
        <v>0.17467248908296901</v>
      </c>
      <c r="G610" s="16">
        <v>0.28571428571428598</v>
      </c>
      <c r="H610" s="16">
        <v>0.257207700857781</v>
      </c>
      <c r="I610" s="16">
        <v>0.36806612012607998</v>
      </c>
      <c r="J610" s="16">
        <v>0.77636196617994402</v>
      </c>
      <c r="K610" s="16">
        <v>0.78837733754766104</v>
      </c>
      <c r="L610" s="16">
        <v>0.90304004168866803</v>
      </c>
      <c r="M610" s="16">
        <v>0.49238578680203099</v>
      </c>
      <c r="N610" s="16">
        <v>0.49549549549549599</v>
      </c>
      <c r="O610" s="16">
        <v>1</v>
      </c>
      <c r="P610" s="17">
        <f t="shared" si="99"/>
        <v>0.29692673112299017</v>
      </c>
      <c r="Q610" s="17">
        <f t="shared" si="100"/>
        <v>0.82259311513875766</v>
      </c>
      <c r="R610" s="17">
        <f t="shared" si="101"/>
        <v>0.66262709409917564</v>
      </c>
      <c r="S610" s="17">
        <f>'02_지표정의'!$C$22*P610+'02_지표정의'!$C$23*Q610+'02_지표정의'!$C$24*R610</f>
        <v>0.66147173097175038</v>
      </c>
      <c r="T610" s="5">
        <f t="shared" si="102"/>
        <v>0</v>
      </c>
      <c r="U610" s="5" t="str">
        <f t="shared" si="103"/>
        <v>보고서</v>
      </c>
      <c r="V610" s="18">
        <f t="shared" si="104"/>
        <v>680</v>
      </c>
      <c r="W610" s="5">
        <f t="shared" si="105"/>
        <v>0</v>
      </c>
      <c r="X610" s="5">
        <f t="shared" si="106"/>
        <v>361</v>
      </c>
      <c r="Y610" s="5">
        <f t="shared" si="107"/>
        <v>503</v>
      </c>
      <c r="Z610" s="19">
        <f t="shared" si="108"/>
        <v>18</v>
      </c>
      <c r="AA610" s="20">
        <f>ABS(S610-SUMPRODUCT(('05B_가정검정'!$A$5:$A$19=B610)*('05B_가정검정'!$B$5:$B$19=C610)*'05B_가정검정'!$E$5:$E$19))</f>
        <v>3.0848111824103297E-2</v>
      </c>
      <c r="AB610" s="20">
        <f t="shared" si="109"/>
        <v>-2.6765244447860659E-2</v>
      </c>
    </row>
    <row r="611" spans="1:28">
      <c r="A611" s="15" t="s">
        <v>163</v>
      </c>
      <c r="B611" s="15" t="s">
        <v>122</v>
      </c>
      <c r="C611" s="15" t="s">
        <v>117</v>
      </c>
      <c r="D611" s="16">
        <v>0.25345043914680099</v>
      </c>
      <c r="E611" s="16">
        <v>0.34666666666666701</v>
      </c>
      <c r="F611" s="16">
        <v>0.17449664429530201</v>
      </c>
      <c r="G611" s="16">
        <v>0.233333333333333</v>
      </c>
      <c r="H611" s="16">
        <v>0.24267776772224001</v>
      </c>
      <c r="I611" s="16">
        <v>0.284834840464394</v>
      </c>
      <c r="J611" s="16">
        <v>0.624782636661251</v>
      </c>
      <c r="K611" s="16">
        <v>0.56708093150117</v>
      </c>
      <c r="L611" s="16">
        <v>0.72892599721294604</v>
      </c>
      <c r="M611" s="16">
        <v>0.71428571428571397</v>
      </c>
      <c r="N611" s="16">
        <v>0.61428571428571399</v>
      </c>
      <c r="O611" s="16">
        <v>1</v>
      </c>
      <c r="P611" s="17">
        <f t="shared" si="99"/>
        <v>0.25590994860478949</v>
      </c>
      <c r="Q611" s="17">
        <f t="shared" si="100"/>
        <v>0.64026318845845565</v>
      </c>
      <c r="R611" s="17">
        <f t="shared" si="101"/>
        <v>0.77619047619047599</v>
      </c>
      <c r="S611" s="17">
        <f>'02_지표정의'!$C$22*P611+'02_지표정의'!$C$23*Q611+'02_지표정의'!$C$24*R611</f>
        <v>0.61096709119392956</v>
      </c>
      <c r="T611" s="5">
        <f t="shared" si="102"/>
        <v>0</v>
      </c>
      <c r="U611" s="5" t="str">
        <f t="shared" si="103"/>
        <v>보고서</v>
      </c>
      <c r="V611" s="18">
        <f t="shared" si="104"/>
        <v>435</v>
      </c>
      <c r="W611" s="5">
        <f t="shared" si="105"/>
        <v>353</v>
      </c>
      <c r="X611" s="5">
        <f t="shared" si="106"/>
        <v>185</v>
      </c>
      <c r="Y611" s="5">
        <f t="shared" si="107"/>
        <v>0</v>
      </c>
      <c r="Z611" s="19">
        <f t="shared" si="108"/>
        <v>24</v>
      </c>
      <c r="AA611" s="20">
        <f>ABS(S611-SUMPRODUCT(('05B_가정검정'!$A$5:$A$19=B611)*('05B_가정검정'!$B$5:$B$19=C611)*'05B_가정검정'!$E$5:$E$19))</f>
        <v>2.8385863514748921E-2</v>
      </c>
      <c r="AB611" s="20">
        <f t="shared" si="109"/>
        <v>-1.1914530995716599E-2</v>
      </c>
    </row>
    <row r="612" spans="1:28">
      <c r="A612" s="15" t="s">
        <v>163</v>
      </c>
      <c r="B612" s="15" t="s">
        <v>122</v>
      </c>
      <c r="C612" s="15" t="s">
        <v>118</v>
      </c>
      <c r="D612" s="16">
        <v>0.31942446043165501</v>
      </c>
      <c r="E612" s="16">
        <v>0.27350427350427398</v>
      </c>
      <c r="F612" s="16">
        <v>0.17191977077363901</v>
      </c>
      <c r="G612" s="16">
        <v>0.19943019943019899</v>
      </c>
      <c r="H612" s="16">
        <v>0.16606788777537601</v>
      </c>
      <c r="I612" s="16">
        <v>0.235349998037089</v>
      </c>
      <c r="J612" s="16">
        <v>0.62455610723104005</v>
      </c>
      <c r="K612" s="16">
        <v>0.65351647439962102</v>
      </c>
      <c r="L612" s="16">
        <v>0.778636475490319</v>
      </c>
      <c r="M612" s="16">
        <v>0.27710843373493999</v>
      </c>
      <c r="N612" s="16">
        <v>0.17857142857142899</v>
      </c>
      <c r="O612" s="16">
        <v>0.52631578947368396</v>
      </c>
      <c r="P612" s="17">
        <f t="shared" si="99"/>
        <v>0.22761609832537202</v>
      </c>
      <c r="Q612" s="17">
        <f t="shared" si="100"/>
        <v>0.68556968570699339</v>
      </c>
      <c r="R612" s="17">
        <f t="shared" si="101"/>
        <v>0.32733188392668433</v>
      </c>
      <c r="S612" s="17">
        <f>'02_지표정의'!$C$22*P612+'02_지표정의'!$C$23*Q612+'02_지표정의'!$C$24*R612</f>
        <v>0.4685957376075609</v>
      </c>
      <c r="T612" s="5">
        <f t="shared" si="102"/>
        <v>1</v>
      </c>
      <c r="U612" s="5" t="str">
        <f t="shared" si="103"/>
        <v>보고서</v>
      </c>
      <c r="V612" s="18">
        <f t="shared" si="104"/>
        <v>11</v>
      </c>
      <c r="W612" s="5">
        <f t="shared" si="105"/>
        <v>5</v>
      </c>
      <c r="X612" s="5">
        <f t="shared" si="106"/>
        <v>0</v>
      </c>
      <c r="Y612" s="5">
        <f t="shared" si="107"/>
        <v>10</v>
      </c>
      <c r="Z612" s="19">
        <f t="shared" si="108"/>
        <v>1</v>
      </c>
      <c r="AA612" s="20">
        <f>ABS(S612-SUMPRODUCT(('05B_가정검정'!$A$5:$A$19=B612)*('05B_가정검정'!$B$5:$B$19=C612)*'05B_가정검정'!$E$5:$E$19))</f>
        <v>0.11832619838959735</v>
      </c>
      <c r="AB612" s="20">
        <f t="shared" si="109"/>
        <v>-0.11262753861012287</v>
      </c>
    </row>
    <row r="613" spans="1:28">
      <c r="A613" s="15" t="s">
        <v>163</v>
      </c>
      <c r="B613" s="15" t="s">
        <v>122</v>
      </c>
      <c r="C613" s="15" t="s">
        <v>119</v>
      </c>
      <c r="D613" s="16">
        <v>0.29340511440107703</v>
      </c>
      <c r="E613" s="16">
        <v>0.45161290322580599</v>
      </c>
      <c r="F613" s="16">
        <v>0.25270758122743697</v>
      </c>
      <c r="G613" s="16">
        <v>0.30107526881720398</v>
      </c>
      <c r="H613" s="16">
        <v>0.24993212926002201</v>
      </c>
      <c r="I613" s="16">
        <v>0.39163389052998898</v>
      </c>
      <c r="J613" s="16">
        <v>0.68702831882084803</v>
      </c>
      <c r="K613" s="16">
        <v>0.61656806530466302</v>
      </c>
      <c r="L613" s="16">
        <v>0.74430009949515796</v>
      </c>
      <c r="M613" s="16">
        <v>0.52284263959390898</v>
      </c>
      <c r="N613" s="16">
        <v>0.38738738738738698</v>
      </c>
      <c r="O613" s="16">
        <v>1</v>
      </c>
      <c r="P613" s="17">
        <f t="shared" si="99"/>
        <v>0.32339448124358916</v>
      </c>
      <c r="Q613" s="17">
        <f t="shared" si="100"/>
        <v>0.68263216120688963</v>
      </c>
      <c r="R613" s="17">
        <f t="shared" si="101"/>
        <v>0.63674334232709862</v>
      </c>
      <c r="S613" s="17">
        <f>'02_지표정의'!$C$22*P613+'02_지표정의'!$C$23*Q613+'02_지표정의'!$C$24*R613</f>
        <v>0.59472353860630267</v>
      </c>
      <c r="T613" s="5">
        <f t="shared" si="102"/>
        <v>0</v>
      </c>
      <c r="U613" s="5" t="str">
        <f t="shared" si="103"/>
        <v>보고서</v>
      </c>
      <c r="V613" s="18">
        <f t="shared" si="104"/>
        <v>364</v>
      </c>
      <c r="W613" s="5">
        <f t="shared" si="105"/>
        <v>0</v>
      </c>
      <c r="X613" s="5">
        <f t="shared" si="106"/>
        <v>155</v>
      </c>
      <c r="Y613" s="5">
        <f t="shared" si="107"/>
        <v>280</v>
      </c>
      <c r="Z613" s="19">
        <f t="shared" si="108"/>
        <v>11</v>
      </c>
      <c r="AA613" s="20">
        <f>ABS(S613-SUMPRODUCT(('05B_가정검정'!$A$5:$A$19=B613)*('05B_가정검정'!$B$5:$B$19=C613)*'05B_가정검정'!$E$5:$E$19))</f>
        <v>4.0882649295148732E-2</v>
      </c>
      <c r="AB613" s="20">
        <f t="shared" si="109"/>
        <v>-3.6665327708583328E-2</v>
      </c>
    </row>
    <row r="614" spans="1:28">
      <c r="A614" s="15" t="s">
        <v>163</v>
      </c>
      <c r="B614" s="15" t="s">
        <v>123</v>
      </c>
      <c r="C614" s="15" t="s">
        <v>117</v>
      </c>
      <c r="D614" s="16">
        <v>0.25899280575539602</v>
      </c>
      <c r="E614" s="16">
        <v>0.37299035369774902</v>
      </c>
      <c r="F614" s="16">
        <v>0.19417475728155301</v>
      </c>
      <c r="G614" s="16">
        <v>0.23794212218649499</v>
      </c>
      <c r="H614" s="16">
        <v>0.37689602419907398</v>
      </c>
      <c r="I614" s="16">
        <v>0.26448710593631303</v>
      </c>
      <c r="J614" s="16">
        <v>0.72812029475874096</v>
      </c>
      <c r="K614" s="16">
        <v>0.653578669122856</v>
      </c>
      <c r="L614" s="16">
        <v>0.82832381467165805</v>
      </c>
      <c r="M614" s="16">
        <v>0.65986394557823103</v>
      </c>
      <c r="N614" s="16">
        <v>0.78571428571428603</v>
      </c>
      <c r="O614" s="16">
        <v>1</v>
      </c>
      <c r="P614" s="17">
        <f t="shared" si="99"/>
        <v>0.28424719484276334</v>
      </c>
      <c r="Q614" s="17">
        <f t="shared" si="100"/>
        <v>0.73667425951775167</v>
      </c>
      <c r="R614" s="17">
        <f t="shared" si="101"/>
        <v>0.81519274376417228</v>
      </c>
      <c r="S614" s="17">
        <f>'02_지표정의'!$C$22*P614+'02_지표정의'!$C$23*Q614+'02_지표정의'!$C$24*R614</f>
        <v>0.67367031606900118</v>
      </c>
      <c r="T614" s="5">
        <f t="shared" si="102"/>
        <v>0</v>
      </c>
      <c r="U614" s="5" t="str">
        <f t="shared" si="103"/>
        <v>보고서</v>
      </c>
      <c r="V614" s="18">
        <f t="shared" si="104"/>
        <v>732</v>
      </c>
      <c r="W614" s="5">
        <f t="shared" si="105"/>
        <v>520</v>
      </c>
      <c r="X614" s="5">
        <f t="shared" si="106"/>
        <v>411</v>
      </c>
      <c r="Y614" s="5">
        <f t="shared" si="107"/>
        <v>0</v>
      </c>
      <c r="Z614" s="19">
        <f t="shared" si="108"/>
        <v>10</v>
      </c>
      <c r="AA614" s="20">
        <f>ABS(S614-SUMPRODUCT(('05B_가정검정'!$A$5:$A$19=B614)*('05B_가정검정'!$B$5:$B$19=C614)*'05B_가정검정'!$E$5:$E$19))</f>
        <v>4.1252566707222549E-2</v>
      </c>
      <c r="AB614" s="20">
        <f t="shared" si="109"/>
        <v>-3.4315135742241987E-2</v>
      </c>
    </row>
    <row r="615" spans="1:28">
      <c r="A615" s="15" t="s">
        <v>163</v>
      </c>
      <c r="B615" s="15" t="s">
        <v>123</v>
      </c>
      <c r="C615" s="15" t="s">
        <v>118</v>
      </c>
      <c r="D615" s="16">
        <v>0.25947187141216999</v>
      </c>
      <c r="E615" s="16">
        <v>0.287292817679558</v>
      </c>
      <c r="F615" s="16">
        <v>0.155555555555556</v>
      </c>
      <c r="G615" s="16">
        <v>0.198895027624309</v>
      </c>
      <c r="H615" s="16">
        <v>0.20685346808416399</v>
      </c>
      <c r="I615" s="16">
        <v>0.20685877692398499</v>
      </c>
      <c r="J615" s="16">
        <v>0.70231166855624105</v>
      </c>
      <c r="K615" s="16">
        <v>0.70594773039789505</v>
      </c>
      <c r="L615" s="16">
        <v>0.85496279012624998</v>
      </c>
      <c r="M615" s="16">
        <v>0.233734939759036</v>
      </c>
      <c r="N615" s="16">
        <v>0.22023809523809501</v>
      </c>
      <c r="O615" s="16">
        <v>0.52631578947368396</v>
      </c>
      <c r="P615" s="17">
        <f t="shared" si="99"/>
        <v>0.21915458621329031</v>
      </c>
      <c r="Q615" s="17">
        <f t="shared" si="100"/>
        <v>0.75440739636012866</v>
      </c>
      <c r="R615" s="17">
        <f t="shared" si="101"/>
        <v>0.32676294149027169</v>
      </c>
      <c r="S615" s="17">
        <f>'02_지표정의'!$C$22*P615+'02_지표정의'!$C$23*Q615+'02_지표정의'!$C$24*R615</f>
        <v>0.49768127512631111</v>
      </c>
      <c r="T615" s="5">
        <f t="shared" si="102"/>
        <v>0</v>
      </c>
      <c r="U615" s="5" t="str">
        <f t="shared" si="103"/>
        <v>보고서</v>
      </c>
      <c r="V615" s="18">
        <f t="shared" si="104"/>
        <v>41</v>
      </c>
      <c r="W615" s="5">
        <f t="shared" si="105"/>
        <v>35</v>
      </c>
      <c r="X615" s="5">
        <f t="shared" si="106"/>
        <v>0</v>
      </c>
      <c r="Y615" s="5">
        <f t="shared" si="107"/>
        <v>36</v>
      </c>
      <c r="Z615" s="19">
        <f t="shared" si="108"/>
        <v>7</v>
      </c>
      <c r="AA615" s="20">
        <f>ABS(S615-SUMPRODUCT(('05B_가정검정'!$A$5:$A$19=B615)*('05B_가정검정'!$B$5:$B$19=C615)*'05B_가정검정'!$E$5:$E$19))</f>
        <v>7.7617551752658609E-2</v>
      </c>
      <c r="AB615" s="20">
        <f t="shared" si="109"/>
        <v>-6.2190332798179981E-2</v>
      </c>
    </row>
    <row r="616" spans="1:28">
      <c r="A616" s="15" t="s">
        <v>163</v>
      </c>
      <c r="B616" s="15" t="s">
        <v>123</v>
      </c>
      <c r="C616" s="15" t="s">
        <v>119</v>
      </c>
      <c r="D616" s="16">
        <v>0.27638737758433102</v>
      </c>
      <c r="E616" s="16">
        <v>0.44827586206896602</v>
      </c>
      <c r="F616" s="16">
        <v>0.20833333333333301</v>
      </c>
      <c r="G616" s="16">
        <v>0.28275862068965502</v>
      </c>
      <c r="H616" s="16">
        <v>0.38077382446872199</v>
      </c>
      <c r="I616" s="16">
        <v>0.34814864918951299</v>
      </c>
      <c r="J616" s="16">
        <v>0.74082284751831395</v>
      </c>
      <c r="K616" s="16">
        <v>0.72562126931215798</v>
      </c>
      <c r="L616" s="16">
        <v>0.89599246177179104</v>
      </c>
      <c r="M616" s="16">
        <v>0.49238578680203099</v>
      </c>
      <c r="N616" s="16">
        <v>0.49549549549549599</v>
      </c>
      <c r="O616" s="16">
        <v>1</v>
      </c>
      <c r="P616" s="17">
        <f t="shared" si="99"/>
        <v>0.32411294455575335</v>
      </c>
      <c r="Q616" s="17">
        <f t="shared" si="100"/>
        <v>0.78747885953408769</v>
      </c>
      <c r="R616" s="17">
        <f t="shared" si="101"/>
        <v>0.66262709409917564</v>
      </c>
      <c r="S616" s="17">
        <f>'02_지표정의'!$C$22*P616+'02_지표정의'!$C$23*Q616+'02_지표정의'!$C$24*R616</f>
        <v>0.65110755863620162</v>
      </c>
      <c r="T616" s="5">
        <f t="shared" si="102"/>
        <v>1</v>
      </c>
      <c r="U616" s="5" t="str">
        <f t="shared" si="103"/>
        <v>보고서</v>
      </c>
      <c r="V616" s="18">
        <f t="shared" si="104"/>
        <v>623</v>
      </c>
      <c r="W616" s="5">
        <f t="shared" si="105"/>
        <v>0</v>
      </c>
      <c r="X616" s="5">
        <f t="shared" si="106"/>
        <v>309</v>
      </c>
      <c r="Y616" s="5">
        <f t="shared" si="107"/>
        <v>465</v>
      </c>
      <c r="Z616" s="19">
        <f t="shared" si="108"/>
        <v>17</v>
      </c>
      <c r="AA616" s="20">
        <f>ABS(S616-SUMPRODUCT(('05B_가정검정'!$A$5:$A$19=B616)*('05B_가정검정'!$B$5:$B$19=C616)*'05B_가정검정'!$E$5:$E$19))</f>
        <v>3.452223868802573E-2</v>
      </c>
      <c r="AB616" s="20">
        <f t="shared" si="109"/>
        <v>-3.1311174408800158E-2</v>
      </c>
    </row>
    <row r="617" spans="1:28">
      <c r="A617" s="15" t="s">
        <v>164</v>
      </c>
      <c r="B617" s="15" t="s">
        <v>116</v>
      </c>
      <c r="C617" s="15" t="s">
        <v>117</v>
      </c>
      <c r="D617" s="16">
        <v>0.27314112291350501</v>
      </c>
      <c r="E617" s="16">
        <v>0.36477987421383701</v>
      </c>
      <c r="F617" s="16">
        <v>0.11464968152866201</v>
      </c>
      <c r="G617" s="16">
        <v>0.31446540880503099</v>
      </c>
      <c r="H617" s="16">
        <v>0.24729183337469801</v>
      </c>
      <c r="I617" s="16">
        <v>0.28687286932563499</v>
      </c>
      <c r="J617" s="16">
        <v>0.72128651295479995</v>
      </c>
      <c r="K617" s="16">
        <v>0.69959788972114201</v>
      </c>
      <c r="L617" s="16">
        <v>0.85952275494939101</v>
      </c>
      <c r="M617" s="16">
        <v>0.51515151515151503</v>
      </c>
      <c r="N617" s="16">
        <v>0.213483146067416</v>
      </c>
      <c r="O617" s="16">
        <v>1</v>
      </c>
      <c r="P617" s="17">
        <f t="shared" si="99"/>
        <v>0.26686679836022803</v>
      </c>
      <c r="Q617" s="17">
        <f t="shared" si="100"/>
        <v>0.76013571920844436</v>
      </c>
      <c r="R617" s="17">
        <f t="shared" si="101"/>
        <v>0.57621155373964372</v>
      </c>
      <c r="S617" s="17">
        <f>'02_지표정의'!$C$22*P617+'02_지표정의'!$C$23*Q617+'02_지표정의'!$C$24*R617</f>
        <v>0.59710847712472082</v>
      </c>
      <c r="T617" s="5">
        <f t="shared" si="102"/>
        <v>0</v>
      </c>
      <c r="U617" s="5" t="str">
        <f t="shared" si="103"/>
        <v>보고서</v>
      </c>
      <c r="V617" s="18">
        <f t="shared" si="104"/>
        <v>383</v>
      </c>
      <c r="W617" s="5">
        <f t="shared" si="105"/>
        <v>309</v>
      </c>
      <c r="X617" s="5">
        <f t="shared" si="106"/>
        <v>165</v>
      </c>
      <c r="Y617" s="5">
        <f t="shared" si="107"/>
        <v>0</v>
      </c>
      <c r="Z617" s="19">
        <f t="shared" si="108"/>
        <v>65</v>
      </c>
      <c r="AA617" s="20">
        <f>ABS(S617-SUMPRODUCT(('05B_가정검정'!$A$5:$A$19=B617)*('05B_가정검정'!$B$5:$B$19=C617)*'05B_가정검정'!$E$5:$E$19))</f>
        <v>3.9704772139753541E-2</v>
      </c>
      <c r="AB617" s="20">
        <f t="shared" si="109"/>
        <v>4.4557311712097425E-2</v>
      </c>
    </row>
    <row r="618" spans="1:28">
      <c r="A618" s="15" t="s">
        <v>164</v>
      </c>
      <c r="B618" s="15" t="s">
        <v>116</v>
      </c>
      <c r="C618" s="15" t="s">
        <v>118</v>
      </c>
      <c r="D618" s="16">
        <v>0.259818731117825</v>
      </c>
      <c r="E618" s="16">
        <v>0.30167597765363102</v>
      </c>
      <c r="F618" s="16">
        <v>0.169491525423729</v>
      </c>
      <c r="G618" s="16">
        <v>0.27932960893854802</v>
      </c>
      <c r="H618" s="16">
        <v>0.15552987588591399</v>
      </c>
      <c r="I618" s="16">
        <v>0.366980505422137</v>
      </c>
      <c r="J618" s="16">
        <v>0.72992237142522098</v>
      </c>
      <c r="K618" s="16">
        <v>0.69328387035984596</v>
      </c>
      <c r="L618" s="16">
        <v>0.85559423691841896</v>
      </c>
      <c r="M618" s="16">
        <v>0.43365695792880299</v>
      </c>
      <c r="N618" s="16">
        <v>0</v>
      </c>
      <c r="O618" s="16">
        <v>0.64473684210526305</v>
      </c>
      <c r="P618" s="17">
        <f t="shared" si="99"/>
        <v>0.25547103740696403</v>
      </c>
      <c r="Q618" s="17">
        <f t="shared" si="100"/>
        <v>0.75960015956782867</v>
      </c>
      <c r="R618" s="17">
        <f t="shared" si="101"/>
        <v>0.35946460001135533</v>
      </c>
      <c r="S618" s="17">
        <f>'02_지표정의'!$C$22*P618+'02_지표정의'!$C$23*Q618+'02_지표정의'!$C$24*R618</f>
        <v>0.51872688929089006</v>
      </c>
      <c r="T618" s="5">
        <f t="shared" si="102"/>
        <v>0</v>
      </c>
      <c r="U618" s="5" t="str">
        <f t="shared" si="103"/>
        <v>보고서</v>
      </c>
      <c r="V618" s="18">
        <f t="shared" si="104"/>
        <v>90</v>
      </c>
      <c r="W618" s="5">
        <f t="shared" si="105"/>
        <v>81</v>
      </c>
      <c r="X618" s="5">
        <f t="shared" si="106"/>
        <v>0</v>
      </c>
      <c r="Y618" s="5">
        <f t="shared" si="107"/>
        <v>82</v>
      </c>
      <c r="Z618" s="19">
        <f t="shared" si="108"/>
        <v>30</v>
      </c>
      <c r="AA618" s="20">
        <f>ABS(S618-SUMPRODUCT(('05B_가정검정'!$A$5:$A$19=B618)*('05B_가정검정'!$B$5:$B$19=C618)*'05B_가정검정'!$E$5:$E$19))</f>
        <v>1.2565532410831581E-2</v>
      </c>
      <c r="AB618" s="20">
        <f t="shared" si="109"/>
        <v>-8.8221430876962437E-3</v>
      </c>
    </row>
    <row r="619" spans="1:28">
      <c r="A619" s="15" t="s">
        <v>164</v>
      </c>
      <c r="B619" s="15" t="s">
        <v>116</v>
      </c>
      <c r="C619" s="15" t="s">
        <v>119</v>
      </c>
      <c r="D619" s="16">
        <v>0.24626865671641801</v>
      </c>
      <c r="E619" s="16">
        <v>0.42105263157894701</v>
      </c>
      <c r="F619" s="16">
        <v>0.16793893129771001</v>
      </c>
      <c r="G619" s="16">
        <v>0.34586466165413499</v>
      </c>
      <c r="H619" s="16">
        <v>0.31309795619896302</v>
      </c>
      <c r="I619" s="16">
        <v>0.337958224811233</v>
      </c>
      <c r="J619" s="16">
        <v>0.76342987358466596</v>
      </c>
      <c r="K619" s="16">
        <v>0.73228410199524996</v>
      </c>
      <c r="L619" s="16">
        <v>0.87141992195222395</v>
      </c>
      <c r="M619" s="16">
        <v>0.51515151515151503</v>
      </c>
      <c r="N619" s="16">
        <v>0.213483146067416</v>
      </c>
      <c r="O619" s="16">
        <v>1</v>
      </c>
      <c r="P619" s="17">
        <f t="shared" si="99"/>
        <v>0.30536351037623433</v>
      </c>
      <c r="Q619" s="17">
        <f t="shared" si="100"/>
        <v>0.78904463251071322</v>
      </c>
      <c r="R619" s="17">
        <f t="shared" si="101"/>
        <v>0.57621155373964372</v>
      </c>
      <c r="S619" s="17">
        <f>'02_지표정의'!$C$22*P619+'02_지표정의'!$C$23*Q619+'02_지표정의'!$C$24*R619</f>
        <v>0.6178168305139432</v>
      </c>
      <c r="T619" s="5">
        <f t="shared" si="102"/>
        <v>0</v>
      </c>
      <c r="U619" s="5" t="str">
        <f t="shared" si="103"/>
        <v>보고서</v>
      </c>
      <c r="V619" s="18">
        <f t="shared" si="104"/>
        <v>478</v>
      </c>
      <c r="W619" s="5">
        <f t="shared" si="105"/>
        <v>0</v>
      </c>
      <c r="X619" s="5">
        <f t="shared" si="106"/>
        <v>211</v>
      </c>
      <c r="Y619" s="5">
        <f t="shared" si="107"/>
        <v>359</v>
      </c>
      <c r="Z619" s="19">
        <f t="shared" si="108"/>
        <v>62</v>
      </c>
      <c r="AA619" s="20">
        <f>ABS(S619-SUMPRODUCT(('05B_가정검정'!$A$5:$A$19=B619)*('05B_가정검정'!$B$5:$B$19=C619)*'05B_가정검정'!$E$5:$E$19))</f>
        <v>6.4793313771160599E-2</v>
      </c>
      <c r="AB619" s="20">
        <f t="shared" si="109"/>
        <v>6.1364346837763151E-2</v>
      </c>
    </row>
    <row r="620" spans="1:28">
      <c r="A620" s="15" t="s">
        <v>164</v>
      </c>
      <c r="B620" s="15" t="s">
        <v>120</v>
      </c>
      <c r="C620" s="15" t="s">
        <v>117</v>
      </c>
      <c r="D620" s="16">
        <v>0.23892893923789901</v>
      </c>
      <c r="E620" s="16">
        <v>0.334975369458128</v>
      </c>
      <c r="F620" s="16">
        <v>0.109452736318408</v>
      </c>
      <c r="G620" s="16">
        <v>0.266009852216749</v>
      </c>
      <c r="H620" s="16">
        <v>0.34793193441478598</v>
      </c>
      <c r="I620" s="16">
        <v>0.21906041909162099</v>
      </c>
      <c r="J620" s="16">
        <v>0.72386029088036996</v>
      </c>
      <c r="K620" s="16">
        <v>0.66438718755785997</v>
      </c>
      <c r="L620" s="16">
        <v>0.85131303293657501</v>
      </c>
      <c r="M620" s="16">
        <v>0.76576576576576605</v>
      </c>
      <c r="N620" s="16">
        <v>0.79032258064516103</v>
      </c>
      <c r="O620" s="16">
        <v>1</v>
      </c>
      <c r="P620" s="17">
        <f t="shared" si="99"/>
        <v>0.25272654178959847</v>
      </c>
      <c r="Q620" s="17">
        <f t="shared" si="100"/>
        <v>0.74652017045826824</v>
      </c>
      <c r="R620" s="17">
        <f t="shared" si="101"/>
        <v>0.85202944880364229</v>
      </c>
      <c r="S620" s="17">
        <f>'02_지표정의'!$C$22*P620+'02_지표정의'!$C$23*Q620+'02_지표정의'!$C$24*R620</f>
        <v>0.6846896921454152</v>
      </c>
      <c r="T620" s="5">
        <f t="shared" si="102"/>
        <v>0</v>
      </c>
      <c r="U620" s="5" t="str">
        <f t="shared" si="103"/>
        <v>보고서</v>
      </c>
      <c r="V620" s="18">
        <f t="shared" si="104"/>
        <v>769</v>
      </c>
      <c r="W620" s="5">
        <f t="shared" si="105"/>
        <v>539</v>
      </c>
      <c r="X620" s="5">
        <f t="shared" si="106"/>
        <v>445</v>
      </c>
      <c r="Y620" s="5">
        <f t="shared" si="107"/>
        <v>0</v>
      </c>
      <c r="Z620" s="19">
        <f t="shared" si="108"/>
        <v>63</v>
      </c>
      <c r="AA620" s="20">
        <f>ABS(S620-SUMPRODUCT(('05B_가정검정'!$A$5:$A$19=B620)*('05B_가정검정'!$B$5:$B$19=C620)*'05B_가정검정'!$E$5:$E$19))</f>
        <v>5.6640732088294121E-2</v>
      </c>
      <c r="AB620" s="20">
        <f t="shared" si="109"/>
        <v>5.3386988720658057E-2</v>
      </c>
    </row>
    <row r="621" spans="1:28">
      <c r="A621" s="15" t="s">
        <v>164</v>
      </c>
      <c r="B621" s="15" t="s">
        <v>120</v>
      </c>
      <c r="C621" s="15" t="s">
        <v>118</v>
      </c>
      <c r="D621" s="16">
        <v>0.26078028747433302</v>
      </c>
      <c r="E621" s="16">
        <v>0.26008968609865502</v>
      </c>
      <c r="F621" s="16">
        <v>0.12669683257918599</v>
      </c>
      <c r="G621" s="16">
        <v>0.224215246636771</v>
      </c>
      <c r="H621" s="16">
        <v>0.25225184672761403</v>
      </c>
      <c r="I621" s="16">
        <v>0.33292266275108101</v>
      </c>
      <c r="J621" s="16">
        <v>0.70613597330950395</v>
      </c>
      <c r="K621" s="16">
        <v>0.69035349275692703</v>
      </c>
      <c r="L621" s="16">
        <v>0.82300514921744605</v>
      </c>
      <c r="M621" s="16">
        <v>0.35275080906148898</v>
      </c>
      <c r="N621" s="16">
        <v>0.26027397260273999</v>
      </c>
      <c r="O621" s="16">
        <v>0.64473684210526305</v>
      </c>
      <c r="P621" s="17">
        <f t="shared" si="99"/>
        <v>0.24282609371127337</v>
      </c>
      <c r="Q621" s="17">
        <f t="shared" si="100"/>
        <v>0.73983153842795912</v>
      </c>
      <c r="R621" s="17">
        <f t="shared" si="101"/>
        <v>0.41925387458983066</v>
      </c>
      <c r="S621" s="17">
        <f>'02_지표정의'!$C$22*P621+'02_지표정의'!$C$23*Q621+'02_지표정의'!$C$24*R621</f>
        <v>0.52822826714127702</v>
      </c>
      <c r="T621" s="5">
        <f t="shared" si="102"/>
        <v>0</v>
      </c>
      <c r="U621" s="5" t="str">
        <f t="shared" si="103"/>
        <v>보고서</v>
      </c>
      <c r="V621" s="18">
        <f t="shared" si="104"/>
        <v>127</v>
      </c>
      <c r="W621" s="5">
        <f t="shared" si="105"/>
        <v>114</v>
      </c>
      <c r="X621" s="5">
        <f t="shared" si="106"/>
        <v>0</v>
      </c>
      <c r="Y621" s="5">
        <f t="shared" si="107"/>
        <v>115</v>
      </c>
      <c r="Z621" s="19">
        <f t="shared" si="108"/>
        <v>19</v>
      </c>
      <c r="AA621" s="20">
        <f>ABS(S621-SUMPRODUCT(('05B_가정검정'!$A$5:$A$19=B621)*('05B_가정검정'!$B$5:$B$19=C621)*'05B_가정검정'!$E$5:$E$19))</f>
        <v>6.2600581440350966E-2</v>
      </c>
      <c r="AB621" s="20">
        <f t="shared" si="109"/>
        <v>-4.6662508820833781E-2</v>
      </c>
    </row>
    <row r="622" spans="1:28">
      <c r="A622" s="15" t="s">
        <v>164</v>
      </c>
      <c r="B622" s="15" t="s">
        <v>120</v>
      </c>
      <c r="C622" s="15" t="s">
        <v>119</v>
      </c>
      <c r="D622" s="16">
        <v>0.22641509433962301</v>
      </c>
      <c r="E622" s="16">
        <v>0.39548022598870097</v>
      </c>
      <c r="F622" s="16">
        <v>0.16</v>
      </c>
      <c r="G622" s="16">
        <v>0.32768361581920902</v>
      </c>
      <c r="H622" s="16">
        <v>0.270022443538596</v>
      </c>
      <c r="I622" s="16">
        <v>0.30502592603516998</v>
      </c>
      <c r="J622" s="16">
        <v>0.72987632267289804</v>
      </c>
      <c r="K622" s="16">
        <v>0.68394916208481504</v>
      </c>
      <c r="L622" s="16">
        <v>0.86213252894172399</v>
      </c>
      <c r="M622" s="16">
        <v>0.76576576576576605</v>
      </c>
      <c r="N622" s="16">
        <v>0.79032258064516103</v>
      </c>
      <c r="O622" s="16">
        <v>1</v>
      </c>
      <c r="P622" s="17">
        <f t="shared" si="99"/>
        <v>0.28077121762021651</v>
      </c>
      <c r="Q622" s="17">
        <f t="shared" si="100"/>
        <v>0.75865267123314573</v>
      </c>
      <c r="R622" s="17">
        <f t="shared" si="101"/>
        <v>0.85202944880364229</v>
      </c>
      <c r="S622" s="17">
        <f>'02_지표정의'!$C$22*P622+'02_지표정의'!$C$23*Q622+'02_지표정의'!$C$24*R622</f>
        <v>0.69575825266023372</v>
      </c>
      <c r="T622" s="5">
        <f t="shared" si="102"/>
        <v>0</v>
      </c>
      <c r="U622" s="5" t="str">
        <f t="shared" si="103"/>
        <v>보고서</v>
      </c>
      <c r="V622" s="18">
        <f t="shared" si="104"/>
        <v>808</v>
      </c>
      <c r="W622" s="5">
        <f t="shared" si="105"/>
        <v>0</v>
      </c>
      <c r="X622" s="5">
        <f t="shared" si="106"/>
        <v>483</v>
      </c>
      <c r="Y622" s="5">
        <f t="shared" si="107"/>
        <v>583</v>
      </c>
      <c r="Z622" s="19">
        <f t="shared" si="108"/>
        <v>54</v>
      </c>
      <c r="AA622" s="20">
        <f>ABS(S622-SUMPRODUCT(('05B_가정검정'!$A$5:$A$19=B622)*('05B_가정검정'!$B$5:$B$19=C622)*'05B_가정검정'!$E$5:$E$19))</f>
        <v>3.2080936178847441E-2</v>
      </c>
      <c r="AB622" s="20">
        <f t="shared" si="109"/>
        <v>3.7335245149418106E-2</v>
      </c>
    </row>
    <row r="623" spans="1:28">
      <c r="A623" s="15" t="s">
        <v>164</v>
      </c>
      <c r="B623" s="15" t="s">
        <v>121</v>
      </c>
      <c r="C623" s="15" t="s">
        <v>117</v>
      </c>
      <c r="D623" s="16">
        <v>0.2578125</v>
      </c>
      <c r="E623" s="16">
        <v>0.39106145251396701</v>
      </c>
      <c r="F623" s="16">
        <v>0.13559322033898299</v>
      </c>
      <c r="G623" s="16">
        <v>0.31284916201117302</v>
      </c>
      <c r="H623" s="16">
        <v>0.31896071928203101</v>
      </c>
      <c r="I623" s="16">
        <v>0.23985038485469101</v>
      </c>
      <c r="J623" s="16">
        <v>0.76477661928250795</v>
      </c>
      <c r="K623" s="16">
        <v>0.76335224107545696</v>
      </c>
      <c r="L623" s="16">
        <v>0.88208527522966895</v>
      </c>
      <c r="M623" s="16">
        <v>0.90654205607476601</v>
      </c>
      <c r="N623" s="16">
        <v>0.91666666666666696</v>
      </c>
      <c r="O623" s="16">
        <v>1</v>
      </c>
      <c r="P623" s="17">
        <f t="shared" si="99"/>
        <v>0.27602123983347421</v>
      </c>
      <c r="Q623" s="17">
        <f t="shared" si="100"/>
        <v>0.80340471186254458</v>
      </c>
      <c r="R623" s="17">
        <f t="shared" si="101"/>
        <v>0.94106957424714432</v>
      </c>
      <c r="S623" s="17">
        <f>'02_지표정의'!$C$22*P623+'02_지표정의'!$C$23*Q623+'02_지표정의'!$C$24*R623</f>
        <v>0.74611071929134043</v>
      </c>
      <c r="T623" s="5">
        <f t="shared" si="102"/>
        <v>1</v>
      </c>
      <c r="U623" s="5" t="str">
        <f t="shared" si="103"/>
        <v>보고서</v>
      </c>
      <c r="V623" s="18">
        <f t="shared" si="104"/>
        <v>946</v>
      </c>
      <c r="W623" s="5">
        <f t="shared" si="105"/>
        <v>643</v>
      </c>
      <c r="X623" s="5">
        <f t="shared" si="106"/>
        <v>621</v>
      </c>
      <c r="Y623" s="5">
        <f t="shared" si="107"/>
        <v>0</v>
      </c>
      <c r="Z623" s="19">
        <f t="shared" si="108"/>
        <v>59</v>
      </c>
      <c r="AA623" s="20">
        <f>ABS(S623-SUMPRODUCT(('05B_가정검정'!$A$5:$A$19=B623)*('05B_가정검정'!$B$5:$B$19=C623)*'05B_가정검정'!$E$5:$E$19))</f>
        <v>1.6678647909459277E-2</v>
      </c>
      <c r="AB623" s="20">
        <f t="shared" si="109"/>
        <v>2.8458926218459468E-2</v>
      </c>
    </row>
    <row r="624" spans="1:28">
      <c r="A624" s="15" t="s">
        <v>164</v>
      </c>
      <c r="B624" s="15" t="s">
        <v>121</v>
      </c>
      <c r="C624" s="15" t="s">
        <v>118</v>
      </c>
      <c r="D624" s="16">
        <v>0.24383916990920901</v>
      </c>
      <c r="E624" s="16">
        <v>0.30150753768844202</v>
      </c>
      <c r="F624" s="16">
        <v>8.1218274111675107E-2</v>
      </c>
      <c r="G624" s="16">
        <v>0.28140703517587901</v>
      </c>
      <c r="H624" s="16">
        <v>0.202822288489069</v>
      </c>
      <c r="I624" s="16">
        <v>0.285663110901615</v>
      </c>
      <c r="J624" s="16">
        <v>0.74342228766793605</v>
      </c>
      <c r="K624" s="16">
        <v>0.80229501657124302</v>
      </c>
      <c r="L624" s="16">
        <v>0.89452574189802503</v>
      </c>
      <c r="M624" s="16">
        <v>0.31391585760517798</v>
      </c>
      <c r="N624" s="16">
        <v>0.29452054794520499</v>
      </c>
      <c r="O624" s="16">
        <v>0.64473684210526305</v>
      </c>
      <c r="P624" s="17">
        <f t="shared" si="99"/>
        <v>0.23274290271264819</v>
      </c>
      <c r="Q624" s="17">
        <f t="shared" si="100"/>
        <v>0.81341434871240137</v>
      </c>
      <c r="R624" s="17">
        <f t="shared" si="101"/>
        <v>0.41772441588521536</v>
      </c>
      <c r="S624" s="17">
        <f>'02_지표정의'!$C$22*P624+'02_지표정의'!$C$23*Q624+'02_지표정의'!$C$24*R624</f>
        <v>0.55878858302293566</v>
      </c>
      <c r="T624" s="5">
        <f t="shared" si="102"/>
        <v>0</v>
      </c>
      <c r="U624" s="5" t="str">
        <f t="shared" si="103"/>
        <v>보고서</v>
      </c>
      <c r="V624" s="18">
        <f t="shared" si="104"/>
        <v>247</v>
      </c>
      <c r="W624" s="5">
        <f t="shared" si="105"/>
        <v>201</v>
      </c>
      <c r="X624" s="5">
        <f t="shared" si="106"/>
        <v>0</v>
      </c>
      <c r="Y624" s="5">
        <f t="shared" si="107"/>
        <v>204</v>
      </c>
      <c r="Z624" s="19">
        <f t="shared" si="108"/>
        <v>28</v>
      </c>
      <c r="AA624" s="20">
        <f>ABS(S624-SUMPRODUCT(('05B_가정검정'!$A$5:$A$19=B624)*('05B_가정검정'!$B$5:$B$19=C624)*'05B_가정검정'!$E$5:$E$19))</f>
        <v>3.9790907144032772E-2</v>
      </c>
      <c r="AB624" s="20">
        <f t="shared" si="109"/>
        <v>-2.0610491503877615E-2</v>
      </c>
    </row>
    <row r="625" spans="1:28">
      <c r="A625" s="15" t="s">
        <v>164</v>
      </c>
      <c r="B625" s="15" t="s">
        <v>121</v>
      </c>
      <c r="C625" s="15" t="s">
        <v>119</v>
      </c>
      <c r="D625" s="16">
        <v>0.24496124031007799</v>
      </c>
      <c r="E625" s="16">
        <v>0.37908496732026198</v>
      </c>
      <c r="F625" s="16">
        <v>0.119205298013245</v>
      </c>
      <c r="G625" s="16">
        <v>0.33986928104575198</v>
      </c>
      <c r="H625" s="16">
        <v>0.40612763803333601</v>
      </c>
      <c r="I625" s="16">
        <v>0.27226402047626602</v>
      </c>
      <c r="J625" s="16">
        <v>0.79182658328911204</v>
      </c>
      <c r="K625" s="16">
        <v>0.76330709652044604</v>
      </c>
      <c r="L625" s="16">
        <v>0.883984893384549</v>
      </c>
      <c r="M625" s="16">
        <v>0.90654205607476601</v>
      </c>
      <c r="N625" s="16">
        <v>0.91666666666666696</v>
      </c>
      <c r="O625" s="16">
        <v>1</v>
      </c>
      <c r="P625" s="17">
        <f t="shared" si="99"/>
        <v>0.29358540753315648</v>
      </c>
      <c r="Q625" s="17">
        <f t="shared" si="100"/>
        <v>0.81303952439803562</v>
      </c>
      <c r="R625" s="17">
        <f t="shared" si="101"/>
        <v>0.94106957424714432</v>
      </c>
      <c r="S625" s="17">
        <f>'02_지표정의'!$C$22*P625+'02_지표정의'!$C$23*Q625+'02_지표정의'!$C$24*R625</f>
        <v>0.75395921847224778</v>
      </c>
      <c r="T625" s="5">
        <f t="shared" si="102"/>
        <v>0</v>
      </c>
      <c r="U625" s="5" t="str">
        <f t="shared" si="103"/>
        <v>보고서</v>
      </c>
      <c r="V625" s="18">
        <f t="shared" si="104"/>
        <v>958</v>
      </c>
      <c r="W625" s="5">
        <f t="shared" si="105"/>
        <v>0</v>
      </c>
      <c r="X625" s="5">
        <f t="shared" si="106"/>
        <v>633</v>
      </c>
      <c r="Y625" s="5">
        <f t="shared" si="107"/>
        <v>634</v>
      </c>
      <c r="Z625" s="19">
        <f t="shared" si="108"/>
        <v>54</v>
      </c>
      <c r="AA625" s="20">
        <f>ABS(S625-SUMPRODUCT(('05B_가정검정'!$A$5:$A$19=B625)*('05B_가정검정'!$B$5:$B$19=C625)*'05B_가정검정'!$E$5:$E$19))</f>
        <v>6.1639375676394104E-2</v>
      </c>
      <c r="AB625" s="20">
        <f t="shared" si="109"/>
        <v>6.5722243052636742E-2</v>
      </c>
    </row>
    <row r="626" spans="1:28">
      <c r="A626" s="15" t="s">
        <v>164</v>
      </c>
      <c r="B626" s="15" t="s">
        <v>122</v>
      </c>
      <c r="C626" s="15" t="s">
        <v>117</v>
      </c>
      <c r="D626" s="16">
        <v>0.207792207792208</v>
      </c>
      <c r="E626" s="16">
        <v>0.31707317073170699</v>
      </c>
      <c r="F626" s="16">
        <v>0.12345679012345701</v>
      </c>
      <c r="G626" s="16">
        <v>0.292682926829268</v>
      </c>
      <c r="H626" s="16">
        <v>0.26921647619327599</v>
      </c>
      <c r="I626" s="16">
        <v>0.17907867182829801</v>
      </c>
      <c r="J626" s="16">
        <v>0.72894766984873705</v>
      </c>
      <c r="K626" s="16">
        <v>0.71472633674263597</v>
      </c>
      <c r="L626" s="16">
        <v>0.85917734052088901</v>
      </c>
      <c r="M626" s="16">
        <v>0.65925925925925899</v>
      </c>
      <c r="N626" s="16">
        <v>0.66216216216216195</v>
      </c>
      <c r="O626" s="16">
        <v>1</v>
      </c>
      <c r="P626" s="17">
        <f t="shared" si="99"/>
        <v>0.23155004058303566</v>
      </c>
      <c r="Q626" s="17">
        <f t="shared" si="100"/>
        <v>0.7676171157040873</v>
      </c>
      <c r="R626" s="17">
        <f t="shared" si="101"/>
        <v>0.77380714047380694</v>
      </c>
      <c r="S626" s="17">
        <f>'02_지표정의'!$C$22*P626+'02_지표정의'!$C$23*Q626+'02_지표정의'!$C$24*R626</f>
        <v>0.6625702093492789</v>
      </c>
      <c r="T626" s="5">
        <f t="shared" si="102"/>
        <v>0</v>
      </c>
      <c r="U626" s="5" t="str">
        <f t="shared" si="103"/>
        <v>보고서</v>
      </c>
      <c r="V626" s="18">
        <f t="shared" si="104"/>
        <v>685</v>
      </c>
      <c r="W626" s="5">
        <f t="shared" si="105"/>
        <v>498</v>
      </c>
      <c r="X626" s="5">
        <f t="shared" si="106"/>
        <v>366</v>
      </c>
      <c r="Y626" s="5">
        <f t="shared" si="107"/>
        <v>0</v>
      </c>
      <c r="Z626" s="19">
        <f t="shared" si="108"/>
        <v>54</v>
      </c>
      <c r="AA626" s="20">
        <f>ABS(S626-SUMPRODUCT(('05B_가정검정'!$A$5:$A$19=B626)*('05B_가정검정'!$B$5:$B$19=C626)*'05B_가정검정'!$E$5:$E$19))</f>
        <v>2.3217254640600427E-2</v>
      </c>
      <c r="AB626" s="20">
        <f t="shared" si="109"/>
        <v>3.9688587159632749E-2</v>
      </c>
    </row>
    <row r="627" spans="1:28">
      <c r="A627" s="15" t="s">
        <v>164</v>
      </c>
      <c r="B627" s="15" t="s">
        <v>122</v>
      </c>
      <c r="C627" s="15" t="s">
        <v>118</v>
      </c>
      <c r="D627" s="16">
        <v>0.28448275862069</v>
      </c>
      <c r="E627" s="16">
        <v>0.315217391304348</v>
      </c>
      <c r="F627" s="16">
        <v>0.18681318681318701</v>
      </c>
      <c r="G627" s="16">
        <v>0.282608695652174</v>
      </c>
      <c r="H627" s="16">
        <v>0.197235178014673</v>
      </c>
      <c r="I627" s="16">
        <v>0.232604957029657</v>
      </c>
      <c r="J627" s="16">
        <v>0.73350767138780504</v>
      </c>
      <c r="K627" s="16">
        <v>0.74684581453354504</v>
      </c>
      <c r="L627" s="16">
        <v>0.86800787012931002</v>
      </c>
      <c r="M627" s="16">
        <v>0.40129449838187697</v>
      </c>
      <c r="N627" s="16">
        <v>0.21232876712328799</v>
      </c>
      <c r="O627" s="16">
        <v>0.64473684210526305</v>
      </c>
      <c r="P627" s="17">
        <f t="shared" si="99"/>
        <v>0.24982702790578823</v>
      </c>
      <c r="Q627" s="17">
        <f t="shared" si="100"/>
        <v>0.78278711868355344</v>
      </c>
      <c r="R627" s="17">
        <f t="shared" si="101"/>
        <v>0.41945336920347603</v>
      </c>
      <c r="S627" s="17">
        <f>'02_지표정의'!$C$22*P627+'02_지표정의'!$C$23*Q627+'02_지표정의'!$C$24*R627</f>
        <v>0.54902828820997329</v>
      </c>
      <c r="T627" s="5">
        <f t="shared" si="102"/>
        <v>1</v>
      </c>
      <c r="U627" s="5" t="str">
        <f t="shared" si="103"/>
        <v>보고서</v>
      </c>
      <c r="V627" s="18">
        <f t="shared" si="104"/>
        <v>202</v>
      </c>
      <c r="W627" s="5">
        <f t="shared" si="105"/>
        <v>166</v>
      </c>
      <c r="X627" s="5">
        <f t="shared" si="106"/>
        <v>0</v>
      </c>
      <c r="Y627" s="5">
        <f t="shared" si="107"/>
        <v>176</v>
      </c>
      <c r="Z627" s="19">
        <f t="shared" si="108"/>
        <v>20</v>
      </c>
      <c r="AA627" s="20">
        <f>ABS(S627-SUMPRODUCT(('05B_가정검정'!$A$5:$A$19=B627)*('05B_가정검정'!$B$5:$B$19=C627)*'05B_가정검정'!$E$5:$E$19))</f>
        <v>3.7893647787184959E-2</v>
      </c>
      <c r="AB627" s="20">
        <f t="shared" si="109"/>
        <v>-3.2194988007710479E-2</v>
      </c>
    </row>
    <row r="628" spans="1:28">
      <c r="A628" s="15" t="s">
        <v>164</v>
      </c>
      <c r="B628" s="15" t="s">
        <v>122</v>
      </c>
      <c r="C628" s="15" t="s">
        <v>119</v>
      </c>
      <c r="D628" s="16">
        <v>0.22456140350877199</v>
      </c>
      <c r="E628" s="16">
        <v>0.39130434782608697</v>
      </c>
      <c r="F628" s="16">
        <v>0.17647058823529399</v>
      </c>
      <c r="G628" s="16">
        <v>0.34782608695652201</v>
      </c>
      <c r="H628" s="16">
        <v>0.33721615412151701</v>
      </c>
      <c r="I628" s="16">
        <v>0.20073374168330299</v>
      </c>
      <c r="J628" s="16">
        <v>0.76479274790926799</v>
      </c>
      <c r="K628" s="16">
        <v>0.72815987627365697</v>
      </c>
      <c r="L628" s="16">
        <v>0.86274002232220603</v>
      </c>
      <c r="M628" s="16">
        <v>0.65925925925925899</v>
      </c>
      <c r="N628" s="16">
        <v>0.66216216216216195</v>
      </c>
      <c r="O628" s="16">
        <v>1</v>
      </c>
      <c r="P628" s="17">
        <f t="shared" si="99"/>
        <v>0.2796853870552492</v>
      </c>
      <c r="Q628" s="17">
        <f t="shared" si="100"/>
        <v>0.785230882168377</v>
      </c>
      <c r="R628" s="17">
        <f t="shared" si="101"/>
        <v>0.77380714047380694</v>
      </c>
      <c r="S628" s="17">
        <f>'02_지표정의'!$C$22*P628+'02_지표정의'!$C$23*Q628+'02_지표정의'!$C$24*R628</f>
        <v>0.6801234735526519</v>
      </c>
      <c r="T628" s="5">
        <f t="shared" si="102"/>
        <v>0</v>
      </c>
      <c r="U628" s="5" t="str">
        <f t="shared" si="103"/>
        <v>보고서</v>
      </c>
      <c r="V628" s="18">
        <f t="shared" si="104"/>
        <v>758</v>
      </c>
      <c r="W628" s="5">
        <f t="shared" si="105"/>
        <v>0</v>
      </c>
      <c r="X628" s="5">
        <f t="shared" si="106"/>
        <v>434</v>
      </c>
      <c r="Y628" s="5">
        <f t="shared" si="107"/>
        <v>550</v>
      </c>
      <c r="Z628" s="19">
        <f t="shared" si="108"/>
        <v>58</v>
      </c>
      <c r="AA628" s="20">
        <f>ABS(S628-SUMPRODUCT(('05B_가정검정'!$A$5:$A$19=B628)*('05B_가정검정'!$B$5:$B$19=C628)*'05B_가정검정'!$E$5:$E$19))</f>
        <v>4.45172856512005E-2</v>
      </c>
      <c r="AB628" s="20">
        <f t="shared" si="109"/>
        <v>4.8734607237765903E-2</v>
      </c>
    </row>
    <row r="629" spans="1:28">
      <c r="A629" s="15" t="s">
        <v>164</v>
      </c>
      <c r="B629" s="15" t="s">
        <v>123</v>
      </c>
      <c r="C629" s="15" t="s">
        <v>117</v>
      </c>
      <c r="D629" s="16">
        <v>0.31749710312862101</v>
      </c>
      <c r="E629" s="16">
        <v>0.362694300518135</v>
      </c>
      <c r="F629" s="16">
        <v>0.12565445026177999</v>
      </c>
      <c r="G629" s="16">
        <v>0.29015544041450803</v>
      </c>
      <c r="H629" s="16">
        <v>0.46080289720836998</v>
      </c>
      <c r="I629" s="16">
        <v>0.30824357850710099</v>
      </c>
      <c r="J629" s="16">
        <v>0.75005571502431601</v>
      </c>
      <c r="K629" s="16">
        <v>0.69614855084456895</v>
      </c>
      <c r="L629" s="16">
        <v>0.89013107119632995</v>
      </c>
      <c r="M629" s="16">
        <v>0.90654205607476601</v>
      </c>
      <c r="N629" s="16">
        <v>0.91666666666666696</v>
      </c>
      <c r="O629" s="16">
        <v>1</v>
      </c>
      <c r="P629" s="17">
        <f t="shared" si="99"/>
        <v>0.31084129500641916</v>
      </c>
      <c r="Q629" s="17">
        <f t="shared" si="100"/>
        <v>0.77877844568840493</v>
      </c>
      <c r="R629" s="17">
        <f t="shared" si="101"/>
        <v>0.94106957424714432</v>
      </c>
      <c r="S629" s="17">
        <f>'02_지표정의'!$C$22*P629+'02_지표정의'!$C$23*Q629+'02_지표정의'!$C$24*R629</f>
        <v>0.74199291054756655</v>
      </c>
      <c r="T629" s="5">
        <f t="shared" si="102"/>
        <v>0</v>
      </c>
      <c r="U629" s="5" t="str">
        <f t="shared" si="103"/>
        <v>보고서</v>
      </c>
      <c r="V629" s="18">
        <f t="shared" si="104"/>
        <v>931</v>
      </c>
      <c r="W629" s="5">
        <f t="shared" si="105"/>
        <v>632</v>
      </c>
      <c r="X629" s="5">
        <f t="shared" si="106"/>
        <v>606</v>
      </c>
      <c r="Y629" s="5">
        <f t="shared" si="107"/>
        <v>0</v>
      </c>
      <c r="Z629" s="19">
        <f t="shared" si="108"/>
        <v>62</v>
      </c>
      <c r="AA629" s="20">
        <f>ABS(S629-SUMPRODUCT(('05B_가정검정'!$A$5:$A$19=B629)*('05B_가정검정'!$B$5:$B$19=C629)*'05B_가정검정'!$E$5:$E$19))</f>
        <v>2.7070027771342819E-2</v>
      </c>
      <c r="AB629" s="20">
        <f t="shared" si="109"/>
        <v>3.4007458736323382E-2</v>
      </c>
    </row>
    <row r="630" spans="1:28">
      <c r="A630" s="15" t="s">
        <v>164</v>
      </c>
      <c r="B630" s="15" t="s">
        <v>123</v>
      </c>
      <c r="C630" s="15" t="s">
        <v>118</v>
      </c>
      <c r="D630" s="16">
        <v>0.27251732101616599</v>
      </c>
      <c r="E630" s="16">
        <v>0.28169014084506999</v>
      </c>
      <c r="F630" s="16">
        <v>0.104265402843602</v>
      </c>
      <c r="G630" s="16">
        <v>0.25352112676056299</v>
      </c>
      <c r="H630" s="16">
        <v>0.28577533804873401</v>
      </c>
      <c r="I630" s="16">
        <v>0.29748277891094299</v>
      </c>
      <c r="J630" s="16">
        <v>0.71608308337772797</v>
      </c>
      <c r="K630" s="16">
        <v>0.66882860272189304</v>
      </c>
      <c r="L630" s="16">
        <v>0.83478692899854301</v>
      </c>
      <c r="M630" s="16">
        <v>0.31391585760517798</v>
      </c>
      <c r="N630" s="16">
        <v>0.29452054794520499</v>
      </c>
      <c r="O630" s="16">
        <v>0.64473684210526305</v>
      </c>
      <c r="P630" s="17">
        <f t="shared" si="99"/>
        <v>0.24920868473751301</v>
      </c>
      <c r="Q630" s="17">
        <f t="shared" si="100"/>
        <v>0.7398995383660546</v>
      </c>
      <c r="R630" s="17">
        <f t="shared" si="101"/>
        <v>0.41772441588521536</v>
      </c>
      <c r="S630" s="17">
        <f>'02_지표정의'!$C$22*P630+'02_지표정의'!$C$23*Q630+'02_지표정의'!$C$24*R630</f>
        <v>0.52900007477205258</v>
      </c>
      <c r="T630" s="5">
        <f t="shared" si="102"/>
        <v>0</v>
      </c>
      <c r="U630" s="5" t="str">
        <f t="shared" si="103"/>
        <v>보고서</v>
      </c>
      <c r="V630" s="18">
        <f t="shared" si="104"/>
        <v>129</v>
      </c>
      <c r="W630" s="5">
        <f t="shared" si="105"/>
        <v>116</v>
      </c>
      <c r="X630" s="5">
        <f t="shared" si="106"/>
        <v>0</v>
      </c>
      <c r="Y630" s="5">
        <f t="shared" si="107"/>
        <v>117</v>
      </c>
      <c r="Z630" s="19">
        <f t="shared" si="108"/>
        <v>27</v>
      </c>
      <c r="AA630" s="20">
        <f>ABS(S630-SUMPRODUCT(('05B_가정검정'!$A$5:$A$19=B630)*('05B_가정검정'!$B$5:$B$19=C630)*'05B_가정검정'!$E$5:$E$19))</f>
        <v>4.629875210691714E-2</v>
      </c>
      <c r="AB630" s="20">
        <f t="shared" si="109"/>
        <v>-3.0871533152438513E-2</v>
      </c>
    </row>
    <row r="631" spans="1:28">
      <c r="A631" s="15" t="s">
        <v>164</v>
      </c>
      <c r="B631" s="15" t="s">
        <v>123</v>
      </c>
      <c r="C631" s="15" t="s">
        <v>119</v>
      </c>
      <c r="D631" s="16">
        <v>0.27297297297297302</v>
      </c>
      <c r="E631" s="16">
        <v>0.46706586826347302</v>
      </c>
      <c r="F631" s="16">
        <v>0.18181818181818199</v>
      </c>
      <c r="G631" s="16">
        <v>0.34730538922155701</v>
      </c>
      <c r="H631" s="16">
        <v>0.39043328663953802</v>
      </c>
      <c r="I631" s="16">
        <v>0.32811440686443799</v>
      </c>
      <c r="J631" s="16">
        <v>0.74659183606942103</v>
      </c>
      <c r="K631" s="16">
        <v>0.69319174832520902</v>
      </c>
      <c r="L631" s="16">
        <v>0.89260799002608604</v>
      </c>
      <c r="M631" s="16">
        <v>0.90654205607476601</v>
      </c>
      <c r="N631" s="16">
        <v>0.91666666666666696</v>
      </c>
      <c r="O631" s="16">
        <v>1</v>
      </c>
      <c r="P631" s="17">
        <f t="shared" si="99"/>
        <v>0.33128501763002682</v>
      </c>
      <c r="Q631" s="17">
        <f t="shared" si="100"/>
        <v>0.77746385814023877</v>
      </c>
      <c r="R631" s="17">
        <f t="shared" si="101"/>
        <v>0.94106957424714432</v>
      </c>
      <c r="S631" s="17">
        <f>'02_지표정의'!$C$22*P631+'02_지표정의'!$C$23*Q631+'02_지표정의'!$C$24*R631</f>
        <v>0.74549009067561334</v>
      </c>
      <c r="T631" s="5">
        <f t="shared" si="102"/>
        <v>1</v>
      </c>
      <c r="U631" s="5" t="str">
        <f t="shared" si="103"/>
        <v>보고서</v>
      </c>
      <c r="V631" s="18">
        <f t="shared" si="104"/>
        <v>944</v>
      </c>
      <c r="W631" s="5">
        <f t="shared" si="105"/>
        <v>0</v>
      </c>
      <c r="X631" s="5">
        <f t="shared" si="106"/>
        <v>619</v>
      </c>
      <c r="Y631" s="5">
        <f t="shared" si="107"/>
        <v>628</v>
      </c>
      <c r="Z631" s="19">
        <f t="shared" si="108"/>
        <v>56</v>
      </c>
      <c r="AA631" s="20">
        <f>ABS(S631-SUMPRODUCT(('05B_가정검정'!$A$5:$A$19=B631)*('05B_가정검정'!$B$5:$B$19=C631)*'05B_가정검정'!$E$5:$E$19))</f>
        <v>5.9860293351385985E-2</v>
      </c>
      <c r="AB631" s="20">
        <f t="shared" si="109"/>
        <v>6.3071357630611558E-2</v>
      </c>
    </row>
    <row r="632" spans="1:28">
      <c r="A632" s="15" t="s">
        <v>165</v>
      </c>
      <c r="B632" s="15" t="s">
        <v>116</v>
      </c>
      <c r="C632" s="15" t="s">
        <v>117</v>
      </c>
      <c r="D632" s="16">
        <v>0.21733505821474799</v>
      </c>
      <c r="E632" s="16">
        <v>0.33</v>
      </c>
      <c r="F632" s="16">
        <v>0.12121212121212099</v>
      </c>
      <c r="G632" s="16">
        <v>0.28999999999999998</v>
      </c>
      <c r="H632" s="16">
        <v>0.23888229648460901</v>
      </c>
      <c r="I632" s="16">
        <v>0.186941668339665</v>
      </c>
      <c r="J632" s="16">
        <v>0.67232888637361798</v>
      </c>
      <c r="K632" s="16">
        <v>0.655404765306562</v>
      </c>
      <c r="L632" s="16">
        <v>0.75499723860982804</v>
      </c>
      <c r="M632" s="16">
        <v>0.51515151515151503</v>
      </c>
      <c r="N632" s="16">
        <v>0.213483146067416</v>
      </c>
      <c r="O632" s="16">
        <v>1</v>
      </c>
      <c r="P632" s="17">
        <f t="shared" si="99"/>
        <v>0.23072852404185715</v>
      </c>
      <c r="Q632" s="17">
        <f t="shared" si="100"/>
        <v>0.69424363009666923</v>
      </c>
      <c r="R632" s="17">
        <f t="shared" si="101"/>
        <v>0.57621155373964372</v>
      </c>
      <c r="S632" s="17">
        <f>'02_지표정의'!$C$22*P632+'02_지표정의'!$C$23*Q632+'02_지표정의'!$C$24*R632</f>
        <v>0.56022938216074791</v>
      </c>
      <c r="T632" s="5">
        <f t="shared" si="102"/>
        <v>0</v>
      </c>
      <c r="U632" s="5" t="str">
        <f t="shared" si="103"/>
        <v>보고서</v>
      </c>
      <c r="V632" s="18">
        <f t="shared" si="104"/>
        <v>252</v>
      </c>
      <c r="W632" s="5">
        <f t="shared" si="105"/>
        <v>206</v>
      </c>
      <c r="X632" s="5">
        <f t="shared" si="106"/>
        <v>91</v>
      </c>
      <c r="Y632" s="5">
        <f t="shared" si="107"/>
        <v>0</v>
      </c>
      <c r="Z632" s="19">
        <f t="shared" si="108"/>
        <v>36</v>
      </c>
      <c r="AA632" s="20">
        <f>ABS(S632-SUMPRODUCT(('05B_가정검정'!$A$5:$A$19=B632)*('05B_가정검정'!$B$5:$B$19=C632)*'05B_가정검정'!$E$5:$E$19))</f>
        <v>2.8256771757806387E-3</v>
      </c>
      <c r="AB632" s="20">
        <f t="shared" si="109"/>
        <v>7.6782167481245223E-3</v>
      </c>
    </row>
    <row r="633" spans="1:28">
      <c r="A633" s="15" t="s">
        <v>165</v>
      </c>
      <c r="B633" s="15" t="s">
        <v>116</v>
      </c>
      <c r="C633" s="15" t="s">
        <v>118</v>
      </c>
      <c r="D633" s="16">
        <v>0.32986111111111099</v>
      </c>
      <c r="E633" s="16">
        <v>0.32173913043478303</v>
      </c>
      <c r="F633" s="16">
        <v>0.14912280701754399</v>
      </c>
      <c r="G633" s="16">
        <v>0.27826086956521701</v>
      </c>
      <c r="H633" s="16">
        <v>0.18868781606408999</v>
      </c>
      <c r="I633" s="16">
        <v>0.27602753500303501</v>
      </c>
      <c r="J633" s="16">
        <v>0.68462215344424004</v>
      </c>
      <c r="K633" s="16">
        <v>0.67326024158550601</v>
      </c>
      <c r="L633" s="16">
        <v>0.77402226271639396</v>
      </c>
      <c r="M633" s="16">
        <v>0.40616246498599401</v>
      </c>
      <c r="N633" s="16">
        <v>0</v>
      </c>
      <c r="O633" s="16">
        <v>0.52631578947368396</v>
      </c>
      <c r="P633" s="17">
        <f t="shared" si="99"/>
        <v>0.25728321153262995</v>
      </c>
      <c r="Q633" s="17">
        <f t="shared" si="100"/>
        <v>0.71063488591537993</v>
      </c>
      <c r="R633" s="17">
        <f t="shared" si="101"/>
        <v>0.31082608481989266</v>
      </c>
      <c r="S633" s="17">
        <f>'02_지표정의'!$C$22*P633+'02_지표정의'!$C$23*Q633+'02_지표정의'!$C$24*R633</f>
        <v>0.48003147065540941</v>
      </c>
      <c r="T633" s="5">
        <f t="shared" si="102"/>
        <v>0</v>
      </c>
      <c r="U633" s="5" t="str">
        <f t="shared" si="103"/>
        <v>보고서</v>
      </c>
      <c r="V633" s="18">
        <f t="shared" si="104"/>
        <v>17</v>
      </c>
      <c r="W633" s="5">
        <f t="shared" si="105"/>
        <v>11</v>
      </c>
      <c r="X633" s="5">
        <f t="shared" si="106"/>
        <v>0</v>
      </c>
      <c r="Y633" s="5">
        <f t="shared" si="107"/>
        <v>16</v>
      </c>
      <c r="Z633" s="19">
        <f t="shared" si="108"/>
        <v>8</v>
      </c>
      <c r="AA633" s="20">
        <f>ABS(S633-SUMPRODUCT(('05B_가정검정'!$A$5:$A$19=B633)*('05B_가정검정'!$B$5:$B$19=C633)*'05B_가정검정'!$E$5:$E$19))</f>
        <v>5.1260951046312231E-2</v>
      </c>
      <c r="AB633" s="20">
        <f t="shared" si="109"/>
        <v>-4.7517561723176893E-2</v>
      </c>
    </row>
    <row r="634" spans="1:28">
      <c r="A634" s="15" t="s">
        <v>165</v>
      </c>
      <c r="B634" s="15" t="s">
        <v>116</v>
      </c>
      <c r="C634" s="15" t="s">
        <v>119</v>
      </c>
      <c r="D634" s="16">
        <v>0.27520435967302498</v>
      </c>
      <c r="E634" s="16">
        <v>0.41304347826087001</v>
      </c>
      <c r="F634" s="16">
        <v>0.21978021978022</v>
      </c>
      <c r="G634" s="16">
        <v>0.34782608695652201</v>
      </c>
      <c r="H634" s="16">
        <v>0.23805511992703099</v>
      </c>
      <c r="I634" s="16">
        <v>0.30985574282160699</v>
      </c>
      <c r="J634" s="16">
        <v>0.66268536175760995</v>
      </c>
      <c r="K634" s="16">
        <v>0.58669568681701101</v>
      </c>
      <c r="L634" s="16">
        <v>0.73343855991448004</v>
      </c>
      <c r="M634" s="16">
        <v>0.51515151515151503</v>
      </c>
      <c r="N634" s="16">
        <v>0</v>
      </c>
      <c r="O634" s="16">
        <v>1</v>
      </c>
      <c r="P634" s="17">
        <f t="shared" si="99"/>
        <v>0.30062750123654586</v>
      </c>
      <c r="Q634" s="17">
        <f t="shared" si="100"/>
        <v>0.66093986949636696</v>
      </c>
      <c r="R634" s="17">
        <f t="shared" si="101"/>
        <v>0.50505050505050508</v>
      </c>
      <c r="S634" s="17">
        <f>'02_지표정의'!$C$22*P634+'02_지표정의'!$C$23*Q634+'02_지표정의'!$C$24*R634</f>
        <v>0.53431611828835113</v>
      </c>
      <c r="T634" s="5">
        <f t="shared" si="102"/>
        <v>0</v>
      </c>
      <c r="U634" s="5" t="str">
        <f t="shared" si="103"/>
        <v>보고서</v>
      </c>
      <c r="V634" s="18">
        <f t="shared" si="104"/>
        <v>151</v>
      </c>
      <c r="W634" s="5">
        <f t="shared" si="105"/>
        <v>0</v>
      </c>
      <c r="X634" s="5">
        <f t="shared" si="106"/>
        <v>31</v>
      </c>
      <c r="Y634" s="5">
        <f t="shared" si="107"/>
        <v>137</v>
      </c>
      <c r="Z634" s="19">
        <f t="shared" si="108"/>
        <v>12</v>
      </c>
      <c r="AA634" s="20">
        <f>ABS(S634-SUMPRODUCT(('05B_가정검정'!$A$5:$A$19=B634)*('05B_가정검정'!$B$5:$B$19=C634)*'05B_가정검정'!$E$5:$E$19))</f>
        <v>1.8707398454431479E-2</v>
      </c>
      <c r="AB634" s="20">
        <f t="shared" si="109"/>
        <v>-2.2136365387828927E-2</v>
      </c>
    </row>
    <row r="635" spans="1:28">
      <c r="A635" s="15" t="s">
        <v>165</v>
      </c>
      <c r="B635" s="15" t="s">
        <v>120</v>
      </c>
      <c r="C635" s="15" t="s">
        <v>117</v>
      </c>
      <c r="D635" s="16">
        <v>0.24573991031390099</v>
      </c>
      <c r="E635" s="16">
        <v>0.39393939393939398</v>
      </c>
      <c r="F635" s="16">
        <v>0.13740458015267201</v>
      </c>
      <c r="G635" s="16">
        <v>0.234848484848485</v>
      </c>
      <c r="H635" s="16">
        <v>0.32910253254370703</v>
      </c>
      <c r="I635" s="16">
        <v>0.17197084340198099</v>
      </c>
      <c r="J635" s="16">
        <v>0.69883608902140804</v>
      </c>
      <c r="K635" s="16">
        <v>0.66350454705360595</v>
      </c>
      <c r="L635" s="16">
        <v>0.83472287296289505</v>
      </c>
      <c r="M635" s="16">
        <v>0.56707317073170704</v>
      </c>
      <c r="N635" s="16">
        <v>0.52127659574468099</v>
      </c>
      <c r="O635" s="16">
        <v>1</v>
      </c>
      <c r="P635" s="17">
        <f t="shared" si="99"/>
        <v>0.25216762420002331</v>
      </c>
      <c r="Q635" s="17">
        <f t="shared" si="100"/>
        <v>0.73235450301263638</v>
      </c>
      <c r="R635" s="17">
        <f t="shared" si="101"/>
        <v>0.69611658882546268</v>
      </c>
      <c r="S635" s="17">
        <f>'02_지표정의'!$C$22*P635+'02_지표정의'!$C$23*Q635+'02_지표정의'!$C$24*R635</f>
        <v>0.62363385728460297</v>
      </c>
      <c r="T635" s="5">
        <f t="shared" si="102"/>
        <v>0</v>
      </c>
      <c r="U635" s="5" t="str">
        <f t="shared" si="103"/>
        <v>보고서</v>
      </c>
      <c r="V635" s="18">
        <f t="shared" si="104"/>
        <v>506</v>
      </c>
      <c r="W635" s="5">
        <f t="shared" si="105"/>
        <v>408</v>
      </c>
      <c r="X635" s="5">
        <f t="shared" si="106"/>
        <v>221</v>
      </c>
      <c r="Y635" s="5">
        <f t="shared" si="107"/>
        <v>0</v>
      </c>
      <c r="Z635" s="19">
        <f t="shared" si="108"/>
        <v>28</v>
      </c>
      <c r="AA635" s="20">
        <f>ABS(S635-SUMPRODUCT(('05B_가정검정'!$A$5:$A$19=B635)*('05B_가정검정'!$B$5:$B$19=C635)*'05B_가정검정'!$E$5:$E$19))</f>
        <v>4.4151027725181091E-3</v>
      </c>
      <c r="AB635" s="20">
        <f t="shared" si="109"/>
        <v>-7.668846140154173E-3</v>
      </c>
    </row>
    <row r="636" spans="1:28">
      <c r="A636" s="15" t="s">
        <v>165</v>
      </c>
      <c r="B636" s="15" t="s">
        <v>120</v>
      </c>
      <c r="C636" s="15" t="s">
        <v>118</v>
      </c>
      <c r="D636" s="16">
        <v>0.270152505446623</v>
      </c>
      <c r="E636" s="16">
        <v>0.32653061224489799</v>
      </c>
      <c r="F636" s="16">
        <v>0.116438356164384</v>
      </c>
      <c r="G636" s="16">
        <v>0.27891156462584998</v>
      </c>
      <c r="H636" s="16">
        <v>0.279582513362929</v>
      </c>
      <c r="I636" s="16">
        <v>0.20858410404835501</v>
      </c>
      <c r="J636" s="16">
        <v>0.71306484624222599</v>
      </c>
      <c r="K636" s="16">
        <v>0.636638715693438</v>
      </c>
      <c r="L636" s="16">
        <v>0.81935577430096995</v>
      </c>
      <c r="M636" s="16">
        <v>0.43137254901960798</v>
      </c>
      <c r="N636" s="16">
        <v>0.20134228187919501</v>
      </c>
      <c r="O636" s="16">
        <v>0.52631578947368396</v>
      </c>
      <c r="P636" s="17">
        <f t="shared" si="99"/>
        <v>0.24669994264883985</v>
      </c>
      <c r="Q636" s="17">
        <f t="shared" si="100"/>
        <v>0.72301977874554468</v>
      </c>
      <c r="R636" s="17">
        <f t="shared" si="101"/>
        <v>0.38634354012416233</v>
      </c>
      <c r="S636" s="17">
        <f>'02_지표정의'!$C$22*P636+'02_지표정의'!$C$23*Q636+'02_지표정의'!$C$24*R636</f>
        <v>0.50991912800871986</v>
      </c>
      <c r="T636" s="5">
        <f t="shared" si="102"/>
        <v>0</v>
      </c>
      <c r="U636" s="5" t="str">
        <f t="shared" si="103"/>
        <v>보고서</v>
      </c>
      <c r="V636" s="18">
        <f t="shared" si="104"/>
        <v>66</v>
      </c>
      <c r="W636" s="5">
        <f t="shared" si="105"/>
        <v>58</v>
      </c>
      <c r="X636" s="5">
        <f t="shared" si="106"/>
        <v>0</v>
      </c>
      <c r="Y636" s="5">
        <f t="shared" si="107"/>
        <v>59</v>
      </c>
      <c r="Z636" s="19">
        <f t="shared" si="108"/>
        <v>5</v>
      </c>
      <c r="AA636" s="20">
        <f>ABS(S636-SUMPRODUCT(('05B_가정검정'!$A$5:$A$19=B636)*('05B_가정검정'!$B$5:$B$19=C636)*'05B_가정검정'!$E$5:$E$19))</f>
        <v>8.0909720572908128E-2</v>
      </c>
      <c r="AB636" s="20">
        <f t="shared" si="109"/>
        <v>-6.4971647953390943E-2</v>
      </c>
    </row>
    <row r="637" spans="1:28">
      <c r="A637" s="15" t="s">
        <v>165</v>
      </c>
      <c r="B637" s="15" t="s">
        <v>120</v>
      </c>
      <c r="C637" s="15" t="s">
        <v>119</v>
      </c>
      <c r="D637" s="16">
        <v>0.263940520446097</v>
      </c>
      <c r="E637" s="16">
        <v>0.44354838709677402</v>
      </c>
      <c r="F637" s="16">
        <v>0.18699186991869901</v>
      </c>
      <c r="G637" s="16">
        <v>0.33064516129032301</v>
      </c>
      <c r="H637" s="16">
        <v>0.39554048066708503</v>
      </c>
      <c r="I637" s="16">
        <v>0.25237913758265901</v>
      </c>
      <c r="J637" s="16">
        <v>0.716842855225724</v>
      </c>
      <c r="K637" s="16">
        <v>0.64314129242413798</v>
      </c>
      <c r="L637" s="16">
        <v>0.84358905698765796</v>
      </c>
      <c r="M637" s="16">
        <v>0.69512195121951204</v>
      </c>
      <c r="N637" s="16">
        <v>0.73404255319148903</v>
      </c>
      <c r="O637" s="16">
        <v>1</v>
      </c>
      <c r="P637" s="17">
        <f t="shared" si="99"/>
        <v>0.31217425950027283</v>
      </c>
      <c r="Q637" s="17">
        <f t="shared" si="100"/>
        <v>0.73452440154583998</v>
      </c>
      <c r="R637" s="17">
        <f t="shared" si="101"/>
        <v>0.80972150147033373</v>
      </c>
      <c r="S637" s="17">
        <f>'02_지표정의'!$C$22*P637+'02_지표정의'!$C$23*Q637+'02_지표정의'!$C$24*R637</f>
        <v>0.67637335811029931</v>
      </c>
      <c r="T637" s="5">
        <f t="shared" si="102"/>
        <v>0</v>
      </c>
      <c r="U637" s="5" t="str">
        <f t="shared" si="103"/>
        <v>보고서</v>
      </c>
      <c r="V637" s="18">
        <f t="shared" si="104"/>
        <v>740</v>
      </c>
      <c r="W637" s="5">
        <f t="shared" si="105"/>
        <v>0</v>
      </c>
      <c r="X637" s="5">
        <f t="shared" si="106"/>
        <v>419</v>
      </c>
      <c r="Y637" s="5">
        <f t="shared" si="107"/>
        <v>537</v>
      </c>
      <c r="Z637" s="19">
        <f t="shared" si="108"/>
        <v>42</v>
      </c>
      <c r="AA637" s="20">
        <f>ABS(S637-SUMPRODUCT(('05B_가정검정'!$A$5:$A$19=B637)*('05B_가정검정'!$B$5:$B$19=C637)*'05B_가정검정'!$E$5:$E$19))</f>
        <v>1.2696041628913024E-2</v>
      </c>
      <c r="AB637" s="20">
        <f t="shared" si="109"/>
        <v>1.7950350599483689E-2</v>
      </c>
    </row>
    <row r="638" spans="1:28">
      <c r="A638" s="15" t="s">
        <v>165</v>
      </c>
      <c r="B638" s="15" t="s">
        <v>121</v>
      </c>
      <c r="C638" s="15" t="s">
        <v>117</v>
      </c>
      <c r="D638" s="16">
        <v>0.26619552414605402</v>
      </c>
      <c r="E638" s="16">
        <v>0.41346153846153899</v>
      </c>
      <c r="F638" s="16">
        <v>0.16504854368932001</v>
      </c>
      <c r="G638" s="16">
        <v>0.29807692307692302</v>
      </c>
      <c r="H638" s="16">
        <v>0.30939802147793999</v>
      </c>
      <c r="I638" s="16">
        <v>0.18829454026650699</v>
      </c>
      <c r="J638" s="16">
        <v>0.74846810138070596</v>
      </c>
      <c r="K638" s="16">
        <v>0.75441380837045602</v>
      </c>
      <c r="L638" s="16">
        <v>0.87826320341602404</v>
      </c>
      <c r="M638" s="16">
        <v>0.90654205607476601</v>
      </c>
      <c r="N638" s="16">
        <v>0.91666666666666696</v>
      </c>
      <c r="O638" s="16">
        <v>1</v>
      </c>
      <c r="P638" s="17">
        <f t="shared" si="99"/>
        <v>0.27341251518638049</v>
      </c>
      <c r="Q638" s="17">
        <f t="shared" si="100"/>
        <v>0.79371503772239527</v>
      </c>
      <c r="R638" s="17">
        <f t="shared" si="101"/>
        <v>0.94106957424714432</v>
      </c>
      <c r="S638" s="17">
        <f>'02_지표정의'!$C$22*P638+'02_지표정의'!$C$23*Q638+'02_지표정의'!$C$24*R638</f>
        <v>0.74122862099885445</v>
      </c>
      <c r="T638" s="5">
        <f t="shared" si="102"/>
        <v>1</v>
      </c>
      <c r="U638" s="5" t="str">
        <f t="shared" si="103"/>
        <v>보고서</v>
      </c>
      <c r="V638" s="18">
        <f t="shared" si="104"/>
        <v>928</v>
      </c>
      <c r="W638" s="5">
        <f t="shared" si="105"/>
        <v>629</v>
      </c>
      <c r="X638" s="5">
        <f t="shared" si="106"/>
        <v>603</v>
      </c>
      <c r="Y638" s="5">
        <f t="shared" si="107"/>
        <v>0</v>
      </c>
      <c r="Z638" s="19">
        <f t="shared" si="108"/>
        <v>48</v>
      </c>
      <c r="AA638" s="20">
        <f>ABS(S638-SUMPRODUCT(('05B_가정검정'!$A$5:$A$19=B638)*('05B_가정검정'!$B$5:$B$19=C638)*'05B_가정검정'!$E$5:$E$19))</f>
        <v>1.1796549616973295E-2</v>
      </c>
      <c r="AB638" s="20">
        <f t="shared" si="109"/>
        <v>2.3576827925973487E-2</v>
      </c>
    </row>
    <row r="639" spans="1:28">
      <c r="A639" s="15" t="s">
        <v>165</v>
      </c>
      <c r="B639" s="15" t="s">
        <v>121</v>
      </c>
      <c r="C639" s="15" t="s">
        <v>118</v>
      </c>
      <c r="D639" s="16">
        <v>0.28527607361963198</v>
      </c>
      <c r="E639" s="16">
        <v>0.31932773109243701</v>
      </c>
      <c r="F639" s="16">
        <v>0.12711864406779699</v>
      </c>
      <c r="G639" s="16">
        <v>0.26050420168067201</v>
      </c>
      <c r="H639" s="16">
        <v>0.21692497846835301</v>
      </c>
      <c r="I639" s="16">
        <v>0.18827714681716601</v>
      </c>
      <c r="J639" s="16">
        <v>0.75464008990906695</v>
      </c>
      <c r="K639" s="16">
        <v>0.75628268275418797</v>
      </c>
      <c r="L639" s="16">
        <v>0.88234320822527001</v>
      </c>
      <c r="M639" s="16">
        <v>0.271708683473389</v>
      </c>
      <c r="N639" s="16">
        <v>0.24832214765100699</v>
      </c>
      <c r="O639" s="16">
        <v>0.52631578947368396</v>
      </c>
      <c r="P639" s="17">
        <f t="shared" si="99"/>
        <v>0.23290479595767619</v>
      </c>
      <c r="Q639" s="17">
        <f t="shared" si="100"/>
        <v>0.79775532696284168</v>
      </c>
      <c r="R639" s="17">
        <f t="shared" si="101"/>
        <v>0.34878220686602662</v>
      </c>
      <c r="S639" s="17">
        <f>'02_지표정의'!$C$22*P639+'02_지표정의'!$C$23*Q639+'02_지표정의'!$C$24*R639</f>
        <v>0.52764462872792339</v>
      </c>
      <c r="T639" s="5">
        <f t="shared" si="102"/>
        <v>0</v>
      </c>
      <c r="U639" s="5" t="str">
        <f t="shared" si="103"/>
        <v>보고서</v>
      </c>
      <c r="V639" s="18">
        <f t="shared" si="104"/>
        <v>124</v>
      </c>
      <c r="W639" s="5">
        <f t="shared" si="105"/>
        <v>111</v>
      </c>
      <c r="X639" s="5">
        <f t="shared" si="106"/>
        <v>0</v>
      </c>
      <c r="Y639" s="5">
        <f t="shared" si="107"/>
        <v>112</v>
      </c>
      <c r="Z639" s="19">
        <f t="shared" si="108"/>
        <v>12</v>
      </c>
      <c r="AA639" s="20">
        <f>ABS(S639-SUMPRODUCT(('05B_가정검정'!$A$5:$A$19=B639)*('05B_가정검정'!$B$5:$B$19=C639)*'05B_가정검정'!$E$5:$E$19))</f>
        <v>7.0934861439045038E-2</v>
      </c>
      <c r="AB639" s="20">
        <f t="shared" si="109"/>
        <v>-5.1754445798889881E-2</v>
      </c>
    </row>
    <row r="640" spans="1:28">
      <c r="A640" s="15" t="s">
        <v>165</v>
      </c>
      <c r="B640" s="15" t="s">
        <v>121</v>
      </c>
      <c r="C640" s="15" t="s">
        <v>119</v>
      </c>
      <c r="D640" s="16">
        <v>0.281481481481482</v>
      </c>
      <c r="E640" s="16">
        <v>0.41666666666666702</v>
      </c>
      <c r="F640" s="16">
        <v>0.18947368421052599</v>
      </c>
      <c r="G640" s="16">
        <v>0.30208333333333298</v>
      </c>
      <c r="H640" s="16">
        <v>0.28413010385227599</v>
      </c>
      <c r="I640" s="16">
        <v>0.2623272697008</v>
      </c>
      <c r="J640" s="16">
        <v>0.76088859694894895</v>
      </c>
      <c r="K640" s="16">
        <v>0.73390859302686695</v>
      </c>
      <c r="L640" s="16">
        <v>0.88225716718368496</v>
      </c>
      <c r="M640" s="16">
        <v>0.70289855072463803</v>
      </c>
      <c r="N640" s="16">
        <v>0.67901234567901203</v>
      </c>
      <c r="O640" s="16">
        <v>1</v>
      </c>
      <c r="P640" s="17">
        <f t="shared" si="99"/>
        <v>0.28936042320751398</v>
      </c>
      <c r="Q640" s="17">
        <f t="shared" si="100"/>
        <v>0.79235145238650029</v>
      </c>
      <c r="R640" s="17">
        <f t="shared" si="101"/>
        <v>0.79397029880121661</v>
      </c>
      <c r="S640" s="17">
        <f>'02_지표정의'!$C$22*P640+'02_지표정의'!$C$23*Q640+'02_지표정의'!$C$24*R640</f>
        <v>0.69231984279585368</v>
      </c>
      <c r="T640" s="5">
        <f t="shared" si="102"/>
        <v>0</v>
      </c>
      <c r="U640" s="5" t="str">
        <f t="shared" si="103"/>
        <v>보고서</v>
      </c>
      <c r="V640" s="18">
        <f t="shared" si="104"/>
        <v>793</v>
      </c>
      <c r="W640" s="5">
        <f t="shared" si="105"/>
        <v>0</v>
      </c>
      <c r="X640" s="5">
        <f t="shared" si="106"/>
        <v>468</v>
      </c>
      <c r="Y640" s="5">
        <f t="shared" si="107"/>
        <v>573</v>
      </c>
      <c r="Z640" s="19">
        <f t="shared" si="108"/>
        <v>33</v>
      </c>
      <c r="AA640" s="20">
        <f>ABS(S640-SUMPRODUCT(('05B_가정검정'!$A$5:$A$19=B640)*('05B_가정검정'!$B$5:$B$19=C640)*'05B_가정검정'!$E$5:$E$19))</f>
        <v>0</v>
      </c>
      <c r="AB640" s="20">
        <f t="shared" si="109"/>
        <v>4.0828673762426382E-3</v>
      </c>
    </row>
    <row r="641" spans="1:28">
      <c r="A641" s="15" t="s">
        <v>165</v>
      </c>
      <c r="B641" s="15" t="s">
        <v>122</v>
      </c>
      <c r="C641" s="15" t="s">
        <v>117</v>
      </c>
      <c r="D641" s="16">
        <v>0.22325581395348801</v>
      </c>
      <c r="E641" s="16">
        <v>0.29535864978902998</v>
      </c>
      <c r="F641" s="16">
        <v>0.11914893617021299</v>
      </c>
      <c r="G641" s="16">
        <v>0.227848101265823</v>
      </c>
      <c r="H641" s="16">
        <v>0.31464400185286301</v>
      </c>
      <c r="I641" s="16">
        <v>0.170859207490695</v>
      </c>
      <c r="J641" s="16">
        <v>0.70745895012402604</v>
      </c>
      <c r="K641" s="16">
        <v>0.63511465909723297</v>
      </c>
      <c r="L641" s="16">
        <v>0.79362459826085696</v>
      </c>
      <c r="M641" s="16">
        <v>0.50543478260869601</v>
      </c>
      <c r="N641" s="16">
        <v>0.47115384615384598</v>
      </c>
      <c r="O641" s="16">
        <v>1</v>
      </c>
      <c r="P641" s="17">
        <f t="shared" si="99"/>
        <v>0.22518578508701867</v>
      </c>
      <c r="Q641" s="17">
        <f t="shared" si="100"/>
        <v>0.71206606916070536</v>
      </c>
      <c r="R641" s="17">
        <f t="shared" si="101"/>
        <v>0.65886287625418072</v>
      </c>
      <c r="S641" s="17">
        <f>'02_지표정의'!$C$22*P641+'02_지표정의'!$C$23*Q641+'02_지표정의'!$C$24*R641</f>
        <v>0.59606889482868441</v>
      </c>
      <c r="T641" s="5">
        <f t="shared" si="102"/>
        <v>0</v>
      </c>
      <c r="U641" s="5" t="str">
        <f t="shared" si="103"/>
        <v>보고서</v>
      </c>
      <c r="V641" s="18">
        <f t="shared" si="104"/>
        <v>378</v>
      </c>
      <c r="W641" s="5">
        <f t="shared" si="105"/>
        <v>305</v>
      </c>
      <c r="X641" s="5">
        <f t="shared" si="106"/>
        <v>162</v>
      </c>
      <c r="Y641" s="5">
        <f t="shared" si="107"/>
        <v>0</v>
      </c>
      <c r="Z641" s="19">
        <f t="shared" si="108"/>
        <v>21</v>
      </c>
      <c r="AA641" s="20">
        <f>ABS(S641-SUMPRODUCT(('05B_가정검정'!$A$5:$A$19=B641)*('05B_가정검정'!$B$5:$B$19=C641)*'05B_가정검정'!$E$5:$E$19))</f>
        <v>4.3284059879994063E-2</v>
      </c>
      <c r="AB641" s="20">
        <f t="shared" si="109"/>
        <v>-2.6812727360961741E-2</v>
      </c>
    </row>
    <row r="642" spans="1:28">
      <c r="A642" s="15" t="s">
        <v>165</v>
      </c>
      <c r="B642" s="15" t="s">
        <v>122</v>
      </c>
      <c r="C642" s="15" t="s">
        <v>118</v>
      </c>
      <c r="D642" s="16">
        <v>0.35897435897435898</v>
      </c>
      <c r="E642" s="16">
        <v>0.367041198501873</v>
      </c>
      <c r="F642" s="16">
        <v>0.17358490566037699</v>
      </c>
      <c r="G642" s="16">
        <v>0.29213483146067398</v>
      </c>
      <c r="H642" s="16">
        <v>0.30687856820005799</v>
      </c>
      <c r="I642" s="16">
        <v>0.32035189113548002</v>
      </c>
      <c r="J642" s="16">
        <v>0.76760143121833901</v>
      </c>
      <c r="K642" s="16">
        <v>0.67638378801102905</v>
      </c>
      <c r="L642" s="16">
        <v>0.81259808131857802</v>
      </c>
      <c r="M642" s="16">
        <v>0.456582633053221</v>
      </c>
      <c r="N642" s="16">
        <v>0.14093959731543601</v>
      </c>
      <c r="O642" s="16">
        <v>0.52631578947368396</v>
      </c>
      <c r="P642" s="17">
        <f t="shared" ref="P642:P705" si="110">AVERAGE(D642:I642)</f>
        <v>0.30316095898880352</v>
      </c>
      <c r="Q642" s="17">
        <f t="shared" ref="Q642:Q705" si="111">AVERAGE(J642:L642)</f>
        <v>0.75219443351598203</v>
      </c>
      <c r="R642" s="17">
        <f t="shared" ref="R642:R705" si="112">AVERAGE(M642:O642)</f>
        <v>0.37461267328078035</v>
      </c>
      <c r="S642" s="17">
        <f>'02_지표정의'!$C$22*P642+'02_지표정의'!$C$23*Q642+'02_지표정의'!$C$24*R642</f>
        <v>0.53023412252822577</v>
      </c>
      <c r="T642" s="5">
        <f t="shared" ref="T642:T705" si="113">IF(OR(AND(B642="gemini",C642="gemma"),AND(B642="qwen3_6",C642="qwen"),AND(B642="mistral",C642="ministral")),1,0)</f>
        <v>1</v>
      </c>
      <c r="U642" s="5" t="str">
        <f t="shared" ref="U642:U705" si="114">IF(LEFT(A642,3)="PAT","특허","보고서")</f>
        <v>보고서</v>
      </c>
      <c r="V642" s="18">
        <f t="shared" ref="V642:V705" si="115">COUNTIF($S$2:$S$976,"&lt;"&amp;S642)+(COUNTIF($S$2:$S$976,"="&amp;S642)+1)/2</f>
        <v>134</v>
      </c>
      <c r="W642" s="5">
        <f t="shared" ref="W642:W705" si="116">IF(C642="qwen",0,COUNTIFS($C$2:$C$976,"&lt;&gt;qwen",$S$2:$S$976,"&lt;"&amp;S642)+1)</f>
        <v>120</v>
      </c>
      <c r="X642" s="5">
        <f t="shared" ref="X642:X705" si="117">IF(C642="ministral",0,COUNTIFS($C$2:$C$976,"&lt;&gt;ministral",$S$2:$S$976,"&lt;"&amp;S642)+1)</f>
        <v>0</v>
      </c>
      <c r="Y642" s="5">
        <f t="shared" ref="Y642:Y705" si="118">IF(C642="gemma",0,COUNTIFS($C$2:$C$976,"&lt;&gt;gemma",$S$2:$S$976,"&lt;"&amp;S642)+1)</f>
        <v>122</v>
      </c>
      <c r="Z642" s="19">
        <f t="shared" ref="Z642:Z705" si="119">COUNTIFS($B$2:$B$976,B642,$C$2:$C$976,C642,$S$2:$S$976,"&lt;"&amp;S642)+1</f>
        <v>15</v>
      </c>
      <c r="AA642" s="20">
        <f>ABS(S642-SUMPRODUCT(('05B_가정검정'!$A$5:$A$19=B642)*('05B_가정검정'!$B$5:$B$19=C642)*'05B_가정검정'!$E$5:$E$19))</f>
        <v>5.668781346893248E-2</v>
      </c>
      <c r="AB642" s="20">
        <f t="shared" ref="AB642:AB705" si="120">S642-AVERAGEIFS($S$2:$S$976,$B$2:$B$976,B642,$C$2:$C$976,C642)</f>
        <v>-5.0989153689458E-2</v>
      </c>
    </row>
    <row r="643" spans="1:28">
      <c r="A643" s="15" t="s">
        <v>165</v>
      </c>
      <c r="B643" s="15" t="s">
        <v>122</v>
      </c>
      <c r="C643" s="15" t="s">
        <v>119</v>
      </c>
      <c r="D643" s="16">
        <v>0.246041412911084</v>
      </c>
      <c r="E643" s="16">
        <v>0.47058823529411797</v>
      </c>
      <c r="F643" s="16">
        <v>0.24657534246575299</v>
      </c>
      <c r="G643" s="16">
        <v>0.38009049773755699</v>
      </c>
      <c r="H643" s="16">
        <v>0.32390460819271599</v>
      </c>
      <c r="I643" s="16">
        <v>0.224824999534118</v>
      </c>
      <c r="J643" s="16">
        <v>0.71836204313004004</v>
      </c>
      <c r="K643" s="16">
        <v>0.61620263596486702</v>
      </c>
      <c r="L643" s="16">
        <v>0.78555819845888997</v>
      </c>
      <c r="M643" s="16">
        <v>0.64130434782608703</v>
      </c>
      <c r="N643" s="16">
        <v>0.66346153846153799</v>
      </c>
      <c r="O643" s="16">
        <v>1</v>
      </c>
      <c r="P643" s="17">
        <f t="shared" si="110"/>
        <v>0.31533751602255761</v>
      </c>
      <c r="Q643" s="17">
        <f t="shared" si="111"/>
        <v>0.70670762585126568</v>
      </c>
      <c r="R643" s="17">
        <f t="shared" si="112"/>
        <v>0.76825529542920845</v>
      </c>
      <c r="S643" s="17">
        <f>'02_지표정의'!$C$22*P643+'02_지표정의'!$C$23*Q643+'02_지표정의'!$C$24*R643</f>
        <v>0.64997528823780404</v>
      </c>
      <c r="T643" s="5">
        <f t="shared" si="113"/>
        <v>0</v>
      </c>
      <c r="U643" s="5" t="str">
        <f t="shared" si="114"/>
        <v>보고서</v>
      </c>
      <c r="V643" s="18">
        <f t="shared" si="115"/>
        <v>618</v>
      </c>
      <c r="W643" s="5">
        <f t="shared" si="116"/>
        <v>0</v>
      </c>
      <c r="X643" s="5">
        <f t="shared" si="117"/>
        <v>304</v>
      </c>
      <c r="Y643" s="5">
        <f t="shared" si="118"/>
        <v>462</v>
      </c>
      <c r="Z643" s="19">
        <f t="shared" si="119"/>
        <v>40</v>
      </c>
      <c r="AA643" s="20">
        <f>ABS(S643-SUMPRODUCT(('05B_가정검정'!$A$5:$A$19=B643)*('05B_가정검정'!$B$5:$B$19=C643)*'05B_가정검정'!$E$5:$E$19))</f>
        <v>1.4369100336352636E-2</v>
      </c>
      <c r="AB643" s="20">
        <f t="shared" si="120"/>
        <v>1.8586421922918039E-2</v>
      </c>
    </row>
    <row r="644" spans="1:28">
      <c r="A644" s="15" t="s">
        <v>165</v>
      </c>
      <c r="B644" s="15" t="s">
        <v>123</v>
      </c>
      <c r="C644" s="15" t="s">
        <v>117</v>
      </c>
      <c r="D644" s="16">
        <v>0.29001074113856101</v>
      </c>
      <c r="E644" s="16">
        <v>0.39461883408071802</v>
      </c>
      <c r="F644" s="16">
        <v>0.144796380090498</v>
      </c>
      <c r="G644" s="16">
        <v>0.27802690582959599</v>
      </c>
      <c r="H644" s="16">
        <v>0.41691982953163598</v>
      </c>
      <c r="I644" s="16">
        <v>0.207344531382578</v>
      </c>
      <c r="J644" s="16">
        <v>0.72374991153383395</v>
      </c>
      <c r="K644" s="16">
        <v>0.66463979075273605</v>
      </c>
      <c r="L644" s="16">
        <v>0.86091626138512201</v>
      </c>
      <c r="M644" s="16">
        <v>0.90654205607476601</v>
      </c>
      <c r="N644" s="16">
        <v>0.91666666666666696</v>
      </c>
      <c r="O644" s="16">
        <v>1</v>
      </c>
      <c r="P644" s="17">
        <f t="shared" si="110"/>
        <v>0.28861953700893112</v>
      </c>
      <c r="Q644" s="17">
        <f t="shared" si="111"/>
        <v>0.74976865455723063</v>
      </c>
      <c r="R644" s="17">
        <f t="shared" si="112"/>
        <v>0.94106957424714432</v>
      </c>
      <c r="S644" s="17">
        <f>'02_지표정의'!$C$22*P644+'02_지표정의'!$C$23*Q644+'02_지표정의'!$C$24*R644</f>
        <v>0.72449415293904051</v>
      </c>
      <c r="T644" s="5">
        <f t="shared" si="113"/>
        <v>0</v>
      </c>
      <c r="U644" s="5" t="str">
        <f t="shared" si="114"/>
        <v>보고서</v>
      </c>
      <c r="V644" s="18">
        <f t="shared" si="115"/>
        <v>894</v>
      </c>
      <c r="W644" s="5">
        <f t="shared" si="116"/>
        <v>600</v>
      </c>
      <c r="X644" s="5">
        <f t="shared" si="117"/>
        <v>569</v>
      </c>
      <c r="Y644" s="5">
        <f t="shared" si="118"/>
        <v>0</v>
      </c>
      <c r="Z644" s="19">
        <f t="shared" si="119"/>
        <v>51</v>
      </c>
      <c r="AA644" s="20">
        <f>ABS(S644-SUMPRODUCT(('05B_가정검정'!$A$5:$A$19=B644)*('05B_가정검정'!$B$5:$B$19=C644)*'05B_가정검정'!$E$5:$E$19))</f>
        <v>9.5712701628167807E-3</v>
      </c>
      <c r="AB644" s="20">
        <f t="shared" si="120"/>
        <v>1.6508701127797343E-2</v>
      </c>
    </row>
    <row r="645" spans="1:28">
      <c r="A645" s="15" t="s">
        <v>165</v>
      </c>
      <c r="B645" s="15" t="s">
        <v>123</v>
      </c>
      <c r="C645" s="15" t="s">
        <v>118</v>
      </c>
      <c r="D645" s="16">
        <v>0.26430517711171703</v>
      </c>
      <c r="E645" s="16">
        <v>0.35573122529644302</v>
      </c>
      <c r="F645" s="16">
        <v>0.159362549800797</v>
      </c>
      <c r="G645" s="16">
        <v>0.28458498023715401</v>
      </c>
      <c r="H645" s="16">
        <v>0.270772632088841</v>
      </c>
      <c r="I645" s="16">
        <v>0.155507812672454</v>
      </c>
      <c r="J645" s="16">
        <v>0.72594995000316198</v>
      </c>
      <c r="K645" s="16">
        <v>0.66947134465637603</v>
      </c>
      <c r="L645" s="16">
        <v>0.85707656127903797</v>
      </c>
      <c r="M645" s="16">
        <v>0.271708683473389</v>
      </c>
      <c r="N645" s="16">
        <v>0.24832214765100699</v>
      </c>
      <c r="O645" s="16">
        <v>0.52631578947368396</v>
      </c>
      <c r="P645" s="17">
        <f t="shared" si="110"/>
        <v>0.24837739620123436</v>
      </c>
      <c r="Q645" s="17">
        <f t="shared" si="111"/>
        <v>0.750832618646192</v>
      </c>
      <c r="R645" s="17">
        <f t="shared" si="112"/>
        <v>0.34878220686602662</v>
      </c>
      <c r="S645" s="17">
        <f>'02_지표정의'!$C$22*P645+'02_지표정의'!$C$23*Q645+'02_지표정의'!$C$24*R645</f>
        <v>0.50962393003414264</v>
      </c>
      <c r="T645" s="5">
        <f t="shared" si="113"/>
        <v>0</v>
      </c>
      <c r="U645" s="5" t="str">
        <f t="shared" si="114"/>
        <v>보고서</v>
      </c>
      <c r="V645" s="18">
        <f t="shared" si="115"/>
        <v>64</v>
      </c>
      <c r="W645" s="5">
        <f t="shared" si="116"/>
        <v>56</v>
      </c>
      <c r="X645" s="5">
        <f t="shared" si="117"/>
        <v>0</v>
      </c>
      <c r="Y645" s="5">
        <f t="shared" si="118"/>
        <v>57</v>
      </c>
      <c r="Z645" s="19">
        <f t="shared" si="119"/>
        <v>14</v>
      </c>
      <c r="AA645" s="20">
        <f>ABS(S645-SUMPRODUCT(('05B_가정검정'!$A$5:$A$19=B645)*('05B_가정검정'!$B$5:$B$19=C645)*'05B_가정검정'!$E$5:$E$19))</f>
        <v>6.567489684482708E-2</v>
      </c>
      <c r="AB645" s="20">
        <f t="shared" si="120"/>
        <v>-5.0247677890348452E-2</v>
      </c>
    </row>
    <row r="646" spans="1:28">
      <c r="A646" s="15" t="s">
        <v>165</v>
      </c>
      <c r="B646" s="15" t="s">
        <v>123</v>
      </c>
      <c r="C646" s="15" t="s">
        <v>119</v>
      </c>
      <c r="D646" s="16">
        <v>0.28923766816143498</v>
      </c>
      <c r="E646" s="16">
        <v>0.51207729468598995</v>
      </c>
      <c r="F646" s="16">
        <v>0.23414634146341501</v>
      </c>
      <c r="G646" s="16">
        <v>0.35748792270531399</v>
      </c>
      <c r="H646" s="16">
        <v>0.38801126597002999</v>
      </c>
      <c r="I646" s="16">
        <v>0.32505690937823101</v>
      </c>
      <c r="J646" s="16">
        <v>0.74220360236205596</v>
      </c>
      <c r="K646" s="16">
        <v>0.663106965747286</v>
      </c>
      <c r="L646" s="16">
        <v>0.85069692434007504</v>
      </c>
      <c r="M646" s="16">
        <v>0.70289855072463803</v>
      </c>
      <c r="N646" s="16">
        <v>0.67901234567901203</v>
      </c>
      <c r="O646" s="16">
        <v>1</v>
      </c>
      <c r="P646" s="17">
        <f t="shared" si="110"/>
        <v>0.35100290039406917</v>
      </c>
      <c r="Q646" s="17">
        <f t="shared" si="111"/>
        <v>0.75200249748313885</v>
      </c>
      <c r="R646" s="17">
        <f t="shared" si="112"/>
        <v>0.79397029880121661</v>
      </c>
      <c r="S646" s="17">
        <f>'02_지표정의'!$C$22*P646+'02_지표정의'!$C$23*Q646+'02_지표정의'!$C$24*R646</f>
        <v>0.68649130852665219</v>
      </c>
      <c r="T646" s="5">
        <f t="shared" si="113"/>
        <v>1</v>
      </c>
      <c r="U646" s="5" t="str">
        <f t="shared" si="114"/>
        <v>보고서</v>
      </c>
      <c r="V646" s="18">
        <f t="shared" si="115"/>
        <v>774</v>
      </c>
      <c r="W646" s="5">
        <f t="shared" si="116"/>
        <v>0</v>
      </c>
      <c r="X646" s="5">
        <f t="shared" si="117"/>
        <v>450</v>
      </c>
      <c r="Y646" s="5">
        <f t="shared" si="118"/>
        <v>558</v>
      </c>
      <c r="Z646" s="19">
        <f t="shared" si="119"/>
        <v>34</v>
      </c>
      <c r="AA646" s="20">
        <f>ABS(S646-SUMPRODUCT(('05B_가정검정'!$A$5:$A$19=B646)*('05B_가정검정'!$B$5:$B$19=C646)*'05B_가정검정'!$E$5:$E$19))</f>
        <v>8.6151120242483614E-4</v>
      </c>
      <c r="AB646" s="20">
        <f t="shared" si="120"/>
        <v>4.0725754816504089E-3</v>
      </c>
    </row>
    <row r="647" spans="1:28">
      <c r="A647" s="15" t="s">
        <v>166</v>
      </c>
      <c r="B647" s="15" t="s">
        <v>116</v>
      </c>
      <c r="C647" s="15" t="s">
        <v>117</v>
      </c>
      <c r="D647" s="16">
        <v>0.25797503467406402</v>
      </c>
      <c r="E647" s="16">
        <v>0.37788018433179699</v>
      </c>
      <c r="F647" s="16">
        <v>0.15813953488372101</v>
      </c>
      <c r="G647" s="16">
        <v>0.27649769585253497</v>
      </c>
      <c r="H647" s="16">
        <v>0.243235188994881</v>
      </c>
      <c r="I647" s="16">
        <v>0.240478839856301</v>
      </c>
      <c r="J647" s="16">
        <v>0.70983993722207905</v>
      </c>
      <c r="K647" s="16">
        <v>0.68000577436419496</v>
      </c>
      <c r="L647" s="16">
        <v>0.82186659543880702</v>
      </c>
      <c r="M647" s="16">
        <v>0.51515151515151503</v>
      </c>
      <c r="N647" s="16">
        <v>0.213483146067416</v>
      </c>
      <c r="O647" s="16">
        <v>1</v>
      </c>
      <c r="P647" s="17">
        <f t="shared" si="110"/>
        <v>0.25903441309888314</v>
      </c>
      <c r="Q647" s="17">
        <f t="shared" si="111"/>
        <v>0.73723743567502709</v>
      </c>
      <c r="R647" s="17">
        <f t="shared" si="112"/>
        <v>0.57621155373964372</v>
      </c>
      <c r="S647" s="17">
        <f>'02_지표정의'!$C$22*P647+'02_지표정의'!$C$23*Q647+'02_지표정의'!$C$24*R647</f>
        <v>0.58523777248241415</v>
      </c>
      <c r="T647" s="5">
        <f t="shared" si="113"/>
        <v>0</v>
      </c>
      <c r="U647" s="5" t="str">
        <f t="shared" si="114"/>
        <v>보고서</v>
      </c>
      <c r="V647" s="18">
        <f t="shared" si="115"/>
        <v>337</v>
      </c>
      <c r="W647" s="5">
        <f t="shared" si="116"/>
        <v>275</v>
      </c>
      <c r="X647" s="5">
        <f t="shared" si="117"/>
        <v>145</v>
      </c>
      <c r="Y647" s="5">
        <f t="shared" si="118"/>
        <v>0</v>
      </c>
      <c r="Z647" s="19">
        <f t="shared" si="119"/>
        <v>62</v>
      </c>
      <c r="AA647" s="20">
        <f>ABS(S647-SUMPRODUCT(('05B_가정검정'!$A$5:$A$19=B647)*('05B_가정검정'!$B$5:$B$19=C647)*'05B_가정검정'!$E$5:$E$19))</f>
        <v>2.7834067497446879E-2</v>
      </c>
      <c r="AB647" s="20">
        <f t="shared" si="120"/>
        <v>3.2686607069790763E-2</v>
      </c>
    </row>
    <row r="648" spans="1:28">
      <c r="A648" s="15" t="s">
        <v>166</v>
      </c>
      <c r="B648" s="15" t="s">
        <v>116</v>
      </c>
      <c r="C648" s="15" t="s">
        <v>118</v>
      </c>
      <c r="D648" s="16">
        <v>0.29347826086956502</v>
      </c>
      <c r="E648" s="16">
        <v>0.34677419354838701</v>
      </c>
      <c r="F648" s="16">
        <v>0.17073170731707299</v>
      </c>
      <c r="G648" s="16">
        <v>0.29032258064516098</v>
      </c>
      <c r="H648" s="16">
        <v>0.184270157717706</v>
      </c>
      <c r="I648" s="16">
        <v>0.45507787874410599</v>
      </c>
      <c r="J648" s="16">
        <v>0.69462581984638105</v>
      </c>
      <c r="K648" s="16">
        <v>0.69474742942682299</v>
      </c>
      <c r="L648" s="16">
        <v>0.83821093911899602</v>
      </c>
      <c r="M648" s="16">
        <v>0.48790322580645201</v>
      </c>
      <c r="N648" s="16">
        <v>0</v>
      </c>
      <c r="O648" s="16">
        <v>0.52631578947368396</v>
      </c>
      <c r="P648" s="17">
        <f t="shared" si="110"/>
        <v>0.2901091298069996</v>
      </c>
      <c r="Q648" s="17">
        <f t="shared" si="111"/>
        <v>0.74252806279739991</v>
      </c>
      <c r="R648" s="17">
        <f t="shared" si="112"/>
        <v>0.33807300509337868</v>
      </c>
      <c r="S648" s="17">
        <f>'02_지표정의'!$C$22*P648+'02_지표정의'!$C$23*Q648+'02_지표정의'!$C$24*R648</f>
        <v>0.51048500600291247</v>
      </c>
      <c r="T648" s="5">
        <f t="shared" si="113"/>
        <v>0</v>
      </c>
      <c r="U648" s="5" t="str">
        <f t="shared" si="114"/>
        <v>보고서</v>
      </c>
      <c r="V648" s="18">
        <f t="shared" si="115"/>
        <v>68</v>
      </c>
      <c r="W648" s="5">
        <f t="shared" si="116"/>
        <v>60</v>
      </c>
      <c r="X648" s="5">
        <f t="shared" si="117"/>
        <v>0</v>
      </c>
      <c r="Y648" s="5">
        <f t="shared" si="118"/>
        <v>61</v>
      </c>
      <c r="Z648" s="19">
        <f t="shared" si="119"/>
        <v>26</v>
      </c>
      <c r="AA648" s="20">
        <f>ABS(S648-SUMPRODUCT(('05B_가정검정'!$A$5:$A$19=B648)*('05B_가정검정'!$B$5:$B$19=C648)*'05B_가정검정'!$E$5:$E$19))</f>
        <v>2.0807415698809173E-2</v>
      </c>
      <c r="AB648" s="20">
        <f t="shared" si="120"/>
        <v>-1.7064026375673835E-2</v>
      </c>
    </row>
    <row r="649" spans="1:28">
      <c r="A649" s="15" t="s">
        <v>166</v>
      </c>
      <c r="B649" s="15" t="s">
        <v>116</v>
      </c>
      <c r="C649" s="15" t="s">
        <v>119</v>
      </c>
      <c r="D649" s="16">
        <v>0.29733520336605901</v>
      </c>
      <c r="E649" s="16">
        <v>0.30625000000000002</v>
      </c>
      <c r="F649" s="16">
        <v>0.15723270440251599</v>
      </c>
      <c r="G649" s="16">
        <v>0.23125000000000001</v>
      </c>
      <c r="H649" s="16">
        <v>0.227644198748681</v>
      </c>
      <c r="I649" s="16">
        <v>0.38065169078869399</v>
      </c>
      <c r="J649" s="16">
        <v>0.713294593929513</v>
      </c>
      <c r="K649" s="16">
        <v>0.604222503832331</v>
      </c>
      <c r="L649" s="16">
        <v>0.78894575233239095</v>
      </c>
      <c r="M649" s="16">
        <v>0.43814432989690699</v>
      </c>
      <c r="N649" s="16">
        <v>5.0505050505050497E-2</v>
      </c>
      <c r="O649" s="16">
        <v>1</v>
      </c>
      <c r="P649" s="17">
        <f t="shared" si="110"/>
        <v>0.26672729955099167</v>
      </c>
      <c r="Q649" s="17">
        <f t="shared" si="111"/>
        <v>0.70215428336474506</v>
      </c>
      <c r="R649" s="17">
        <f t="shared" si="112"/>
        <v>0.49621646013398585</v>
      </c>
      <c r="S649" s="17">
        <f>'02_지표정의'!$C$22*P649+'02_지표정의'!$C$23*Q649+'02_지표정의'!$C$24*R649</f>
        <v>0.54299064847122858</v>
      </c>
      <c r="T649" s="5">
        <f t="shared" si="113"/>
        <v>0</v>
      </c>
      <c r="U649" s="5" t="str">
        <f t="shared" si="114"/>
        <v>보고서</v>
      </c>
      <c r="V649" s="18">
        <f t="shared" si="115"/>
        <v>178</v>
      </c>
      <c r="W649" s="5">
        <f t="shared" si="116"/>
        <v>0</v>
      </c>
      <c r="X649" s="5">
        <f t="shared" si="117"/>
        <v>46</v>
      </c>
      <c r="Y649" s="5">
        <f t="shared" si="118"/>
        <v>158</v>
      </c>
      <c r="Z649" s="19">
        <f t="shared" si="119"/>
        <v>21</v>
      </c>
      <c r="AA649" s="20">
        <f>ABS(S649-SUMPRODUCT(('05B_가정검정'!$A$5:$A$19=B649)*('05B_가정검정'!$B$5:$B$19=C649)*'05B_가정검정'!$E$5:$E$19))</f>
        <v>1.003286827155403E-2</v>
      </c>
      <c r="AB649" s="20">
        <f t="shared" si="120"/>
        <v>-1.3461835204951478E-2</v>
      </c>
    </row>
    <row r="650" spans="1:28">
      <c r="A650" s="15" t="s">
        <v>166</v>
      </c>
      <c r="B650" s="15" t="s">
        <v>120</v>
      </c>
      <c r="C650" s="15" t="s">
        <v>117</v>
      </c>
      <c r="D650" s="16">
        <v>0.26827171109200298</v>
      </c>
      <c r="E650" s="16">
        <v>0.34597156398104301</v>
      </c>
      <c r="F650" s="16">
        <v>0.114285714285714</v>
      </c>
      <c r="G650" s="16">
        <v>0.18957345971563999</v>
      </c>
      <c r="H650" s="16">
        <v>0.28728269230155801</v>
      </c>
      <c r="I650" s="16">
        <v>0.24263601594539699</v>
      </c>
      <c r="J650" s="16">
        <v>0.69092820508117403</v>
      </c>
      <c r="K650" s="16">
        <v>0.68334944936488795</v>
      </c>
      <c r="L650" s="16">
        <v>0.85709387553637795</v>
      </c>
      <c r="M650" s="16">
        <v>0.64583333333333304</v>
      </c>
      <c r="N650" s="16">
        <v>0.58333333333333304</v>
      </c>
      <c r="O650" s="16">
        <v>1</v>
      </c>
      <c r="P650" s="17">
        <f t="shared" si="110"/>
        <v>0.24133685955355919</v>
      </c>
      <c r="Q650" s="17">
        <f t="shared" si="111"/>
        <v>0.74379050999414664</v>
      </c>
      <c r="R650" s="17">
        <f t="shared" si="112"/>
        <v>0.74305555555555536</v>
      </c>
      <c r="S650" s="17">
        <f>'02_지표정의'!$C$22*P650+'02_지표정의'!$C$23*Q650+'02_지표정의'!$C$24*R650</f>
        <v>0.64304254585252218</v>
      </c>
      <c r="T650" s="5">
        <f t="shared" si="113"/>
        <v>0</v>
      </c>
      <c r="U650" s="5" t="str">
        <f t="shared" si="114"/>
        <v>보고서</v>
      </c>
      <c r="V650" s="18">
        <f t="shared" si="115"/>
        <v>588</v>
      </c>
      <c r="W650" s="5">
        <f t="shared" si="116"/>
        <v>457</v>
      </c>
      <c r="X650" s="5">
        <f t="shared" si="117"/>
        <v>280</v>
      </c>
      <c r="Y650" s="5">
        <f t="shared" si="118"/>
        <v>0</v>
      </c>
      <c r="Z650" s="19">
        <f t="shared" si="119"/>
        <v>49</v>
      </c>
      <c r="AA650" s="20">
        <f>ABS(S650-SUMPRODUCT(('05B_가정검정'!$A$5:$A$19=B650)*('05B_가정검정'!$B$5:$B$19=C650)*'05B_가정검정'!$E$5:$E$19))</f>
        <v>1.499358579540111E-2</v>
      </c>
      <c r="AB650" s="20">
        <f t="shared" si="120"/>
        <v>1.1739842427765046E-2</v>
      </c>
    </row>
    <row r="651" spans="1:28">
      <c r="A651" s="15" t="s">
        <v>166</v>
      </c>
      <c r="B651" s="15" t="s">
        <v>120</v>
      </c>
      <c r="C651" s="15" t="s">
        <v>118</v>
      </c>
      <c r="D651" s="16">
        <v>0.28692699490662099</v>
      </c>
      <c r="E651" s="16">
        <v>0.36203090507726299</v>
      </c>
      <c r="F651" s="16">
        <v>0.16407982261640799</v>
      </c>
      <c r="G651" s="16">
        <v>0.26490066225165598</v>
      </c>
      <c r="H651" s="16">
        <v>0.31957869470367001</v>
      </c>
      <c r="I651" s="16">
        <v>0.44003622661939801</v>
      </c>
      <c r="J651" s="16">
        <v>0.69830060914843795</v>
      </c>
      <c r="K651" s="16">
        <v>0.68598205704148796</v>
      </c>
      <c r="L651" s="16">
        <v>0.85945400701571195</v>
      </c>
      <c r="M651" s="16">
        <v>0.56451612903225801</v>
      </c>
      <c r="N651" s="16">
        <v>0.31858407079646001</v>
      </c>
      <c r="O651" s="16">
        <v>0.52631578947368396</v>
      </c>
      <c r="P651" s="17">
        <f t="shared" si="110"/>
        <v>0.30625888436250265</v>
      </c>
      <c r="Q651" s="17">
        <f t="shared" si="111"/>
        <v>0.74791222440187932</v>
      </c>
      <c r="R651" s="17">
        <f t="shared" si="112"/>
        <v>0.46980532976746731</v>
      </c>
      <c r="S651" s="17">
        <f>'02_지표정의'!$C$22*P651+'02_지표정의'!$C$23*Q651+'02_지표정의'!$C$24*R651</f>
        <v>0.56224414327195982</v>
      </c>
      <c r="T651" s="5">
        <f t="shared" si="113"/>
        <v>0</v>
      </c>
      <c r="U651" s="5" t="str">
        <f t="shared" si="114"/>
        <v>보고서</v>
      </c>
      <c r="V651" s="18">
        <f t="shared" si="115"/>
        <v>258</v>
      </c>
      <c r="W651" s="5">
        <f t="shared" si="116"/>
        <v>212</v>
      </c>
      <c r="X651" s="5">
        <f t="shared" si="117"/>
        <v>0</v>
      </c>
      <c r="Y651" s="5">
        <f t="shared" si="118"/>
        <v>210</v>
      </c>
      <c r="Z651" s="19">
        <f t="shared" si="119"/>
        <v>28</v>
      </c>
      <c r="AA651" s="20">
        <f>ABS(S651-SUMPRODUCT(('05B_가정검정'!$A$5:$A$19=B651)*('05B_가정검정'!$B$5:$B$19=C651)*'05B_가정검정'!$E$5:$E$19))</f>
        <v>2.8584705309668168E-2</v>
      </c>
      <c r="AB651" s="20">
        <f t="shared" si="120"/>
        <v>-1.2646632690150983E-2</v>
      </c>
    </row>
    <row r="652" spans="1:28">
      <c r="A652" s="15" t="s">
        <v>166</v>
      </c>
      <c r="B652" s="15" t="s">
        <v>120</v>
      </c>
      <c r="C652" s="15" t="s">
        <v>119</v>
      </c>
      <c r="D652" s="16">
        <v>0.30129870129870101</v>
      </c>
      <c r="E652" s="16">
        <v>0.460952380952381</v>
      </c>
      <c r="F652" s="16">
        <v>0.21414913957935</v>
      </c>
      <c r="G652" s="16">
        <v>0.266666666666667</v>
      </c>
      <c r="H652" s="16">
        <v>0.36064188141729098</v>
      </c>
      <c r="I652" s="16">
        <v>0.46109695387131</v>
      </c>
      <c r="J652" s="16">
        <v>0.70898521465945696</v>
      </c>
      <c r="K652" s="16">
        <v>0.63165176893286201</v>
      </c>
      <c r="L652" s="16">
        <v>0.85229606723981999</v>
      </c>
      <c r="M652" s="16">
        <v>0.63917525773195905</v>
      </c>
      <c r="N652" s="16">
        <v>0.66666666666666696</v>
      </c>
      <c r="O652" s="16">
        <v>1</v>
      </c>
      <c r="P652" s="17">
        <f t="shared" si="110"/>
        <v>0.34413428729761669</v>
      </c>
      <c r="Q652" s="17">
        <f t="shared" si="111"/>
        <v>0.73097768361071302</v>
      </c>
      <c r="R652" s="17">
        <f t="shared" si="112"/>
        <v>0.76861397479954208</v>
      </c>
      <c r="S652" s="17">
        <f>'02_지표정의'!$C$22*P652+'02_지표정의'!$C$23*Q652+'02_지표정의'!$C$24*R652</f>
        <v>0.66678170626418387</v>
      </c>
      <c r="T652" s="5">
        <f t="shared" si="113"/>
        <v>0</v>
      </c>
      <c r="U652" s="5" t="str">
        <f t="shared" si="114"/>
        <v>보고서</v>
      </c>
      <c r="V652" s="18">
        <f t="shared" si="115"/>
        <v>702</v>
      </c>
      <c r="W652" s="5">
        <f t="shared" si="116"/>
        <v>0</v>
      </c>
      <c r="X652" s="5">
        <f t="shared" si="117"/>
        <v>382</v>
      </c>
      <c r="Y652" s="5">
        <f t="shared" si="118"/>
        <v>516</v>
      </c>
      <c r="Z652" s="19">
        <f t="shared" si="119"/>
        <v>36</v>
      </c>
      <c r="AA652" s="20">
        <f>ABS(S652-SUMPRODUCT(('05B_가정검정'!$A$5:$A$19=B652)*('05B_가정검정'!$B$5:$B$19=C652)*'05B_가정검정'!$E$5:$E$19))</f>
        <v>3.1043897827975897E-3</v>
      </c>
      <c r="AB652" s="20">
        <f t="shared" si="120"/>
        <v>8.3586987533682544E-3</v>
      </c>
    </row>
    <row r="653" spans="1:28">
      <c r="A653" s="15" t="s">
        <v>166</v>
      </c>
      <c r="B653" s="15" t="s">
        <v>121</v>
      </c>
      <c r="C653" s="15" t="s">
        <v>117</v>
      </c>
      <c r="D653" s="16">
        <v>0.29382716049382701</v>
      </c>
      <c r="E653" s="16">
        <v>0.5</v>
      </c>
      <c r="F653" s="16">
        <v>0.16</v>
      </c>
      <c r="G653" s="16">
        <v>0.30158730158730201</v>
      </c>
      <c r="H653" s="16">
        <v>0.32307256653542499</v>
      </c>
      <c r="I653" s="16">
        <v>0.22289811256285899</v>
      </c>
      <c r="J653" s="16">
        <v>0.74710492253029204</v>
      </c>
      <c r="K653" s="16">
        <v>0.75585287309271199</v>
      </c>
      <c r="L653" s="16">
        <v>0.87825080824051904</v>
      </c>
      <c r="M653" s="16">
        <v>0.90654205607476601</v>
      </c>
      <c r="N653" s="16">
        <v>0.91666666666666696</v>
      </c>
      <c r="O653" s="16">
        <v>1</v>
      </c>
      <c r="P653" s="17">
        <f t="shared" si="110"/>
        <v>0.30023085686323553</v>
      </c>
      <c r="Q653" s="17">
        <f t="shared" si="111"/>
        <v>0.79373620128784106</v>
      </c>
      <c r="R653" s="17">
        <f t="shared" si="112"/>
        <v>0.94106957424714432</v>
      </c>
      <c r="S653" s="17">
        <f>'02_지표정의'!$C$22*P653+'02_지표정의'!$C$23*Q653+'02_지표정의'!$C$24*R653</f>
        <v>0.746601812938676</v>
      </c>
      <c r="T653" s="5">
        <f t="shared" si="113"/>
        <v>1</v>
      </c>
      <c r="U653" s="5" t="str">
        <f t="shared" si="114"/>
        <v>보고서</v>
      </c>
      <c r="V653" s="18">
        <f t="shared" si="115"/>
        <v>947</v>
      </c>
      <c r="W653" s="5">
        <f t="shared" si="116"/>
        <v>644</v>
      </c>
      <c r="X653" s="5">
        <f t="shared" si="117"/>
        <v>622</v>
      </c>
      <c r="Y653" s="5">
        <f t="shared" si="118"/>
        <v>0</v>
      </c>
      <c r="Z653" s="19">
        <f t="shared" si="119"/>
        <v>60</v>
      </c>
      <c r="AA653" s="20">
        <f>ABS(S653-SUMPRODUCT(('05B_가정검정'!$A$5:$A$19=B653)*('05B_가정검정'!$B$5:$B$19=C653)*'05B_가정검정'!$E$5:$E$19))</f>
        <v>1.7169741556794849E-2</v>
      </c>
      <c r="AB653" s="20">
        <f t="shared" si="120"/>
        <v>2.895001986579504E-2</v>
      </c>
    </row>
    <row r="654" spans="1:28">
      <c r="A654" s="15" t="s">
        <v>166</v>
      </c>
      <c r="B654" s="15" t="s">
        <v>121</v>
      </c>
      <c r="C654" s="15" t="s">
        <v>118</v>
      </c>
      <c r="D654" s="16">
        <v>0.28121212121212102</v>
      </c>
      <c r="E654" s="16">
        <v>0.36749116607773902</v>
      </c>
      <c r="F654" s="16">
        <v>0.149466192170819</v>
      </c>
      <c r="G654" s="16">
        <v>0.240282685512368</v>
      </c>
      <c r="H654" s="16">
        <v>0.21819326598213901</v>
      </c>
      <c r="I654" s="16">
        <v>0.30929213098725</v>
      </c>
      <c r="J654" s="16">
        <v>0.74251527435320896</v>
      </c>
      <c r="K654" s="16">
        <v>0.73309937502231703</v>
      </c>
      <c r="L654" s="16">
        <v>0.86492467320114896</v>
      </c>
      <c r="M654" s="16">
        <v>0.391129032258065</v>
      </c>
      <c r="N654" s="16">
        <v>0.32743362831858402</v>
      </c>
      <c r="O654" s="16">
        <v>0.52631578947368396</v>
      </c>
      <c r="P654" s="17">
        <f t="shared" si="110"/>
        <v>0.26098959365707269</v>
      </c>
      <c r="Q654" s="17">
        <f t="shared" si="111"/>
        <v>0.78017977419222495</v>
      </c>
      <c r="R654" s="17">
        <f t="shared" si="112"/>
        <v>0.41495948335011096</v>
      </c>
      <c r="S654" s="17">
        <f>'02_지표정의'!$C$22*P654+'02_지표정의'!$C$23*Q654+'02_지표정의'!$C$24*R654</f>
        <v>0.5485146362904546</v>
      </c>
      <c r="T654" s="5">
        <f t="shared" si="113"/>
        <v>0</v>
      </c>
      <c r="U654" s="5" t="str">
        <f t="shared" si="114"/>
        <v>보고서</v>
      </c>
      <c r="V654" s="18">
        <f t="shared" si="115"/>
        <v>199</v>
      </c>
      <c r="W654" s="5">
        <f t="shared" si="116"/>
        <v>163</v>
      </c>
      <c r="X654" s="5">
        <f t="shared" si="117"/>
        <v>0</v>
      </c>
      <c r="Y654" s="5">
        <f t="shared" si="118"/>
        <v>173</v>
      </c>
      <c r="Z654" s="19">
        <f t="shared" si="119"/>
        <v>23</v>
      </c>
      <c r="AA654" s="20">
        <f>ABS(S654-SUMPRODUCT(('05B_가정검정'!$A$5:$A$19=B654)*('05B_가정검정'!$B$5:$B$19=C654)*'05B_가정검정'!$E$5:$E$19))</f>
        <v>5.0064853876513826E-2</v>
      </c>
      <c r="AB654" s="20">
        <f t="shared" si="120"/>
        <v>-3.0884438236358669E-2</v>
      </c>
    </row>
    <row r="655" spans="1:28">
      <c r="A655" s="15" t="s">
        <v>166</v>
      </c>
      <c r="B655" s="15" t="s">
        <v>121</v>
      </c>
      <c r="C655" s="15" t="s">
        <v>119</v>
      </c>
      <c r="D655" s="16">
        <v>0.324189526184539</v>
      </c>
      <c r="E655" s="16">
        <v>0.43380281690140898</v>
      </c>
      <c r="F655" s="16">
        <v>0.19830028328611901</v>
      </c>
      <c r="G655" s="16">
        <v>0.27605633802816898</v>
      </c>
      <c r="H655" s="16">
        <v>0.28643250400227199</v>
      </c>
      <c r="I655" s="16">
        <v>0.37561391235108299</v>
      </c>
      <c r="J655" s="16">
        <v>0.77522842755438304</v>
      </c>
      <c r="K655" s="16">
        <v>0.73683837494542603</v>
      </c>
      <c r="L655" s="16">
        <v>0.873064030288077</v>
      </c>
      <c r="M655" s="16">
        <v>0.5</v>
      </c>
      <c r="N655" s="16">
        <v>0.55555555555555602</v>
      </c>
      <c r="O655" s="16">
        <v>1</v>
      </c>
      <c r="P655" s="17">
        <f t="shared" si="110"/>
        <v>0.31573256345893186</v>
      </c>
      <c r="Q655" s="17">
        <f t="shared" si="111"/>
        <v>0.79504361092929532</v>
      </c>
      <c r="R655" s="17">
        <f t="shared" si="112"/>
        <v>0.68518518518518545</v>
      </c>
      <c r="S655" s="17">
        <f>'02_지표정의'!$C$22*P655+'02_지표정의'!$C$23*Q655+'02_지표정의'!$C$24*R655</f>
        <v>0.66073095242478419</v>
      </c>
      <c r="T655" s="5">
        <f t="shared" si="113"/>
        <v>0</v>
      </c>
      <c r="U655" s="5" t="str">
        <f t="shared" si="114"/>
        <v>보고서</v>
      </c>
      <c r="V655" s="18">
        <f t="shared" si="115"/>
        <v>676</v>
      </c>
      <c r="W655" s="5">
        <f t="shared" si="116"/>
        <v>0</v>
      </c>
      <c r="X655" s="5">
        <f t="shared" si="117"/>
        <v>357</v>
      </c>
      <c r="Y655" s="5">
        <f t="shared" si="118"/>
        <v>499</v>
      </c>
      <c r="Z655" s="19">
        <f t="shared" si="119"/>
        <v>16</v>
      </c>
      <c r="AA655" s="20">
        <f>ABS(S655-SUMPRODUCT(('05B_가정검정'!$A$5:$A$19=B655)*('05B_가정검정'!$B$5:$B$19=C655)*'05B_가정검정'!$E$5:$E$19))</f>
        <v>3.1588890371069489E-2</v>
      </c>
      <c r="AB655" s="20">
        <f t="shared" si="120"/>
        <v>-2.7506022994826851E-2</v>
      </c>
    </row>
    <row r="656" spans="1:28">
      <c r="A656" s="15" t="s">
        <v>166</v>
      </c>
      <c r="B656" s="15" t="s">
        <v>122</v>
      </c>
      <c r="C656" s="15" t="s">
        <v>117</v>
      </c>
      <c r="D656" s="16">
        <v>0.29670329670329698</v>
      </c>
      <c r="E656" s="16">
        <v>0.43027888446215101</v>
      </c>
      <c r="F656" s="16">
        <v>0.17670682730923701</v>
      </c>
      <c r="G656" s="16">
        <v>0.31075697211155401</v>
      </c>
      <c r="H656" s="16">
        <v>0.28608949522024901</v>
      </c>
      <c r="I656" s="16">
        <v>0.27585544977802601</v>
      </c>
      <c r="J656" s="16">
        <v>0.72763908153184598</v>
      </c>
      <c r="K656" s="16">
        <v>0.72618779363140995</v>
      </c>
      <c r="L656" s="16">
        <v>0.83964435188620601</v>
      </c>
      <c r="M656" s="16">
        <v>0.747899159663866</v>
      </c>
      <c r="N656" s="16">
        <v>0.74242424242424199</v>
      </c>
      <c r="O656" s="16">
        <v>1</v>
      </c>
      <c r="P656" s="17">
        <f t="shared" si="110"/>
        <v>0.29606515426408569</v>
      </c>
      <c r="Q656" s="17">
        <f t="shared" si="111"/>
        <v>0.76449040901648735</v>
      </c>
      <c r="R656" s="17">
        <f t="shared" si="112"/>
        <v>0.83010780069603596</v>
      </c>
      <c r="S656" s="17">
        <f>'02_지표정의'!$C$22*P656+'02_지표정의'!$C$23*Q656+'02_지표정의'!$C$24*R656</f>
        <v>0.69377144515384903</v>
      </c>
      <c r="T656" s="5">
        <f t="shared" si="113"/>
        <v>0</v>
      </c>
      <c r="U656" s="5" t="str">
        <f t="shared" si="114"/>
        <v>보고서</v>
      </c>
      <c r="V656" s="18">
        <f t="shared" si="115"/>
        <v>799</v>
      </c>
      <c r="W656" s="5">
        <f t="shared" si="116"/>
        <v>549</v>
      </c>
      <c r="X656" s="5">
        <f t="shared" si="117"/>
        <v>474</v>
      </c>
      <c r="Y656" s="5">
        <f t="shared" si="118"/>
        <v>0</v>
      </c>
      <c r="Z656" s="19">
        <f t="shared" si="119"/>
        <v>65</v>
      </c>
      <c r="AA656" s="20">
        <f>ABS(S656-SUMPRODUCT(('05B_가정검정'!$A$5:$A$19=B656)*('05B_가정검정'!$B$5:$B$19=C656)*'05B_가정검정'!$E$5:$E$19))</f>
        <v>5.4418490445170553E-2</v>
      </c>
      <c r="AB656" s="20">
        <f t="shared" si="120"/>
        <v>7.0889822964202875E-2</v>
      </c>
    </row>
    <row r="657" spans="1:28">
      <c r="A657" s="15" t="s">
        <v>166</v>
      </c>
      <c r="B657" s="15" t="s">
        <v>122</v>
      </c>
      <c r="C657" s="15" t="s">
        <v>118</v>
      </c>
      <c r="D657" s="16">
        <v>0.32301480484522199</v>
      </c>
      <c r="E657" s="16">
        <v>0.37588652482269502</v>
      </c>
      <c r="F657" s="16">
        <v>0.16428571428571401</v>
      </c>
      <c r="G657" s="16">
        <v>0.26241134751773099</v>
      </c>
      <c r="H657" s="16">
        <v>0.220798841644258</v>
      </c>
      <c r="I657" s="16">
        <v>0.54672641049270498</v>
      </c>
      <c r="J657" s="16">
        <v>0.70630542704881205</v>
      </c>
      <c r="K657" s="16">
        <v>0.73755354379091598</v>
      </c>
      <c r="L657" s="16">
        <v>0.852668257763323</v>
      </c>
      <c r="M657" s="16">
        <v>0.43951612903225801</v>
      </c>
      <c r="N657" s="16">
        <v>0.25663716814159299</v>
      </c>
      <c r="O657" s="16">
        <v>0.52631578947368396</v>
      </c>
      <c r="P657" s="17">
        <f t="shared" si="110"/>
        <v>0.3155206072680542</v>
      </c>
      <c r="Q657" s="17">
        <f t="shared" si="111"/>
        <v>0.76550907620101694</v>
      </c>
      <c r="R657" s="17">
        <f t="shared" si="112"/>
        <v>0.4074896955491783</v>
      </c>
      <c r="S657" s="17">
        <f>'02_지표정의'!$C$22*P657+'02_지표정의'!$C$23*Q657+'02_지표정의'!$C$24*R657</f>
        <v>0.55020459918628084</v>
      </c>
      <c r="T657" s="5">
        <f t="shared" si="113"/>
        <v>1</v>
      </c>
      <c r="U657" s="5" t="str">
        <f t="shared" si="114"/>
        <v>보고서</v>
      </c>
      <c r="V657" s="18">
        <f t="shared" si="115"/>
        <v>208</v>
      </c>
      <c r="W657" s="5">
        <f t="shared" si="116"/>
        <v>172</v>
      </c>
      <c r="X657" s="5">
        <f t="shared" si="117"/>
        <v>0</v>
      </c>
      <c r="Y657" s="5">
        <f t="shared" si="118"/>
        <v>180</v>
      </c>
      <c r="Z657" s="19">
        <f t="shared" si="119"/>
        <v>21</v>
      </c>
      <c r="AA657" s="20">
        <f>ABS(S657-SUMPRODUCT(('05B_가정검정'!$A$5:$A$19=B657)*('05B_가정검정'!$B$5:$B$19=C657)*'05B_가정검정'!$E$5:$E$19))</f>
        <v>3.671733681087741E-2</v>
      </c>
      <c r="AB657" s="20">
        <f t="shared" si="120"/>
        <v>-3.101867703140293E-2</v>
      </c>
    </row>
    <row r="658" spans="1:28">
      <c r="A658" s="15" t="s">
        <v>166</v>
      </c>
      <c r="B658" s="15" t="s">
        <v>122</v>
      </c>
      <c r="C658" s="15" t="s">
        <v>119</v>
      </c>
      <c r="D658" s="16">
        <v>0.36111111111111099</v>
      </c>
      <c r="E658" s="16">
        <v>0.435028248587571</v>
      </c>
      <c r="F658" s="16">
        <v>0.23863636363636401</v>
      </c>
      <c r="G658" s="16">
        <v>0.34463276836158202</v>
      </c>
      <c r="H658" s="16">
        <v>0.26876800819170299</v>
      </c>
      <c r="I658" s="16">
        <v>0.55274824105451803</v>
      </c>
      <c r="J658" s="16">
        <v>0.72146859215881798</v>
      </c>
      <c r="K658" s="16">
        <v>0.66233665463225699</v>
      </c>
      <c r="L658" s="16">
        <v>0.80756929503374097</v>
      </c>
      <c r="M658" s="16">
        <v>0.53092783505154595</v>
      </c>
      <c r="N658" s="16">
        <v>0.55555555555555602</v>
      </c>
      <c r="O658" s="16">
        <v>1</v>
      </c>
      <c r="P658" s="17">
        <f t="shared" si="110"/>
        <v>0.36682079015714147</v>
      </c>
      <c r="Q658" s="17">
        <f t="shared" si="111"/>
        <v>0.73045818060827195</v>
      </c>
      <c r="R658" s="17">
        <f t="shared" si="112"/>
        <v>0.69549446353570066</v>
      </c>
      <c r="S658" s="17">
        <f>'02_지표정의'!$C$22*P658+'02_지표정의'!$C$23*Q658+'02_지표정의'!$C$24*R658</f>
        <v>0.64549340154264589</v>
      </c>
      <c r="T658" s="5">
        <f t="shared" si="113"/>
        <v>0</v>
      </c>
      <c r="U658" s="5" t="str">
        <f t="shared" si="114"/>
        <v>보고서</v>
      </c>
      <c r="V658" s="18">
        <f t="shared" si="115"/>
        <v>597</v>
      </c>
      <c r="W658" s="5">
        <f t="shared" si="116"/>
        <v>0</v>
      </c>
      <c r="X658" s="5">
        <f t="shared" si="117"/>
        <v>288</v>
      </c>
      <c r="Y658" s="5">
        <f t="shared" si="118"/>
        <v>446</v>
      </c>
      <c r="Z658" s="19">
        <f t="shared" si="119"/>
        <v>36</v>
      </c>
      <c r="AA658" s="20">
        <f>ABS(S658-SUMPRODUCT(('05B_가정검정'!$A$5:$A$19=B658)*('05B_가정검정'!$B$5:$B$19=C658)*'05B_가정검정'!$E$5:$E$19))</f>
        <v>9.8872136411944922E-3</v>
      </c>
      <c r="AB658" s="20">
        <f t="shared" si="120"/>
        <v>1.4104535227759896E-2</v>
      </c>
    </row>
    <row r="659" spans="1:28">
      <c r="A659" s="15" t="s">
        <v>166</v>
      </c>
      <c r="B659" s="15" t="s">
        <v>123</v>
      </c>
      <c r="C659" s="15" t="s">
        <v>117</v>
      </c>
      <c r="D659" s="16">
        <v>0.32797427652733102</v>
      </c>
      <c r="E659" s="16">
        <v>0.44512195121951198</v>
      </c>
      <c r="F659" s="16">
        <v>0.16564417177914101</v>
      </c>
      <c r="G659" s="16">
        <v>0.30487804878048802</v>
      </c>
      <c r="H659" s="16">
        <v>0.47748297020692598</v>
      </c>
      <c r="I659" s="16">
        <v>0.31319048732687299</v>
      </c>
      <c r="J659" s="16">
        <v>0.73514348224548098</v>
      </c>
      <c r="K659" s="16">
        <v>0.74184513744371205</v>
      </c>
      <c r="L659" s="16">
        <v>0.87676117936847398</v>
      </c>
      <c r="M659" s="16">
        <v>0.90654205607476601</v>
      </c>
      <c r="N659" s="16">
        <v>0.91666666666666696</v>
      </c>
      <c r="O659" s="16">
        <v>1</v>
      </c>
      <c r="P659" s="17">
        <f t="shared" si="110"/>
        <v>0.33904865097337855</v>
      </c>
      <c r="Q659" s="17">
        <f t="shared" si="111"/>
        <v>0.7845832663525556</v>
      </c>
      <c r="R659" s="17">
        <f t="shared" si="112"/>
        <v>0.94106957424714432</v>
      </c>
      <c r="S659" s="17">
        <f>'02_지표정의'!$C$22*P659+'02_지표정의'!$C$23*Q659+'02_지표정의'!$C$24*R659</f>
        <v>0.75024655103982618</v>
      </c>
      <c r="T659" s="5">
        <f t="shared" si="113"/>
        <v>0</v>
      </c>
      <c r="U659" s="5" t="str">
        <f t="shared" si="114"/>
        <v>보고서</v>
      </c>
      <c r="V659" s="18">
        <f t="shared" si="115"/>
        <v>954</v>
      </c>
      <c r="W659" s="5">
        <f t="shared" si="116"/>
        <v>648</v>
      </c>
      <c r="X659" s="5">
        <f t="shared" si="117"/>
        <v>629</v>
      </c>
      <c r="Y659" s="5">
        <f t="shared" si="118"/>
        <v>0</v>
      </c>
      <c r="Z659" s="19">
        <f t="shared" si="119"/>
        <v>65</v>
      </c>
      <c r="AA659" s="20">
        <f>ABS(S659-SUMPRODUCT(('05B_가정검정'!$A$5:$A$19=B659)*('05B_가정검정'!$B$5:$B$19=C659)*'05B_가정검정'!$E$5:$E$19))</f>
        <v>3.5323668263602448E-2</v>
      </c>
      <c r="AB659" s="20">
        <f t="shared" si="120"/>
        <v>4.226109922858301E-2</v>
      </c>
    </row>
    <row r="660" spans="1:28">
      <c r="A660" s="15" t="s">
        <v>166</v>
      </c>
      <c r="B660" s="15" t="s">
        <v>123</v>
      </c>
      <c r="C660" s="15" t="s">
        <v>118</v>
      </c>
      <c r="D660" s="16">
        <v>0.29324894514767902</v>
      </c>
      <c r="E660" s="16">
        <v>0.33426183844011098</v>
      </c>
      <c r="F660" s="16">
        <v>0.140056022408964</v>
      </c>
      <c r="G660" s="16">
        <v>0.250696378830084</v>
      </c>
      <c r="H660" s="16">
        <v>0.30268340791341802</v>
      </c>
      <c r="I660" s="16">
        <v>0.45553145693765301</v>
      </c>
      <c r="J660" s="16">
        <v>0.74009589743858895</v>
      </c>
      <c r="K660" s="16">
        <v>0.73420980603230201</v>
      </c>
      <c r="L660" s="16">
        <v>0.85447560085054997</v>
      </c>
      <c r="M660" s="16">
        <v>0.391129032258065</v>
      </c>
      <c r="N660" s="16">
        <v>0.32743362831858402</v>
      </c>
      <c r="O660" s="16">
        <v>0.52631578947368396</v>
      </c>
      <c r="P660" s="17">
        <f t="shared" si="110"/>
        <v>0.29607967494631815</v>
      </c>
      <c r="Q660" s="17">
        <f t="shared" si="111"/>
        <v>0.77626043477381368</v>
      </c>
      <c r="R660" s="17">
        <f t="shared" si="112"/>
        <v>0.41495948335011096</v>
      </c>
      <c r="S660" s="17">
        <f>'02_지표정의'!$C$22*P660+'02_지표정의'!$C$23*Q660+'02_지표정의'!$C$24*R660</f>
        <v>0.55376894981001867</v>
      </c>
      <c r="T660" s="5">
        <f t="shared" si="113"/>
        <v>0</v>
      </c>
      <c r="U660" s="5" t="str">
        <f t="shared" si="114"/>
        <v>보고서</v>
      </c>
      <c r="V660" s="18">
        <f t="shared" si="115"/>
        <v>223</v>
      </c>
      <c r="W660" s="5">
        <f t="shared" si="116"/>
        <v>183</v>
      </c>
      <c r="X660" s="5">
        <f t="shared" si="117"/>
        <v>0</v>
      </c>
      <c r="Y660" s="5">
        <f t="shared" si="118"/>
        <v>191</v>
      </c>
      <c r="Z660" s="19">
        <f t="shared" si="119"/>
        <v>29</v>
      </c>
      <c r="AA660" s="20">
        <f>ABS(S660-SUMPRODUCT(('05B_가정검정'!$A$5:$A$19=B660)*('05B_가정검정'!$B$5:$B$19=C660)*'05B_가정검정'!$E$5:$E$19))</f>
        <v>2.1529877068951042E-2</v>
      </c>
      <c r="AB660" s="20">
        <f t="shared" si="120"/>
        <v>-6.1026581144724146E-3</v>
      </c>
    </row>
    <row r="661" spans="1:28">
      <c r="A661" s="15" t="s">
        <v>166</v>
      </c>
      <c r="B661" s="15" t="s">
        <v>123</v>
      </c>
      <c r="C661" s="15" t="s">
        <v>119</v>
      </c>
      <c r="D661" s="16">
        <v>0.36756756756756798</v>
      </c>
      <c r="E661" s="16">
        <v>0.58004640371229699</v>
      </c>
      <c r="F661" s="16">
        <v>0.31235431235431199</v>
      </c>
      <c r="G661" s="16">
        <v>0.33410672853828299</v>
      </c>
      <c r="H661" s="16">
        <v>0.45297713043297499</v>
      </c>
      <c r="I661" s="16">
        <v>0.59431032691433605</v>
      </c>
      <c r="J661" s="16">
        <v>0.75258943361813102</v>
      </c>
      <c r="K661" s="16">
        <v>0.74840349789230598</v>
      </c>
      <c r="L661" s="16">
        <v>0.89783715089768201</v>
      </c>
      <c r="M661" s="16">
        <v>0.5</v>
      </c>
      <c r="N661" s="16">
        <v>0.55555555555555602</v>
      </c>
      <c r="O661" s="16">
        <v>1</v>
      </c>
      <c r="P661" s="17">
        <f t="shared" si="110"/>
        <v>0.44022707825329516</v>
      </c>
      <c r="Q661" s="17">
        <f t="shared" si="111"/>
        <v>0.79961002746937293</v>
      </c>
      <c r="R661" s="17">
        <f t="shared" si="112"/>
        <v>0.68518518518518545</v>
      </c>
      <c r="S661" s="17">
        <f>'02_지표정의'!$C$22*P661+'02_지표정의'!$C$23*Q661+'02_지표정의'!$C$24*R661</f>
        <v>0.68768474282669179</v>
      </c>
      <c r="T661" s="5">
        <f t="shared" si="113"/>
        <v>1</v>
      </c>
      <c r="U661" s="5" t="str">
        <f t="shared" si="114"/>
        <v>보고서</v>
      </c>
      <c r="V661" s="18">
        <f t="shared" si="115"/>
        <v>779</v>
      </c>
      <c r="W661" s="5">
        <f t="shared" si="116"/>
        <v>0</v>
      </c>
      <c r="X661" s="5">
        <f t="shared" si="117"/>
        <v>455</v>
      </c>
      <c r="Y661" s="5">
        <f t="shared" si="118"/>
        <v>562</v>
      </c>
      <c r="Z661" s="19">
        <f t="shared" si="119"/>
        <v>35</v>
      </c>
      <c r="AA661" s="20">
        <f>ABS(S661-SUMPRODUCT(('05B_가정검정'!$A$5:$A$19=B661)*('05B_가정검정'!$B$5:$B$19=C661)*'05B_가정검정'!$E$5:$E$19))</f>
        <v>2.0549455024644336E-3</v>
      </c>
      <c r="AB661" s="20">
        <f t="shared" si="120"/>
        <v>5.2660097816900064E-3</v>
      </c>
    </row>
    <row r="662" spans="1:28">
      <c r="A662" s="15" t="s">
        <v>167</v>
      </c>
      <c r="B662" s="15" t="s">
        <v>116</v>
      </c>
      <c r="C662" s="15" t="s">
        <v>117</v>
      </c>
      <c r="D662" s="16">
        <v>0.252873563218391</v>
      </c>
      <c r="E662" s="16">
        <v>0.340425531914894</v>
      </c>
      <c r="F662" s="16">
        <v>0.111587982832618</v>
      </c>
      <c r="G662" s="16">
        <v>0.24680851063829801</v>
      </c>
      <c r="H662" s="16">
        <v>0.26121409028445702</v>
      </c>
      <c r="I662" s="16">
        <v>0.209659298072015</v>
      </c>
      <c r="J662" s="16">
        <v>0.67841554619003297</v>
      </c>
      <c r="K662" s="16">
        <v>0.60707809367781396</v>
      </c>
      <c r="L662" s="16">
        <v>0.73349943526949402</v>
      </c>
      <c r="M662" s="16">
        <v>0.51515151515151503</v>
      </c>
      <c r="N662" s="16">
        <v>0.213483146067416</v>
      </c>
      <c r="O662" s="16">
        <v>1</v>
      </c>
      <c r="P662" s="17">
        <f t="shared" si="110"/>
        <v>0.23709482949344554</v>
      </c>
      <c r="Q662" s="17">
        <f t="shared" si="111"/>
        <v>0.67299769171244694</v>
      </c>
      <c r="R662" s="17">
        <f t="shared" si="112"/>
        <v>0.57621155373964372</v>
      </c>
      <c r="S662" s="17">
        <f>'02_지표정의'!$C$22*P662+'02_지표정의'!$C$23*Q662+'02_지표정의'!$C$24*R662</f>
        <v>0.55194197097816555</v>
      </c>
      <c r="T662" s="5">
        <f t="shared" si="113"/>
        <v>0</v>
      </c>
      <c r="U662" s="5" t="str">
        <f t="shared" si="114"/>
        <v>보고서</v>
      </c>
      <c r="V662" s="18">
        <f t="shared" si="115"/>
        <v>213</v>
      </c>
      <c r="W662" s="5">
        <f t="shared" si="116"/>
        <v>176</v>
      </c>
      <c r="X662" s="5">
        <f t="shared" si="117"/>
        <v>67</v>
      </c>
      <c r="Y662" s="5">
        <f t="shared" si="118"/>
        <v>0</v>
      </c>
      <c r="Z662" s="19">
        <f t="shared" si="119"/>
        <v>25</v>
      </c>
      <c r="AA662" s="20">
        <f>ABS(S662-SUMPRODUCT(('05B_가정검정'!$A$5:$A$19=B662)*('05B_가정검정'!$B$5:$B$19=C662)*'05B_가정검정'!$E$5:$E$19))</f>
        <v>5.4617340068017217E-3</v>
      </c>
      <c r="AB662" s="20">
        <f t="shared" si="120"/>
        <v>-6.0919443445783816E-4</v>
      </c>
    </row>
    <row r="663" spans="1:28">
      <c r="A663" s="15" t="s">
        <v>167</v>
      </c>
      <c r="B663" s="15" t="s">
        <v>116</v>
      </c>
      <c r="C663" s="15" t="s">
        <v>118</v>
      </c>
      <c r="D663" s="16">
        <v>0.33281004709576101</v>
      </c>
      <c r="E663" s="16">
        <v>0.30337078651685401</v>
      </c>
      <c r="F663" s="16">
        <v>0.124293785310735</v>
      </c>
      <c r="G663" s="16">
        <v>0.23033707865168501</v>
      </c>
      <c r="H663" s="16">
        <v>0.16579430204446899</v>
      </c>
      <c r="I663" s="16">
        <v>0.27813890604458802</v>
      </c>
      <c r="J663" s="16">
        <v>0.61785479797459097</v>
      </c>
      <c r="K663" s="16">
        <v>0.62751021550405295</v>
      </c>
      <c r="L663" s="16">
        <v>0.76606380418111897</v>
      </c>
      <c r="M663" s="16">
        <v>0.38501291989664099</v>
      </c>
      <c r="N663" s="16">
        <v>0</v>
      </c>
      <c r="O663" s="16">
        <v>0.52631578947368396</v>
      </c>
      <c r="P663" s="17">
        <f t="shared" si="110"/>
        <v>0.23912415094401532</v>
      </c>
      <c r="Q663" s="17">
        <f t="shared" si="111"/>
        <v>0.67047627255325437</v>
      </c>
      <c r="R663" s="17">
        <f t="shared" si="112"/>
        <v>0.30377623645677498</v>
      </c>
      <c r="S663" s="17">
        <f>'02_지표정의'!$C$22*P663+'02_지표정의'!$C$23*Q663+'02_지표정의'!$C$24*R663</f>
        <v>0.45586083559763879</v>
      </c>
      <c r="T663" s="5">
        <f t="shared" si="113"/>
        <v>0</v>
      </c>
      <c r="U663" s="5" t="str">
        <f t="shared" si="114"/>
        <v>보고서</v>
      </c>
      <c r="V663" s="18">
        <f t="shared" si="115"/>
        <v>9</v>
      </c>
      <c r="W663" s="5">
        <f t="shared" si="116"/>
        <v>3</v>
      </c>
      <c r="X663" s="5">
        <f t="shared" si="117"/>
        <v>0</v>
      </c>
      <c r="Y663" s="5">
        <f t="shared" si="118"/>
        <v>8</v>
      </c>
      <c r="Z663" s="19">
        <f t="shared" si="119"/>
        <v>1</v>
      </c>
      <c r="AA663" s="20">
        <f>ABS(S663-SUMPRODUCT(('05B_가정검정'!$A$5:$A$19=B663)*('05B_가정검정'!$B$5:$B$19=C663)*'05B_가정검정'!$E$5:$E$19))</f>
        <v>7.5431586104082848E-2</v>
      </c>
      <c r="AB663" s="20">
        <f t="shared" si="120"/>
        <v>-7.1688196780947511E-2</v>
      </c>
    </row>
    <row r="664" spans="1:28">
      <c r="A664" s="15" t="s">
        <v>167</v>
      </c>
      <c r="B664" s="15" t="s">
        <v>116</v>
      </c>
      <c r="C664" s="15" t="s">
        <v>119</v>
      </c>
      <c r="D664" s="16">
        <v>0.30434782608695699</v>
      </c>
      <c r="E664" s="16">
        <v>0.41777777777777803</v>
      </c>
      <c r="F664" s="16">
        <v>0.17040358744394599</v>
      </c>
      <c r="G664" s="16">
        <v>0.32</v>
      </c>
      <c r="H664" s="16">
        <v>0.25197415490542702</v>
      </c>
      <c r="I664" s="16">
        <v>0.281556969062912</v>
      </c>
      <c r="J664" s="16">
        <v>0.68466065555170297</v>
      </c>
      <c r="K664" s="16">
        <v>0.625538520076931</v>
      </c>
      <c r="L664" s="16">
        <v>0.74676680286378505</v>
      </c>
      <c r="M664" s="16">
        <v>0.47878787878787898</v>
      </c>
      <c r="N664" s="16">
        <v>0.213483146067416</v>
      </c>
      <c r="O664" s="16">
        <v>1</v>
      </c>
      <c r="P664" s="17">
        <f t="shared" si="110"/>
        <v>0.29101005254617002</v>
      </c>
      <c r="Q664" s="17">
        <f t="shared" si="111"/>
        <v>0.68565532616413971</v>
      </c>
      <c r="R664" s="17">
        <f t="shared" si="112"/>
        <v>0.56409034161843163</v>
      </c>
      <c r="S664" s="17">
        <f>'02_지표정의'!$C$22*P664+'02_지표정의'!$C$23*Q664+'02_지표정의'!$C$24*R664</f>
        <v>0.56417852684954795</v>
      </c>
      <c r="T664" s="5">
        <f t="shared" si="113"/>
        <v>0</v>
      </c>
      <c r="U664" s="5" t="str">
        <f t="shared" si="114"/>
        <v>보고서</v>
      </c>
      <c r="V664" s="18">
        <f t="shared" si="115"/>
        <v>266</v>
      </c>
      <c r="W664" s="5">
        <f t="shared" si="116"/>
        <v>0</v>
      </c>
      <c r="X664" s="5">
        <f t="shared" si="117"/>
        <v>101</v>
      </c>
      <c r="Y664" s="5">
        <f t="shared" si="118"/>
        <v>216</v>
      </c>
      <c r="Z664" s="19">
        <f t="shared" si="119"/>
        <v>42</v>
      </c>
      <c r="AA664" s="20">
        <f>ABS(S664-SUMPRODUCT(('05B_가정검정'!$A$5:$A$19=B664)*('05B_가정검정'!$B$5:$B$19=C664)*'05B_가정검정'!$E$5:$E$19))</f>
        <v>1.115501010676534E-2</v>
      </c>
      <c r="AB664" s="20">
        <f t="shared" si="120"/>
        <v>7.7260431733678914E-3</v>
      </c>
    </row>
    <row r="665" spans="1:28">
      <c r="A665" s="15" t="s">
        <v>167</v>
      </c>
      <c r="B665" s="15" t="s">
        <v>120</v>
      </c>
      <c r="C665" s="15" t="s">
        <v>117</v>
      </c>
      <c r="D665" s="16">
        <v>0.25984251968503902</v>
      </c>
      <c r="E665" s="16">
        <v>0.38953488372092998</v>
      </c>
      <c r="F665" s="16">
        <v>0.105263157894737</v>
      </c>
      <c r="G665" s="16">
        <v>0.209302325581395</v>
      </c>
      <c r="H665" s="16">
        <v>0.28934197117121302</v>
      </c>
      <c r="I665" s="16">
        <v>0.24575026138480399</v>
      </c>
      <c r="J665" s="16">
        <v>0.68890910735841904</v>
      </c>
      <c r="K665" s="16">
        <v>0.66340846814455101</v>
      </c>
      <c r="L665" s="16">
        <v>0.84360181834158998</v>
      </c>
      <c r="M665" s="16">
        <v>0.64583333333333304</v>
      </c>
      <c r="N665" s="16">
        <v>0.58333333333333304</v>
      </c>
      <c r="O665" s="16">
        <v>1</v>
      </c>
      <c r="P665" s="17">
        <f t="shared" si="110"/>
        <v>0.24983918657301965</v>
      </c>
      <c r="Q665" s="17">
        <f t="shared" si="111"/>
        <v>0.73197313128151997</v>
      </c>
      <c r="R665" s="17">
        <f t="shared" si="112"/>
        <v>0.74305555555555536</v>
      </c>
      <c r="S665" s="17">
        <f>'02_지표정의'!$C$22*P665+'02_지표정의'!$C$23*Q665+'02_지표정의'!$C$24*R665</f>
        <v>0.63942519083573224</v>
      </c>
      <c r="T665" s="5">
        <f t="shared" si="113"/>
        <v>0</v>
      </c>
      <c r="U665" s="5" t="str">
        <f t="shared" si="114"/>
        <v>보고서</v>
      </c>
      <c r="V665" s="18">
        <f t="shared" si="115"/>
        <v>572</v>
      </c>
      <c r="W665" s="5">
        <f t="shared" si="116"/>
        <v>446</v>
      </c>
      <c r="X665" s="5">
        <f t="shared" si="117"/>
        <v>268</v>
      </c>
      <c r="Y665" s="5">
        <f t="shared" si="118"/>
        <v>0</v>
      </c>
      <c r="Z665" s="19">
        <f t="shared" si="119"/>
        <v>43</v>
      </c>
      <c r="AA665" s="20">
        <f>ABS(S665-SUMPRODUCT(('05B_가정검정'!$A$5:$A$19=B665)*('05B_가정검정'!$B$5:$B$19=C665)*'05B_가정검정'!$E$5:$E$19))</f>
        <v>1.1376230778611163E-2</v>
      </c>
      <c r="AB665" s="20">
        <f t="shared" si="120"/>
        <v>8.1224874109750989E-3</v>
      </c>
    </row>
    <row r="666" spans="1:28">
      <c r="A666" s="15" t="s">
        <v>167</v>
      </c>
      <c r="B666" s="15" t="s">
        <v>120</v>
      </c>
      <c r="C666" s="15" t="s">
        <v>118</v>
      </c>
      <c r="D666" s="16">
        <v>0.29676071055381398</v>
      </c>
      <c r="E666" s="16">
        <v>0.4</v>
      </c>
      <c r="F666" s="16">
        <v>0.12095032397408199</v>
      </c>
      <c r="G666" s="16">
        <v>0.21935483870967701</v>
      </c>
      <c r="H666" s="16">
        <v>0.28058297839896201</v>
      </c>
      <c r="I666" s="16">
        <v>0.39789332226726298</v>
      </c>
      <c r="J666" s="16">
        <v>0.71627886727367096</v>
      </c>
      <c r="K666" s="16">
        <v>0.630100927938266</v>
      </c>
      <c r="L666" s="16">
        <v>0.80876138138554698</v>
      </c>
      <c r="M666" s="16">
        <v>0.372093023255814</v>
      </c>
      <c r="N666" s="16">
        <v>0.30769230769230799</v>
      </c>
      <c r="O666" s="16">
        <v>0.52631578947368396</v>
      </c>
      <c r="P666" s="17">
        <f t="shared" si="110"/>
        <v>0.28592369565063297</v>
      </c>
      <c r="Q666" s="17">
        <f t="shared" si="111"/>
        <v>0.71838039219916128</v>
      </c>
      <c r="R666" s="17">
        <f t="shared" si="112"/>
        <v>0.40203370680726863</v>
      </c>
      <c r="S666" s="17">
        <f>'02_지표정의'!$C$22*P666+'02_지표정의'!$C$23*Q666+'02_지표정의'!$C$24*R666</f>
        <v>0.52116771300229314</v>
      </c>
      <c r="T666" s="5">
        <f t="shared" si="113"/>
        <v>0</v>
      </c>
      <c r="U666" s="5" t="str">
        <f t="shared" si="114"/>
        <v>보고서</v>
      </c>
      <c r="V666" s="18">
        <f t="shared" si="115"/>
        <v>96</v>
      </c>
      <c r="W666" s="5">
        <f t="shared" si="116"/>
        <v>87</v>
      </c>
      <c r="X666" s="5">
        <f t="shared" si="117"/>
        <v>0</v>
      </c>
      <c r="Y666" s="5">
        <f t="shared" si="118"/>
        <v>88</v>
      </c>
      <c r="Z666" s="19">
        <f t="shared" si="119"/>
        <v>12</v>
      </c>
      <c r="AA666" s="20">
        <f>ABS(S666-SUMPRODUCT(('05B_가정검정'!$A$5:$A$19=B666)*('05B_가정검정'!$B$5:$B$19=C666)*'05B_가정검정'!$E$5:$E$19))</f>
        <v>6.9661135579334843E-2</v>
      </c>
      <c r="AB666" s="20">
        <f t="shared" si="120"/>
        <v>-5.3723062959817658E-2</v>
      </c>
    </row>
    <row r="667" spans="1:28">
      <c r="A667" s="15" t="s">
        <v>167</v>
      </c>
      <c r="B667" s="15" t="s">
        <v>120</v>
      </c>
      <c r="C667" s="15" t="s">
        <v>119</v>
      </c>
      <c r="D667" s="16">
        <v>0.28316831683168298</v>
      </c>
      <c r="E667" s="16">
        <v>0.45508982035928203</v>
      </c>
      <c r="F667" s="16">
        <v>0.120481927710843</v>
      </c>
      <c r="G667" s="16">
        <v>0.26347305389221598</v>
      </c>
      <c r="H667" s="16">
        <v>0.30943602484161198</v>
      </c>
      <c r="I667" s="16">
        <v>0.20441391185888999</v>
      </c>
      <c r="J667" s="16">
        <v>0.69919236680886299</v>
      </c>
      <c r="K667" s="16">
        <v>0.64487334307842503</v>
      </c>
      <c r="L667" s="16">
        <v>0.84591069476883896</v>
      </c>
      <c r="M667" s="16">
        <v>0.49681528662420399</v>
      </c>
      <c r="N667" s="16">
        <v>0.40476190476190499</v>
      </c>
      <c r="O667" s="16">
        <v>1</v>
      </c>
      <c r="P667" s="17">
        <f t="shared" si="110"/>
        <v>0.2726771759157543</v>
      </c>
      <c r="Q667" s="17">
        <f t="shared" si="111"/>
        <v>0.72999213488537562</v>
      </c>
      <c r="R667" s="17">
        <f t="shared" si="112"/>
        <v>0.63385906379536971</v>
      </c>
      <c r="S667" s="17">
        <f>'02_지표정의'!$C$22*P667+'02_지표정의'!$C$23*Q667+'02_지표정의'!$C$24*R667</f>
        <v>0.60488256820994923</v>
      </c>
      <c r="T667" s="5">
        <f t="shared" si="113"/>
        <v>0</v>
      </c>
      <c r="U667" s="5" t="str">
        <f t="shared" si="114"/>
        <v>보고서</v>
      </c>
      <c r="V667" s="18">
        <f t="shared" si="115"/>
        <v>410</v>
      </c>
      <c r="W667" s="5">
        <f t="shared" si="116"/>
        <v>0</v>
      </c>
      <c r="X667" s="5">
        <f t="shared" si="117"/>
        <v>177</v>
      </c>
      <c r="Y667" s="5">
        <f t="shared" si="118"/>
        <v>312</v>
      </c>
      <c r="Z667" s="19">
        <f t="shared" si="119"/>
        <v>3</v>
      </c>
      <c r="AA667" s="20">
        <f>ABS(S667-SUMPRODUCT(('05B_가정검정'!$A$5:$A$19=B667)*('05B_가정검정'!$B$5:$B$19=C667)*'05B_가정검정'!$E$5:$E$19))</f>
        <v>5.8794748271437047E-2</v>
      </c>
      <c r="AB667" s="20">
        <f t="shared" si="120"/>
        <v>-5.3540439300866383E-2</v>
      </c>
    </row>
    <row r="668" spans="1:28">
      <c r="A668" s="15" t="s">
        <v>167</v>
      </c>
      <c r="B668" s="15" t="s">
        <v>121</v>
      </c>
      <c r="C668" s="15" t="s">
        <v>117</v>
      </c>
      <c r="D668" s="16">
        <v>0.24833110814419199</v>
      </c>
      <c r="E668" s="16">
        <v>0.34920634920634902</v>
      </c>
      <c r="F668" s="16">
        <v>9.6000000000000002E-2</v>
      </c>
      <c r="G668" s="16">
        <v>0.22222222222222199</v>
      </c>
      <c r="H668" s="16">
        <v>0.31936371545301701</v>
      </c>
      <c r="I668" s="16">
        <v>0.21250204327260599</v>
      </c>
      <c r="J668" s="16">
        <v>0.75079928106159</v>
      </c>
      <c r="K668" s="16">
        <v>0.79186788168463595</v>
      </c>
      <c r="L668" s="16">
        <v>0.89971203320727999</v>
      </c>
      <c r="M668" s="16">
        <v>0.90654205607476601</v>
      </c>
      <c r="N668" s="16">
        <v>0.91666666666666696</v>
      </c>
      <c r="O668" s="16">
        <v>1</v>
      </c>
      <c r="P668" s="17">
        <f t="shared" si="110"/>
        <v>0.24127090638306428</v>
      </c>
      <c r="Q668" s="17">
        <f t="shared" si="111"/>
        <v>0.81412639865116876</v>
      </c>
      <c r="R668" s="17">
        <f t="shared" si="112"/>
        <v>0.94106957424714432</v>
      </c>
      <c r="S668" s="17">
        <f>'02_지표정의'!$C$22*P668+'02_지표정의'!$C$23*Q668+'02_지표정의'!$C$24*R668</f>
        <v>0.74398541165613929</v>
      </c>
      <c r="T668" s="5">
        <f t="shared" si="113"/>
        <v>1</v>
      </c>
      <c r="U668" s="5" t="str">
        <f t="shared" si="114"/>
        <v>보고서</v>
      </c>
      <c r="V668" s="18">
        <f t="shared" si="115"/>
        <v>940</v>
      </c>
      <c r="W668" s="5">
        <f t="shared" si="116"/>
        <v>640</v>
      </c>
      <c r="X668" s="5">
        <f t="shared" si="117"/>
        <v>615</v>
      </c>
      <c r="Y668" s="5">
        <f t="shared" si="118"/>
        <v>0</v>
      </c>
      <c r="Z668" s="19">
        <f t="shared" si="119"/>
        <v>56</v>
      </c>
      <c r="AA668" s="20">
        <f>ABS(S668-SUMPRODUCT(('05B_가정검정'!$A$5:$A$19=B668)*('05B_가정검정'!$B$5:$B$19=C668)*'05B_가정검정'!$E$5:$E$19))</f>
        <v>1.4553340274258142E-2</v>
      </c>
      <c r="AB668" s="20">
        <f t="shared" si="120"/>
        <v>2.6333618583258334E-2</v>
      </c>
    </row>
    <row r="669" spans="1:28">
      <c r="A669" s="15" t="s">
        <v>167</v>
      </c>
      <c r="B669" s="15" t="s">
        <v>121</v>
      </c>
      <c r="C669" s="15" t="s">
        <v>118</v>
      </c>
      <c r="D669" s="16">
        <v>0.29565217391304399</v>
      </c>
      <c r="E669" s="16">
        <v>0.284182305630027</v>
      </c>
      <c r="F669" s="16">
        <v>0.102425876010782</v>
      </c>
      <c r="G669" s="16">
        <v>0.187667560321716</v>
      </c>
      <c r="H669" s="16">
        <v>0.19726544905718099</v>
      </c>
      <c r="I669" s="16">
        <v>0.37167521512421098</v>
      </c>
      <c r="J669" s="16">
        <v>0.73760694145552197</v>
      </c>
      <c r="K669" s="16">
        <v>0.79826758884023297</v>
      </c>
      <c r="L669" s="16">
        <v>0.90173447840948495</v>
      </c>
      <c r="M669" s="16">
        <v>0.25064599483204097</v>
      </c>
      <c r="N669" s="16">
        <v>0.237179487179487</v>
      </c>
      <c r="O669" s="16">
        <v>0.52631578947368396</v>
      </c>
      <c r="P669" s="17">
        <f t="shared" si="110"/>
        <v>0.23981143000949348</v>
      </c>
      <c r="Q669" s="17">
        <f t="shared" si="111"/>
        <v>0.81253633623508004</v>
      </c>
      <c r="R669" s="17">
        <f t="shared" si="112"/>
        <v>0.3380470904950707</v>
      </c>
      <c r="S669" s="17">
        <f>'02_지표정의'!$C$22*P669+'02_지표정의'!$C$23*Q669+'02_지표정의'!$C$24*R669</f>
        <v>0.53192011898095948</v>
      </c>
      <c r="T669" s="5">
        <f t="shared" si="113"/>
        <v>0</v>
      </c>
      <c r="U669" s="5" t="str">
        <f t="shared" si="114"/>
        <v>보고서</v>
      </c>
      <c r="V669" s="18">
        <f t="shared" si="115"/>
        <v>139</v>
      </c>
      <c r="W669" s="5">
        <f t="shared" si="116"/>
        <v>125</v>
      </c>
      <c r="X669" s="5">
        <f t="shared" si="117"/>
        <v>0</v>
      </c>
      <c r="Y669" s="5">
        <f t="shared" si="118"/>
        <v>126</v>
      </c>
      <c r="Z669" s="19">
        <f t="shared" si="119"/>
        <v>15</v>
      </c>
      <c r="AA669" s="20">
        <f>ABS(S669-SUMPRODUCT(('05B_가정검정'!$A$5:$A$19=B669)*('05B_가정검정'!$B$5:$B$19=C669)*'05B_가정검정'!$E$5:$E$19))</f>
        <v>6.6659371186008953E-2</v>
      </c>
      <c r="AB669" s="20">
        <f t="shared" si="120"/>
        <v>-4.7478955545853796E-2</v>
      </c>
    </row>
    <row r="670" spans="1:28">
      <c r="A670" s="15" t="s">
        <v>167</v>
      </c>
      <c r="B670" s="15" t="s">
        <v>121</v>
      </c>
      <c r="C670" s="15" t="s">
        <v>119</v>
      </c>
      <c r="D670" s="16">
        <v>0.29878869448182999</v>
      </c>
      <c r="E670" s="16">
        <v>0.46280991735537202</v>
      </c>
      <c r="F670" s="16">
        <v>0.15</v>
      </c>
      <c r="G670" s="16">
        <v>0.31404958677686001</v>
      </c>
      <c r="H670" s="16">
        <v>0.30729557101065003</v>
      </c>
      <c r="I670" s="16">
        <v>0.27132042426134101</v>
      </c>
      <c r="J670" s="16">
        <v>0.75584574315523601</v>
      </c>
      <c r="K670" s="16">
        <v>0.75611412686229795</v>
      </c>
      <c r="L670" s="16">
        <v>0.88674427237699405</v>
      </c>
      <c r="M670" s="16">
        <v>0.61783439490445902</v>
      </c>
      <c r="N670" s="16">
        <v>0.73333333333333295</v>
      </c>
      <c r="O670" s="16">
        <v>1</v>
      </c>
      <c r="P670" s="17">
        <f t="shared" si="110"/>
        <v>0.30071069898100883</v>
      </c>
      <c r="Q670" s="17">
        <f t="shared" si="111"/>
        <v>0.79956804746484267</v>
      </c>
      <c r="R670" s="17">
        <f t="shared" si="112"/>
        <v>0.78372257607926399</v>
      </c>
      <c r="S670" s="17">
        <f>'02_지표정의'!$C$22*P670+'02_지표정의'!$C$23*Q670+'02_지표정의'!$C$24*R670</f>
        <v>0.69425066278312331</v>
      </c>
      <c r="T670" s="5">
        <f t="shared" si="113"/>
        <v>0</v>
      </c>
      <c r="U670" s="5" t="str">
        <f t="shared" si="114"/>
        <v>보고서</v>
      </c>
      <c r="V670" s="18">
        <f t="shared" si="115"/>
        <v>802</v>
      </c>
      <c r="W670" s="5">
        <f t="shared" si="116"/>
        <v>0</v>
      </c>
      <c r="X670" s="5">
        <f t="shared" si="117"/>
        <v>477</v>
      </c>
      <c r="Y670" s="5">
        <f t="shared" si="118"/>
        <v>578</v>
      </c>
      <c r="Z670" s="19">
        <f t="shared" si="119"/>
        <v>36</v>
      </c>
      <c r="AA670" s="20">
        <f>ABS(S670-SUMPRODUCT(('05B_가정검정'!$A$5:$A$19=B670)*('05B_가정검정'!$B$5:$B$19=C670)*'05B_가정검정'!$E$5:$E$19))</f>
        <v>1.9308199872696274E-3</v>
      </c>
      <c r="AB670" s="20">
        <f t="shared" si="120"/>
        <v>6.0136873635122656E-3</v>
      </c>
    </row>
    <row r="671" spans="1:28">
      <c r="A671" s="15" t="s">
        <v>167</v>
      </c>
      <c r="B671" s="15" t="s">
        <v>122</v>
      </c>
      <c r="C671" s="15" t="s">
        <v>117</v>
      </c>
      <c r="D671" s="16">
        <v>0.29100529100529099</v>
      </c>
      <c r="E671" s="16">
        <v>0.42519685039370098</v>
      </c>
      <c r="F671" s="16">
        <v>0.182539682539683</v>
      </c>
      <c r="G671" s="16">
        <v>0.29921259842519699</v>
      </c>
      <c r="H671" s="16">
        <v>0.309876219330465</v>
      </c>
      <c r="I671" s="16">
        <v>0.23535251158405501</v>
      </c>
      <c r="J671" s="16">
        <v>0.71556544182916004</v>
      </c>
      <c r="K671" s="16">
        <v>0.66762327440726799</v>
      </c>
      <c r="L671" s="16">
        <v>0.808573167471064</v>
      </c>
      <c r="M671" s="16">
        <v>0.64885496183206104</v>
      </c>
      <c r="N671" s="16">
        <v>0.68055555555555602</v>
      </c>
      <c r="O671" s="16">
        <v>1</v>
      </c>
      <c r="P671" s="17">
        <f t="shared" si="110"/>
        <v>0.29053052554639863</v>
      </c>
      <c r="Q671" s="17">
        <f t="shared" si="111"/>
        <v>0.73058729456916405</v>
      </c>
      <c r="R671" s="17">
        <f t="shared" si="112"/>
        <v>0.77647017246253902</v>
      </c>
      <c r="S671" s="17">
        <f>'02_지표정의'!$C$22*P671+'02_지표정의'!$C$23*Q671+'02_지표정의'!$C$24*R671</f>
        <v>0.65863494802729217</v>
      </c>
      <c r="T671" s="5">
        <f t="shared" si="113"/>
        <v>0</v>
      </c>
      <c r="U671" s="5" t="str">
        <f t="shared" si="114"/>
        <v>보고서</v>
      </c>
      <c r="V671" s="18">
        <f t="shared" si="115"/>
        <v>664</v>
      </c>
      <c r="W671" s="5">
        <f t="shared" si="116"/>
        <v>491</v>
      </c>
      <c r="X671" s="5">
        <f t="shared" si="117"/>
        <v>345</v>
      </c>
      <c r="Y671" s="5">
        <f t="shared" si="118"/>
        <v>0</v>
      </c>
      <c r="Z671" s="19">
        <f t="shared" si="119"/>
        <v>50</v>
      </c>
      <c r="AA671" s="20">
        <f>ABS(S671-SUMPRODUCT(('05B_가정검정'!$A$5:$A$19=B671)*('05B_가정검정'!$B$5:$B$19=C671)*'05B_가정검정'!$E$5:$E$19))</f>
        <v>1.9281993318613688E-2</v>
      </c>
      <c r="AB671" s="20">
        <f t="shared" si="120"/>
        <v>3.5753325837646011E-2</v>
      </c>
    </row>
    <row r="672" spans="1:28">
      <c r="A672" s="15" t="s">
        <v>167</v>
      </c>
      <c r="B672" s="15" t="s">
        <v>122</v>
      </c>
      <c r="C672" s="15" t="s">
        <v>118</v>
      </c>
      <c r="D672" s="16">
        <v>0.35294117647058798</v>
      </c>
      <c r="E672" s="16">
        <v>0.36799999999999999</v>
      </c>
      <c r="F672" s="16">
        <v>0.10723860589812299</v>
      </c>
      <c r="G672" s="16">
        <v>0.224</v>
      </c>
      <c r="H672" s="16">
        <v>0.202835698797555</v>
      </c>
      <c r="I672" s="16">
        <v>0.30666190269144</v>
      </c>
      <c r="J672" s="16">
        <v>0.68954373480976106</v>
      </c>
      <c r="K672" s="16">
        <v>0.67034113409850904</v>
      </c>
      <c r="L672" s="16">
        <v>0.82991909613986703</v>
      </c>
      <c r="M672" s="16">
        <v>0.33074935400516797</v>
      </c>
      <c r="N672" s="16">
        <v>0.21794871794871801</v>
      </c>
      <c r="O672" s="16">
        <v>0.52631578947368396</v>
      </c>
      <c r="P672" s="17">
        <f t="shared" si="110"/>
        <v>0.26027956397628432</v>
      </c>
      <c r="Q672" s="17">
        <f t="shared" si="111"/>
        <v>0.7299346550160456</v>
      </c>
      <c r="R672" s="17">
        <f t="shared" si="112"/>
        <v>0.35833795380918998</v>
      </c>
      <c r="S672" s="17">
        <f>'02_지표정의'!$C$22*P672+'02_지표정의'!$C$23*Q672+'02_지표정의'!$C$24*R672</f>
        <v>0.50594479138569393</v>
      </c>
      <c r="T672" s="5">
        <f t="shared" si="113"/>
        <v>1</v>
      </c>
      <c r="U672" s="5" t="str">
        <f t="shared" si="114"/>
        <v>보고서</v>
      </c>
      <c r="V672" s="18">
        <f t="shared" si="115"/>
        <v>58</v>
      </c>
      <c r="W672" s="5">
        <f t="shared" si="116"/>
        <v>52</v>
      </c>
      <c r="X672" s="5">
        <f t="shared" si="117"/>
        <v>0</v>
      </c>
      <c r="Y672" s="5">
        <f t="shared" si="118"/>
        <v>51</v>
      </c>
      <c r="Z672" s="19">
        <f t="shared" si="119"/>
        <v>5</v>
      </c>
      <c r="AA672" s="20">
        <f>ABS(S672-SUMPRODUCT(('05B_가정검정'!$A$5:$A$19=B672)*('05B_가정검정'!$B$5:$B$19=C672)*'05B_가정검정'!$E$5:$E$19))</f>
        <v>8.0977144611464325E-2</v>
      </c>
      <c r="AB672" s="20">
        <f t="shared" si="120"/>
        <v>-7.5278484831989845E-2</v>
      </c>
    </row>
    <row r="673" spans="1:28">
      <c r="A673" s="15" t="s">
        <v>167</v>
      </c>
      <c r="B673" s="15" t="s">
        <v>122</v>
      </c>
      <c r="C673" s="15" t="s">
        <v>119</v>
      </c>
      <c r="D673" s="16">
        <v>0.293333333333333</v>
      </c>
      <c r="E673" s="16">
        <v>0.49180327868852503</v>
      </c>
      <c r="F673" s="16">
        <v>0.15702479338843001</v>
      </c>
      <c r="G673" s="16">
        <v>0.30327868852459</v>
      </c>
      <c r="H673" s="16">
        <v>0.27182732191818598</v>
      </c>
      <c r="I673" s="16">
        <v>0.19850190650126201</v>
      </c>
      <c r="J673" s="16">
        <v>0.71396720964726201</v>
      </c>
      <c r="K673" s="16">
        <v>0.63169834386508295</v>
      </c>
      <c r="L673" s="16">
        <v>0.78694103190409004</v>
      </c>
      <c r="M673" s="16">
        <v>0.62420382165605104</v>
      </c>
      <c r="N673" s="16">
        <v>0.69333333333333302</v>
      </c>
      <c r="O673" s="16">
        <v>1</v>
      </c>
      <c r="P673" s="17">
        <f t="shared" si="110"/>
        <v>0.28596155372572102</v>
      </c>
      <c r="Q673" s="17">
        <f t="shared" si="111"/>
        <v>0.71086886180547826</v>
      </c>
      <c r="R673" s="17">
        <f t="shared" si="112"/>
        <v>0.77251238499646135</v>
      </c>
      <c r="S673" s="17">
        <f>'02_지표정의'!$C$22*P673+'02_지표정의'!$C$23*Q673+'02_지표정의'!$C$24*R673</f>
        <v>0.64746263330637088</v>
      </c>
      <c r="T673" s="5">
        <f t="shared" si="113"/>
        <v>0</v>
      </c>
      <c r="U673" s="5" t="str">
        <f t="shared" si="114"/>
        <v>보고서</v>
      </c>
      <c r="V673" s="18">
        <f t="shared" si="115"/>
        <v>607</v>
      </c>
      <c r="W673" s="5">
        <f t="shared" si="116"/>
        <v>0</v>
      </c>
      <c r="X673" s="5">
        <f t="shared" si="117"/>
        <v>295</v>
      </c>
      <c r="Y673" s="5">
        <f t="shared" si="118"/>
        <v>454</v>
      </c>
      <c r="Z673" s="19">
        <f t="shared" si="119"/>
        <v>39</v>
      </c>
      <c r="AA673" s="20">
        <f>ABS(S673-SUMPRODUCT(('05B_가정검정'!$A$5:$A$19=B673)*('05B_가정검정'!$B$5:$B$19=C673)*'05B_가정검정'!$E$5:$E$19))</f>
        <v>1.185644540491948E-2</v>
      </c>
      <c r="AB673" s="20">
        <f t="shared" si="120"/>
        <v>1.6073766991484884E-2</v>
      </c>
    </row>
    <row r="674" spans="1:28">
      <c r="A674" s="15" t="s">
        <v>167</v>
      </c>
      <c r="B674" s="15" t="s">
        <v>123</v>
      </c>
      <c r="C674" s="15" t="s">
        <v>117</v>
      </c>
      <c r="D674" s="16">
        <v>0.27375565610859698</v>
      </c>
      <c r="E674" s="16">
        <v>0.39610389610389601</v>
      </c>
      <c r="F674" s="16">
        <v>0.14379084967320299</v>
      </c>
      <c r="G674" s="16">
        <v>0.253246753246753</v>
      </c>
      <c r="H674" s="16">
        <v>0.45678217959341699</v>
      </c>
      <c r="I674" s="16">
        <v>0.26445593188072702</v>
      </c>
      <c r="J674" s="16">
        <v>0.71823398484595002</v>
      </c>
      <c r="K674" s="16">
        <v>0.71052130478531506</v>
      </c>
      <c r="L674" s="16">
        <v>0.88689146127996898</v>
      </c>
      <c r="M674" s="16">
        <v>0.90654205607476601</v>
      </c>
      <c r="N674" s="16">
        <v>0.91666666666666696</v>
      </c>
      <c r="O674" s="16">
        <v>1</v>
      </c>
      <c r="P674" s="17">
        <f t="shared" si="110"/>
        <v>0.29802254443443221</v>
      </c>
      <c r="Q674" s="17">
        <f t="shared" si="111"/>
        <v>0.77188225030374458</v>
      </c>
      <c r="R674" s="17">
        <f t="shared" si="112"/>
        <v>0.94106957424714432</v>
      </c>
      <c r="S674" s="17">
        <f>'02_지표정의'!$C$22*P674+'02_지표정의'!$C$23*Q674+'02_지표정의'!$C$24*R674</f>
        <v>0.73632587251007198</v>
      </c>
      <c r="T674" s="5">
        <f t="shared" si="113"/>
        <v>0</v>
      </c>
      <c r="U674" s="5" t="str">
        <f t="shared" si="114"/>
        <v>보고서</v>
      </c>
      <c r="V674" s="18">
        <f t="shared" si="115"/>
        <v>918</v>
      </c>
      <c r="W674" s="5">
        <f t="shared" si="116"/>
        <v>622</v>
      </c>
      <c r="X674" s="5">
        <f t="shared" si="117"/>
        <v>593</v>
      </c>
      <c r="Y674" s="5">
        <f t="shared" si="118"/>
        <v>0</v>
      </c>
      <c r="Z674" s="19">
        <f t="shared" si="119"/>
        <v>59</v>
      </c>
      <c r="AA674" s="20">
        <f>ABS(S674-SUMPRODUCT(('05B_가정검정'!$A$5:$A$19=B674)*('05B_가정검정'!$B$5:$B$19=C674)*'05B_가정검정'!$E$5:$E$19))</f>
        <v>2.1402989733848243E-2</v>
      </c>
      <c r="AB674" s="20">
        <f t="shared" si="120"/>
        <v>2.8340420698828805E-2</v>
      </c>
    </row>
    <row r="675" spans="1:28">
      <c r="A675" s="15" t="s">
        <v>167</v>
      </c>
      <c r="B675" s="15" t="s">
        <v>123</v>
      </c>
      <c r="C675" s="15" t="s">
        <v>118</v>
      </c>
      <c r="D675" s="16">
        <v>0.24969696969697</v>
      </c>
      <c r="E675" s="16">
        <v>0.261072261072261</v>
      </c>
      <c r="F675" s="16">
        <v>7.4941451990632305E-2</v>
      </c>
      <c r="G675" s="16">
        <v>0.17249417249417301</v>
      </c>
      <c r="H675" s="16">
        <v>0.243441827215156</v>
      </c>
      <c r="I675" s="16">
        <v>0.25147847824591202</v>
      </c>
      <c r="J675" s="16">
        <v>0.70837076874029103</v>
      </c>
      <c r="K675" s="16">
        <v>0.68700578400377499</v>
      </c>
      <c r="L675" s="16">
        <v>0.84767537485681699</v>
      </c>
      <c r="M675" s="16">
        <v>0.25064599483204097</v>
      </c>
      <c r="N675" s="16">
        <v>0.237179487179487</v>
      </c>
      <c r="O675" s="16">
        <v>0.52631578947368396</v>
      </c>
      <c r="P675" s="17">
        <f t="shared" si="110"/>
        <v>0.20885419345251741</v>
      </c>
      <c r="Q675" s="17">
        <f t="shared" si="111"/>
        <v>0.747683975866961</v>
      </c>
      <c r="R675" s="17">
        <f t="shared" si="112"/>
        <v>0.3380470904950707</v>
      </c>
      <c r="S675" s="17">
        <f>'02_지표정의'!$C$22*P675+'02_지표정의'!$C$23*Q675+'02_지표정의'!$C$24*R675</f>
        <v>0.49654510950391068</v>
      </c>
      <c r="T675" s="5">
        <f t="shared" si="113"/>
        <v>0</v>
      </c>
      <c r="U675" s="5" t="str">
        <f t="shared" si="114"/>
        <v>보고서</v>
      </c>
      <c r="V675" s="18">
        <f t="shared" si="115"/>
        <v>40</v>
      </c>
      <c r="W675" s="5">
        <f t="shared" si="116"/>
        <v>34</v>
      </c>
      <c r="X675" s="5">
        <f t="shared" si="117"/>
        <v>0</v>
      </c>
      <c r="Y675" s="5">
        <f t="shared" si="118"/>
        <v>35</v>
      </c>
      <c r="Z675" s="19">
        <f t="shared" si="119"/>
        <v>6</v>
      </c>
      <c r="AA675" s="20">
        <f>ABS(S675-SUMPRODUCT(('05B_가정검정'!$A$5:$A$19=B675)*('05B_가정검정'!$B$5:$B$19=C675)*'05B_가정검정'!$E$5:$E$19))</f>
        <v>7.875371737505904E-2</v>
      </c>
      <c r="AB675" s="20">
        <f t="shared" si="120"/>
        <v>-6.3326498420580413E-2</v>
      </c>
    </row>
    <row r="676" spans="1:28">
      <c r="A676" s="15" t="s">
        <v>167</v>
      </c>
      <c r="B676" s="15" t="s">
        <v>123</v>
      </c>
      <c r="C676" s="15" t="s">
        <v>119</v>
      </c>
      <c r="D676" s="16">
        <v>0.293849658314351</v>
      </c>
      <c r="E676" s="16">
        <v>0.44966442953020103</v>
      </c>
      <c r="F676" s="16">
        <v>0.17567567567567599</v>
      </c>
      <c r="G676" s="16">
        <v>0.30872483221476499</v>
      </c>
      <c r="H676" s="16">
        <v>0.43202397987887903</v>
      </c>
      <c r="I676" s="16">
        <v>0.27138647672280097</v>
      </c>
      <c r="J676" s="16">
        <v>0.71528315786689001</v>
      </c>
      <c r="K676" s="16">
        <v>0.72584092540214795</v>
      </c>
      <c r="L676" s="16">
        <v>0.898223649308037</v>
      </c>
      <c r="M676" s="16">
        <v>0.61783439490445902</v>
      </c>
      <c r="N676" s="16">
        <v>0.73333333333333295</v>
      </c>
      <c r="O676" s="16">
        <v>1</v>
      </c>
      <c r="P676" s="17">
        <f t="shared" si="110"/>
        <v>0.32188750872277883</v>
      </c>
      <c r="Q676" s="17">
        <f t="shared" si="111"/>
        <v>0.77978257752569169</v>
      </c>
      <c r="R676" s="17">
        <f t="shared" si="112"/>
        <v>0.78372257607926399</v>
      </c>
      <c r="S676" s="17">
        <f>'02_지표정의'!$C$22*P676+'02_지표정의'!$C$23*Q676+'02_지표정의'!$C$24*R676</f>
        <v>0.68958256325885947</v>
      </c>
      <c r="T676" s="5">
        <f t="shared" si="113"/>
        <v>1</v>
      </c>
      <c r="U676" s="5" t="str">
        <f t="shared" si="114"/>
        <v>보고서</v>
      </c>
      <c r="V676" s="18">
        <f t="shared" si="115"/>
        <v>785</v>
      </c>
      <c r="W676" s="5">
        <f t="shared" si="116"/>
        <v>0</v>
      </c>
      <c r="X676" s="5">
        <f t="shared" si="117"/>
        <v>461</v>
      </c>
      <c r="Y676" s="5">
        <f t="shared" si="118"/>
        <v>567</v>
      </c>
      <c r="Z676" s="19">
        <f t="shared" si="119"/>
        <v>38</v>
      </c>
      <c r="AA676" s="20">
        <f>ABS(S676-SUMPRODUCT(('05B_가정검정'!$A$5:$A$19=B676)*('05B_가정검정'!$B$5:$B$19=C676)*'05B_가정검정'!$E$5:$E$19))</f>
        <v>3.9527659346321187E-3</v>
      </c>
      <c r="AB676" s="20">
        <f t="shared" si="120"/>
        <v>7.1638302138576915E-3</v>
      </c>
    </row>
    <row r="677" spans="1:28">
      <c r="A677" s="15" t="s">
        <v>168</v>
      </c>
      <c r="B677" s="15" t="s">
        <v>116</v>
      </c>
      <c r="C677" s="15" t="s">
        <v>117</v>
      </c>
      <c r="D677" s="16">
        <v>0.20824742268041199</v>
      </c>
      <c r="E677" s="16">
        <v>0.29885057471264398</v>
      </c>
      <c r="F677" s="16">
        <v>0.10038610038610001</v>
      </c>
      <c r="G677" s="16">
        <v>0.22222222222222199</v>
      </c>
      <c r="H677" s="16">
        <v>0.28721522464325</v>
      </c>
      <c r="I677" s="16">
        <v>0.111073759854028</v>
      </c>
      <c r="J677" s="16">
        <v>0.68315659575284204</v>
      </c>
      <c r="K677" s="16">
        <v>0.56305958842391401</v>
      </c>
      <c r="L677" s="16">
        <v>0.81404545321445398</v>
      </c>
      <c r="M677" s="16">
        <v>0.329787234042553</v>
      </c>
      <c r="N677" s="16">
        <v>0.115853658536585</v>
      </c>
      <c r="O677" s="16">
        <v>1</v>
      </c>
      <c r="P677" s="17">
        <f t="shared" si="110"/>
        <v>0.20466588408310929</v>
      </c>
      <c r="Q677" s="17">
        <f t="shared" si="111"/>
        <v>0.68675387913040342</v>
      </c>
      <c r="R677" s="17">
        <f t="shared" si="112"/>
        <v>0.48188029752637934</v>
      </c>
      <c r="S677" s="17">
        <f>'02_지표정의'!$C$22*P677+'02_지표정의'!$C$23*Q677+'02_지표정의'!$C$24*R677</f>
        <v>0.51863052655953612</v>
      </c>
      <c r="T677" s="5">
        <f t="shared" si="113"/>
        <v>0</v>
      </c>
      <c r="U677" s="5" t="str">
        <f t="shared" si="114"/>
        <v>보고서</v>
      </c>
      <c r="V677" s="18">
        <f t="shared" si="115"/>
        <v>89</v>
      </c>
      <c r="W677" s="5">
        <f t="shared" si="116"/>
        <v>80</v>
      </c>
      <c r="X677" s="5">
        <f t="shared" si="117"/>
        <v>17</v>
      </c>
      <c r="Y677" s="5">
        <f t="shared" si="118"/>
        <v>0</v>
      </c>
      <c r="Z677" s="19">
        <f t="shared" si="119"/>
        <v>7</v>
      </c>
      <c r="AA677" s="20">
        <f>ABS(S677-SUMPRODUCT(('05B_가정검정'!$A$5:$A$19=B677)*('05B_가정검정'!$B$5:$B$19=C677)*'05B_가정검정'!$E$5:$E$19))</f>
        <v>3.8773178425431154E-2</v>
      </c>
      <c r="AB677" s="20">
        <f t="shared" si="120"/>
        <v>-3.392063885308727E-2</v>
      </c>
    </row>
    <row r="678" spans="1:28">
      <c r="A678" s="15" t="s">
        <v>168</v>
      </c>
      <c r="B678" s="15" t="s">
        <v>116</v>
      </c>
      <c r="C678" s="15" t="s">
        <v>118</v>
      </c>
      <c r="D678" s="16">
        <v>0.24471635150166901</v>
      </c>
      <c r="E678" s="16">
        <v>0.28108108108108099</v>
      </c>
      <c r="F678" s="16">
        <v>9.2391304347826095E-2</v>
      </c>
      <c r="G678" s="16">
        <v>0.21081081081081099</v>
      </c>
      <c r="H678" s="16">
        <v>0.26845364302285901</v>
      </c>
      <c r="I678" s="16">
        <v>0.12719330928596501</v>
      </c>
      <c r="J678" s="16">
        <v>0.70830079702831805</v>
      </c>
      <c r="K678" s="16">
        <v>0.60726070888692996</v>
      </c>
      <c r="L678" s="16">
        <v>0.82691813747550202</v>
      </c>
      <c r="M678" s="16">
        <v>0.50354609929077998</v>
      </c>
      <c r="N678" s="16">
        <v>0.17073170731707299</v>
      </c>
      <c r="O678" s="16">
        <v>1</v>
      </c>
      <c r="P678" s="17">
        <f t="shared" si="110"/>
        <v>0.20410775000836848</v>
      </c>
      <c r="Q678" s="17">
        <f t="shared" si="111"/>
        <v>0.71415988113025008</v>
      </c>
      <c r="R678" s="17">
        <f t="shared" si="112"/>
        <v>0.55809260220261769</v>
      </c>
      <c r="S678" s="17">
        <f>'02_지표정의'!$C$22*P678+'02_지표정의'!$C$23*Q678+'02_지표정의'!$C$24*R678</f>
        <v>0.55752590728120244</v>
      </c>
      <c r="T678" s="5">
        <f t="shared" si="113"/>
        <v>0</v>
      </c>
      <c r="U678" s="5" t="str">
        <f t="shared" si="114"/>
        <v>보고서</v>
      </c>
      <c r="V678" s="18">
        <f t="shared" si="115"/>
        <v>240</v>
      </c>
      <c r="W678" s="5">
        <f t="shared" si="116"/>
        <v>195</v>
      </c>
      <c r="X678" s="5">
        <f t="shared" si="117"/>
        <v>0</v>
      </c>
      <c r="Y678" s="5">
        <f t="shared" si="118"/>
        <v>199</v>
      </c>
      <c r="Z678" s="19">
        <f t="shared" si="119"/>
        <v>51</v>
      </c>
      <c r="AA678" s="20">
        <f>ABS(S678-SUMPRODUCT(('05B_가정검정'!$A$5:$A$19=B678)*('05B_가정검정'!$B$5:$B$19=C678)*'05B_가정검정'!$E$5:$E$19))</f>
        <v>2.6233485579480798E-2</v>
      </c>
      <c r="AB678" s="20">
        <f t="shared" si="120"/>
        <v>2.9976874902616135E-2</v>
      </c>
    </row>
    <row r="679" spans="1:28">
      <c r="A679" s="15" t="s">
        <v>168</v>
      </c>
      <c r="B679" s="15" t="s">
        <v>116</v>
      </c>
      <c r="C679" s="15" t="s">
        <v>119</v>
      </c>
      <c r="D679" s="16">
        <v>0.24842105263157899</v>
      </c>
      <c r="E679" s="16">
        <v>0.484615384615385</v>
      </c>
      <c r="F679" s="16">
        <v>0.224806201550388</v>
      </c>
      <c r="G679" s="16">
        <v>0.37692307692307703</v>
      </c>
      <c r="H679" s="16">
        <v>0.38304653882086098</v>
      </c>
      <c r="I679" s="16">
        <v>0.26764872282358199</v>
      </c>
      <c r="J679" s="16">
        <v>0.703443376349983</v>
      </c>
      <c r="K679" s="16">
        <v>0.62153441348767602</v>
      </c>
      <c r="L679" s="16">
        <v>0.82534155633734996</v>
      </c>
      <c r="M679" s="16">
        <v>0.53546099290780103</v>
      </c>
      <c r="N679" s="16">
        <v>0.35975609756097598</v>
      </c>
      <c r="O679" s="16">
        <v>1</v>
      </c>
      <c r="P679" s="17">
        <f t="shared" si="110"/>
        <v>0.33091016289414538</v>
      </c>
      <c r="Q679" s="17">
        <f t="shared" si="111"/>
        <v>0.71677311539166955</v>
      </c>
      <c r="R679" s="17">
        <f t="shared" si="112"/>
        <v>0.63173903015625898</v>
      </c>
      <c r="S679" s="17">
        <f>'02_지표정의'!$C$22*P679+'02_지표정의'!$C$23*Q679+'02_지표정의'!$C$24*R679</f>
        <v>0.60983859505977112</v>
      </c>
      <c r="T679" s="5">
        <f t="shared" si="113"/>
        <v>0</v>
      </c>
      <c r="U679" s="5" t="str">
        <f t="shared" si="114"/>
        <v>보고서</v>
      </c>
      <c r="V679" s="18">
        <f t="shared" si="115"/>
        <v>429</v>
      </c>
      <c r="W679" s="5">
        <f t="shared" si="116"/>
        <v>0</v>
      </c>
      <c r="X679" s="5">
        <f t="shared" si="117"/>
        <v>182</v>
      </c>
      <c r="Y679" s="5">
        <f t="shared" si="118"/>
        <v>327</v>
      </c>
      <c r="Z679" s="19">
        <f t="shared" si="119"/>
        <v>57</v>
      </c>
      <c r="AA679" s="20">
        <f>ABS(S679-SUMPRODUCT(('05B_가정검정'!$A$5:$A$19=B679)*('05B_가정검정'!$B$5:$B$19=C679)*'05B_가정검정'!$E$5:$E$19))</f>
        <v>5.681507831698851E-2</v>
      </c>
      <c r="AB679" s="20">
        <f t="shared" si="120"/>
        <v>5.3386111383591062E-2</v>
      </c>
    </row>
    <row r="680" spans="1:28">
      <c r="A680" s="15" t="s">
        <v>168</v>
      </c>
      <c r="B680" s="15" t="s">
        <v>120</v>
      </c>
      <c r="C680" s="15" t="s">
        <v>117</v>
      </c>
      <c r="D680" s="16">
        <v>0.18911174785100299</v>
      </c>
      <c r="E680" s="16">
        <v>0.29104477611940299</v>
      </c>
      <c r="F680" s="16">
        <v>0.105263157894737</v>
      </c>
      <c r="G680" s="16">
        <v>0.20895522388059701</v>
      </c>
      <c r="H680" s="16">
        <v>0.286992581425284</v>
      </c>
      <c r="I680" s="16">
        <v>0.105863790576363</v>
      </c>
      <c r="J680" s="16">
        <v>0.69212867559586799</v>
      </c>
      <c r="K680" s="16">
        <v>0.60291297774866204</v>
      </c>
      <c r="L680" s="16">
        <v>0.82115743919839701</v>
      </c>
      <c r="M680" s="16">
        <v>0.64583333333333304</v>
      </c>
      <c r="N680" s="16">
        <v>0.58333333333333304</v>
      </c>
      <c r="O680" s="16">
        <v>1</v>
      </c>
      <c r="P680" s="17">
        <f t="shared" si="110"/>
        <v>0.19787187962456451</v>
      </c>
      <c r="Q680" s="17">
        <f t="shared" si="111"/>
        <v>0.70539969751430898</v>
      </c>
      <c r="R680" s="17">
        <f t="shared" si="112"/>
        <v>0.74305555555555536</v>
      </c>
      <c r="S680" s="17">
        <f>'02_지표정의'!$C$22*P680+'02_지표정의'!$C$23*Q680+'02_지표정의'!$C$24*R680</f>
        <v>0.61707368425079634</v>
      </c>
      <c r="T680" s="5">
        <f t="shared" si="113"/>
        <v>0</v>
      </c>
      <c r="U680" s="5" t="str">
        <f t="shared" si="114"/>
        <v>보고서</v>
      </c>
      <c r="V680" s="18">
        <f t="shared" si="115"/>
        <v>475</v>
      </c>
      <c r="W680" s="5">
        <f t="shared" si="116"/>
        <v>386</v>
      </c>
      <c r="X680" s="5">
        <f t="shared" si="117"/>
        <v>208</v>
      </c>
      <c r="Y680" s="5">
        <f t="shared" si="118"/>
        <v>0</v>
      </c>
      <c r="Z680" s="19">
        <f t="shared" si="119"/>
        <v>26</v>
      </c>
      <c r="AA680" s="20">
        <f>ABS(S680-SUMPRODUCT(('05B_가정검정'!$A$5:$A$19=B680)*('05B_가정검정'!$B$5:$B$19=C680)*'05B_가정검정'!$E$5:$E$19))</f>
        <v>1.0975275806324736E-2</v>
      </c>
      <c r="AB680" s="20">
        <f t="shared" si="120"/>
        <v>-1.42290191739608E-2</v>
      </c>
    </row>
    <row r="681" spans="1:28">
      <c r="A681" s="15" t="s">
        <v>168</v>
      </c>
      <c r="B681" s="15" t="s">
        <v>120</v>
      </c>
      <c r="C681" s="15" t="s">
        <v>118</v>
      </c>
      <c r="D681" s="16">
        <v>0.22131147540983601</v>
      </c>
      <c r="E681" s="16">
        <v>0.28647214854111402</v>
      </c>
      <c r="F681" s="16">
        <v>9.6000000000000002E-2</v>
      </c>
      <c r="G681" s="16">
        <v>0.21750663129973499</v>
      </c>
      <c r="H681" s="16">
        <v>0.22542327470127199</v>
      </c>
      <c r="I681" s="16">
        <v>9.3604309147819198E-2</v>
      </c>
      <c r="J681" s="16">
        <v>0.68568686283639901</v>
      </c>
      <c r="K681" s="16">
        <v>0.64982890209847</v>
      </c>
      <c r="L681" s="16">
        <v>0.83941002556585598</v>
      </c>
      <c r="M681" s="16">
        <v>0.60849056603773599</v>
      </c>
      <c r="N681" s="16">
        <v>0.67346938775510201</v>
      </c>
      <c r="O681" s="16">
        <v>1</v>
      </c>
      <c r="P681" s="17">
        <f t="shared" si="110"/>
        <v>0.19005297318329603</v>
      </c>
      <c r="Q681" s="17">
        <f t="shared" si="111"/>
        <v>0.72497526350024166</v>
      </c>
      <c r="R681" s="17">
        <f t="shared" si="112"/>
        <v>0.76065331793094604</v>
      </c>
      <c r="S681" s="17">
        <f>'02_지표정의'!$C$22*P681+'02_지표정의'!$C$23*Q681+'02_지표정의'!$C$24*R681</f>
        <v>0.6304781244875991</v>
      </c>
      <c r="T681" s="5">
        <f t="shared" si="113"/>
        <v>0</v>
      </c>
      <c r="U681" s="5" t="str">
        <f t="shared" si="114"/>
        <v>보고서</v>
      </c>
      <c r="V681" s="18">
        <f t="shared" si="115"/>
        <v>527</v>
      </c>
      <c r="W681" s="5">
        <f t="shared" si="116"/>
        <v>423</v>
      </c>
      <c r="X681" s="5">
        <f t="shared" si="117"/>
        <v>0</v>
      </c>
      <c r="Y681" s="5">
        <f t="shared" si="118"/>
        <v>398</v>
      </c>
      <c r="Z681" s="19">
        <f t="shared" si="119"/>
        <v>58</v>
      </c>
      <c r="AA681" s="20">
        <f>ABS(S681-SUMPRODUCT(('05B_가정검정'!$A$5:$A$19=B681)*('05B_가정검정'!$B$5:$B$19=C681)*'05B_가정검정'!$E$5:$E$19))</f>
        <v>3.9649275905971115E-2</v>
      </c>
      <c r="AB681" s="20">
        <f t="shared" si="120"/>
        <v>5.55873485254883E-2</v>
      </c>
    </row>
    <row r="682" spans="1:28">
      <c r="A682" s="15" t="s">
        <v>168</v>
      </c>
      <c r="B682" s="15" t="s">
        <v>120</v>
      </c>
      <c r="C682" s="15" t="s">
        <v>119</v>
      </c>
      <c r="D682" s="16">
        <v>0.22200584225900699</v>
      </c>
      <c r="E682" s="16">
        <v>0.41947565543071202</v>
      </c>
      <c r="F682" s="16">
        <v>0.19622641509434</v>
      </c>
      <c r="G682" s="16">
        <v>0.31460674157303398</v>
      </c>
      <c r="H682" s="16">
        <v>0.338481657042982</v>
      </c>
      <c r="I682" s="16">
        <v>0.26230396401276201</v>
      </c>
      <c r="J682" s="16">
        <v>0.71793095366083803</v>
      </c>
      <c r="K682" s="16">
        <v>0.67813406025980805</v>
      </c>
      <c r="L682" s="16">
        <v>0.85552370267622102</v>
      </c>
      <c r="M682" s="16">
        <v>0.71005917159763299</v>
      </c>
      <c r="N682" s="16">
        <v>0.64705882352941202</v>
      </c>
      <c r="O682" s="16">
        <v>1</v>
      </c>
      <c r="P682" s="17">
        <f t="shared" si="110"/>
        <v>0.29218337923547283</v>
      </c>
      <c r="Q682" s="17">
        <f t="shared" si="111"/>
        <v>0.75052957219895566</v>
      </c>
      <c r="R682" s="17">
        <f t="shared" si="112"/>
        <v>0.78570599837568167</v>
      </c>
      <c r="S682" s="17">
        <f>'02_지표정의'!$C$22*P682+'02_지표정의'!$C$23*Q682+'02_지표정의'!$C$24*R682</f>
        <v>0.67117208276811313</v>
      </c>
      <c r="T682" s="5">
        <f t="shared" si="113"/>
        <v>0</v>
      </c>
      <c r="U682" s="5" t="str">
        <f t="shared" si="114"/>
        <v>보고서</v>
      </c>
      <c r="V682" s="18">
        <f t="shared" si="115"/>
        <v>722</v>
      </c>
      <c r="W682" s="5">
        <f t="shared" si="116"/>
        <v>0</v>
      </c>
      <c r="X682" s="5">
        <f t="shared" si="117"/>
        <v>401</v>
      </c>
      <c r="Y682" s="5">
        <f t="shared" si="118"/>
        <v>528</v>
      </c>
      <c r="Z682" s="19">
        <f t="shared" si="119"/>
        <v>39</v>
      </c>
      <c r="AA682" s="20">
        <f>ABS(S682-SUMPRODUCT(('05B_가정검정'!$A$5:$A$19=B682)*('05B_가정검정'!$B$5:$B$19=C682)*'05B_가정검정'!$E$5:$E$19))</f>
        <v>7.4947662867268505E-3</v>
      </c>
      <c r="AB682" s="20">
        <f t="shared" si="120"/>
        <v>1.2749075257297515E-2</v>
      </c>
    </row>
    <row r="683" spans="1:28">
      <c r="A683" s="15" t="s">
        <v>168</v>
      </c>
      <c r="B683" s="15" t="s">
        <v>121</v>
      </c>
      <c r="C683" s="15" t="s">
        <v>117</v>
      </c>
      <c r="D683" s="16">
        <v>0.17783191230207099</v>
      </c>
      <c r="E683" s="16">
        <v>0.334975369458128</v>
      </c>
      <c r="F683" s="16">
        <v>0.109452736318408</v>
      </c>
      <c r="G683" s="16">
        <v>0.266009852216749</v>
      </c>
      <c r="H683" s="16">
        <v>0.27570080146804898</v>
      </c>
      <c r="I683" s="16">
        <v>8.4310923361938905E-2</v>
      </c>
      <c r="J683" s="16">
        <v>0.73501838381343498</v>
      </c>
      <c r="K683" s="16">
        <v>0.66449864961776695</v>
      </c>
      <c r="L683" s="16">
        <v>0.848238288221832</v>
      </c>
      <c r="M683" s="16">
        <v>0.90654205607476601</v>
      </c>
      <c r="N683" s="16">
        <v>0.91666666666666696</v>
      </c>
      <c r="O683" s="16">
        <v>1</v>
      </c>
      <c r="P683" s="17">
        <f t="shared" si="110"/>
        <v>0.2080469325208906</v>
      </c>
      <c r="Q683" s="17">
        <f t="shared" si="111"/>
        <v>0.74925177388434461</v>
      </c>
      <c r="R683" s="17">
        <f t="shared" si="112"/>
        <v>0.94106957424714432</v>
      </c>
      <c r="S683" s="17">
        <f>'02_지표정의'!$C$22*P683+'02_지표정의'!$C$23*Q683+'02_지표정의'!$C$24*R683</f>
        <v>0.70814703573863369</v>
      </c>
      <c r="T683" s="5">
        <f t="shared" si="113"/>
        <v>1</v>
      </c>
      <c r="U683" s="5" t="str">
        <f t="shared" si="114"/>
        <v>보고서</v>
      </c>
      <c r="V683" s="18">
        <f t="shared" si="115"/>
        <v>839</v>
      </c>
      <c r="W683" s="5">
        <f t="shared" si="116"/>
        <v>561</v>
      </c>
      <c r="X683" s="5">
        <f t="shared" si="117"/>
        <v>514</v>
      </c>
      <c r="Y683" s="5">
        <f t="shared" si="118"/>
        <v>0</v>
      </c>
      <c r="Z683" s="19">
        <f t="shared" si="119"/>
        <v>18</v>
      </c>
      <c r="AA683" s="20">
        <f>ABS(S683-SUMPRODUCT(('05B_가정검정'!$A$5:$A$19=B683)*('05B_가정검정'!$B$5:$B$19=C683)*'05B_가정검정'!$E$5:$E$19))</f>
        <v>2.1285035643247463E-2</v>
      </c>
      <c r="AB683" s="20">
        <f t="shared" si="120"/>
        <v>-9.5047573342472713E-3</v>
      </c>
    </row>
    <row r="684" spans="1:28">
      <c r="A684" s="15" t="s">
        <v>168</v>
      </c>
      <c r="B684" s="15" t="s">
        <v>121</v>
      </c>
      <c r="C684" s="15" t="s">
        <v>118</v>
      </c>
      <c r="D684" s="16">
        <v>0.18933333333333299</v>
      </c>
      <c r="E684" s="16">
        <v>0.230769230769231</v>
      </c>
      <c r="F684" s="16">
        <v>8.3870967741935504E-2</v>
      </c>
      <c r="G684" s="16">
        <v>0.19871794871794901</v>
      </c>
      <c r="H684" s="16">
        <v>0.20068375565368199</v>
      </c>
      <c r="I684" s="16">
        <v>8.5410746366369E-2</v>
      </c>
      <c r="J684" s="16">
        <v>0.71413162606810099</v>
      </c>
      <c r="K684" s="16">
        <v>0.71832269698568696</v>
      </c>
      <c r="L684" s="16">
        <v>0.86587112689650503</v>
      </c>
      <c r="M684" s="16">
        <v>0.45754716981132099</v>
      </c>
      <c r="N684" s="16">
        <v>0.56122448979591799</v>
      </c>
      <c r="O684" s="16">
        <v>1</v>
      </c>
      <c r="P684" s="17">
        <f t="shared" si="110"/>
        <v>0.16479766376374991</v>
      </c>
      <c r="Q684" s="17">
        <f t="shared" si="111"/>
        <v>0.7661084833167644</v>
      </c>
      <c r="R684" s="17">
        <f t="shared" si="112"/>
        <v>0.67292388653574642</v>
      </c>
      <c r="S684" s="17">
        <f>'02_지표정의'!$C$22*P684+'02_지표정의'!$C$23*Q684+'02_지표정의'!$C$24*R684</f>
        <v>0.61323171053280523</v>
      </c>
      <c r="T684" s="5">
        <f t="shared" si="113"/>
        <v>0</v>
      </c>
      <c r="U684" s="5" t="str">
        <f t="shared" si="114"/>
        <v>보고서</v>
      </c>
      <c r="V684" s="18">
        <f t="shared" si="115"/>
        <v>453</v>
      </c>
      <c r="W684" s="5">
        <f t="shared" si="116"/>
        <v>369</v>
      </c>
      <c r="X684" s="5">
        <f t="shared" si="117"/>
        <v>0</v>
      </c>
      <c r="Y684" s="5">
        <f t="shared" si="118"/>
        <v>344</v>
      </c>
      <c r="Z684" s="19">
        <f t="shared" si="119"/>
        <v>44</v>
      </c>
      <c r="AA684" s="20">
        <f>ABS(S684-SUMPRODUCT(('05B_가정검정'!$A$5:$A$19=B684)*('05B_가정검정'!$B$5:$B$19=C684)*'05B_가정검정'!$E$5:$E$19))</f>
        <v>1.4652220365836799E-2</v>
      </c>
      <c r="AB684" s="20">
        <f t="shared" si="120"/>
        <v>3.3832636005991956E-2</v>
      </c>
    </row>
    <row r="685" spans="1:28">
      <c r="A685" s="15" t="s">
        <v>168</v>
      </c>
      <c r="B685" s="15" t="s">
        <v>121</v>
      </c>
      <c r="C685" s="15" t="s">
        <v>119</v>
      </c>
      <c r="D685" s="16">
        <v>0.229712858926342</v>
      </c>
      <c r="E685" s="16">
        <v>0.366336633663366</v>
      </c>
      <c r="F685" s="16">
        <v>0.15</v>
      </c>
      <c r="G685" s="16">
        <v>0.29702970297029702</v>
      </c>
      <c r="H685" s="16">
        <v>0.27616702335191901</v>
      </c>
      <c r="I685" s="16">
        <v>0.25102260987328401</v>
      </c>
      <c r="J685" s="16">
        <v>0.760910167909846</v>
      </c>
      <c r="K685" s="16">
        <v>0.73704130544108204</v>
      </c>
      <c r="L685" s="16">
        <v>0.87441848890475904</v>
      </c>
      <c r="M685" s="16">
        <v>0.57396449704142005</v>
      </c>
      <c r="N685" s="16">
        <v>0.53921568627451</v>
      </c>
      <c r="O685" s="16">
        <v>1</v>
      </c>
      <c r="P685" s="17">
        <f t="shared" si="110"/>
        <v>0.26171147146420132</v>
      </c>
      <c r="Q685" s="17">
        <f t="shared" si="111"/>
        <v>0.79078998741856232</v>
      </c>
      <c r="R685" s="17">
        <f t="shared" si="112"/>
        <v>0.70439339443864346</v>
      </c>
      <c r="S685" s="17">
        <f>'02_지표정의'!$C$22*P685+'02_지표정의'!$C$23*Q685+'02_지표정의'!$C$24*R685</f>
        <v>0.65473547668471854</v>
      </c>
      <c r="T685" s="5">
        <f t="shared" si="113"/>
        <v>0</v>
      </c>
      <c r="U685" s="5" t="str">
        <f t="shared" si="114"/>
        <v>보고서</v>
      </c>
      <c r="V685" s="18">
        <f t="shared" si="115"/>
        <v>644</v>
      </c>
      <c r="W685" s="5">
        <f t="shared" si="116"/>
        <v>0</v>
      </c>
      <c r="X685" s="5">
        <f t="shared" si="117"/>
        <v>326</v>
      </c>
      <c r="Y685" s="5">
        <f t="shared" si="118"/>
        <v>478</v>
      </c>
      <c r="Z685" s="19">
        <f t="shared" si="119"/>
        <v>10</v>
      </c>
      <c r="AA685" s="20">
        <f>ABS(S685-SUMPRODUCT(('05B_가정검정'!$A$5:$A$19=B685)*('05B_가정검정'!$B$5:$B$19=C685)*'05B_가정검정'!$E$5:$E$19))</f>
        <v>3.7584366111135137E-2</v>
      </c>
      <c r="AB685" s="20">
        <f t="shared" si="120"/>
        <v>-3.3501498734892499E-2</v>
      </c>
    </row>
    <row r="686" spans="1:28">
      <c r="A686" s="15" t="s">
        <v>168</v>
      </c>
      <c r="B686" s="15" t="s">
        <v>122</v>
      </c>
      <c r="C686" s="15" t="s">
        <v>117</v>
      </c>
      <c r="D686" s="16">
        <v>0.23087248322147699</v>
      </c>
      <c r="E686" s="16">
        <v>0.376811594202899</v>
      </c>
      <c r="F686" s="16">
        <v>9.7560975609756101E-2</v>
      </c>
      <c r="G686" s="16">
        <v>0.25120772946859898</v>
      </c>
      <c r="H686" s="16">
        <v>0.25821451729280598</v>
      </c>
      <c r="I686" s="16">
        <v>0.17488617761154199</v>
      </c>
      <c r="J686" s="16">
        <v>0.71926829960782501</v>
      </c>
      <c r="K686" s="16">
        <v>0.62133603988619202</v>
      </c>
      <c r="L686" s="16">
        <v>0.79908454607599899</v>
      </c>
      <c r="M686" s="16">
        <v>0.747899159663866</v>
      </c>
      <c r="N686" s="16">
        <v>0.74242424242424199</v>
      </c>
      <c r="O686" s="16">
        <v>1</v>
      </c>
      <c r="P686" s="17">
        <f t="shared" si="110"/>
        <v>0.23159224623451322</v>
      </c>
      <c r="Q686" s="17">
        <f t="shared" si="111"/>
        <v>0.71322962852333871</v>
      </c>
      <c r="R686" s="17">
        <f t="shared" si="112"/>
        <v>0.83010780069603596</v>
      </c>
      <c r="S686" s="17">
        <f>'02_지표정의'!$C$22*P686+'02_지표정의'!$C$23*Q686+'02_지표정의'!$C$24*R686</f>
        <v>0.6578095123260177</v>
      </c>
      <c r="T686" s="5">
        <f t="shared" si="113"/>
        <v>0</v>
      </c>
      <c r="U686" s="5" t="str">
        <f t="shared" si="114"/>
        <v>보고서</v>
      </c>
      <c r="V686" s="18">
        <f t="shared" si="115"/>
        <v>660</v>
      </c>
      <c r="W686" s="5">
        <f t="shared" si="116"/>
        <v>490</v>
      </c>
      <c r="X686" s="5">
        <f t="shared" si="117"/>
        <v>341</v>
      </c>
      <c r="Y686" s="5">
        <f t="shared" si="118"/>
        <v>0</v>
      </c>
      <c r="Z686" s="19">
        <f t="shared" si="119"/>
        <v>49</v>
      </c>
      <c r="AA686" s="20">
        <f>ABS(S686-SUMPRODUCT(('05B_가정검정'!$A$5:$A$19=B686)*('05B_가정검정'!$B$5:$B$19=C686)*'05B_가정검정'!$E$5:$E$19))</f>
        <v>1.845655761733922E-2</v>
      </c>
      <c r="AB686" s="20">
        <f t="shared" si="120"/>
        <v>3.4927890136371542E-2</v>
      </c>
    </row>
    <row r="687" spans="1:28">
      <c r="A687" s="15" t="s">
        <v>168</v>
      </c>
      <c r="B687" s="15" t="s">
        <v>122</v>
      </c>
      <c r="C687" s="15" t="s">
        <v>118</v>
      </c>
      <c r="D687" s="16">
        <v>0.26409495548961398</v>
      </c>
      <c r="E687" s="16">
        <v>0.253164556962025</v>
      </c>
      <c r="F687" s="16">
        <v>7.0063694267515894E-2</v>
      </c>
      <c r="G687" s="16">
        <v>0.19620253164557</v>
      </c>
      <c r="H687" s="16">
        <v>0.20871138613908499</v>
      </c>
      <c r="I687" s="16">
        <v>0.162817450025666</v>
      </c>
      <c r="J687" s="16">
        <v>0.72771899212232505</v>
      </c>
      <c r="K687" s="16">
        <v>0.670034358062917</v>
      </c>
      <c r="L687" s="16">
        <v>0.81134233837921199</v>
      </c>
      <c r="M687" s="16">
        <v>0.48584905660377398</v>
      </c>
      <c r="N687" s="16">
        <v>0.44897959183673503</v>
      </c>
      <c r="O687" s="16">
        <v>1</v>
      </c>
      <c r="P687" s="17">
        <f t="shared" si="110"/>
        <v>0.19250909575491268</v>
      </c>
      <c r="Q687" s="17">
        <f t="shared" si="111"/>
        <v>0.73636522952148464</v>
      </c>
      <c r="R687" s="17">
        <f t="shared" si="112"/>
        <v>0.64494288281350298</v>
      </c>
      <c r="S687" s="17">
        <f>'02_지표정의'!$C$22*P687+'02_지표정의'!$C$23*Q687+'02_지표정의'!$C$24*R687</f>
        <v>0.59559618142037674</v>
      </c>
      <c r="T687" s="5">
        <f t="shared" si="113"/>
        <v>1</v>
      </c>
      <c r="U687" s="5" t="str">
        <f t="shared" si="114"/>
        <v>보고서</v>
      </c>
      <c r="V687" s="18">
        <f t="shared" si="115"/>
        <v>370</v>
      </c>
      <c r="W687" s="5">
        <f t="shared" si="116"/>
        <v>299</v>
      </c>
      <c r="X687" s="5">
        <f t="shared" si="117"/>
        <v>0</v>
      </c>
      <c r="Y687" s="5">
        <f t="shared" si="118"/>
        <v>285</v>
      </c>
      <c r="Z687" s="19">
        <f t="shared" si="119"/>
        <v>40</v>
      </c>
      <c r="AA687" s="20">
        <f>ABS(S687-SUMPRODUCT(('05B_가정검정'!$A$5:$A$19=B687)*('05B_가정검정'!$B$5:$B$19=C687)*'05B_가정검정'!$E$5:$E$19))</f>
        <v>8.6742454232184851E-3</v>
      </c>
      <c r="AB687" s="20">
        <f t="shared" si="120"/>
        <v>1.4372905202692965E-2</v>
      </c>
    </row>
    <row r="688" spans="1:28">
      <c r="A688" s="15" t="s">
        <v>168</v>
      </c>
      <c r="B688" s="15" t="s">
        <v>122</v>
      </c>
      <c r="C688" s="15" t="s">
        <v>119</v>
      </c>
      <c r="D688" s="16">
        <v>0.27034482758620698</v>
      </c>
      <c r="E688" s="16">
        <v>0.42718446601941801</v>
      </c>
      <c r="F688" s="16">
        <v>0.19607843137254899</v>
      </c>
      <c r="G688" s="16">
        <v>0.33980582524271902</v>
      </c>
      <c r="H688" s="16">
        <v>0.25636860622903301</v>
      </c>
      <c r="I688" s="16">
        <v>0.31073214249868703</v>
      </c>
      <c r="J688" s="16">
        <v>0.70357210296606199</v>
      </c>
      <c r="K688" s="16">
        <v>0.64235671240972703</v>
      </c>
      <c r="L688" s="16">
        <v>0.80798648382115501</v>
      </c>
      <c r="M688" s="16">
        <v>0.46745562130177498</v>
      </c>
      <c r="N688" s="16">
        <v>0.42156862745098</v>
      </c>
      <c r="O688" s="16">
        <v>1</v>
      </c>
      <c r="P688" s="17">
        <f t="shared" si="110"/>
        <v>0.30008571649143551</v>
      </c>
      <c r="Q688" s="17">
        <f t="shared" si="111"/>
        <v>0.71797176639898141</v>
      </c>
      <c r="R688" s="17">
        <f t="shared" si="112"/>
        <v>0.62967474958425163</v>
      </c>
      <c r="S688" s="17">
        <f>'02_지표정의'!$C$22*P688+'02_지표정의'!$C$23*Q688+'02_지표정의'!$C$24*R688</f>
        <v>0.60349060053231685</v>
      </c>
      <c r="T688" s="5">
        <f t="shared" si="113"/>
        <v>0</v>
      </c>
      <c r="U688" s="5" t="str">
        <f t="shared" si="114"/>
        <v>보고서</v>
      </c>
      <c r="V688" s="18">
        <f t="shared" si="115"/>
        <v>404</v>
      </c>
      <c r="W688" s="5">
        <f t="shared" si="116"/>
        <v>0</v>
      </c>
      <c r="X688" s="5">
        <f t="shared" si="117"/>
        <v>174</v>
      </c>
      <c r="Y688" s="5">
        <f t="shared" si="118"/>
        <v>308</v>
      </c>
      <c r="Z688" s="19">
        <f t="shared" si="119"/>
        <v>17</v>
      </c>
      <c r="AA688" s="20">
        <f>ABS(S688-SUMPRODUCT(('05B_가정검정'!$A$5:$A$19=B688)*('05B_가정검정'!$B$5:$B$19=C688)*'05B_가정검정'!$E$5:$E$19))</f>
        <v>3.2115587369134557E-2</v>
      </c>
      <c r="AB688" s="20">
        <f t="shared" si="120"/>
        <v>-2.7898265782569154E-2</v>
      </c>
    </row>
    <row r="689" spans="1:28">
      <c r="A689" s="15" t="s">
        <v>168</v>
      </c>
      <c r="B689" s="15" t="s">
        <v>123</v>
      </c>
      <c r="C689" s="15" t="s">
        <v>117</v>
      </c>
      <c r="D689" s="16">
        <v>0.201834862385321</v>
      </c>
      <c r="E689" s="16">
        <v>0.33777777777777801</v>
      </c>
      <c r="F689" s="16">
        <v>0.10762331838564999</v>
      </c>
      <c r="G689" s="16">
        <v>0.24888888888888899</v>
      </c>
      <c r="H689" s="16">
        <v>0.36563146527245899</v>
      </c>
      <c r="I689" s="16">
        <v>0.114919952816863</v>
      </c>
      <c r="J689" s="16">
        <v>0.70428985741028105</v>
      </c>
      <c r="K689" s="16">
        <v>0.60241792643218195</v>
      </c>
      <c r="L689" s="16">
        <v>0.83275495044784897</v>
      </c>
      <c r="M689" s="16">
        <v>0.90654205607476601</v>
      </c>
      <c r="N689" s="16">
        <v>0.91666666666666696</v>
      </c>
      <c r="O689" s="16">
        <v>1</v>
      </c>
      <c r="P689" s="17">
        <f t="shared" si="110"/>
        <v>0.22944604425449333</v>
      </c>
      <c r="Q689" s="17">
        <f t="shared" si="111"/>
        <v>0.71315424476343736</v>
      </c>
      <c r="R689" s="17">
        <f t="shared" si="112"/>
        <v>0.94106957424714432</v>
      </c>
      <c r="S689" s="17">
        <f>'02_지표정의'!$C$22*P689+'02_지표정의'!$C$23*Q689+'02_지표정의'!$C$24*R689</f>
        <v>0.69618296998094598</v>
      </c>
      <c r="T689" s="5">
        <f t="shared" si="113"/>
        <v>0</v>
      </c>
      <c r="U689" s="5" t="str">
        <f t="shared" si="114"/>
        <v>보고서</v>
      </c>
      <c r="V689" s="18">
        <f t="shared" si="115"/>
        <v>810</v>
      </c>
      <c r="W689" s="5">
        <f t="shared" si="116"/>
        <v>551</v>
      </c>
      <c r="X689" s="5">
        <f t="shared" si="117"/>
        <v>485</v>
      </c>
      <c r="Y689" s="5">
        <f t="shared" si="118"/>
        <v>0</v>
      </c>
      <c r="Z689" s="19">
        <f t="shared" si="119"/>
        <v>19</v>
      </c>
      <c r="AA689" s="20">
        <f>ABS(S689-SUMPRODUCT(('05B_가정검정'!$A$5:$A$19=B689)*('05B_가정검정'!$B$5:$B$19=C689)*'05B_가정검정'!$E$5:$E$19))</f>
        <v>1.8739912795277758E-2</v>
      </c>
      <c r="AB689" s="20">
        <f t="shared" si="120"/>
        <v>-1.1802481830297196E-2</v>
      </c>
    </row>
    <row r="690" spans="1:28">
      <c r="A690" s="15" t="s">
        <v>168</v>
      </c>
      <c r="B690" s="15" t="s">
        <v>123</v>
      </c>
      <c r="C690" s="15" t="s">
        <v>118</v>
      </c>
      <c r="D690" s="16">
        <v>0.18476903870162301</v>
      </c>
      <c r="E690" s="16">
        <v>0.28742514970059901</v>
      </c>
      <c r="F690" s="16">
        <v>0.102409638554217</v>
      </c>
      <c r="G690" s="16">
        <v>0.19760479041916201</v>
      </c>
      <c r="H690" s="16">
        <v>0.23718834219663301</v>
      </c>
      <c r="I690" s="16">
        <v>0.12072528922989099</v>
      </c>
      <c r="J690" s="16">
        <v>0.67382509310110195</v>
      </c>
      <c r="K690" s="16">
        <v>0.62555831065809697</v>
      </c>
      <c r="L690" s="16">
        <v>0.84034466163641397</v>
      </c>
      <c r="M690" s="16">
        <v>0.45754716981132099</v>
      </c>
      <c r="N690" s="16">
        <v>0.56122448979591799</v>
      </c>
      <c r="O690" s="16">
        <v>1</v>
      </c>
      <c r="P690" s="17">
        <f t="shared" si="110"/>
        <v>0.18835370813368749</v>
      </c>
      <c r="Q690" s="17">
        <f t="shared" si="111"/>
        <v>0.71324268846520422</v>
      </c>
      <c r="R690" s="17">
        <f t="shared" si="112"/>
        <v>0.67292388653574642</v>
      </c>
      <c r="S690" s="17">
        <f>'02_지표정의'!$C$22*P690+'02_지표정의'!$C$23*Q690+'02_지표정의'!$C$24*R690</f>
        <v>0.59415331172359065</v>
      </c>
      <c r="T690" s="5">
        <f t="shared" si="113"/>
        <v>0</v>
      </c>
      <c r="U690" s="5" t="str">
        <f t="shared" si="114"/>
        <v>보고서</v>
      </c>
      <c r="V690" s="18">
        <f t="shared" si="115"/>
        <v>361</v>
      </c>
      <c r="W690" s="5">
        <f t="shared" si="116"/>
        <v>291</v>
      </c>
      <c r="X690" s="5">
        <f t="shared" si="117"/>
        <v>0</v>
      </c>
      <c r="Y690" s="5">
        <f t="shared" si="118"/>
        <v>277</v>
      </c>
      <c r="Z690" s="19">
        <f t="shared" si="119"/>
        <v>43</v>
      </c>
      <c r="AA690" s="20">
        <f>ABS(S690-SUMPRODUCT(('05B_가정검정'!$A$5:$A$19=B690)*('05B_가정검정'!$B$5:$B$19=C690)*'05B_가정검정'!$E$5:$E$19))</f>
        <v>1.8854484844620933E-2</v>
      </c>
      <c r="AB690" s="20">
        <f t="shared" si="120"/>
        <v>3.4281703799099561E-2</v>
      </c>
    </row>
    <row r="691" spans="1:28">
      <c r="A691" s="15" t="s">
        <v>168</v>
      </c>
      <c r="B691" s="15" t="s">
        <v>123</v>
      </c>
      <c r="C691" s="15" t="s">
        <v>119</v>
      </c>
      <c r="D691" s="16">
        <v>0.26291079812206603</v>
      </c>
      <c r="E691" s="16">
        <v>0.45535714285714302</v>
      </c>
      <c r="F691" s="16">
        <v>0.23423423423423401</v>
      </c>
      <c r="G691" s="16">
        <v>0.3125</v>
      </c>
      <c r="H691" s="16">
        <v>0.39472669937745603</v>
      </c>
      <c r="I691" s="16">
        <v>0.34938790551465798</v>
      </c>
      <c r="J691" s="16">
        <v>0.74464339497887699</v>
      </c>
      <c r="K691" s="16">
        <v>0.69178795004572202</v>
      </c>
      <c r="L691" s="16">
        <v>0.85715482305751001</v>
      </c>
      <c r="M691" s="16">
        <v>0.57396449704142005</v>
      </c>
      <c r="N691" s="16">
        <v>0.53921568627451</v>
      </c>
      <c r="O691" s="16">
        <v>1</v>
      </c>
      <c r="P691" s="17">
        <f t="shared" si="110"/>
        <v>0.33485279668425955</v>
      </c>
      <c r="Q691" s="17">
        <f t="shared" si="111"/>
        <v>0.76452872269403638</v>
      </c>
      <c r="R691" s="17">
        <f t="shared" si="112"/>
        <v>0.70439339443864346</v>
      </c>
      <c r="S691" s="17">
        <f>'02_지표정의'!$C$22*P691+'02_지표정의'!$C$23*Q691+'02_지표정의'!$C$24*R691</f>
        <v>0.65754617260269344</v>
      </c>
      <c r="T691" s="5">
        <f t="shared" si="113"/>
        <v>1</v>
      </c>
      <c r="U691" s="5" t="str">
        <f t="shared" si="114"/>
        <v>보고서</v>
      </c>
      <c r="V691" s="18">
        <f t="shared" si="115"/>
        <v>656</v>
      </c>
      <c r="W691" s="5">
        <f t="shared" si="116"/>
        <v>0</v>
      </c>
      <c r="X691" s="5">
        <f t="shared" si="117"/>
        <v>337</v>
      </c>
      <c r="Y691" s="5">
        <f t="shared" si="118"/>
        <v>487</v>
      </c>
      <c r="Z691" s="19">
        <f t="shared" si="119"/>
        <v>22</v>
      </c>
      <c r="AA691" s="20">
        <f>ABS(S691-SUMPRODUCT(('05B_가정검정'!$A$5:$A$19=B691)*('05B_가정검정'!$B$5:$B$19=C691)*'05B_가정검정'!$E$5:$E$19))</f>
        <v>2.8083624721533917E-2</v>
      </c>
      <c r="AB691" s="20">
        <f t="shared" si="120"/>
        <v>-2.4872560442308345E-2</v>
      </c>
    </row>
    <row r="692" spans="1:28">
      <c r="A692" s="15" t="s">
        <v>169</v>
      </c>
      <c r="B692" s="15" t="s">
        <v>116</v>
      </c>
      <c r="C692" s="15" t="s">
        <v>117</v>
      </c>
      <c r="D692" s="16">
        <v>0.27393617021276601</v>
      </c>
      <c r="E692" s="16">
        <v>0.32850241545893699</v>
      </c>
      <c r="F692" s="16">
        <v>0.146341463414634</v>
      </c>
      <c r="G692" s="16">
        <v>0.25120772946859898</v>
      </c>
      <c r="H692" s="16">
        <v>0.25860479538117598</v>
      </c>
      <c r="I692" s="16">
        <v>0.31167951102159003</v>
      </c>
      <c r="J692" s="16">
        <v>0.695472354070925</v>
      </c>
      <c r="K692" s="16">
        <v>0.67691787386193203</v>
      </c>
      <c r="L692" s="16">
        <v>0.81095868940462701</v>
      </c>
      <c r="M692" s="16">
        <v>0.51515151515151503</v>
      </c>
      <c r="N692" s="16">
        <v>0.213483146067416</v>
      </c>
      <c r="O692" s="16">
        <v>1</v>
      </c>
      <c r="P692" s="17">
        <f t="shared" si="110"/>
        <v>0.26171201415961703</v>
      </c>
      <c r="Q692" s="17">
        <f t="shared" si="111"/>
        <v>0.7277829724458279</v>
      </c>
      <c r="R692" s="17">
        <f t="shared" si="112"/>
        <v>0.57621155373964372</v>
      </c>
      <c r="S692" s="17">
        <f>'02_지표정의'!$C$22*P692+'02_지표정의'!$C$23*Q692+'02_지표정의'!$C$24*R692</f>
        <v>0.58151878424142134</v>
      </c>
      <c r="T692" s="5">
        <f t="shared" si="113"/>
        <v>0</v>
      </c>
      <c r="U692" s="5" t="str">
        <f t="shared" si="114"/>
        <v>보고서</v>
      </c>
      <c r="V692" s="18">
        <f t="shared" si="115"/>
        <v>325</v>
      </c>
      <c r="W692" s="5">
        <f t="shared" si="116"/>
        <v>264</v>
      </c>
      <c r="X692" s="5">
        <f t="shared" si="117"/>
        <v>141</v>
      </c>
      <c r="Y692" s="5">
        <f t="shared" si="118"/>
        <v>0</v>
      </c>
      <c r="Z692" s="19">
        <f t="shared" si="119"/>
        <v>60</v>
      </c>
      <c r="AA692" s="20">
        <f>ABS(S692-SUMPRODUCT(('05B_가정검정'!$A$5:$A$19=B692)*('05B_가정검정'!$B$5:$B$19=C692)*'05B_가정검정'!$E$5:$E$19))</f>
        <v>2.4115079256454064E-2</v>
      </c>
      <c r="AB692" s="20">
        <f t="shared" si="120"/>
        <v>2.8967618828797947E-2</v>
      </c>
    </row>
    <row r="693" spans="1:28">
      <c r="A693" s="15" t="s">
        <v>169</v>
      </c>
      <c r="B693" s="15" t="s">
        <v>116</v>
      </c>
      <c r="C693" s="15" t="s">
        <v>118</v>
      </c>
      <c r="D693" s="16">
        <v>0.29062500000000002</v>
      </c>
      <c r="E693" s="16">
        <v>0.25438596491228099</v>
      </c>
      <c r="F693" s="16">
        <v>0.132743362831858</v>
      </c>
      <c r="G693" s="16">
        <v>0.22807017543859701</v>
      </c>
      <c r="H693" s="16">
        <v>0.19800934420044899</v>
      </c>
      <c r="I693" s="16">
        <v>0.27216108092392599</v>
      </c>
      <c r="J693" s="16">
        <v>0.71509081506227601</v>
      </c>
      <c r="K693" s="16">
        <v>0.618075939257831</v>
      </c>
      <c r="L693" s="16">
        <v>0.80612377829263604</v>
      </c>
      <c r="M693" s="16">
        <v>0.430034129692833</v>
      </c>
      <c r="N693" s="16">
        <v>0</v>
      </c>
      <c r="O693" s="16">
        <v>0.52631578947368396</v>
      </c>
      <c r="P693" s="17">
        <f t="shared" si="110"/>
        <v>0.22933248805118511</v>
      </c>
      <c r="Q693" s="17">
        <f t="shared" si="111"/>
        <v>0.71309684420424768</v>
      </c>
      <c r="R693" s="17">
        <f t="shared" si="112"/>
        <v>0.31878330638883901</v>
      </c>
      <c r="S693" s="17">
        <f>'02_지표정의'!$C$22*P693+'02_지표정의'!$C$23*Q693+'02_지표정의'!$C$24*R693</f>
        <v>0.47833423473824216</v>
      </c>
      <c r="T693" s="5">
        <f t="shared" si="113"/>
        <v>0</v>
      </c>
      <c r="U693" s="5" t="str">
        <f t="shared" si="114"/>
        <v>보고서</v>
      </c>
      <c r="V693" s="18">
        <f t="shared" si="115"/>
        <v>14</v>
      </c>
      <c r="W693" s="5">
        <f t="shared" si="116"/>
        <v>8</v>
      </c>
      <c r="X693" s="5">
        <f t="shared" si="117"/>
        <v>0</v>
      </c>
      <c r="Y693" s="5">
        <f t="shared" si="118"/>
        <v>13</v>
      </c>
      <c r="Z693" s="19">
        <f t="shared" si="119"/>
        <v>5</v>
      </c>
      <c r="AA693" s="20">
        <f>ABS(S693-SUMPRODUCT(('05B_가정검정'!$A$5:$A$19=B693)*('05B_가정검정'!$B$5:$B$19=C693)*'05B_가정검정'!$E$5:$E$19))</f>
        <v>5.2958186963479481E-2</v>
      </c>
      <c r="AB693" s="20">
        <f t="shared" si="120"/>
        <v>-4.9214797640344143E-2</v>
      </c>
    </row>
    <row r="694" spans="1:28">
      <c r="A694" s="15" t="s">
        <v>169</v>
      </c>
      <c r="B694" s="15" t="s">
        <v>116</v>
      </c>
      <c r="C694" s="15" t="s">
        <v>119</v>
      </c>
      <c r="D694" s="16">
        <v>0.28901734104046201</v>
      </c>
      <c r="E694" s="16">
        <v>0.378698224852071</v>
      </c>
      <c r="F694" s="16">
        <v>0.19161676646706599</v>
      </c>
      <c r="G694" s="16">
        <v>0.33136094674556199</v>
      </c>
      <c r="H694" s="16">
        <v>0.24823032129918701</v>
      </c>
      <c r="I694" s="16">
        <v>0.37455959810036799</v>
      </c>
      <c r="J694" s="16">
        <v>0.67981204001244899</v>
      </c>
      <c r="K694" s="16">
        <v>0.66799554184350196</v>
      </c>
      <c r="L694" s="16">
        <v>0.82841889653134804</v>
      </c>
      <c r="M694" s="16">
        <v>0.38461538461538503</v>
      </c>
      <c r="N694" s="16">
        <v>0</v>
      </c>
      <c r="O694" s="16">
        <v>1</v>
      </c>
      <c r="P694" s="17">
        <f t="shared" si="110"/>
        <v>0.30224719975078601</v>
      </c>
      <c r="Q694" s="17">
        <f t="shared" si="111"/>
        <v>0.72540882612909963</v>
      </c>
      <c r="R694" s="17">
        <f t="shared" si="112"/>
        <v>0.46153846153846168</v>
      </c>
      <c r="S694" s="17">
        <f>'02_지표정의'!$C$22*P694+'02_지표정의'!$C$23*Q694+'02_지표정의'!$C$24*R694</f>
        <v>0.54842187324671365</v>
      </c>
      <c r="T694" s="5">
        <f t="shared" si="113"/>
        <v>0</v>
      </c>
      <c r="U694" s="5" t="str">
        <f t="shared" si="114"/>
        <v>보고서</v>
      </c>
      <c r="V694" s="18">
        <f t="shared" si="115"/>
        <v>197</v>
      </c>
      <c r="W694" s="5">
        <f t="shared" si="116"/>
        <v>0</v>
      </c>
      <c r="X694" s="5">
        <f t="shared" si="117"/>
        <v>61</v>
      </c>
      <c r="Y694" s="5">
        <f t="shared" si="118"/>
        <v>171</v>
      </c>
      <c r="Z694" s="19">
        <f t="shared" si="119"/>
        <v>29</v>
      </c>
      <c r="AA694" s="20">
        <f>ABS(S694-SUMPRODUCT(('05B_가정검정'!$A$5:$A$19=B694)*('05B_가정검정'!$B$5:$B$19=C694)*'05B_가정검정'!$E$5:$E$19))</f>
        <v>4.6016434960689523E-3</v>
      </c>
      <c r="AB694" s="20">
        <f t="shared" si="120"/>
        <v>-8.0306104294664005E-3</v>
      </c>
    </row>
    <row r="695" spans="1:28">
      <c r="A695" s="15" t="s">
        <v>169</v>
      </c>
      <c r="B695" s="15" t="s">
        <v>120</v>
      </c>
      <c r="C695" s="15" t="s">
        <v>117</v>
      </c>
      <c r="D695" s="16">
        <v>0.21435059037238899</v>
      </c>
      <c r="E695" s="16">
        <v>0.305295950155763</v>
      </c>
      <c r="F695" s="16">
        <v>6.8965517241379296E-2</v>
      </c>
      <c r="G695" s="16">
        <v>0.18691588785046701</v>
      </c>
      <c r="H695" s="16">
        <v>0.28645165331979899</v>
      </c>
      <c r="I695" s="16">
        <v>0.19192701104808599</v>
      </c>
      <c r="J695" s="16">
        <v>0.68447407994125598</v>
      </c>
      <c r="K695" s="16">
        <v>0.66554127320860901</v>
      </c>
      <c r="L695" s="16">
        <v>0.82746329709892996</v>
      </c>
      <c r="M695" s="16">
        <v>0.56707317073170704</v>
      </c>
      <c r="N695" s="16">
        <v>0.52127659574468099</v>
      </c>
      <c r="O695" s="16">
        <v>1</v>
      </c>
      <c r="P695" s="17">
        <f t="shared" si="110"/>
        <v>0.20898443499798056</v>
      </c>
      <c r="Q695" s="17">
        <f t="shared" si="111"/>
        <v>0.72582621674959835</v>
      </c>
      <c r="R695" s="17">
        <f t="shared" si="112"/>
        <v>0.69611658882546268</v>
      </c>
      <c r="S695" s="17">
        <f>'02_지표정의'!$C$22*P695+'02_지표정의'!$C$23*Q695+'02_지표정의'!$C$24*R695</f>
        <v>0.61205949062582732</v>
      </c>
      <c r="T695" s="5">
        <f t="shared" si="113"/>
        <v>0</v>
      </c>
      <c r="U695" s="5" t="str">
        <f t="shared" si="114"/>
        <v>보고서</v>
      </c>
      <c r="V695" s="18">
        <f t="shared" si="115"/>
        <v>446</v>
      </c>
      <c r="W695" s="5">
        <f t="shared" si="116"/>
        <v>363</v>
      </c>
      <c r="X695" s="5">
        <f t="shared" si="117"/>
        <v>190</v>
      </c>
      <c r="Y695" s="5">
        <f t="shared" si="118"/>
        <v>0</v>
      </c>
      <c r="Z695" s="19">
        <f t="shared" si="119"/>
        <v>17</v>
      </c>
      <c r="AA695" s="20">
        <f>ABS(S695-SUMPRODUCT(('05B_가정검정'!$A$5:$A$19=B695)*('05B_가정검정'!$B$5:$B$19=C695)*'05B_가정검정'!$E$5:$E$19))</f>
        <v>1.5989469431293757E-2</v>
      </c>
      <c r="AB695" s="20">
        <f t="shared" si="120"/>
        <v>-1.9243212798929821E-2</v>
      </c>
    </row>
    <row r="696" spans="1:28">
      <c r="A696" s="15" t="s">
        <v>169</v>
      </c>
      <c r="B696" s="15" t="s">
        <v>120</v>
      </c>
      <c r="C696" s="15" t="s">
        <v>118</v>
      </c>
      <c r="D696" s="16">
        <v>0.24064711830131499</v>
      </c>
      <c r="E696" s="16">
        <v>0.33918128654970803</v>
      </c>
      <c r="F696" s="16">
        <v>0.158823529411765</v>
      </c>
      <c r="G696" s="16">
        <v>0.24561403508771901</v>
      </c>
      <c r="H696" s="16">
        <v>0.25048564663894202</v>
      </c>
      <c r="I696" s="16">
        <v>0.20213195852562599</v>
      </c>
      <c r="J696" s="16">
        <v>0.69967631712544598</v>
      </c>
      <c r="K696" s="16">
        <v>0.62059059022570495</v>
      </c>
      <c r="L696" s="16">
        <v>0.81833824495490903</v>
      </c>
      <c r="M696" s="16">
        <v>0.52218430034129704</v>
      </c>
      <c r="N696" s="16">
        <v>0.22727272727272699</v>
      </c>
      <c r="O696" s="16">
        <v>0.52631578947368396</v>
      </c>
      <c r="P696" s="17">
        <f t="shared" si="110"/>
        <v>0.23948059575251254</v>
      </c>
      <c r="Q696" s="17">
        <f t="shared" si="111"/>
        <v>0.71286838410201991</v>
      </c>
      <c r="R696" s="17">
        <f t="shared" si="112"/>
        <v>0.42525760569590271</v>
      </c>
      <c r="S696" s="17">
        <f>'02_지표정의'!$C$22*P696+'02_지표정의'!$C$23*Q696+'02_지표정의'!$C$24*R696</f>
        <v>0.51752705398997745</v>
      </c>
      <c r="T696" s="5">
        <f t="shared" si="113"/>
        <v>0</v>
      </c>
      <c r="U696" s="5" t="str">
        <f t="shared" si="114"/>
        <v>보고서</v>
      </c>
      <c r="V696" s="18">
        <f t="shared" si="115"/>
        <v>87</v>
      </c>
      <c r="W696" s="5">
        <f t="shared" si="116"/>
        <v>78</v>
      </c>
      <c r="X696" s="5">
        <f t="shared" si="117"/>
        <v>0</v>
      </c>
      <c r="Y696" s="5">
        <f t="shared" si="118"/>
        <v>80</v>
      </c>
      <c r="Z696" s="19">
        <f t="shared" si="119"/>
        <v>11</v>
      </c>
      <c r="AA696" s="20">
        <f>ABS(S696-SUMPRODUCT(('05B_가정검정'!$A$5:$A$19=B696)*('05B_가정검정'!$B$5:$B$19=C696)*'05B_가정검정'!$E$5:$E$19))</f>
        <v>7.3301794591650538E-2</v>
      </c>
      <c r="AB696" s="20">
        <f t="shared" si="120"/>
        <v>-5.7363721972133352E-2</v>
      </c>
    </row>
    <row r="697" spans="1:28">
      <c r="A697" s="15" t="s">
        <v>169</v>
      </c>
      <c r="B697" s="15" t="s">
        <v>120</v>
      </c>
      <c r="C697" s="15" t="s">
        <v>119</v>
      </c>
      <c r="D697" s="16">
        <v>0.25936599423631101</v>
      </c>
      <c r="E697" s="16">
        <v>0.50883392226148405</v>
      </c>
      <c r="F697" s="16">
        <v>0.24911032028469801</v>
      </c>
      <c r="G697" s="16">
        <v>0.32508833922261499</v>
      </c>
      <c r="H697" s="16">
        <v>0.33078855813956998</v>
      </c>
      <c r="I697" s="16">
        <v>0.33161577731615399</v>
      </c>
      <c r="J697" s="16">
        <v>0.70954305689005503</v>
      </c>
      <c r="K697" s="16">
        <v>0.68842106681806903</v>
      </c>
      <c r="L697" s="16">
        <v>0.85363303258706802</v>
      </c>
      <c r="M697" s="16">
        <v>0.61538461538461497</v>
      </c>
      <c r="N697" s="16">
        <v>0.54901960784313697</v>
      </c>
      <c r="O697" s="16">
        <v>1</v>
      </c>
      <c r="P697" s="17">
        <f t="shared" si="110"/>
        <v>0.3341338185768053</v>
      </c>
      <c r="Q697" s="17">
        <f t="shared" si="111"/>
        <v>0.75053238543173073</v>
      </c>
      <c r="R697" s="17">
        <f t="shared" si="112"/>
        <v>0.72146807440925065</v>
      </c>
      <c r="S697" s="17">
        <f>'02_지표정의'!$C$22*P697+'02_지표정의'!$C$23*Q697+'02_지표정의'!$C$24*R697</f>
        <v>0.65708016320287754</v>
      </c>
      <c r="T697" s="5">
        <f t="shared" si="113"/>
        <v>0</v>
      </c>
      <c r="U697" s="5" t="str">
        <f t="shared" si="114"/>
        <v>보고서</v>
      </c>
      <c r="V697" s="18">
        <f t="shared" si="115"/>
        <v>653</v>
      </c>
      <c r="W697" s="5">
        <f t="shared" si="116"/>
        <v>0</v>
      </c>
      <c r="X697" s="5">
        <f t="shared" si="117"/>
        <v>334</v>
      </c>
      <c r="Y697" s="5">
        <f t="shared" si="118"/>
        <v>485</v>
      </c>
      <c r="Z697" s="19">
        <f t="shared" si="119"/>
        <v>25</v>
      </c>
      <c r="AA697" s="20">
        <f>ABS(S697-SUMPRODUCT(('05B_가정검정'!$A$5:$A$19=B697)*('05B_가정검정'!$B$5:$B$19=C697)*'05B_가정검정'!$E$5:$E$19))</f>
        <v>6.5971532785087383E-3</v>
      </c>
      <c r="AB697" s="20">
        <f t="shared" si="120"/>
        <v>-1.3428443079380736E-3</v>
      </c>
    </row>
    <row r="698" spans="1:28">
      <c r="A698" s="15" t="s">
        <v>169</v>
      </c>
      <c r="B698" s="15" t="s">
        <v>121</v>
      </c>
      <c r="C698" s="15" t="s">
        <v>117</v>
      </c>
      <c r="D698" s="16">
        <v>0.253317249698432</v>
      </c>
      <c r="E698" s="16">
        <v>0.33175355450236999</v>
      </c>
      <c r="F698" s="16">
        <v>0.11483253588516799</v>
      </c>
      <c r="G698" s="16">
        <v>0.255924170616114</v>
      </c>
      <c r="H698" s="16">
        <v>0.31303111662205402</v>
      </c>
      <c r="I698" s="16">
        <v>0.28806526228339602</v>
      </c>
      <c r="J698" s="16">
        <v>0.75004072924737597</v>
      </c>
      <c r="K698" s="16">
        <v>0.79389614120644403</v>
      </c>
      <c r="L698" s="16">
        <v>0.90147397863358203</v>
      </c>
      <c r="M698" s="16">
        <v>0.90654205607476601</v>
      </c>
      <c r="N698" s="16">
        <v>0.91666666666666696</v>
      </c>
      <c r="O698" s="16">
        <v>1</v>
      </c>
      <c r="P698" s="17">
        <f t="shared" si="110"/>
        <v>0.25948731493458904</v>
      </c>
      <c r="Q698" s="17">
        <f t="shared" si="111"/>
        <v>0.81513694969580064</v>
      </c>
      <c r="R698" s="17">
        <f t="shared" si="112"/>
        <v>0.94106957424714432</v>
      </c>
      <c r="S698" s="17">
        <f>'02_지표정의'!$C$22*P698+'02_지표정의'!$C$23*Q698+'02_지표정의'!$C$24*R698</f>
        <v>0.7480834413365286</v>
      </c>
      <c r="T698" s="5">
        <f t="shared" si="113"/>
        <v>1</v>
      </c>
      <c r="U698" s="5" t="str">
        <f t="shared" si="114"/>
        <v>보고서</v>
      </c>
      <c r="V698" s="18">
        <f t="shared" si="115"/>
        <v>949</v>
      </c>
      <c r="W698" s="5">
        <f t="shared" si="116"/>
        <v>646</v>
      </c>
      <c r="X698" s="5">
        <f t="shared" si="117"/>
        <v>624</v>
      </c>
      <c r="Y698" s="5">
        <f t="shared" si="118"/>
        <v>0</v>
      </c>
      <c r="Z698" s="19">
        <f t="shared" si="119"/>
        <v>62</v>
      </c>
      <c r="AA698" s="20">
        <f>ABS(S698-SUMPRODUCT(('05B_가정검정'!$A$5:$A$19=B698)*('05B_가정검정'!$B$5:$B$19=C698)*'05B_가정검정'!$E$5:$E$19))</f>
        <v>1.8651369954647445E-2</v>
      </c>
      <c r="AB698" s="20">
        <f t="shared" si="120"/>
        <v>3.0431648263647637E-2</v>
      </c>
    </row>
    <row r="699" spans="1:28">
      <c r="A699" s="15" t="s">
        <v>169</v>
      </c>
      <c r="B699" s="15" t="s">
        <v>121</v>
      </c>
      <c r="C699" s="15" t="s">
        <v>118</v>
      </c>
      <c r="D699" s="16">
        <v>0.25941422594142299</v>
      </c>
      <c r="E699" s="16">
        <v>0.30172413793103497</v>
      </c>
      <c r="F699" s="16">
        <v>0.139130434782609</v>
      </c>
      <c r="G699" s="16">
        <v>0.25862068965517199</v>
      </c>
      <c r="H699" s="16">
        <v>0.23482790714556201</v>
      </c>
      <c r="I699" s="16">
        <v>0.20735670561898001</v>
      </c>
      <c r="J699" s="16">
        <v>0.74733129749090399</v>
      </c>
      <c r="K699" s="16">
        <v>0.73863591702681197</v>
      </c>
      <c r="L699" s="16">
        <v>0.87140657573511204</v>
      </c>
      <c r="M699" s="16">
        <v>0.33105802047781602</v>
      </c>
      <c r="N699" s="16">
        <v>0.28030303030303</v>
      </c>
      <c r="O699" s="16">
        <v>0.52631578947368396</v>
      </c>
      <c r="P699" s="17">
        <f t="shared" si="110"/>
        <v>0.23351235017913016</v>
      </c>
      <c r="Q699" s="17">
        <f t="shared" si="111"/>
        <v>0.7857912634176093</v>
      </c>
      <c r="R699" s="17">
        <f t="shared" si="112"/>
        <v>0.37922561341817662</v>
      </c>
      <c r="S699" s="17">
        <f>'02_지표정의'!$C$22*P699+'02_지표정의'!$C$23*Q699+'02_지표정의'!$C$24*R699</f>
        <v>0.53303750327011201</v>
      </c>
      <c r="T699" s="5">
        <f t="shared" si="113"/>
        <v>0</v>
      </c>
      <c r="U699" s="5" t="str">
        <f t="shared" si="114"/>
        <v>보고서</v>
      </c>
      <c r="V699" s="18">
        <f t="shared" si="115"/>
        <v>144</v>
      </c>
      <c r="W699" s="5">
        <f t="shared" si="116"/>
        <v>129</v>
      </c>
      <c r="X699" s="5">
        <f t="shared" si="117"/>
        <v>0</v>
      </c>
      <c r="Y699" s="5">
        <f t="shared" si="118"/>
        <v>130</v>
      </c>
      <c r="Z699" s="19">
        <f t="shared" si="119"/>
        <v>16</v>
      </c>
      <c r="AA699" s="20">
        <f>ABS(S699-SUMPRODUCT(('05B_가정검정'!$A$5:$A$19=B699)*('05B_가정검정'!$B$5:$B$19=C699)*'05B_가정검정'!$E$5:$E$19))</f>
        <v>6.5541986896856419E-2</v>
      </c>
      <c r="AB699" s="20">
        <f t="shared" si="120"/>
        <v>-4.6361571256701262E-2</v>
      </c>
    </row>
    <row r="700" spans="1:28">
      <c r="A700" s="15" t="s">
        <v>169</v>
      </c>
      <c r="B700" s="15" t="s">
        <v>121</v>
      </c>
      <c r="C700" s="15" t="s">
        <v>119</v>
      </c>
      <c r="D700" s="16">
        <v>0.29128738621586497</v>
      </c>
      <c r="E700" s="16">
        <v>0.41618497109826602</v>
      </c>
      <c r="F700" s="16">
        <v>0.21052631578947401</v>
      </c>
      <c r="G700" s="16">
        <v>0.32369942196531798</v>
      </c>
      <c r="H700" s="16">
        <v>0.30757850322251501</v>
      </c>
      <c r="I700" s="16">
        <v>0.40377593109867999</v>
      </c>
      <c r="J700" s="16">
        <v>0.77344490367544305</v>
      </c>
      <c r="K700" s="16">
        <v>0.77266449105762602</v>
      </c>
      <c r="L700" s="16">
        <v>0.89334254735872698</v>
      </c>
      <c r="M700" s="16">
        <v>0.57396449704142005</v>
      </c>
      <c r="N700" s="16">
        <v>0.53921568627451</v>
      </c>
      <c r="O700" s="16">
        <v>1</v>
      </c>
      <c r="P700" s="17">
        <f t="shared" si="110"/>
        <v>0.32550875489835301</v>
      </c>
      <c r="Q700" s="17">
        <f t="shared" si="111"/>
        <v>0.81315064736393206</v>
      </c>
      <c r="R700" s="17">
        <f t="shared" si="112"/>
        <v>0.70439339443864346</v>
      </c>
      <c r="S700" s="17">
        <f>'02_지표정의'!$C$22*P700+'02_지표정의'!$C$23*Q700+'02_지표정의'!$C$24*R700</f>
        <v>0.67755723034696524</v>
      </c>
      <c r="T700" s="5">
        <f t="shared" si="113"/>
        <v>0</v>
      </c>
      <c r="U700" s="5" t="str">
        <f t="shared" si="114"/>
        <v>보고서</v>
      </c>
      <c r="V700" s="18">
        <f t="shared" si="115"/>
        <v>747</v>
      </c>
      <c r="W700" s="5">
        <f t="shared" si="116"/>
        <v>0</v>
      </c>
      <c r="X700" s="5">
        <f t="shared" si="117"/>
        <v>426</v>
      </c>
      <c r="Y700" s="5">
        <f t="shared" si="118"/>
        <v>541</v>
      </c>
      <c r="Z700" s="19">
        <f t="shared" si="119"/>
        <v>28</v>
      </c>
      <c r="AA700" s="20">
        <f>ABS(S700-SUMPRODUCT(('05B_가정검정'!$A$5:$A$19=B700)*('05B_가정검정'!$B$5:$B$19=C700)*'05B_가정검정'!$E$5:$E$19))</f>
        <v>1.4762612448888435E-2</v>
      </c>
      <c r="AB700" s="20">
        <f t="shared" si="120"/>
        <v>-1.0679745072645797E-2</v>
      </c>
    </row>
    <row r="701" spans="1:28">
      <c r="A701" s="15" t="s">
        <v>169</v>
      </c>
      <c r="B701" s="15" t="s">
        <v>122</v>
      </c>
      <c r="C701" s="15" t="s">
        <v>117</v>
      </c>
      <c r="D701" s="16">
        <v>0.253602305475504</v>
      </c>
      <c r="E701" s="16">
        <v>0.33333333333333298</v>
      </c>
      <c r="F701" s="16">
        <v>0.12080536912751701</v>
      </c>
      <c r="G701" s="16">
        <v>0.233333333333333</v>
      </c>
      <c r="H701" s="16">
        <v>0.26499593773039098</v>
      </c>
      <c r="I701" s="16">
        <v>0.26774429805425998</v>
      </c>
      <c r="J701" s="16">
        <v>0.66413369662913402</v>
      </c>
      <c r="K701" s="16">
        <v>0.67135661281525305</v>
      </c>
      <c r="L701" s="16">
        <v>0.87015588724995396</v>
      </c>
      <c r="M701" s="16">
        <v>0.340659340659341</v>
      </c>
      <c r="N701" s="16">
        <v>0.33333333333333298</v>
      </c>
      <c r="O701" s="16">
        <v>1</v>
      </c>
      <c r="P701" s="17">
        <f t="shared" si="110"/>
        <v>0.24563576284238964</v>
      </c>
      <c r="Q701" s="17">
        <f t="shared" si="111"/>
        <v>0.73521539889811371</v>
      </c>
      <c r="R701" s="17">
        <f t="shared" si="112"/>
        <v>0.55799755799755801</v>
      </c>
      <c r="S701" s="17">
        <f>'02_지표정의'!$C$22*P701+'02_지표정의'!$C$23*Q701+'02_지표정의'!$C$24*R701</f>
        <v>0.57527322737177444</v>
      </c>
      <c r="T701" s="5">
        <f t="shared" si="113"/>
        <v>0</v>
      </c>
      <c r="U701" s="5" t="str">
        <f t="shared" si="114"/>
        <v>보고서</v>
      </c>
      <c r="V701" s="18">
        <f t="shared" si="115"/>
        <v>307</v>
      </c>
      <c r="W701" s="5">
        <f t="shared" si="116"/>
        <v>248</v>
      </c>
      <c r="X701" s="5">
        <f t="shared" si="117"/>
        <v>130</v>
      </c>
      <c r="Y701" s="5">
        <f t="shared" si="118"/>
        <v>0</v>
      </c>
      <c r="Z701" s="19">
        <f t="shared" si="119"/>
        <v>14</v>
      </c>
      <c r="AA701" s="20">
        <f>ABS(S701-SUMPRODUCT(('05B_가정검정'!$A$5:$A$19=B701)*('05B_가정검정'!$B$5:$B$19=C701)*'05B_가정검정'!$E$5:$E$19))</f>
        <v>6.4079727336904035E-2</v>
      </c>
      <c r="AB701" s="20">
        <f t="shared" si="120"/>
        <v>-4.7608394817871713E-2</v>
      </c>
    </row>
    <row r="702" spans="1:28">
      <c r="A702" s="15" t="s">
        <v>169</v>
      </c>
      <c r="B702" s="15" t="s">
        <v>122</v>
      </c>
      <c r="C702" s="15" t="s">
        <v>118</v>
      </c>
      <c r="D702" s="16">
        <v>0.28202368137782602</v>
      </c>
      <c r="E702" s="16">
        <v>0.517133956386293</v>
      </c>
      <c r="F702" s="16">
        <v>0.263322884012539</v>
      </c>
      <c r="G702" s="16">
        <v>0.38006230529594998</v>
      </c>
      <c r="H702" s="16">
        <v>0.30723069847460399</v>
      </c>
      <c r="I702" s="16">
        <v>0.25753641589675602</v>
      </c>
      <c r="J702" s="16">
        <v>0.69839044145076701</v>
      </c>
      <c r="K702" s="16">
        <v>0.66880767337471303</v>
      </c>
      <c r="L702" s="16">
        <v>0.86947127009101499</v>
      </c>
      <c r="M702" s="16">
        <v>0.51535836177474403</v>
      </c>
      <c r="N702" s="16">
        <v>0.26530612244898</v>
      </c>
      <c r="O702" s="16">
        <v>0.52631578947368396</v>
      </c>
      <c r="P702" s="17">
        <f t="shared" si="110"/>
        <v>0.33455165690732797</v>
      </c>
      <c r="Q702" s="17">
        <f t="shared" si="111"/>
        <v>0.74555646163883171</v>
      </c>
      <c r="R702" s="17">
        <f t="shared" si="112"/>
        <v>0.43566009123246935</v>
      </c>
      <c r="S702" s="17">
        <f>'02_지표정의'!$C$22*P702+'02_지표정의'!$C$23*Q702+'02_지표정의'!$C$24*R702</f>
        <v>0.55489177105030407</v>
      </c>
      <c r="T702" s="5">
        <f t="shared" si="113"/>
        <v>1</v>
      </c>
      <c r="U702" s="5" t="str">
        <f t="shared" si="114"/>
        <v>보고서</v>
      </c>
      <c r="V702" s="18">
        <f t="shared" si="115"/>
        <v>227</v>
      </c>
      <c r="W702" s="5">
        <f t="shared" si="116"/>
        <v>185</v>
      </c>
      <c r="X702" s="5">
        <f t="shared" si="117"/>
        <v>0</v>
      </c>
      <c r="Y702" s="5">
        <f t="shared" si="118"/>
        <v>194</v>
      </c>
      <c r="Z702" s="19">
        <f t="shared" si="119"/>
        <v>23</v>
      </c>
      <c r="AA702" s="20">
        <f>ABS(S702-SUMPRODUCT(('05B_가정검정'!$A$5:$A$19=B702)*('05B_가정검정'!$B$5:$B$19=C702)*'05B_가정검정'!$E$5:$E$19))</f>
        <v>3.2030164946854178E-2</v>
      </c>
      <c r="AB702" s="20">
        <f t="shared" si="120"/>
        <v>-2.6331505167379698E-2</v>
      </c>
    </row>
    <row r="703" spans="1:28">
      <c r="A703" s="15" t="s">
        <v>169</v>
      </c>
      <c r="B703" s="15" t="s">
        <v>122</v>
      </c>
      <c r="C703" s="15" t="s">
        <v>119</v>
      </c>
      <c r="D703" s="16">
        <v>0.25891946992864401</v>
      </c>
      <c r="E703" s="16">
        <v>0.480916030534351</v>
      </c>
      <c r="F703" s="16">
        <v>0.238461538461538</v>
      </c>
      <c r="G703" s="16">
        <v>0.37404580152671801</v>
      </c>
      <c r="H703" s="16">
        <v>0.31210967918002402</v>
      </c>
      <c r="I703" s="16">
        <v>0.33628387537260501</v>
      </c>
      <c r="J703" s="16">
        <v>0.67069090574801504</v>
      </c>
      <c r="K703" s="16">
        <v>0.65806748964330497</v>
      </c>
      <c r="L703" s="16">
        <v>0.84743990507686096</v>
      </c>
      <c r="M703" s="16">
        <v>0.53846153846153799</v>
      </c>
      <c r="N703" s="16">
        <v>0.60544217687074797</v>
      </c>
      <c r="O703" s="16">
        <v>1</v>
      </c>
      <c r="P703" s="17">
        <f t="shared" si="110"/>
        <v>0.33345606583398002</v>
      </c>
      <c r="Q703" s="17">
        <f t="shared" si="111"/>
        <v>0.72539943348939362</v>
      </c>
      <c r="R703" s="17">
        <f t="shared" si="112"/>
        <v>0.71463457177742862</v>
      </c>
      <c r="S703" s="17">
        <f>'02_지표정의'!$C$22*P703+'02_지표정의'!$C$23*Q703+'02_지표정의'!$C$24*R703</f>
        <v>0.6432430583591231</v>
      </c>
      <c r="T703" s="5">
        <f t="shared" si="113"/>
        <v>0</v>
      </c>
      <c r="U703" s="5" t="str">
        <f t="shared" si="114"/>
        <v>보고서</v>
      </c>
      <c r="V703" s="18">
        <f t="shared" si="115"/>
        <v>590</v>
      </c>
      <c r="W703" s="5">
        <f t="shared" si="116"/>
        <v>0</v>
      </c>
      <c r="X703" s="5">
        <f t="shared" si="117"/>
        <v>282</v>
      </c>
      <c r="Y703" s="5">
        <f t="shared" si="118"/>
        <v>441</v>
      </c>
      <c r="Z703" s="19">
        <f t="shared" si="119"/>
        <v>35</v>
      </c>
      <c r="AA703" s="20">
        <f>ABS(S703-SUMPRODUCT(('05B_가정검정'!$A$5:$A$19=B703)*('05B_가정검정'!$B$5:$B$19=C703)*'05B_가정검정'!$E$5:$E$19))</f>
        <v>7.6368704576716961E-3</v>
      </c>
      <c r="AB703" s="20">
        <f t="shared" si="120"/>
        <v>1.18541920442371E-2</v>
      </c>
    </row>
    <row r="704" spans="1:28">
      <c r="A704" s="15" t="s">
        <v>169</v>
      </c>
      <c r="B704" s="15" t="s">
        <v>123</v>
      </c>
      <c r="C704" s="15" t="s">
        <v>117</v>
      </c>
      <c r="D704" s="16">
        <v>0.26901874310915103</v>
      </c>
      <c r="E704" s="16">
        <v>0.365957446808511</v>
      </c>
      <c r="F704" s="16">
        <v>0.10300429184549401</v>
      </c>
      <c r="G704" s="16">
        <v>0.26382978723404299</v>
      </c>
      <c r="H704" s="16">
        <v>0.43669195410646999</v>
      </c>
      <c r="I704" s="16">
        <v>0.30290201412040602</v>
      </c>
      <c r="J704" s="16">
        <v>0.72339707814499199</v>
      </c>
      <c r="K704" s="16">
        <v>0.741768059551554</v>
      </c>
      <c r="L704" s="16">
        <v>0.90671031639634703</v>
      </c>
      <c r="M704" s="16">
        <v>0.90654205607476601</v>
      </c>
      <c r="N704" s="16">
        <v>0.91666666666666696</v>
      </c>
      <c r="O704" s="16">
        <v>1</v>
      </c>
      <c r="P704" s="17">
        <f t="shared" si="110"/>
        <v>0.29023403953734583</v>
      </c>
      <c r="Q704" s="17">
        <f t="shared" si="111"/>
        <v>0.79062515136429778</v>
      </c>
      <c r="R704" s="17">
        <f t="shared" si="112"/>
        <v>0.94106957424714432</v>
      </c>
      <c r="S704" s="17">
        <f>'02_지표정의'!$C$22*P704+'02_지표정의'!$C$23*Q704+'02_지표정의'!$C$24*R704</f>
        <v>0.74320247700790365</v>
      </c>
      <c r="T704" s="5">
        <f t="shared" si="113"/>
        <v>0</v>
      </c>
      <c r="U704" s="5" t="str">
        <f t="shared" si="114"/>
        <v>보고서</v>
      </c>
      <c r="V704" s="18">
        <f t="shared" si="115"/>
        <v>937</v>
      </c>
      <c r="W704" s="5">
        <f t="shared" si="116"/>
        <v>637</v>
      </c>
      <c r="X704" s="5">
        <f t="shared" si="117"/>
        <v>612</v>
      </c>
      <c r="Y704" s="5">
        <f t="shared" si="118"/>
        <v>0</v>
      </c>
      <c r="Z704" s="19">
        <f t="shared" si="119"/>
        <v>64</v>
      </c>
      <c r="AA704" s="20">
        <f>ABS(S704-SUMPRODUCT(('05B_가정검정'!$A$5:$A$19=B704)*('05B_가정검정'!$B$5:$B$19=C704)*'05B_가정검정'!$E$5:$E$19))</f>
        <v>2.8279594231679916E-2</v>
      </c>
      <c r="AB704" s="20">
        <f t="shared" si="120"/>
        <v>3.5217025196660479E-2</v>
      </c>
    </row>
    <row r="705" spans="1:28">
      <c r="A705" s="15" t="s">
        <v>169</v>
      </c>
      <c r="B705" s="15" t="s">
        <v>123</v>
      </c>
      <c r="C705" s="15" t="s">
        <v>118</v>
      </c>
      <c r="D705" s="16">
        <v>0.216352201257862</v>
      </c>
      <c r="E705" s="16">
        <v>0.28125</v>
      </c>
      <c r="F705" s="16">
        <v>0.118110236220472</v>
      </c>
      <c r="G705" s="16">
        <v>0.2265625</v>
      </c>
      <c r="H705" s="16">
        <v>0.26619996003037999</v>
      </c>
      <c r="I705" s="16">
        <v>0.174165961032859</v>
      </c>
      <c r="J705" s="16">
        <v>0.70811873901395594</v>
      </c>
      <c r="K705" s="16">
        <v>0.67321619784042097</v>
      </c>
      <c r="L705" s="16">
        <v>0.85709941128606204</v>
      </c>
      <c r="M705" s="16">
        <v>0.33105802047781602</v>
      </c>
      <c r="N705" s="16">
        <v>0.28030303030303</v>
      </c>
      <c r="O705" s="16">
        <v>0.52631578947368396</v>
      </c>
      <c r="P705" s="17">
        <f t="shared" si="110"/>
        <v>0.21377347642359548</v>
      </c>
      <c r="Q705" s="17">
        <f t="shared" si="111"/>
        <v>0.74614478271347962</v>
      </c>
      <c r="R705" s="17">
        <f t="shared" si="112"/>
        <v>0.37922561341817662</v>
      </c>
      <c r="S705" s="17">
        <f>'02_지표정의'!$C$22*P705+'02_지표정의'!$C$23*Q705+'02_지표정의'!$C$24*R705</f>
        <v>0.5112488122021468</v>
      </c>
      <c r="T705" s="5">
        <f t="shared" si="113"/>
        <v>0</v>
      </c>
      <c r="U705" s="5" t="str">
        <f t="shared" si="114"/>
        <v>보고서</v>
      </c>
      <c r="V705" s="18">
        <f t="shared" si="115"/>
        <v>71</v>
      </c>
      <c r="W705" s="5">
        <f t="shared" si="116"/>
        <v>63</v>
      </c>
      <c r="X705" s="5">
        <f t="shared" si="117"/>
        <v>0</v>
      </c>
      <c r="Y705" s="5">
        <f t="shared" si="118"/>
        <v>64</v>
      </c>
      <c r="Z705" s="19">
        <f t="shared" si="119"/>
        <v>16</v>
      </c>
      <c r="AA705" s="20">
        <f>ABS(S705-SUMPRODUCT(('05B_가정검정'!$A$5:$A$19=B705)*('05B_가정검정'!$B$5:$B$19=C705)*'05B_가정검정'!$E$5:$E$19))</f>
        <v>6.4050014676822919E-2</v>
      </c>
      <c r="AB705" s="20">
        <f t="shared" si="120"/>
        <v>-4.8622795722344292E-2</v>
      </c>
    </row>
    <row r="706" spans="1:28">
      <c r="A706" s="15" t="s">
        <v>169</v>
      </c>
      <c r="B706" s="15" t="s">
        <v>123</v>
      </c>
      <c r="C706" s="15" t="s">
        <v>119</v>
      </c>
      <c r="D706" s="16">
        <v>0.30932703659976402</v>
      </c>
      <c r="E706" s="16">
        <v>0.49746192893400998</v>
      </c>
      <c r="F706" s="16">
        <v>0.28717948717948699</v>
      </c>
      <c r="G706" s="16">
        <v>0.37563451776649798</v>
      </c>
      <c r="H706" s="16">
        <v>0.41970485382019701</v>
      </c>
      <c r="I706" s="16">
        <v>0.48472686238663998</v>
      </c>
      <c r="J706" s="16">
        <v>0.74324711054094605</v>
      </c>
      <c r="K706" s="16">
        <v>0.73630520305254699</v>
      </c>
      <c r="L706" s="16">
        <v>0.89169704037616104</v>
      </c>
      <c r="M706" s="16">
        <v>0.57396449704142005</v>
      </c>
      <c r="N706" s="16">
        <v>0.53921568627451</v>
      </c>
      <c r="O706" s="16">
        <v>1</v>
      </c>
      <c r="P706" s="17">
        <f t="shared" ref="P706:P769" si="121">AVERAGE(D706:I706)</f>
        <v>0.39567244778109933</v>
      </c>
      <c r="Q706" s="17">
        <f t="shared" ref="Q706:Q769" si="122">AVERAGE(J706:L706)</f>
        <v>0.79041645132321803</v>
      </c>
      <c r="R706" s="17">
        <f t="shared" ref="R706:R769" si="123">AVERAGE(M706:O706)</f>
        <v>0.70439339443864346</v>
      </c>
      <c r="S706" s="17">
        <f>'02_지표정의'!$C$22*P706+'02_지표정의'!$C$23*Q706+'02_지표정의'!$C$24*R706</f>
        <v>0.6813595807051932</v>
      </c>
      <c r="T706" s="5">
        <f t="shared" ref="T706:T769" si="124">IF(OR(AND(B706="gemini",C706="gemma"),AND(B706="qwen3_6",C706="qwen"),AND(B706="mistral",C706="ministral")),1,0)</f>
        <v>1</v>
      </c>
      <c r="U706" s="5" t="str">
        <f t="shared" ref="U706:U769" si="125">IF(LEFT(A706,3)="PAT","특허","보고서")</f>
        <v>보고서</v>
      </c>
      <c r="V706" s="18">
        <f t="shared" ref="V706:V769" si="126">COUNTIF($S$2:$S$976,"&lt;"&amp;S706)+(COUNTIF($S$2:$S$976,"="&amp;S706)+1)/2</f>
        <v>763</v>
      </c>
      <c r="W706" s="5">
        <f t="shared" ref="W706:W769" si="127">IF(C706="qwen",0,COUNTIFS($C$2:$C$976,"&lt;&gt;qwen",$S$2:$S$976,"&lt;"&amp;S706)+1)</f>
        <v>0</v>
      </c>
      <c r="X706" s="5">
        <f t="shared" ref="X706:X769" si="128">IF(C706="ministral",0,COUNTIFS($C$2:$C$976,"&lt;&gt;ministral",$S$2:$S$976,"&lt;"&amp;S706)+1)</f>
        <v>439</v>
      </c>
      <c r="Y706" s="5">
        <f t="shared" ref="Y706:Y769" si="129">IF(C706="gemma",0,COUNTIFS($C$2:$C$976,"&lt;&gt;gemma",$S$2:$S$976,"&lt;"&amp;S706)+1)</f>
        <v>552</v>
      </c>
      <c r="Z706" s="19">
        <f t="shared" ref="Z706:Z769" si="130">COUNTIFS($B$2:$B$976,B706,$C$2:$C$976,C706,$S$2:$S$976,"&lt;"&amp;S706)+1</f>
        <v>30</v>
      </c>
      <c r="AA706" s="20">
        <f>ABS(S706-SUMPRODUCT(('05B_가정검정'!$A$5:$A$19=B706)*('05B_가정검정'!$B$5:$B$19=C706)*'05B_가정검정'!$E$5:$E$19))</f>
        <v>4.2702166190341506E-3</v>
      </c>
      <c r="AB706" s="20">
        <f t="shared" ref="AB706:AB769" si="131">S706-AVERAGEIFS($S$2:$S$976,$B$2:$B$976,B706,$C$2:$C$976,C706)</f>
        <v>-1.0591523398085778E-3</v>
      </c>
    </row>
    <row r="707" spans="1:28">
      <c r="A707" s="15" t="s">
        <v>170</v>
      </c>
      <c r="B707" s="15" t="s">
        <v>116</v>
      </c>
      <c r="C707" s="15" t="s">
        <v>117</v>
      </c>
      <c r="D707" s="16">
        <v>0.25125628140703499</v>
      </c>
      <c r="E707" s="16">
        <v>0.34375</v>
      </c>
      <c r="F707" s="16">
        <v>0.105263157894737</v>
      </c>
      <c r="G707" s="16">
        <v>0.27083333333333298</v>
      </c>
      <c r="H707" s="16">
        <v>0.23850898444275201</v>
      </c>
      <c r="I707" s="16">
        <v>0.20234979471450601</v>
      </c>
      <c r="J707" s="16">
        <v>0.72459150839664399</v>
      </c>
      <c r="K707" s="16">
        <v>0.61329024913634</v>
      </c>
      <c r="L707" s="16">
        <v>0.80574500221470502</v>
      </c>
      <c r="M707" s="16">
        <v>0.51515151515151503</v>
      </c>
      <c r="N707" s="16">
        <v>0.213483146067416</v>
      </c>
      <c r="O707" s="16">
        <v>1</v>
      </c>
      <c r="P707" s="17">
        <f t="shared" si="121"/>
        <v>0.23532692529872715</v>
      </c>
      <c r="Q707" s="17">
        <f t="shared" si="122"/>
        <v>0.71454225324922971</v>
      </c>
      <c r="R707" s="17">
        <f t="shared" si="123"/>
        <v>0.57621155373964372</v>
      </c>
      <c r="S707" s="17">
        <f>'02_지표정의'!$C$22*P707+'02_지표정의'!$C$23*Q707+'02_지표정의'!$C$24*R707</f>
        <v>0.57028344283077415</v>
      </c>
      <c r="T707" s="5">
        <f t="shared" si="124"/>
        <v>0</v>
      </c>
      <c r="U707" s="5" t="str">
        <f t="shared" si="125"/>
        <v>보고서</v>
      </c>
      <c r="V707" s="18">
        <f t="shared" si="126"/>
        <v>284</v>
      </c>
      <c r="W707" s="5">
        <f t="shared" si="127"/>
        <v>232</v>
      </c>
      <c r="X707" s="5">
        <f t="shared" si="128"/>
        <v>114</v>
      </c>
      <c r="Y707" s="5">
        <f t="shared" si="129"/>
        <v>0</v>
      </c>
      <c r="Z707" s="19">
        <f t="shared" si="130"/>
        <v>50</v>
      </c>
      <c r="AA707" s="20">
        <f>ABS(S707-SUMPRODUCT(('05B_가정검정'!$A$5:$A$19=B707)*('05B_가정검정'!$B$5:$B$19=C707)*'05B_가정검정'!$E$5:$E$19))</f>
        <v>1.2879737845806871E-2</v>
      </c>
      <c r="AB707" s="20">
        <f t="shared" si="131"/>
        <v>1.7732277418150755E-2</v>
      </c>
    </row>
    <row r="708" spans="1:28">
      <c r="A708" s="15" t="s">
        <v>170</v>
      </c>
      <c r="B708" s="15" t="s">
        <v>116</v>
      </c>
      <c r="C708" s="15" t="s">
        <v>118</v>
      </c>
      <c r="D708" s="16">
        <v>0.27559055118110198</v>
      </c>
      <c r="E708" s="16">
        <v>0.26143790849673199</v>
      </c>
      <c r="F708" s="16">
        <v>0.105263157894737</v>
      </c>
      <c r="G708" s="16">
        <v>0.20915032679738599</v>
      </c>
      <c r="H708" s="16">
        <v>0.149712567150419</v>
      </c>
      <c r="I708" s="16">
        <v>0.25325844029827299</v>
      </c>
      <c r="J708" s="16">
        <v>0.70626954313100998</v>
      </c>
      <c r="K708" s="16">
        <v>0.69597029825795698</v>
      </c>
      <c r="L708" s="16">
        <v>0.84066747639370798</v>
      </c>
      <c r="M708" s="16">
        <v>0.47670250896057298</v>
      </c>
      <c r="N708" s="16">
        <v>1.55038759689923E-2</v>
      </c>
      <c r="O708" s="16">
        <v>1</v>
      </c>
      <c r="P708" s="17">
        <f t="shared" si="121"/>
        <v>0.20906882530310814</v>
      </c>
      <c r="Q708" s="17">
        <f t="shared" si="122"/>
        <v>0.74763577259422498</v>
      </c>
      <c r="R708" s="17">
        <f t="shared" si="123"/>
        <v>0.49740212830985508</v>
      </c>
      <c r="S708" s="17">
        <f>'02_지표정의'!$C$22*P708+'02_지표정의'!$C$23*Q708+'02_지표정의'!$C$24*R708</f>
        <v>0.55234060763647208</v>
      </c>
      <c r="T708" s="5">
        <f t="shared" si="124"/>
        <v>0</v>
      </c>
      <c r="U708" s="5" t="str">
        <f t="shared" si="125"/>
        <v>보고서</v>
      </c>
      <c r="V708" s="18">
        <f t="shared" si="126"/>
        <v>215</v>
      </c>
      <c r="W708" s="5">
        <f t="shared" si="127"/>
        <v>178</v>
      </c>
      <c r="X708" s="5">
        <f t="shared" si="128"/>
        <v>0</v>
      </c>
      <c r="Y708" s="5">
        <f t="shared" si="129"/>
        <v>185</v>
      </c>
      <c r="Z708" s="19">
        <f t="shared" si="130"/>
        <v>49</v>
      </c>
      <c r="AA708" s="20">
        <f>ABS(S708-SUMPRODUCT(('05B_가정검정'!$A$5:$A$19=B708)*('05B_가정검정'!$B$5:$B$19=C708)*'05B_가정검정'!$E$5:$E$19))</f>
        <v>2.1048185934750441E-2</v>
      </c>
      <c r="AB708" s="20">
        <f t="shared" si="131"/>
        <v>2.4791575257885778E-2</v>
      </c>
    </row>
    <row r="709" spans="1:28">
      <c r="A709" s="15" t="s">
        <v>170</v>
      </c>
      <c r="B709" s="15" t="s">
        <v>116</v>
      </c>
      <c r="C709" s="15" t="s">
        <v>119</v>
      </c>
      <c r="D709" s="16">
        <v>0.29569892473118298</v>
      </c>
      <c r="E709" s="16">
        <v>0.31615120274914099</v>
      </c>
      <c r="F709" s="16">
        <v>0.13840830449826999</v>
      </c>
      <c r="G709" s="16">
        <v>0.247422680412371</v>
      </c>
      <c r="H709" s="16">
        <v>0.22775610317425399</v>
      </c>
      <c r="I709" s="16">
        <v>0.27053680047428602</v>
      </c>
      <c r="J709" s="16">
        <v>0.72405239003600297</v>
      </c>
      <c r="K709" s="16">
        <v>0.64326686629707597</v>
      </c>
      <c r="L709" s="16">
        <v>0.81385733063352805</v>
      </c>
      <c r="M709" s="16">
        <v>0.38461538461538503</v>
      </c>
      <c r="N709" s="16">
        <v>0</v>
      </c>
      <c r="O709" s="16">
        <v>1</v>
      </c>
      <c r="P709" s="17">
        <f t="shared" si="121"/>
        <v>0.24932900267325084</v>
      </c>
      <c r="Q709" s="17">
        <f t="shared" si="122"/>
        <v>0.7270588623222024</v>
      </c>
      <c r="R709" s="17">
        <f t="shared" si="123"/>
        <v>0.46153846153846168</v>
      </c>
      <c r="S709" s="17">
        <f>'02_지표정의'!$C$22*P709+'02_지표정의'!$C$23*Q709+'02_지표정의'!$C$24*R709</f>
        <v>0.5385807501181028</v>
      </c>
      <c r="T709" s="5">
        <f t="shared" si="124"/>
        <v>0</v>
      </c>
      <c r="U709" s="5" t="str">
        <f t="shared" si="125"/>
        <v>보고서</v>
      </c>
      <c r="V709" s="18">
        <f t="shared" si="126"/>
        <v>164</v>
      </c>
      <c r="W709" s="5">
        <f t="shared" si="127"/>
        <v>0</v>
      </c>
      <c r="X709" s="5">
        <f t="shared" si="128"/>
        <v>37</v>
      </c>
      <c r="Y709" s="5">
        <f t="shared" si="129"/>
        <v>148</v>
      </c>
      <c r="Z709" s="19">
        <f t="shared" si="130"/>
        <v>16</v>
      </c>
      <c r="AA709" s="20">
        <f>ABS(S709-SUMPRODUCT(('05B_가정검정'!$A$5:$A$19=B709)*('05B_가정검정'!$B$5:$B$19=C709)*'05B_가정검정'!$E$5:$E$19))</f>
        <v>1.4442766624679804E-2</v>
      </c>
      <c r="AB709" s="20">
        <f t="shared" si="131"/>
        <v>-1.7871733558077252E-2</v>
      </c>
    </row>
    <row r="710" spans="1:28">
      <c r="A710" s="15" t="s">
        <v>170</v>
      </c>
      <c r="B710" s="15" t="s">
        <v>120</v>
      </c>
      <c r="C710" s="15" t="s">
        <v>117</v>
      </c>
      <c r="D710" s="16">
        <v>0.239786856127886</v>
      </c>
      <c r="E710" s="16">
        <v>0.268656716417911</v>
      </c>
      <c r="F710" s="16">
        <v>7.5187969924811998E-2</v>
      </c>
      <c r="G710" s="16">
        <v>0.19402985074626899</v>
      </c>
      <c r="H710" s="16">
        <v>0.32242873141872702</v>
      </c>
      <c r="I710" s="16">
        <v>0.17367013031536099</v>
      </c>
      <c r="J710" s="16">
        <v>0.68728041183954403</v>
      </c>
      <c r="K710" s="16">
        <v>0.70281206621926595</v>
      </c>
      <c r="L710" s="16">
        <v>0.861013300258475</v>
      </c>
      <c r="M710" s="16">
        <v>0.64583333333333304</v>
      </c>
      <c r="N710" s="16">
        <v>0.58333333333333304</v>
      </c>
      <c r="O710" s="16">
        <v>1</v>
      </c>
      <c r="P710" s="17">
        <f t="shared" si="121"/>
        <v>0.21229337582516097</v>
      </c>
      <c r="Q710" s="17">
        <f t="shared" si="122"/>
        <v>0.7503685927724284</v>
      </c>
      <c r="R710" s="17">
        <f t="shared" si="123"/>
        <v>0.74305555555555536</v>
      </c>
      <c r="S710" s="17">
        <f>'02_지표정의'!$C$22*P710+'02_지표정의'!$C$23*Q710+'02_지표정의'!$C$24*R710</f>
        <v>0.64019398635706937</v>
      </c>
      <c r="T710" s="5">
        <f t="shared" si="124"/>
        <v>0</v>
      </c>
      <c r="U710" s="5" t="str">
        <f t="shared" si="125"/>
        <v>보고서</v>
      </c>
      <c r="V710" s="18">
        <f t="shared" si="126"/>
        <v>576</v>
      </c>
      <c r="W710" s="5">
        <f t="shared" si="127"/>
        <v>447</v>
      </c>
      <c r="X710" s="5">
        <f t="shared" si="128"/>
        <v>272</v>
      </c>
      <c r="Y710" s="5">
        <f t="shared" si="129"/>
        <v>0</v>
      </c>
      <c r="Z710" s="19">
        <f t="shared" si="130"/>
        <v>44</v>
      </c>
      <c r="AA710" s="20">
        <f>ABS(S710-SUMPRODUCT(('05B_가정검정'!$A$5:$A$19=B710)*('05B_가정검정'!$B$5:$B$19=C710)*'05B_가정검정'!$E$5:$E$19))</f>
        <v>1.2145026299948292E-2</v>
      </c>
      <c r="AB710" s="20">
        <f t="shared" si="131"/>
        <v>8.8912829323122278E-3</v>
      </c>
    </row>
    <row r="711" spans="1:28">
      <c r="A711" s="15" t="s">
        <v>170</v>
      </c>
      <c r="B711" s="15" t="s">
        <v>120</v>
      </c>
      <c r="C711" s="15" t="s">
        <v>118</v>
      </c>
      <c r="D711" s="16">
        <v>0.27838827838827801</v>
      </c>
      <c r="E711" s="16">
        <v>0.267015706806283</v>
      </c>
      <c r="F711" s="16">
        <v>8.42105263157895E-2</v>
      </c>
      <c r="G711" s="16">
        <v>0.22513089005235601</v>
      </c>
      <c r="H711" s="16">
        <v>0.247855288591631</v>
      </c>
      <c r="I711" s="16">
        <v>0.232893021906664</v>
      </c>
      <c r="J711" s="16">
        <v>0.71568416423627701</v>
      </c>
      <c r="K711" s="16">
        <v>0.68700923943597803</v>
      </c>
      <c r="L711" s="16">
        <v>0.81459520711989497</v>
      </c>
      <c r="M711" s="16">
        <v>0.494623655913979</v>
      </c>
      <c r="N711" s="16">
        <v>0.60465116279069797</v>
      </c>
      <c r="O711" s="16">
        <v>1</v>
      </c>
      <c r="P711" s="17">
        <f t="shared" si="121"/>
        <v>0.22258228534350025</v>
      </c>
      <c r="Q711" s="17">
        <f t="shared" si="122"/>
        <v>0.73909620359738337</v>
      </c>
      <c r="R711" s="17">
        <f t="shared" si="123"/>
        <v>0.6997582729015589</v>
      </c>
      <c r="S711" s="17">
        <f>'02_지표정의'!$C$22*P711+'02_지표정의'!$C$23*Q711+'02_지표정의'!$C$24*R711</f>
        <v>0.6220251442030682</v>
      </c>
      <c r="T711" s="5">
        <f t="shared" si="124"/>
        <v>0</v>
      </c>
      <c r="U711" s="5" t="str">
        <f t="shared" si="125"/>
        <v>보고서</v>
      </c>
      <c r="V711" s="18">
        <f t="shared" si="126"/>
        <v>499</v>
      </c>
      <c r="W711" s="5">
        <f t="shared" si="127"/>
        <v>402</v>
      </c>
      <c r="X711" s="5">
        <f t="shared" si="128"/>
        <v>0</v>
      </c>
      <c r="Y711" s="5">
        <f t="shared" si="129"/>
        <v>378</v>
      </c>
      <c r="Z711" s="19">
        <f t="shared" si="130"/>
        <v>51</v>
      </c>
      <c r="AA711" s="20">
        <f>ABS(S711-SUMPRODUCT(('05B_가정검정'!$A$5:$A$19=B711)*('05B_가정검정'!$B$5:$B$19=C711)*'05B_가정검정'!$E$5:$E$19))</f>
        <v>3.1196295621440218E-2</v>
      </c>
      <c r="AB711" s="20">
        <f t="shared" si="131"/>
        <v>4.7134368240957403E-2</v>
      </c>
    </row>
    <row r="712" spans="1:28">
      <c r="A712" s="15" t="s">
        <v>170</v>
      </c>
      <c r="B712" s="15" t="s">
        <v>120</v>
      </c>
      <c r="C712" s="15" t="s">
        <v>119</v>
      </c>
      <c r="D712" s="16">
        <v>0.26256983240223503</v>
      </c>
      <c r="E712" s="16">
        <v>0.34332425068119898</v>
      </c>
      <c r="F712" s="16">
        <v>0.115068493150685</v>
      </c>
      <c r="G712" s="16">
        <v>0.23433242506811999</v>
      </c>
      <c r="H712" s="16">
        <v>0.33925316113981102</v>
      </c>
      <c r="I712" s="16">
        <v>0.17142545941904</v>
      </c>
      <c r="J712" s="16">
        <v>0.70600845646069699</v>
      </c>
      <c r="K712" s="16">
        <v>0.59960167705239698</v>
      </c>
      <c r="L712" s="16">
        <v>0.80607996195485998</v>
      </c>
      <c r="M712" s="16">
        <v>0.71005917159763299</v>
      </c>
      <c r="N712" s="16">
        <v>0.64705882352941202</v>
      </c>
      <c r="O712" s="16">
        <v>1</v>
      </c>
      <c r="P712" s="17">
        <f t="shared" si="121"/>
        <v>0.24432893697684835</v>
      </c>
      <c r="Q712" s="17">
        <f t="shared" si="122"/>
        <v>0.70389669848931791</v>
      </c>
      <c r="R712" s="17">
        <f t="shared" si="123"/>
        <v>0.78570599837568167</v>
      </c>
      <c r="S712" s="17">
        <f>'02_지표정의'!$C$22*P712+'02_지표정의'!$C$23*Q712+'02_지표정의'!$C$24*R712</f>
        <v>0.64061640114705132</v>
      </c>
      <c r="T712" s="5">
        <f t="shared" si="124"/>
        <v>0</v>
      </c>
      <c r="U712" s="5" t="str">
        <f t="shared" si="125"/>
        <v>보고서</v>
      </c>
      <c r="V712" s="18">
        <f t="shared" si="126"/>
        <v>580</v>
      </c>
      <c r="W712" s="5">
        <f t="shared" si="127"/>
        <v>0</v>
      </c>
      <c r="X712" s="5">
        <f t="shared" si="128"/>
        <v>275</v>
      </c>
      <c r="Y712" s="5">
        <f t="shared" si="129"/>
        <v>435</v>
      </c>
      <c r="Z712" s="19">
        <f t="shared" si="130"/>
        <v>15</v>
      </c>
      <c r="AA712" s="20">
        <f>ABS(S712-SUMPRODUCT(('05B_가정검정'!$A$5:$A$19=B712)*('05B_가정검정'!$B$5:$B$19=C712)*'05B_가정검정'!$E$5:$E$19))</f>
        <v>2.3060915334334964E-2</v>
      </c>
      <c r="AB712" s="20">
        <f t="shared" si="131"/>
        <v>-1.7806606363764299E-2</v>
      </c>
    </row>
    <row r="713" spans="1:28">
      <c r="A713" s="15" t="s">
        <v>170</v>
      </c>
      <c r="B713" s="15" t="s">
        <v>121</v>
      </c>
      <c r="C713" s="15" t="s">
        <v>117</v>
      </c>
      <c r="D713" s="16">
        <v>0.25895953757225398</v>
      </c>
      <c r="E713" s="16">
        <v>0.35643564356435697</v>
      </c>
      <c r="F713" s="16">
        <v>0.14000000000000001</v>
      </c>
      <c r="G713" s="16">
        <v>0.25742574257425699</v>
      </c>
      <c r="H713" s="16">
        <v>0.296796455941707</v>
      </c>
      <c r="I713" s="16">
        <v>0.179701504552536</v>
      </c>
      <c r="J713" s="16">
        <v>0.75087545457762706</v>
      </c>
      <c r="K713" s="16">
        <v>0.80897824359126702</v>
      </c>
      <c r="L713" s="16">
        <v>0.90878357151954803</v>
      </c>
      <c r="M713" s="16">
        <v>0.90654205607476601</v>
      </c>
      <c r="N713" s="16">
        <v>0.91666666666666696</v>
      </c>
      <c r="O713" s="16">
        <v>1</v>
      </c>
      <c r="P713" s="17">
        <f t="shared" si="121"/>
        <v>0.24821981403418517</v>
      </c>
      <c r="Q713" s="17">
        <f t="shared" si="122"/>
        <v>0.82287908989614744</v>
      </c>
      <c r="R713" s="17">
        <f t="shared" si="123"/>
        <v>0.94106957424714432</v>
      </c>
      <c r="S713" s="17">
        <f>'02_지표정의'!$C$22*P713+'02_지표정의'!$C$23*Q713+'02_지표정의'!$C$24*R713</f>
        <v>0.74931390424660393</v>
      </c>
      <c r="T713" s="5">
        <f t="shared" si="124"/>
        <v>1</v>
      </c>
      <c r="U713" s="5" t="str">
        <f t="shared" si="125"/>
        <v>보고서</v>
      </c>
      <c r="V713" s="18">
        <f t="shared" si="126"/>
        <v>953</v>
      </c>
      <c r="W713" s="5">
        <f t="shared" si="127"/>
        <v>647</v>
      </c>
      <c r="X713" s="5">
        <f t="shared" si="128"/>
        <v>628</v>
      </c>
      <c r="Y713" s="5">
        <f t="shared" si="129"/>
        <v>0</v>
      </c>
      <c r="Z713" s="19">
        <f t="shared" si="130"/>
        <v>63</v>
      </c>
      <c r="AA713" s="20">
        <f>ABS(S713-SUMPRODUCT(('05B_가정검정'!$A$5:$A$19=B713)*('05B_가정검정'!$B$5:$B$19=C713)*'05B_가정검정'!$E$5:$E$19))</f>
        <v>1.9881832864722782E-2</v>
      </c>
      <c r="AB713" s="20">
        <f t="shared" si="131"/>
        <v>3.1662111173722973E-2</v>
      </c>
    </row>
    <row r="714" spans="1:28">
      <c r="A714" s="15" t="s">
        <v>170</v>
      </c>
      <c r="B714" s="15" t="s">
        <v>121</v>
      </c>
      <c r="C714" s="15" t="s">
        <v>118</v>
      </c>
      <c r="D714" s="16">
        <v>0.26233453670276802</v>
      </c>
      <c r="E714" s="16">
        <v>0.246835443037975</v>
      </c>
      <c r="F714" s="16">
        <v>7.6433121019108305E-2</v>
      </c>
      <c r="G714" s="16">
        <v>0.170886075949367</v>
      </c>
      <c r="H714" s="16">
        <v>0.18402794632556599</v>
      </c>
      <c r="I714" s="16">
        <v>0.25633524071095498</v>
      </c>
      <c r="J714" s="16">
        <v>0.74539490490661597</v>
      </c>
      <c r="K714" s="16">
        <v>0.80170687544562702</v>
      </c>
      <c r="L714" s="16">
        <v>0.90950790548983196</v>
      </c>
      <c r="M714" s="16">
        <v>0.34767025089605702</v>
      </c>
      <c r="N714" s="16">
        <v>0.42635658914728702</v>
      </c>
      <c r="O714" s="16">
        <v>1</v>
      </c>
      <c r="P714" s="17">
        <f t="shared" si="121"/>
        <v>0.19947539395762318</v>
      </c>
      <c r="Q714" s="17">
        <f t="shared" si="122"/>
        <v>0.81886989528069165</v>
      </c>
      <c r="R714" s="17">
        <f t="shared" si="123"/>
        <v>0.591342280014448</v>
      </c>
      <c r="S714" s="17">
        <f>'02_지표정의'!$C$22*P714+'02_지표정의'!$C$23*Q714+'02_지표정의'!$C$24*R714</f>
        <v>0.61535632967289267</v>
      </c>
      <c r="T714" s="5">
        <f t="shared" si="124"/>
        <v>0</v>
      </c>
      <c r="U714" s="5" t="str">
        <f t="shared" si="125"/>
        <v>보고서</v>
      </c>
      <c r="V714" s="18">
        <f t="shared" si="126"/>
        <v>463</v>
      </c>
      <c r="W714" s="5">
        <f t="shared" si="127"/>
        <v>378</v>
      </c>
      <c r="X714" s="5">
        <f t="shared" si="128"/>
        <v>0</v>
      </c>
      <c r="Y714" s="5">
        <f t="shared" si="129"/>
        <v>350</v>
      </c>
      <c r="Z714" s="19">
        <f t="shared" si="130"/>
        <v>46</v>
      </c>
      <c r="AA714" s="20">
        <f>ABS(S714-SUMPRODUCT(('05B_가정검정'!$A$5:$A$19=B714)*('05B_가정검정'!$B$5:$B$19=C714)*'05B_가정검정'!$E$5:$E$19))</f>
        <v>1.6776839505924235E-2</v>
      </c>
      <c r="AB714" s="20">
        <f t="shared" si="131"/>
        <v>3.5957255146079392E-2</v>
      </c>
    </row>
    <row r="715" spans="1:28">
      <c r="A715" s="15" t="s">
        <v>170</v>
      </c>
      <c r="B715" s="15" t="s">
        <v>121</v>
      </c>
      <c r="C715" s="15" t="s">
        <v>119</v>
      </c>
      <c r="D715" s="16">
        <v>0.29274292742927399</v>
      </c>
      <c r="E715" s="16">
        <v>0.372093023255814</v>
      </c>
      <c r="F715" s="16">
        <v>0.14046822742474899</v>
      </c>
      <c r="G715" s="16">
        <v>0.21262458471760801</v>
      </c>
      <c r="H715" s="16">
        <v>0.27290337513304402</v>
      </c>
      <c r="I715" s="16">
        <v>0.27188184929326298</v>
      </c>
      <c r="J715" s="16">
        <v>0.76165727963582996</v>
      </c>
      <c r="K715" s="16">
        <v>0.73646304226639103</v>
      </c>
      <c r="L715" s="16">
        <v>0.87558417614714901</v>
      </c>
      <c r="M715" s="16">
        <v>0.57396449704142005</v>
      </c>
      <c r="N715" s="16">
        <v>0.53921568627451</v>
      </c>
      <c r="O715" s="16">
        <v>1</v>
      </c>
      <c r="P715" s="17">
        <f t="shared" si="121"/>
        <v>0.26045233120895867</v>
      </c>
      <c r="Q715" s="17">
        <f t="shared" si="122"/>
        <v>0.79123483268312322</v>
      </c>
      <c r="R715" s="17">
        <f t="shared" si="123"/>
        <v>0.70439339443864346</v>
      </c>
      <c r="S715" s="17">
        <f>'02_지표정의'!$C$22*P715+'02_지표정의'!$C$23*Q715+'02_지표정의'!$C$24*R715</f>
        <v>0.65468382900272237</v>
      </c>
      <c r="T715" s="5">
        <f t="shared" si="124"/>
        <v>0</v>
      </c>
      <c r="U715" s="5" t="str">
        <f t="shared" si="125"/>
        <v>보고서</v>
      </c>
      <c r="V715" s="18">
        <f t="shared" si="126"/>
        <v>643</v>
      </c>
      <c r="W715" s="5">
        <f t="shared" si="127"/>
        <v>0</v>
      </c>
      <c r="X715" s="5">
        <f t="shared" si="128"/>
        <v>325</v>
      </c>
      <c r="Y715" s="5">
        <f t="shared" si="129"/>
        <v>477</v>
      </c>
      <c r="Z715" s="19">
        <f t="shared" si="130"/>
        <v>9</v>
      </c>
      <c r="AA715" s="20">
        <f>ABS(S715-SUMPRODUCT(('05B_가정검정'!$A$5:$A$19=B715)*('05B_가정검정'!$B$5:$B$19=C715)*'05B_가정검정'!$E$5:$E$19))</f>
        <v>3.7636013793131307E-2</v>
      </c>
      <c r="AB715" s="20">
        <f t="shared" si="131"/>
        <v>-3.3553146416888668E-2</v>
      </c>
    </row>
    <row r="716" spans="1:28">
      <c r="A716" s="15" t="s">
        <v>170</v>
      </c>
      <c r="B716" s="15" t="s">
        <v>122</v>
      </c>
      <c r="C716" s="15" t="s">
        <v>117</v>
      </c>
      <c r="D716" s="16">
        <v>0.26681127982646402</v>
      </c>
      <c r="E716" s="16">
        <v>0.29927007299270098</v>
      </c>
      <c r="F716" s="16">
        <v>8.0882352941176502E-2</v>
      </c>
      <c r="G716" s="16">
        <v>0.226277372262774</v>
      </c>
      <c r="H716" s="16">
        <v>0.34047941684788602</v>
      </c>
      <c r="I716" s="16">
        <v>0.18771119764473099</v>
      </c>
      <c r="J716" s="16">
        <v>0.68413314346435405</v>
      </c>
      <c r="K716" s="16">
        <v>0.57327036408799303</v>
      </c>
      <c r="L716" s="16">
        <v>0.789464650350858</v>
      </c>
      <c r="M716" s="16">
        <v>0.462686567164179</v>
      </c>
      <c r="N716" s="16">
        <v>0.41525423728813599</v>
      </c>
      <c r="O716" s="16">
        <v>1</v>
      </c>
      <c r="P716" s="17">
        <f t="shared" si="121"/>
        <v>0.2335719487526221</v>
      </c>
      <c r="Q716" s="17">
        <f t="shared" si="122"/>
        <v>0.68228938596773503</v>
      </c>
      <c r="R716" s="17">
        <f t="shared" si="123"/>
        <v>0.62598026815077168</v>
      </c>
      <c r="S716" s="17">
        <f>'02_지표정의'!$C$22*P716+'02_지표정의'!$C$23*Q716+'02_지표정의'!$C$24*R716</f>
        <v>0.57283770728877526</v>
      </c>
      <c r="T716" s="5">
        <f t="shared" si="124"/>
        <v>0</v>
      </c>
      <c r="U716" s="5" t="str">
        <f t="shared" si="125"/>
        <v>보고서</v>
      </c>
      <c r="V716" s="18">
        <f t="shared" si="126"/>
        <v>300</v>
      </c>
      <c r="W716" s="5">
        <f t="shared" si="127"/>
        <v>243</v>
      </c>
      <c r="X716" s="5">
        <f t="shared" si="128"/>
        <v>126</v>
      </c>
      <c r="Y716" s="5">
        <f t="shared" si="129"/>
        <v>0</v>
      </c>
      <c r="Z716" s="19">
        <f t="shared" si="130"/>
        <v>13</v>
      </c>
      <c r="AA716" s="20">
        <f>ABS(S716-SUMPRODUCT(('05B_가정검정'!$A$5:$A$19=B716)*('05B_가정검정'!$B$5:$B$19=C716)*'05B_가정검정'!$E$5:$E$19))</f>
        <v>6.6515247419903223E-2</v>
      </c>
      <c r="AB716" s="20">
        <f t="shared" si="131"/>
        <v>-5.0043914900870901E-2</v>
      </c>
    </row>
    <row r="717" spans="1:28">
      <c r="A717" s="15" t="s">
        <v>170</v>
      </c>
      <c r="B717" s="15" t="s">
        <v>122</v>
      </c>
      <c r="C717" s="15" t="s">
        <v>118</v>
      </c>
      <c r="D717" s="16">
        <v>0.33558558558558599</v>
      </c>
      <c r="E717" s="16">
        <v>0.34020618556700999</v>
      </c>
      <c r="F717" s="16">
        <v>0.1139896373057</v>
      </c>
      <c r="G717" s="16">
        <v>0.26288659793814401</v>
      </c>
      <c r="H717" s="16">
        <v>0.292962673682508</v>
      </c>
      <c r="I717" s="16">
        <v>0.25911712926174402</v>
      </c>
      <c r="J717" s="16">
        <v>0.72598855517614802</v>
      </c>
      <c r="K717" s="16">
        <v>0.65763968738419498</v>
      </c>
      <c r="L717" s="16">
        <v>0.78836253221193697</v>
      </c>
      <c r="M717" s="16">
        <v>0.62007168458781403</v>
      </c>
      <c r="N717" s="16">
        <v>0.66666666666666696</v>
      </c>
      <c r="O717" s="16">
        <v>1</v>
      </c>
      <c r="P717" s="17">
        <f t="shared" si="121"/>
        <v>0.26745796822344864</v>
      </c>
      <c r="Q717" s="17">
        <f t="shared" si="122"/>
        <v>0.7239969249240934</v>
      </c>
      <c r="R717" s="17">
        <f t="shared" si="123"/>
        <v>0.76224611708482704</v>
      </c>
      <c r="S717" s="17">
        <f>'02_지표정의'!$C$22*P717+'02_지표정의'!$C$23*Q717+'02_지표정의'!$C$24*R717</f>
        <v>0.64607635084022119</v>
      </c>
      <c r="T717" s="5">
        <f t="shared" si="124"/>
        <v>1</v>
      </c>
      <c r="U717" s="5" t="str">
        <f t="shared" si="125"/>
        <v>보고서</v>
      </c>
      <c r="V717" s="18">
        <f t="shared" si="126"/>
        <v>599</v>
      </c>
      <c r="W717" s="5">
        <f t="shared" si="127"/>
        <v>461</v>
      </c>
      <c r="X717" s="5">
        <f t="shared" si="128"/>
        <v>0</v>
      </c>
      <c r="Y717" s="5">
        <f t="shared" si="129"/>
        <v>448</v>
      </c>
      <c r="Z717" s="19">
        <f t="shared" si="130"/>
        <v>56</v>
      </c>
      <c r="AA717" s="20">
        <f>ABS(S717-SUMPRODUCT(('05B_가정검정'!$A$5:$A$19=B717)*('05B_가정검정'!$B$5:$B$19=C717)*'05B_가정검정'!$E$5:$E$19))</f>
        <v>5.9154414843062941E-2</v>
      </c>
      <c r="AB717" s="20">
        <f t="shared" si="131"/>
        <v>6.4853074622537421E-2</v>
      </c>
    </row>
    <row r="718" spans="1:28">
      <c r="A718" s="15" t="s">
        <v>170</v>
      </c>
      <c r="B718" s="15" t="s">
        <v>122</v>
      </c>
      <c r="C718" s="15" t="s">
        <v>119</v>
      </c>
      <c r="D718" s="16">
        <v>0.349425287356322</v>
      </c>
      <c r="E718" s="16">
        <v>0.477211796246649</v>
      </c>
      <c r="F718" s="16">
        <v>0.204851752021563</v>
      </c>
      <c r="G718" s="16">
        <v>0.31635388739946402</v>
      </c>
      <c r="H718" s="16">
        <v>0.37872378535342599</v>
      </c>
      <c r="I718" s="16">
        <v>0.32167761578812698</v>
      </c>
      <c r="J718" s="16">
        <v>0.73780252205824903</v>
      </c>
      <c r="K718" s="16">
        <v>0.61889201341719502</v>
      </c>
      <c r="L718" s="16">
        <v>0.82093828671639701</v>
      </c>
      <c r="M718" s="16">
        <v>0.73134328358209</v>
      </c>
      <c r="N718" s="16">
        <v>0.75423728813559299</v>
      </c>
      <c r="O718" s="16">
        <v>1</v>
      </c>
      <c r="P718" s="17">
        <f t="shared" si="121"/>
        <v>0.34137402069425854</v>
      </c>
      <c r="Q718" s="17">
        <f t="shared" si="122"/>
        <v>0.72587760739728024</v>
      </c>
      <c r="R718" s="17">
        <f t="shared" si="123"/>
        <v>0.8285268572392277</v>
      </c>
      <c r="S718" s="17">
        <f>'02_지표정의'!$C$22*P718+'02_지표정의'!$C$23*Q718+'02_지표정의'!$C$24*R718</f>
        <v>0.68490412750135743</v>
      </c>
      <c r="T718" s="5">
        <f t="shared" si="124"/>
        <v>0</v>
      </c>
      <c r="U718" s="5" t="str">
        <f t="shared" si="125"/>
        <v>보고서</v>
      </c>
      <c r="V718" s="18">
        <f t="shared" si="126"/>
        <v>770</v>
      </c>
      <c r="W718" s="5">
        <f t="shared" si="127"/>
        <v>0</v>
      </c>
      <c r="X718" s="5">
        <f t="shared" si="128"/>
        <v>446</v>
      </c>
      <c r="Y718" s="5">
        <f t="shared" si="129"/>
        <v>555</v>
      </c>
      <c r="Z718" s="19">
        <f t="shared" si="130"/>
        <v>60</v>
      </c>
      <c r="AA718" s="20">
        <f>ABS(S718-SUMPRODUCT(('05B_가정검정'!$A$5:$A$19=B718)*('05B_가정검정'!$B$5:$B$19=C718)*'05B_가정검정'!$E$5:$E$19))</f>
        <v>4.9297939599906027E-2</v>
      </c>
      <c r="AB718" s="20">
        <f t="shared" si="131"/>
        <v>5.351526118647143E-2</v>
      </c>
    </row>
    <row r="719" spans="1:28">
      <c r="A719" s="15" t="s">
        <v>170</v>
      </c>
      <c r="B719" s="15" t="s">
        <v>123</v>
      </c>
      <c r="C719" s="15" t="s">
        <v>117</v>
      </c>
      <c r="D719" s="16">
        <v>0.28090999010880302</v>
      </c>
      <c r="E719" s="16">
        <v>0.32055749128919903</v>
      </c>
      <c r="F719" s="16">
        <v>0.105263157894737</v>
      </c>
      <c r="G719" s="16">
        <v>0.21602787456445999</v>
      </c>
      <c r="H719" s="16">
        <v>0.42063540893030699</v>
      </c>
      <c r="I719" s="16">
        <v>0.19210792733370199</v>
      </c>
      <c r="J719" s="16">
        <v>0.72817646878436904</v>
      </c>
      <c r="K719" s="16">
        <v>0.66304470892610001</v>
      </c>
      <c r="L719" s="16">
        <v>0.86626205671872603</v>
      </c>
      <c r="M719" s="16">
        <v>0.90654205607476601</v>
      </c>
      <c r="N719" s="16">
        <v>0.91666666666666696</v>
      </c>
      <c r="O719" s="16">
        <v>1</v>
      </c>
      <c r="P719" s="17">
        <f t="shared" si="121"/>
        <v>0.25591697502020133</v>
      </c>
      <c r="Q719" s="17">
        <f t="shared" si="122"/>
        <v>0.75249441147639828</v>
      </c>
      <c r="R719" s="17">
        <f t="shared" si="123"/>
        <v>0.94106957424714432</v>
      </c>
      <c r="S719" s="17">
        <f>'02_지표정의'!$C$22*P719+'02_지표정의'!$C$23*Q719+'02_지표정의'!$C$24*R719</f>
        <v>0.71918023115492002</v>
      </c>
      <c r="T719" s="5">
        <f t="shared" si="124"/>
        <v>0</v>
      </c>
      <c r="U719" s="5" t="str">
        <f t="shared" si="125"/>
        <v>보고서</v>
      </c>
      <c r="V719" s="18">
        <f t="shared" si="126"/>
        <v>874</v>
      </c>
      <c r="W719" s="5">
        <f t="shared" si="127"/>
        <v>582</v>
      </c>
      <c r="X719" s="5">
        <f t="shared" si="128"/>
        <v>549</v>
      </c>
      <c r="Y719" s="5">
        <f t="shared" si="129"/>
        <v>0</v>
      </c>
      <c r="Z719" s="19">
        <f t="shared" si="130"/>
        <v>39</v>
      </c>
      <c r="AA719" s="20">
        <f>ABS(S719-SUMPRODUCT(('05B_가정검정'!$A$5:$A$19=B719)*('05B_가정검정'!$B$5:$B$19=C719)*'05B_가정검정'!$E$5:$E$19))</f>
        <v>4.2573483786962907E-3</v>
      </c>
      <c r="AB719" s="20">
        <f t="shared" si="131"/>
        <v>1.1194779343676853E-2</v>
      </c>
    </row>
    <row r="720" spans="1:28">
      <c r="A720" s="15" t="s">
        <v>170</v>
      </c>
      <c r="B720" s="15" t="s">
        <v>123</v>
      </c>
      <c r="C720" s="15" t="s">
        <v>118</v>
      </c>
      <c r="D720" s="16">
        <v>0.24360286591607</v>
      </c>
      <c r="E720" s="16">
        <v>0.26932668329177101</v>
      </c>
      <c r="F720" s="16">
        <v>8.02005012531328E-2</v>
      </c>
      <c r="G720" s="16">
        <v>0.16458852867830401</v>
      </c>
      <c r="H720" s="16">
        <v>0.238508125009365</v>
      </c>
      <c r="I720" s="16">
        <v>0.136993581048304</v>
      </c>
      <c r="J720" s="16">
        <v>0.71854174405787696</v>
      </c>
      <c r="K720" s="16">
        <v>0.68521363629222298</v>
      </c>
      <c r="L720" s="16">
        <v>0.83524453241101004</v>
      </c>
      <c r="M720" s="16">
        <v>0.34767025089605702</v>
      </c>
      <c r="N720" s="16">
        <v>0.42635658914728702</v>
      </c>
      <c r="O720" s="16">
        <v>1</v>
      </c>
      <c r="P720" s="17">
        <f t="shared" si="121"/>
        <v>0.18887004753282446</v>
      </c>
      <c r="Q720" s="17">
        <f t="shared" si="122"/>
        <v>0.74633330425370337</v>
      </c>
      <c r="R720" s="17">
        <f t="shared" si="123"/>
        <v>0.591342280014448</v>
      </c>
      <c r="S720" s="17">
        <f>'02_지표정의'!$C$22*P720+'02_지표정의'!$C$23*Q720+'02_지표정의'!$C$24*R720</f>
        <v>0.58059379442578818</v>
      </c>
      <c r="T720" s="5">
        <f t="shared" si="124"/>
        <v>0</v>
      </c>
      <c r="U720" s="5" t="str">
        <f t="shared" si="125"/>
        <v>보고서</v>
      </c>
      <c r="V720" s="18">
        <f t="shared" si="126"/>
        <v>322</v>
      </c>
      <c r="W720" s="5">
        <f t="shared" si="127"/>
        <v>261</v>
      </c>
      <c r="X720" s="5">
        <f t="shared" si="128"/>
        <v>0</v>
      </c>
      <c r="Y720" s="5">
        <f t="shared" si="129"/>
        <v>245</v>
      </c>
      <c r="Z720" s="19">
        <f t="shared" si="130"/>
        <v>35</v>
      </c>
      <c r="AA720" s="20">
        <f>ABS(S720-SUMPRODUCT(('05B_가정검정'!$A$5:$A$19=B720)*('05B_가정검정'!$B$5:$B$19=C720)*'05B_가정검정'!$E$5:$E$19))</f>
        <v>5.2949675468184632E-3</v>
      </c>
      <c r="AB720" s="20">
        <f t="shared" si="131"/>
        <v>2.0722186501297091E-2</v>
      </c>
    </row>
    <row r="721" spans="1:28">
      <c r="A721" s="15" t="s">
        <v>170</v>
      </c>
      <c r="B721" s="15" t="s">
        <v>123</v>
      </c>
      <c r="C721" s="15" t="s">
        <v>119</v>
      </c>
      <c r="D721" s="16">
        <v>0.32950990615224202</v>
      </c>
      <c r="E721" s="16">
        <v>0.50259067357512899</v>
      </c>
      <c r="F721" s="16">
        <v>0.19791666666666699</v>
      </c>
      <c r="G721" s="16">
        <v>0.26424870466321199</v>
      </c>
      <c r="H721" s="16">
        <v>0.41795921496451199</v>
      </c>
      <c r="I721" s="16">
        <v>0.41939820308583198</v>
      </c>
      <c r="J721" s="16">
        <v>0.74113166079350701</v>
      </c>
      <c r="K721" s="16">
        <v>0.67482255042697903</v>
      </c>
      <c r="L721" s="16">
        <v>0.857285790730825</v>
      </c>
      <c r="M721" s="16">
        <v>0.57396449704142005</v>
      </c>
      <c r="N721" s="16">
        <v>0.53921568627451</v>
      </c>
      <c r="O721" s="16">
        <v>1</v>
      </c>
      <c r="P721" s="17">
        <f t="shared" si="121"/>
        <v>0.35527056151793235</v>
      </c>
      <c r="Q721" s="17">
        <f t="shared" si="122"/>
        <v>0.75774666731710372</v>
      </c>
      <c r="R721" s="17">
        <f t="shared" si="123"/>
        <v>0.70439339443864346</v>
      </c>
      <c r="S721" s="17">
        <f>'02_지표정의'!$C$22*P721+'02_지표정의'!$C$23*Q721+'02_지표정의'!$C$24*R721</f>
        <v>0.65857780064980831</v>
      </c>
      <c r="T721" s="5">
        <f t="shared" si="124"/>
        <v>1</v>
      </c>
      <c r="U721" s="5" t="str">
        <f t="shared" si="125"/>
        <v>보고서</v>
      </c>
      <c r="V721" s="18">
        <f t="shared" si="126"/>
        <v>663</v>
      </c>
      <c r="W721" s="5">
        <f t="shared" si="127"/>
        <v>0</v>
      </c>
      <c r="X721" s="5">
        <f t="shared" si="128"/>
        <v>344</v>
      </c>
      <c r="Y721" s="5">
        <f t="shared" si="129"/>
        <v>492</v>
      </c>
      <c r="Z721" s="19">
        <f t="shared" si="130"/>
        <v>24</v>
      </c>
      <c r="AA721" s="20">
        <f>ABS(S721-SUMPRODUCT(('05B_가정검정'!$A$5:$A$19=B721)*('05B_가정검정'!$B$5:$B$19=C721)*'05B_가정검정'!$E$5:$E$19))</f>
        <v>2.7051996674419043E-2</v>
      </c>
      <c r="AB721" s="20">
        <f t="shared" si="131"/>
        <v>-2.384093239519347E-2</v>
      </c>
    </row>
    <row r="722" spans="1:28">
      <c r="A722" s="15" t="s">
        <v>171</v>
      </c>
      <c r="B722" s="15" t="s">
        <v>116</v>
      </c>
      <c r="C722" s="15" t="s">
        <v>117</v>
      </c>
      <c r="D722" s="16">
        <v>0.24234693877551</v>
      </c>
      <c r="E722" s="16">
        <v>0.31472081218274101</v>
      </c>
      <c r="F722" s="16">
        <v>0.123076923076923</v>
      </c>
      <c r="G722" s="16">
        <v>0.28426395939086302</v>
      </c>
      <c r="H722" s="16">
        <v>0.23576822335668701</v>
      </c>
      <c r="I722" s="16">
        <v>0.195133962436881</v>
      </c>
      <c r="J722" s="16">
        <v>0.69832113510527505</v>
      </c>
      <c r="K722" s="16">
        <v>0.67036277984955905</v>
      </c>
      <c r="L722" s="16">
        <v>0.75694176246617995</v>
      </c>
      <c r="M722" s="16">
        <v>0.55757575757575795</v>
      </c>
      <c r="N722" s="16">
        <v>8.98876404494382E-2</v>
      </c>
      <c r="O722" s="16">
        <v>1</v>
      </c>
      <c r="P722" s="17">
        <f t="shared" si="121"/>
        <v>0.23255180320326752</v>
      </c>
      <c r="Q722" s="17">
        <f t="shared" si="122"/>
        <v>0.70854189247367128</v>
      </c>
      <c r="R722" s="17">
        <f t="shared" si="123"/>
        <v>0.54915446600839868</v>
      </c>
      <c r="S722" s="17">
        <f>'02_지표정의'!$C$22*P722+'02_지표정의'!$C$23*Q722+'02_지표정의'!$C$24*R722</f>
        <v>0.55755827535674518</v>
      </c>
      <c r="T722" s="5">
        <f t="shared" si="124"/>
        <v>0</v>
      </c>
      <c r="U722" s="5" t="str">
        <f t="shared" si="125"/>
        <v>보고서</v>
      </c>
      <c r="V722" s="18">
        <f t="shared" si="126"/>
        <v>241</v>
      </c>
      <c r="W722" s="5">
        <f t="shared" si="127"/>
        <v>196</v>
      </c>
      <c r="X722" s="5">
        <f t="shared" si="128"/>
        <v>87</v>
      </c>
      <c r="Y722" s="5">
        <f t="shared" si="129"/>
        <v>0</v>
      </c>
      <c r="Z722" s="19">
        <f t="shared" si="130"/>
        <v>34</v>
      </c>
      <c r="AA722" s="20">
        <f>ABS(S722-SUMPRODUCT(('05B_가정검정'!$A$5:$A$19=B722)*('05B_가정검정'!$B$5:$B$19=C722)*'05B_가정검정'!$E$5:$E$19))</f>
        <v>1.5457037177790678E-4</v>
      </c>
      <c r="AB722" s="20">
        <f t="shared" si="131"/>
        <v>5.0071099441217903E-3</v>
      </c>
    </row>
    <row r="723" spans="1:28">
      <c r="A723" s="15" t="s">
        <v>171</v>
      </c>
      <c r="B723" s="15" t="s">
        <v>116</v>
      </c>
      <c r="C723" s="15" t="s">
        <v>118</v>
      </c>
      <c r="D723" s="16">
        <v>0.29708222811671098</v>
      </c>
      <c r="E723" s="16">
        <v>0.24911032028469801</v>
      </c>
      <c r="F723" s="16">
        <v>0.12903225806451599</v>
      </c>
      <c r="G723" s="16">
        <v>0.24199288256227799</v>
      </c>
      <c r="H723" s="16">
        <v>0.15600098753654501</v>
      </c>
      <c r="I723" s="16">
        <v>0.292180136166247</v>
      </c>
      <c r="J723" s="16">
        <v>0.65449583492633201</v>
      </c>
      <c r="K723" s="16">
        <v>0.68317142550804499</v>
      </c>
      <c r="L723" s="16">
        <v>0.77809381855859205</v>
      </c>
      <c r="M723" s="16">
        <v>0.39295392953929498</v>
      </c>
      <c r="N723" s="16">
        <v>0</v>
      </c>
      <c r="O723" s="16">
        <v>0.52631578947368396</v>
      </c>
      <c r="P723" s="17">
        <f t="shared" si="121"/>
        <v>0.22756646878849918</v>
      </c>
      <c r="Q723" s="17">
        <f t="shared" si="122"/>
        <v>0.70525369299765639</v>
      </c>
      <c r="R723" s="17">
        <f t="shared" si="123"/>
        <v>0.306423239670993</v>
      </c>
      <c r="S723" s="17">
        <f>'02_지표정의'!$C$22*P723+'02_지표정의'!$C$23*Q723+'02_지표정의'!$C$24*R723</f>
        <v>0.4701255894914928</v>
      </c>
      <c r="T723" s="5">
        <f t="shared" si="124"/>
        <v>0</v>
      </c>
      <c r="U723" s="5" t="str">
        <f t="shared" si="125"/>
        <v>보고서</v>
      </c>
      <c r="V723" s="18">
        <f t="shared" si="126"/>
        <v>12</v>
      </c>
      <c r="W723" s="5">
        <f t="shared" si="127"/>
        <v>6</v>
      </c>
      <c r="X723" s="5">
        <f t="shared" si="128"/>
        <v>0</v>
      </c>
      <c r="Y723" s="5">
        <f t="shared" si="129"/>
        <v>11</v>
      </c>
      <c r="Z723" s="19">
        <f t="shared" si="130"/>
        <v>3</v>
      </c>
      <c r="AA723" s="20">
        <f>ABS(S723-SUMPRODUCT(('05B_가정검정'!$A$5:$A$19=B723)*('05B_가정검정'!$B$5:$B$19=C723)*'05B_가정검정'!$E$5:$E$19))</f>
        <v>6.1166832210228839E-2</v>
      </c>
      <c r="AB723" s="20">
        <f t="shared" si="131"/>
        <v>-5.7423442887093501E-2</v>
      </c>
    </row>
    <row r="724" spans="1:28">
      <c r="A724" s="15" t="s">
        <v>171</v>
      </c>
      <c r="B724" s="15" t="s">
        <v>116</v>
      </c>
      <c r="C724" s="15" t="s">
        <v>119</v>
      </c>
      <c r="D724" s="16">
        <v>0.306962025316456</v>
      </c>
      <c r="E724" s="16">
        <v>0.31284916201117302</v>
      </c>
      <c r="F724" s="16">
        <v>0.15819209039547999</v>
      </c>
      <c r="G724" s="16">
        <v>0.30167597765363102</v>
      </c>
      <c r="H724" s="16">
        <v>0.23972646938617501</v>
      </c>
      <c r="I724" s="16">
        <v>0.35641289686491701</v>
      </c>
      <c r="J724" s="16">
        <v>0.66282710474582696</v>
      </c>
      <c r="K724" s="16">
        <v>0.66520635516756998</v>
      </c>
      <c r="L724" s="16">
        <v>0.76044926701388105</v>
      </c>
      <c r="M724" s="16">
        <v>0.47191011235955099</v>
      </c>
      <c r="N724" s="16">
        <v>0</v>
      </c>
      <c r="O724" s="16">
        <v>1</v>
      </c>
      <c r="P724" s="17">
        <f t="shared" si="121"/>
        <v>0.27930310360463867</v>
      </c>
      <c r="Q724" s="17">
        <f t="shared" si="122"/>
        <v>0.69616090897575933</v>
      </c>
      <c r="R724" s="17">
        <f t="shared" si="123"/>
        <v>0.49063670411985033</v>
      </c>
      <c r="S724" s="17">
        <f>'02_지표정의'!$C$22*P724+'02_지표정의'!$C$23*Q724+'02_지표정의'!$C$24*R724</f>
        <v>0.54085587620196707</v>
      </c>
      <c r="T724" s="5">
        <f t="shared" si="124"/>
        <v>0</v>
      </c>
      <c r="U724" s="5" t="str">
        <f t="shared" si="125"/>
        <v>보고서</v>
      </c>
      <c r="V724" s="18">
        <f t="shared" si="126"/>
        <v>174</v>
      </c>
      <c r="W724" s="5">
        <f t="shared" si="127"/>
        <v>0</v>
      </c>
      <c r="X724" s="5">
        <f t="shared" si="128"/>
        <v>43</v>
      </c>
      <c r="Y724" s="5">
        <f t="shared" si="129"/>
        <v>155</v>
      </c>
      <c r="Z724" s="19">
        <f t="shared" si="130"/>
        <v>19</v>
      </c>
      <c r="AA724" s="20">
        <f>ABS(S724-SUMPRODUCT(('05B_가정검정'!$A$5:$A$19=B724)*('05B_가정검정'!$B$5:$B$19=C724)*'05B_가정검정'!$E$5:$E$19))</f>
        <v>1.2167640540815539E-2</v>
      </c>
      <c r="AB724" s="20">
        <f t="shared" si="131"/>
        <v>-1.5596607474212987E-2</v>
      </c>
    </row>
    <row r="725" spans="1:28">
      <c r="A725" s="15" t="s">
        <v>171</v>
      </c>
      <c r="B725" s="15" t="s">
        <v>120</v>
      </c>
      <c r="C725" s="15" t="s">
        <v>117</v>
      </c>
      <c r="D725" s="16">
        <v>0.25952813067150599</v>
      </c>
      <c r="E725" s="16">
        <v>0.38095238095238099</v>
      </c>
      <c r="F725" s="16">
        <v>8.8560885608856096E-2</v>
      </c>
      <c r="G725" s="16">
        <v>0.24175824175824201</v>
      </c>
      <c r="H725" s="16">
        <v>0.32726945933590001</v>
      </c>
      <c r="I725" s="16">
        <v>0.16334150618454599</v>
      </c>
      <c r="J725" s="16">
        <v>0.69120417457483596</v>
      </c>
      <c r="K725" s="16">
        <v>0.68161750927776699</v>
      </c>
      <c r="L725" s="16">
        <v>0.86226513752726497</v>
      </c>
      <c r="M725" s="16">
        <v>0.56707317073170704</v>
      </c>
      <c r="N725" s="16">
        <v>0.40425531914893598</v>
      </c>
      <c r="O725" s="16">
        <v>1</v>
      </c>
      <c r="P725" s="17">
        <f t="shared" si="121"/>
        <v>0.24356843408523854</v>
      </c>
      <c r="Q725" s="17">
        <f t="shared" si="122"/>
        <v>0.74502894045995605</v>
      </c>
      <c r="R725" s="17">
        <f t="shared" si="123"/>
        <v>0.65710949662688101</v>
      </c>
      <c r="S725" s="17">
        <f>'02_지표정의'!$C$22*P725+'02_지표정의'!$C$23*Q725+'02_지표정의'!$C$24*R725</f>
        <v>0.61396503384343626</v>
      </c>
      <c r="T725" s="5">
        <f t="shared" si="124"/>
        <v>0</v>
      </c>
      <c r="U725" s="5" t="str">
        <f t="shared" si="125"/>
        <v>보고서</v>
      </c>
      <c r="V725" s="18">
        <f t="shared" si="126"/>
        <v>456</v>
      </c>
      <c r="W725" s="5">
        <f t="shared" si="127"/>
        <v>371</v>
      </c>
      <c r="X725" s="5">
        <f t="shared" si="128"/>
        <v>196</v>
      </c>
      <c r="Y725" s="5">
        <f t="shared" si="129"/>
        <v>0</v>
      </c>
      <c r="Z725" s="19">
        <f t="shared" si="130"/>
        <v>20</v>
      </c>
      <c r="AA725" s="20">
        <f>ABS(S725-SUMPRODUCT(('05B_가정검정'!$A$5:$A$19=B725)*('05B_가정검정'!$B$5:$B$19=C725)*'05B_가정검정'!$E$5:$E$19))</f>
        <v>1.4083926213684816E-2</v>
      </c>
      <c r="AB725" s="20">
        <f t="shared" si="131"/>
        <v>-1.733766958132088E-2</v>
      </c>
    </row>
    <row r="726" spans="1:28">
      <c r="A726" s="15" t="s">
        <v>171</v>
      </c>
      <c r="B726" s="15" t="s">
        <v>120</v>
      </c>
      <c r="C726" s="15" t="s">
        <v>118</v>
      </c>
      <c r="D726" s="16">
        <v>0.28917910447761203</v>
      </c>
      <c r="E726" s="16">
        <v>0.33613445378151302</v>
      </c>
      <c r="F726" s="16">
        <v>0.123943661971831</v>
      </c>
      <c r="G726" s="16">
        <v>0.22969187675069999</v>
      </c>
      <c r="H726" s="16">
        <v>0.23753680020221801</v>
      </c>
      <c r="I726" s="16">
        <v>0.21735764398374599</v>
      </c>
      <c r="J726" s="16">
        <v>0.71592987943930997</v>
      </c>
      <c r="K726" s="16">
        <v>0.64548148254898496</v>
      </c>
      <c r="L726" s="16">
        <v>0.82403614623897004</v>
      </c>
      <c r="M726" s="16">
        <v>0.42547425474254702</v>
      </c>
      <c r="N726" s="16">
        <v>0.25850340136054401</v>
      </c>
      <c r="O726" s="16">
        <v>0.52631578947368396</v>
      </c>
      <c r="P726" s="17">
        <f t="shared" si="121"/>
        <v>0.23897392352793667</v>
      </c>
      <c r="Q726" s="17">
        <f t="shared" si="122"/>
        <v>0.72848250274242154</v>
      </c>
      <c r="R726" s="17">
        <f t="shared" si="123"/>
        <v>0.4034311485255917</v>
      </c>
      <c r="S726" s="17">
        <f>'02_지표정의'!$C$22*P726+'02_지표정의'!$C$23*Q726+'02_지표정의'!$C$24*R726</f>
        <v>0.51681281292363412</v>
      </c>
      <c r="T726" s="5">
        <f t="shared" si="124"/>
        <v>0</v>
      </c>
      <c r="U726" s="5" t="str">
        <f t="shared" si="125"/>
        <v>보고서</v>
      </c>
      <c r="V726" s="18">
        <f t="shared" si="126"/>
        <v>86</v>
      </c>
      <c r="W726" s="5">
        <f t="shared" si="127"/>
        <v>77</v>
      </c>
      <c r="X726" s="5">
        <f t="shared" si="128"/>
        <v>0</v>
      </c>
      <c r="Y726" s="5">
        <f t="shared" si="129"/>
        <v>79</v>
      </c>
      <c r="Z726" s="19">
        <f t="shared" si="130"/>
        <v>10</v>
      </c>
      <c r="AA726" s="20">
        <f>ABS(S726-SUMPRODUCT(('05B_가정검정'!$A$5:$A$19=B726)*('05B_가정검정'!$B$5:$B$19=C726)*'05B_가정검정'!$E$5:$E$19))</f>
        <v>7.4016035657993862E-2</v>
      </c>
      <c r="AB726" s="20">
        <f t="shared" si="131"/>
        <v>-5.8077963038476677E-2</v>
      </c>
    </row>
    <row r="727" spans="1:28">
      <c r="A727" s="15" t="s">
        <v>171</v>
      </c>
      <c r="B727" s="15" t="s">
        <v>120</v>
      </c>
      <c r="C727" s="15" t="s">
        <v>119</v>
      </c>
      <c r="D727" s="16">
        <v>0.26947368421052598</v>
      </c>
      <c r="E727" s="16">
        <v>0.4</v>
      </c>
      <c r="F727" s="16">
        <v>0.126482213438735</v>
      </c>
      <c r="G727" s="16">
        <v>0.29019607843137302</v>
      </c>
      <c r="H727" s="16">
        <v>0.328789548015952</v>
      </c>
      <c r="I727" s="16">
        <v>0.32200037013285099</v>
      </c>
      <c r="J727" s="16">
        <v>0.70554631084963504</v>
      </c>
      <c r="K727" s="16">
        <v>0.65957514640488801</v>
      </c>
      <c r="L727" s="16">
        <v>0.85521403501924997</v>
      </c>
      <c r="M727" s="16">
        <v>0.73033707865168496</v>
      </c>
      <c r="N727" s="16">
        <v>0.62765957446808496</v>
      </c>
      <c r="O727" s="16">
        <v>1</v>
      </c>
      <c r="P727" s="17">
        <f t="shared" si="121"/>
        <v>0.28949031570490619</v>
      </c>
      <c r="Q727" s="17">
        <f t="shared" si="122"/>
        <v>0.7401118307579243</v>
      </c>
      <c r="R727" s="17">
        <f t="shared" si="123"/>
        <v>0.7859988843732566</v>
      </c>
      <c r="S727" s="17">
        <f>'02_지표정의'!$C$22*P727+'02_지표정의'!$C$23*Q727+'02_지표정의'!$C$24*R727</f>
        <v>0.66604799651268687</v>
      </c>
      <c r="T727" s="5">
        <f t="shared" si="124"/>
        <v>0</v>
      </c>
      <c r="U727" s="5" t="str">
        <f t="shared" si="125"/>
        <v>보고서</v>
      </c>
      <c r="V727" s="18">
        <f t="shared" si="126"/>
        <v>699</v>
      </c>
      <c r="W727" s="5">
        <f t="shared" si="127"/>
        <v>0</v>
      </c>
      <c r="X727" s="5">
        <f t="shared" si="128"/>
        <v>379</v>
      </c>
      <c r="Y727" s="5">
        <f t="shared" si="129"/>
        <v>514</v>
      </c>
      <c r="Z727" s="19">
        <f t="shared" si="130"/>
        <v>35</v>
      </c>
      <c r="AA727" s="20">
        <f>ABS(S727-SUMPRODUCT(('05B_가정검정'!$A$5:$A$19=B727)*('05B_가정검정'!$B$5:$B$19=C727)*'05B_가정검정'!$E$5:$E$19))</f>
        <v>2.3706800313005871E-3</v>
      </c>
      <c r="AB727" s="20">
        <f t="shared" si="131"/>
        <v>7.6249890018712518E-3</v>
      </c>
    </row>
    <row r="728" spans="1:28">
      <c r="A728" s="15" t="s">
        <v>171</v>
      </c>
      <c r="B728" s="15" t="s">
        <v>121</v>
      </c>
      <c r="C728" s="15" t="s">
        <v>117</v>
      </c>
      <c r="D728" s="16">
        <v>0.27918170878459703</v>
      </c>
      <c r="E728" s="16">
        <v>0.39</v>
      </c>
      <c r="F728" s="16">
        <v>0.15151515151515199</v>
      </c>
      <c r="G728" s="16">
        <v>0.31</v>
      </c>
      <c r="H728" s="16">
        <v>0.28745835544078502</v>
      </c>
      <c r="I728" s="16">
        <v>0.195051796238143</v>
      </c>
      <c r="J728" s="16">
        <v>0.74319028207079896</v>
      </c>
      <c r="K728" s="16">
        <v>0.81825900662265205</v>
      </c>
      <c r="L728" s="16">
        <v>0.91329554180329198</v>
      </c>
      <c r="M728" s="16">
        <v>0.65100671140939603</v>
      </c>
      <c r="N728" s="16">
        <v>0.77464788732394396</v>
      </c>
      <c r="O728" s="16">
        <v>1</v>
      </c>
      <c r="P728" s="17">
        <f t="shared" si="121"/>
        <v>0.26886783532977954</v>
      </c>
      <c r="Q728" s="17">
        <f t="shared" si="122"/>
        <v>0.82491494349891425</v>
      </c>
      <c r="R728" s="17">
        <f t="shared" si="123"/>
        <v>0.80855153291111337</v>
      </c>
      <c r="S728" s="17">
        <f>'02_지표정의'!$C$22*P728+'02_지표정의'!$C$23*Q728+'02_지표정의'!$C$24*R728</f>
        <v>0.70797832815935702</v>
      </c>
      <c r="T728" s="5">
        <f t="shared" si="124"/>
        <v>1</v>
      </c>
      <c r="U728" s="5" t="str">
        <f t="shared" si="125"/>
        <v>보고서</v>
      </c>
      <c r="V728" s="18">
        <f t="shared" si="126"/>
        <v>837</v>
      </c>
      <c r="W728" s="5">
        <f t="shared" si="127"/>
        <v>560</v>
      </c>
      <c r="X728" s="5">
        <f t="shared" si="128"/>
        <v>512</v>
      </c>
      <c r="Y728" s="5">
        <f t="shared" si="129"/>
        <v>0</v>
      </c>
      <c r="Z728" s="19">
        <f t="shared" si="130"/>
        <v>17</v>
      </c>
      <c r="AA728" s="20">
        <f>ABS(S728-SUMPRODUCT(('05B_가정검정'!$A$5:$A$19=B728)*('05B_가정검정'!$B$5:$B$19=C728)*'05B_가정검정'!$E$5:$E$19))</f>
        <v>2.1453743222524135E-2</v>
      </c>
      <c r="AB728" s="20">
        <f t="shared" si="131"/>
        <v>-9.6734649135239437E-3</v>
      </c>
    </row>
    <row r="729" spans="1:28">
      <c r="A729" s="15" t="s">
        <v>171</v>
      </c>
      <c r="B729" s="15" t="s">
        <v>121</v>
      </c>
      <c r="C729" s="15" t="s">
        <v>118</v>
      </c>
      <c r="D729" s="16">
        <v>0.27465667915106101</v>
      </c>
      <c r="E729" s="16">
        <v>0.23239436619718301</v>
      </c>
      <c r="F729" s="16">
        <v>9.9290780141844004E-2</v>
      </c>
      <c r="G729" s="16">
        <v>0.19718309859154901</v>
      </c>
      <c r="H729" s="16">
        <v>0.18136169478731501</v>
      </c>
      <c r="I729" s="16">
        <v>0.24766872402561099</v>
      </c>
      <c r="J729" s="16">
        <v>0.76272162765884599</v>
      </c>
      <c r="K729" s="16">
        <v>0.759915082435487</v>
      </c>
      <c r="L729" s="16">
        <v>0.87994839796001501</v>
      </c>
      <c r="M729" s="16">
        <v>0.26287262872628703</v>
      </c>
      <c r="N729" s="16">
        <v>0.25170068027210901</v>
      </c>
      <c r="O729" s="16">
        <v>0.52631578947368396</v>
      </c>
      <c r="P729" s="17">
        <f t="shared" si="121"/>
        <v>0.20542589048242718</v>
      </c>
      <c r="Q729" s="17">
        <f t="shared" si="122"/>
        <v>0.80086170268478263</v>
      </c>
      <c r="R729" s="17">
        <f t="shared" si="123"/>
        <v>0.34696303282402668</v>
      </c>
      <c r="S729" s="17">
        <f>'02_지표정의'!$C$22*P729+'02_지표정의'!$C$23*Q729+'02_지표정의'!$C$24*R729</f>
        <v>0.52291000579304692</v>
      </c>
      <c r="T729" s="5">
        <f t="shared" si="124"/>
        <v>0</v>
      </c>
      <c r="U729" s="5" t="str">
        <f t="shared" si="125"/>
        <v>보고서</v>
      </c>
      <c r="V729" s="18">
        <f t="shared" si="126"/>
        <v>110</v>
      </c>
      <c r="W729" s="5">
        <f t="shared" si="127"/>
        <v>100</v>
      </c>
      <c r="X729" s="5">
        <f t="shared" si="128"/>
        <v>0</v>
      </c>
      <c r="Y729" s="5">
        <f t="shared" si="129"/>
        <v>101</v>
      </c>
      <c r="Z729" s="19">
        <f t="shared" si="130"/>
        <v>10</v>
      </c>
      <c r="AA729" s="20">
        <f>ABS(S729-SUMPRODUCT(('05B_가정검정'!$A$5:$A$19=B729)*('05B_가정검정'!$B$5:$B$19=C729)*'05B_가정검정'!$E$5:$E$19))</f>
        <v>7.5669484373921514E-2</v>
      </c>
      <c r="AB729" s="20">
        <f t="shared" si="131"/>
        <v>-5.6489068733766357E-2</v>
      </c>
    </row>
    <row r="730" spans="1:28">
      <c r="A730" s="15" t="s">
        <v>171</v>
      </c>
      <c r="B730" s="15" t="s">
        <v>121</v>
      </c>
      <c r="C730" s="15" t="s">
        <v>119</v>
      </c>
      <c r="D730" s="16">
        <v>0.318114874815906</v>
      </c>
      <c r="E730" s="16">
        <v>0.32967032967033</v>
      </c>
      <c r="F730" s="16">
        <v>0.133333333333333</v>
      </c>
      <c r="G730" s="16">
        <v>0.26373626373626402</v>
      </c>
      <c r="H730" s="16">
        <v>0.29729205794462699</v>
      </c>
      <c r="I730" s="16">
        <v>0.343567034427194</v>
      </c>
      <c r="J730" s="16">
        <v>0.76779933947381296</v>
      </c>
      <c r="K730" s="16">
        <v>0.731981407764416</v>
      </c>
      <c r="L730" s="16">
        <v>0.87520093143389299</v>
      </c>
      <c r="M730" s="16">
        <v>0.54494382022471899</v>
      </c>
      <c r="N730" s="16">
        <v>0.60439560439560502</v>
      </c>
      <c r="O730" s="16">
        <v>1</v>
      </c>
      <c r="P730" s="17">
        <f t="shared" si="121"/>
        <v>0.28095231565460899</v>
      </c>
      <c r="Q730" s="17">
        <f t="shared" si="122"/>
        <v>0.79166055955737402</v>
      </c>
      <c r="R730" s="17">
        <f t="shared" si="123"/>
        <v>0.71644647487344137</v>
      </c>
      <c r="S730" s="17">
        <f>'02_지표정의'!$C$22*P730+'02_지표정의'!$C$23*Q730+'02_지표정의'!$C$24*R730</f>
        <v>0.66319398113744454</v>
      </c>
      <c r="T730" s="5">
        <f t="shared" si="124"/>
        <v>0</v>
      </c>
      <c r="U730" s="5" t="str">
        <f t="shared" si="125"/>
        <v>보고서</v>
      </c>
      <c r="V730" s="18">
        <f t="shared" si="126"/>
        <v>687</v>
      </c>
      <c r="W730" s="5">
        <f t="shared" si="127"/>
        <v>0</v>
      </c>
      <c r="X730" s="5">
        <f t="shared" si="128"/>
        <v>368</v>
      </c>
      <c r="Y730" s="5">
        <f t="shared" si="129"/>
        <v>507</v>
      </c>
      <c r="Z730" s="19">
        <f t="shared" si="130"/>
        <v>19</v>
      </c>
      <c r="AA730" s="20">
        <f>ABS(S730-SUMPRODUCT(('05B_가정검정'!$A$5:$A$19=B730)*('05B_가정검정'!$B$5:$B$19=C730)*'05B_가정검정'!$E$5:$E$19))</f>
        <v>2.9125861658409136E-2</v>
      </c>
      <c r="AB730" s="20">
        <f t="shared" si="131"/>
        <v>-2.5042994282166497E-2</v>
      </c>
    </row>
    <row r="731" spans="1:28">
      <c r="A731" s="15" t="s">
        <v>171</v>
      </c>
      <c r="B731" s="15" t="s">
        <v>122</v>
      </c>
      <c r="C731" s="15" t="s">
        <v>117</v>
      </c>
      <c r="D731" s="16">
        <v>0.24716267339218201</v>
      </c>
      <c r="E731" s="16">
        <v>0.34146341463414598</v>
      </c>
      <c r="F731" s="16">
        <v>0.108374384236453</v>
      </c>
      <c r="G731" s="16">
        <v>0.26341463414634197</v>
      </c>
      <c r="H731" s="16">
        <v>0.28568888684392602</v>
      </c>
      <c r="I731" s="16">
        <v>0.20210631250254599</v>
      </c>
      <c r="J731" s="16">
        <v>0.73836636740747896</v>
      </c>
      <c r="K731" s="16">
        <v>0.773067274389446</v>
      </c>
      <c r="L731" s="16">
        <v>0.88138374179613899</v>
      </c>
      <c r="M731" s="16">
        <v>0.69127516778523501</v>
      </c>
      <c r="N731" s="16">
        <v>0.51351351351351404</v>
      </c>
      <c r="O731" s="16">
        <v>1</v>
      </c>
      <c r="P731" s="17">
        <f t="shared" si="121"/>
        <v>0.24136838429259913</v>
      </c>
      <c r="Q731" s="17">
        <f t="shared" si="122"/>
        <v>0.79760579453102132</v>
      </c>
      <c r="R731" s="17">
        <f t="shared" si="123"/>
        <v>0.73492956043291635</v>
      </c>
      <c r="S731" s="17">
        <f>'02_지표정의'!$C$22*P731+'02_지표정의'!$C$23*Q731+'02_지표정의'!$C$24*R731</f>
        <v>0.66442163054900016</v>
      </c>
      <c r="T731" s="5">
        <f t="shared" si="124"/>
        <v>0</v>
      </c>
      <c r="U731" s="5" t="str">
        <f t="shared" si="125"/>
        <v>보고서</v>
      </c>
      <c r="V731" s="18">
        <f t="shared" si="126"/>
        <v>690</v>
      </c>
      <c r="W731" s="5">
        <f t="shared" si="127"/>
        <v>501</v>
      </c>
      <c r="X731" s="5">
        <f t="shared" si="128"/>
        <v>371</v>
      </c>
      <c r="Y731" s="5">
        <f t="shared" si="129"/>
        <v>0</v>
      </c>
      <c r="Z731" s="19">
        <f t="shared" si="130"/>
        <v>56</v>
      </c>
      <c r="AA731" s="20">
        <f>ABS(S731-SUMPRODUCT(('05B_가정검정'!$A$5:$A$19=B731)*('05B_가정검정'!$B$5:$B$19=C731)*'05B_가정검정'!$E$5:$E$19))</f>
        <v>2.5068675840321686E-2</v>
      </c>
      <c r="AB731" s="20">
        <f t="shared" si="131"/>
        <v>4.1540008359354008E-2</v>
      </c>
    </row>
    <row r="732" spans="1:28">
      <c r="A732" s="15" t="s">
        <v>171</v>
      </c>
      <c r="B732" s="15" t="s">
        <v>122</v>
      </c>
      <c r="C732" s="15" t="s">
        <v>118</v>
      </c>
      <c r="D732" s="16">
        <v>0.30144167758846702</v>
      </c>
      <c r="E732" s="16">
        <v>0.25605536332179901</v>
      </c>
      <c r="F732" s="16">
        <v>9.7560975609756101E-2</v>
      </c>
      <c r="G732" s="16">
        <v>0.22145328719723201</v>
      </c>
      <c r="H732" s="16">
        <v>0.178000249613147</v>
      </c>
      <c r="I732" s="16">
        <v>0.28118248216682401</v>
      </c>
      <c r="J732" s="16">
        <v>0.74104452356766903</v>
      </c>
      <c r="K732" s="16">
        <v>0.75858190289872995</v>
      </c>
      <c r="L732" s="16">
        <v>0.88649089409165605</v>
      </c>
      <c r="M732" s="16">
        <v>0.344173441734417</v>
      </c>
      <c r="N732" s="16">
        <v>0.22448979591836701</v>
      </c>
      <c r="O732" s="16">
        <v>0.52631578947368396</v>
      </c>
      <c r="P732" s="17">
        <f t="shared" si="121"/>
        <v>0.22261567258287085</v>
      </c>
      <c r="Q732" s="17">
        <f t="shared" si="122"/>
        <v>0.79537244018601838</v>
      </c>
      <c r="R732" s="17">
        <f t="shared" si="123"/>
        <v>0.36499300904215604</v>
      </c>
      <c r="S732" s="17">
        <f>'02_지표정의'!$C$22*P732+'02_지표정의'!$C$23*Q732+'02_지표정의'!$C$24*R732</f>
        <v>0.53018828576503707</v>
      </c>
      <c r="T732" s="5">
        <f t="shared" si="124"/>
        <v>1</v>
      </c>
      <c r="U732" s="5" t="str">
        <f t="shared" si="125"/>
        <v>보고서</v>
      </c>
      <c r="V732" s="18">
        <f t="shared" si="126"/>
        <v>133</v>
      </c>
      <c r="W732" s="5">
        <f t="shared" si="127"/>
        <v>119</v>
      </c>
      <c r="X732" s="5">
        <f t="shared" si="128"/>
        <v>0</v>
      </c>
      <c r="Y732" s="5">
        <f t="shared" si="129"/>
        <v>121</v>
      </c>
      <c r="Z732" s="19">
        <f t="shared" si="130"/>
        <v>14</v>
      </c>
      <c r="AA732" s="20">
        <f>ABS(S732-SUMPRODUCT(('05B_가정검정'!$A$5:$A$19=B732)*('05B_가정검정'!$B$5:$B$19=C732)*'05B_가정검정'!$E$5:$E$19))</f>
        <v>5.673365023212118E-2</v>
      </c>
      <c r="AB732" s="20">
        <f t="shared" si="131"/>
        <v>-5.10349904526467E-2</v>
      </c>
    </row>
    <row r="733" spans="1:28">
      <c r="A733" s="15" t="s">
        <v>171</v>
      </c>
      <c r="B733" s="15" t="s">
        <v>122</v>
      </c>
      <c r="C733" s="15" t="s">
        <v>119</v>
      </c>
      <c r="D733" s="16">
        <v>0.32137285491419698</v>
      </c>
      <c r="E733" s="16">
        <v>0.33155080213903698</v>
      </c>
      <c r="F733" s="16">
        <v>0.14054054054054099</v>
      </c>
      <c r="G733" s="16">
        <v>0.32085561497326198</v>
      </c>
      <c r="H733" s="16">
        <v>0.26409121451842998</v>
      </c>
      <c r="I733" s="16">
        <v>0.234891502358511</v>
      </c>
      <c r="J733" s="16">
        <v>0.74099899473000796</v>
      </c>
      <c r="K733" s="16">
        <v>0.71245728766112704</v>
      </c>
      <c r="L733" s="16">
        <v>0.85655884542084904</v>
      </c>
      <c r="M733" s="16">
        <v>0.58988764044943798</v>
      </c>
      <c r="N733" s="16">
        <v>0.38461538461538503</v>
      </c>
      <c r="O733" s="16">
        <v>1</v>
      </c>
      <c r="P733" s="17">
        <f t="shared" si="121"/>
        <v>0.26888375490732963</v>
      </c>
      <c r="Q733" s="17">
        <f t="shared" si="122"/>
        <v>0.77000504260399472</v>
      </c>
      <c r="R733" s="17">
        <f t="shared" si="123"/>
        <v>0.65816767502160767</v>
      </c>
      <c r="S733" s="17">
        <f>'02_지표정의'!$C$22*P733+'02_지표정의'!$C$23*Q733+'02_지표정의'!$C$24*R733</f>
        <v>0.63063770641082617</v>
      </c>
      <c r="T733" s="5">
        <f t="shared" si="124"/>
        <v>0</v>
      </c>
      <c r="U733" s="5" t="str">
        <f t="shared" si="125"/>
        <v>보고서</v>
      </c>
      <c r="V733" s="18">
        <f t="shared" si="126"/>
        <v>530</v>
      </c>
      <c r="W733" s="5">
        <f t="shared" si="127"/>
        <v>0</v>
      </c>
      <c r="X733" s="5">
        <f t="shared" si="128"/>
        <v>235</v>
      </c>
      <c r="Y733" s="5">
        <f t="shared" si="129"/>
        <v>401</v>
      </c>
      <c r="Z733" s="19">
        <f t="shared" si="130"/>
        <v>26</v>
      </c>
      <c r="AA733" s="20">
        <f>ABS(S733-SUMPRODUCT(('05B_가정검정'!$A$5:$A$19=B733)*('05B_가정검정'!$B$5:$B$19=C733)*'05B_가정검정'!$E$5:$E$19))</f>
        <v>4.9684814906252317E-3</v>
      </c>
      <c r="AB733" s="20">
        <f t="shared" si="131"/>
        <v>-7.5115990405982824E-4</v>
      </c>
    </row>
    <row r="734" spans="1:28">
      <c r="A734" s="15" t="s">
        <v>171</v>
      </c>
      <c r="B734" s="15" t="s">
        <v>123</v>
      </c>
      <c r="C734" s="15" t="s">
        <v>117</v>
      </c>
      <c r="D734" s="16">
        <v>0.26824034334764002</v>
      </c>
      <c r="E734" s="16">
        <v>0.34782608695652201</v>
      </c>
      <c r="F734" s="16">
        <v>0.12280701754386</v>
      </c>
      <c r="G734" s="16">
        <v>0.24347826086956501</v>
      </c>
      <c r="H734" s="16">
        <v>0.401525621596662</v>
      </c>
      <c r="I734" s="16">
        <v>0.20738643536608301</v>
      </c>
      <c r="J734" s="16">
        <v>0.68673073396714801</v>
      </c>
      <c r="K734" s="16">
        <v>0.66366960256086205</v>
      </c>
      <c r="L734" s="16">
        <v>0.83064920548265198</v>
      </c>
      <c r="M734" s="16">
        <v>0.65100671140939603</v>
      </c>
      <c r="N734" s="16">
        <v>0.77464788732394396</v>
      </c>
      <c r="O734" s="16">
        <v>1</v>
      </c>
      <c r="P734" s="17">
        <f t="shared" si="121"/>
        <v>0.26521062761338871</v>
      </c>
      <c r="Q734" s="17">
        <f t="shared" si="122"/>
        <v>0.72701651400355394</v>
      </c>
      <c r="R734" s="17">
        <f t="shared" si="123"/>
        <v>0.80855153291111337</v>
      </c>
      <c r="S734" s="17">
        <f>'02_지표정의'!$C$22*P734+'02_지표정의'!$C$23*Q734+'02_지표정의'!$C$24*R734</f>
        <v>0.66319259334316671</v>
      </c>
      <c r="T734" s="5">
        <f t="shared" si="124"/>
        <v>0</v>
      </c>
      <c r="U734" s="5" t="str">
        <f t="shared" si="125"/>
        <v>보고서</v>
      </c>
      <c r="V734" s="18">
        <f t="shared" si="126"/>
        <v>686</v>
      </c>
      <c r="W734" s="5">
        <f t="shared" si="127"/>
        <v>499</v>
      </c>
      <c r="X734" s="5">
        <f t="shared" si="128"/>
        <v>367</v>
      </c>
      <c r="Y734" s="5">
        <f t="shared" si="129"/>
        <v>0</v>
      </c>
      <c r="Z734" s="19">
        <f t="shared" si="130"/>
        <v>4</v>
      </c>
      <c r="AA734" s="20">
        <f>ABS(S734-SUMPRODUCT(('05B_가정검정'!$A$5:$A$19=B734)*('05B_가정검정'!$B$5:$B$19=C734)*'05B_가정검정'!$E$5:$E$19))</f>
        <v>5.173028943305702E-2</v>
      </c>
      <c r="AB734" s="20">
        <f t="shared" si="131"/>
        <v>-4.4792858468076457E-2</v>
      </c>
    </row>
    <row r="735" spans="1:28">
      <c r="A735" s="15" t="s">
        <v>171</v>
      </c>
      <c r="B735" s="15" t="s">
        <v>123</v>
      </c>
      <c r="C735" s="15" t="s">
        <v>118</v>
      </c>
      <c r="D735" s="16">
        <v>0.24390243902438999</v>
      </c>
      <c r="E735" s="16">
        <v>0.22292993630573299</v>
      </c>
      <c r="F735" s="16">
        <v>8.9743589743589799E-2</v>
      </c>
      <c r="G735" s="16">
        <v>0.178343949044586</v>
      </c>
      <c r="H735" s="16">
        <v>0.225152292407967</v>
      </c>
      <c r="I735" s="16">
        <v>0.20871326237993801</v>
      </c>
      <c r="J735" s="16">
        <v>0.68327675571183799</v>
      </c>
      <c r="K735" s="16">
        <v>0.67382264307081496</v>
      </c>
      <c r="L735" s="16">
        <v>0.78756798306832498</v>
      </c>
      <c r="M735" s="16">
        <v>0.26287262872628703</v>
      </c>
      <c r="N735" s="16">
        <v>0.25170068027210901</v>
      </c>
      <c r="O735" s="16">
        <v>0.52631578947368396</v>
      </c>
      <c r="P735" s="17">
        <f t="shared" si="121"/>
        <v>0.19479757815103393</v>
      </c>
      <c r="Q735" s="17">
        <f t="shared" si="122"/>
        <v>0.71488912728365939</v>
      </c>
      <c r="R735" s="17">
        <f t="shared" si="123"/>
        <v>0.34696303282402668</v>
      </c>
      <c r="S735" s="17">
        <f>'02_지표정의'!$C$22*P735+'02_지표정의'!$C$23*Q735+'02_지표정의'!$C$24*R735</f>
        <v>0.48209668439626285</v>
      </c>
      <c r="T735" s="5">
        <f t="shared" si="124"/>
        <v>0</v>
      </c>
      <c r="U735" s="5" t="str">
        <f t="shared" si="125"/>
        <v>보고서</v>
      </c>
      <c r="V735" s="18">
        <f t="shared" si="126"/>
        <v>19</v>
      </c>
      <c r="W735" s="5">
        <f t="shared" si="127"/>
        <v>13</v>
      </c>
      <c r="X735" s="5">
        <f t="shared" si="128"/>
        <v>0</v>
      </c>
      <c r="Y735" s="5">
        <f t="shared" si="129"/>
        <v>17</v>
      </c>
      <c r="Z735" s="19">
        <f t="shared" si="130"/>
        <v>1</v>
      </c>
      <c r="AA735" s="20">
        <f>ABS(S735-SUMPRODUCT(('05B_가정검정'!$A$5:$A$19=B735)*('05B_가정검정'!$B$5:$B$19=C735)*'05B_가정검정'!$E$5:$E$19))</f>
        <v>9.3202142482706862E-2</v>
      </c>
      <c r="AB735" s="20">
        <f t="shared" si="131"/>
        <v>-7.7774923528228235E-2</v>
      </c>
    </row>
    <row r="736" spans="1:28">
      <c r="A736" s="15" t="s">
        <v>171</v>
      </c>
      <c r="B736" s="15" t="s">
        <v>123</v>
      </c>
      <c r="C736" s="15" t="s">
        <v>119</v>
      </c>
      <c r="D736" s="16">
        <v>0.28205128205128199</v>
      </c>
      <c r="E736" s="16">
        <v>0.34905660377358499</v>
      </c>
      <c r="F736" s="16">
        <v>0.180952380952381</v>
      </c>
      <c r="G736" s="16">
        <v>0.30188679245283001</v>
      </c>
      <c r="H736" s="16">
        <v>0.403294829208862</v>
      </c>
      <c r="I736" s="16">
        <v>0.36045255578087798</v>
      </c>
      <c r="J736" s="16">
        <v>0.708196924987336</v>
      </c>
      <c r="K736" s="16">
        <v>0.68044068969869498</v>
      </c>
      <c r="L736" s="16">
        <v>0.84371579666252305</v>
      </c>
      <c r="M736" s="16">
        <v>0.54494382022471899</v>
      </c>
      <c r="N736" s="16">
        <v>0.60439560439560502</v>
      </c>
      <c r="O736" s="16">
        <v>1</v>
      </c>
      <c r="P736" s="17">
        <f t="shared" si="121"/>
        <v>0.31294907403663635</v>
      </c>
      <c r="Q736" s="17">
        <f t="shared" si="122"/>
        <v>0.74411780378285142</v>
      </c>
      <c r="R736" s="17">
        <f t="shared" si="123"/>
        <v>0.71644647487344137</v>
      </c>
      <c r="S736" s="17">
        <f>'02_지표정의'!$C$22*P736+'02_지표정의'!$C$23*Q736+'02_지표정의'!$C$24*R736</f>
        <v>0.64819909271531495</v>
      </c>
      <c r="T736" s="5">
        <f t="shared" si="124"/>
        <v>1</v>
      </c>
      <c r="U736" s="5" t="str">
        <f t="shared" si="125"/>
        <v>보고서</v>
      </c>
      <c r="V736" s="18">
        <f t="shared" si="126"/>
        <v>611</v>
      </c>
      <c r="W736" s="5">
        <f t="shared" si="127"/>
        <v>0</v>
      </c>
      <c r="X736" s="5">
        <f t="shared" si="128"/>
        <v>298</v>
      </c>
      <c r="Y736" s="5">
        <f t="shared" si="129"/>
        <v>458</v>
      </c>
      <c r="Z736" s="19">
        <f t="shared" si="130"/>
        <v>15</v>
      </c>
      <c r="AA736" s="20">
        <f>ABS(S736-SUMPRODUCT(('05B_가정검정'!$A$5:$A$19=B736)*('05B_가정검정'!$B$5:$B$19=C736)*'05B_가정검정'!$E$5:$E$19))</f>
        <v>3.7430704608912402E-2</v>
      </c>
      <c r="AB736" s="20">
        <f t="shared" si="131"/>
        <v>-3.4219640329686829E-2</v>
      </c>
    </row>
    <row r="737" spans="1:28">
      <c r="A737" s="15" t="s">
        <v>172</v>
      </c>
      <c r="B737" s="15" t="s">
        <v>116</v>
      </c>
      <c r="C737" s="15" t="s">
        <v>117</v>
      </c>
      <c r="D737" s="16">
        <v>0.26897470039946703</v>
      </c>
      <c r="E737" s="16">
        <v>0.29787234042553201</v>
      </c>
      <c r="F737" s="16">
        <v>0.128755364806867</v>
      </c>
      <c r="G737" s="16">
        <v>0.229787234042553</v>
      </c>
      <c r="H737" s="16">
        <v>0.24322640607346099</v>
      </c>
      <c r="I737" s="16">
        <v>0.24165907504516601</v>
      </c>
      <c r="J737" s="16">
        <v>0.65975499224846701</v>
      </c>
      <c r="K737" s="16">
        <v>0.59901341087917803</v>
      </c>
      <c r="L737" s="16">
        <v>0.79358051705284705</v>
      </c>
      <c r="M737" s="16">
        <v>0.51515151515151503</v>
      </c>
      <c r="N737" s="16">
        <v>0.213483146067416</v>
      </c>
      <c r="O737" s="16">
        <v>1</v>
      </c>
      <c r="P737" s="17">
        <f t="shared" si="121"/>
        <v>0.23504585346550766</v>
      </c>
      <c r="Q737" s="17">
        <f t="shared" si="122"/>
        <v>0.68411630672683066</v>
      </c>
      <c r="R737" s="17">
        <f t="shared" si="123"/>
        <v>0.57621155373964372</v>
      </c>
      <c r="S737" s="17">
        <f>'02_지표정의'!$C$22*P737+'02_지표정의'!$C$23*Q737+'02_지표정의'!$C$24*R737</f>
        <v>0.55653555252905063</v>
      </c>
      <c r="T737" s="5">
        <f t="shared" si="124"/>
        <v>0</v>
      </c>
      <c r="U737" s="5" t="str">
        <f t="shared" si="125"/>
        <v>보고서</v>
      </c>
      <c r="V737" s="18">
        <f t="shared" si="126"/>
        <v>237</v>
      </c>
      <c r="W737" s="5">
        <f t="shared" si="127"/>
        <v>193</v>
      </c>
      <c r="X737" s="5">
        <f t="shared" si="128"/>
        <v>84</v>
      </c>
      <c r="Y737" s="5">
        <f t="shared" si="129"/>
        <v>0</v>
      </c>
      <c r="Z737" s="19">
        <f t="shared" si="130"/>
        <v>32</v>
      </c>
      <c r="AA737" s="20">
        <f>ABS(S737-SUMPRODUCT(('05B_가정검정'!$A$5:$A$19=B737)*('05B_가정검정'!$B$5:$B$19=C737)*'05B_가정검정'!$E$5:$E$19))</f>
        <v>8.6815245591664869E-4</v>
      </c>
      <c r="AB737" s="20">
        <f t="shared" si="131"/>
        <v>3.9843871164272349E-3</v>
      </c>
    </row>
    <row r="738" spans="1:28">
      <c r="A738" s="15" t="s">
        <v>172</v>
      </c>
      <c r="B738" s="15" t="s">
        <v>116</v>
      </c>
      <c r="C738" s="15" t="s">
        <v>118</v>
      </c>
      <c r="D738" s="16">
        <v>0.31640058055152398</v>
      </c>
      <c r="E738" s="16">
        <v>0.261127596439169</v>
      </c>
      <c r="F738" s="16">
        <v>0.13134328358208999</v>
      </c>
      <c r="G738" s="16">
        <v>0.219584569732938</v>
      </c>
      <c r="H738" s="16">
        <v>0.18839290392011701</v>
      </c>
      <c r="I738" s="16">
        <v>0.28622070079592399</v>
      </c>
      <c r="J738" s="16">
        <v>0.67464519743590301</v>
      </c>
      <c r="K738" s="16">
        <v>0.70209189308962205</v>
      </c>
      <c r="L738" s="16">
        <v>0.83247376334119105</v>
      </c>
      <c r="M738" s="16">
        <v>0.417956656346749</v>
      </c>
      <c r="N738" s="16">
        <v>0</v>
      </c>
      <c r="O738" s="16">
        <v>0.52631578947368396</v>
      </c>
      <c r="P738" s="17">
        <f t="shared" si="121"/>
        <v>0.2338449391702937</v>
      </c>
      <c r="Q738" s="17">
        <f t="shared" si="122"/>
        <v>0.73640361795557208</v>
      </c>
      <c r="R738" s="17">
        <f t="shared" si="123"/>
        <v>0.31475748194014436</v>
      </c>
      <c r="S738" s="17">
        <f>'02_지표정의'!$C$22*P738+'02_지표정의'!$C$23*Q738+'02_지표정의'!$C$24*R738</f>
        <v>0.48831573459311672</v>
      </c>
      <c r="T738" s="5">
        <f t="shared" si="124"/>
        <v>0</v>
      </c>
      <c r="U738" s="5" t="str">
        <f t="shared" si="125"/>
        <v>보고서</v>
      </c>
      <c r="V738" s="18">
        <f t="shared" si="126"/>
        <v>27</v>
      </c>
      <c r="W738" s="5">
        <f t="shared" si="127"/>
        <v>21</v>
      </c>
      <c r="X738" s="5">
        <f t="shared" si="128"/>
        <v>0</v>
      </c>
      <c r="Y738" s="5">
        <f t="shared" si="129"/>
        <v>25</v>
      </c>
      <c r="Z738" s="19">
        <f t="shared" si="130"/>
        <v>13</v>
      </c>
      <c r="AA738" s="20">
        <f>ABS(S738-SUMPRODUCT(('05B_가정검정'!$A$5:$A$19=B738)*('05B_가정검정'!$B$5:$B$19=C738)*'05B_가정검정'!$E$5:$E$19))</f>
        <v>4.2976687108604916E-2</v>
      </c>
      <c r="AB738" s="20">
        <f t="shared" si="131"/>
        <v>-3.9233297785469579E-2</v>
      </c>
    </row>
    <row r="739" spans="1:28">
      <c r="A739" s="15" t="s">
        <v>172</v>
      </c>
      <c r="B739" s="15" t="s">
        <v>116</v>
      </c>
      <c r="C739" s="15" t="s">
        <v>119</v>
      </c>
      <c r="D739" s="16">
        <v>0.34304207119741098</v>
      </c>
      <c r="E739" s="16">
        <v>0.41025641025641002</v>
      </c>
      <c r="F739" s="16">
        <v>0.20689655172413801</v>
      </c>
      <c r="G739" s="16">
        <v>0.28205128205128199</v>
      </c>
      <c r="H739" s="16">
        <v>0.312440971259141</v>
      </c>
      <c r="I739" s="16">
        <v>0.30346901732869302</v>
      </c>
      <c r="J739" s="16">
        <v>0.72710980225626798</v>
      </c>
      <c r="K739" s="16">
        <v>0.62771142794330903</v>
      </c>
      <c r="L739" s="16">
        <v>0.83272963320195803</v>
      </c>
      <c r="M739" s="16">
        <v>0.51515151515151503</v>
      </c>
      <c r="N739" s="16">
        <v>0</v>
      </c>
      <c r="O739" s="16">
        <v>1</v>
      </c>
      <c r="P739" s="17">
        <f t="shared" si="121"/>
        <v>0.30969271730284587</v>
      </c>
      <c r="Q739" s="17">
        <f t="shared" si="122"/>
        <v>0.72918362113384505</v>
      </c>
      <c r="R739" s="17">
        <f t="shared" si="123"/>
        <v>0.50505050505050508</v>
      </c>
      <c r="S739" s="17">
        <f>'02_지표정의'!$C$22*P739+'02_지표정의'!$C$23*Q739+'02_지표정의'!$C$24*R739</f>
        <v>0.5668388497384762</v>
      </c>
      <c r="T739" s="5">
        <f t="shared" si="124"/>
        <v>0</v>
      </c>
      <c r="U739" s="5" t="str">
        <f t="shared" si="125"/>
        <v>보고서</v>
      </c>
      <c r="V739" s="18">
        <f t="shared" si="126"/>
        <v>271</v>
      </c>
      <c r="W739" s="5">
        <f t="shared" si="127"/>
        <v>0</v>
      </c>
      <c r="X739" s="5">
        <f t="shared" si="128"/>
        <v>105</v>
      </c>
      <c r="Y739" s="5">
        <f t="shared" si="129"/>
        <v>218</v>
      </c>
      <c r="Z739" s="19">
        <f t="shared" si="130"/>
        <v>43</v>
      </c>
      <c r="AA739" s="20">
        <f>ABS(S739-SUMPRODUCT(('05B_가정검정'!$A$5:$A$19=B739)*('05B_가정검정'!$B$5:$B$19=C739)*'05B_가정검정'!$E$5:$E$19))</f>
        <v>1.3815332995693597E-2</v>
      </c>
      <c r="AB739" s="20">
        <f t="shared" si="131"/>
        <v>1.0386366062296148E-2</v>
      </c>
    </row>
    <row r="740" spans="1:28">
      <c r="A740" s="15" t="s">
        <v>172</v>
      </c>
      <c r="B740" s="15" t="s">
        <v>120</v>
      </c>
      <c r="C740" s="15" t="s">
        <v>117</v>
      </c>
      <c r="D740" s="16">
        <v>0.240561896400351</v>
      </c>
      <c r="E740" s="16">
        <v>0.33333333333333298</v>
      </c>
      <c r="F740" s="16">
        <v>0.12735849056603801</v>
      </c>
      <c r="G740" s="16">
        <v>0.183098591549296</v>
      </c>
      <c r="H740" s="16">
        <v>0.30867153994308599</v>
      </c>
      <c r="I740" s="16">
        <v>0.19215749238164401</v>
      </c>
      <c r="J740" s="16">
        <v>0.67931579948700105</v>
      </c>
      <c r="K740" s="16">
        <v>0.63337588151554503</v>
      </c>
      <c r="L740" s="16">
        <v>0.84123977000172301</v>
      </c>
      <c r="M740" s="16">
        <v>0.66428571428571404</v>
      </c>
      <c r="N740" s="16">
        <v>0.59756097560975596</v>
      </c>
      <c r="O740" s="16">
        <v>1</v>
      </c>
      <c r="P740" s="17">
        <f t="shared" si="121"/>
        <v>0.23086355736229133</v>
      </c>
      <c r="Q740" s="17">
        <f t="shared" si="122"/>
        <v>0.7179771503347564</v>
      </c>
      <c r="R740" s="17">
        <f t="shared" si="123"/>
        <v>0.7539488966318233</v>
      </c>
      <c r="S740" s="17">
        <f>'02_지표정의'!$C$22*P740+'02_지표정의'!$C$23*Q740+'02_지표정의'!$C$24*R740</f>
        <v>0.63314454294423683</v>
      </c>
      <c r="T740" s="5">
        <f t="shared" si="124"/>
        <v>0</v>
      </c>
      <c r="U740" s="5" t="str">
        <f t="shared" si="125"/>
        <v>보고서</v>
      </c>
      <c r="V740" s="18">
        <f t="shared" si="126"/>
        <v>544</v>
      </c>
      <c r="W740" s="5">
        <f t="shared" si="127"/>
        <v>432</v>
      </c>
      <c r="X740" s="5">
        <f t="shared" si="128"/>
        <v>247</v>
      </c>
      <c r="Y740" s="5">
        <f t="shared" si="129"/>
        <v>0</v>
      </c>
      <c r="Z740" s="19">
        <f t="shared" si="130"/>
        <v>39</v>
      </c>
      <c r="AA740" s="20">
        <f>ABS(S740-SUMPRODUCT(('05B_가정검정'!$A$5:$A$19=B740)*('05B_가정검정'!$B$5:$B$19=C740)*'05B_가정검정'!$E$5:$E$19))</f>
        <v>5.0955828871157571E-3</v>
      </c>
      <c r="AB740" s="20">
        <f t="shared" si="131"/>
        <v>1.8418395194796933E-3</v>
      </c>
    </row>
    <row r="741" spans="1:28">
      <c r="A741" s="15" t="s">
        <v>172</v>
      </c>
      <c r="B741" s="15" t="s">
        <v>120</v>
      </c>
      <c r="C741" s="15" t="s">
        <v>118</v>
      </c>
      <c r="D741" s="16">
        <v>0.28226555246053903</v>
      </c>
      <c r="E741" s="16">
        <v>0.34469696969697</v>
      </c>
      <c r="F741" s="16">
        <v>0.13688212927756699</v>
      </c>
      <c r="G741" s="16">
        <v>0.204545454545455</v>
      </c>
      <c r="H741" s="16">
        <v>0.286094426668975</v>
      </c>
      <c r="I741" s="16">
        <v>0.26139081486535698</v>
      </c>
      <c r="J741" s="16">
        <v>0.70576993594468695</v>
      </c>
      <c r="K741" s="16">
        <v>0.65815988871961795</v>
      </c>
      <c r="L741" s="16">
        <v>0.83603024397125003</v>
      </c>
      <c r="M741" s="16">
        <v>0.42724458204334398</v>
      </c>
      <c r="N741" s="16">
        <v>0.25954198473282403</v>
      </c>
      <c r="O741" s="16">
        <v>0.52631578947368396</v>
      </c>
      <c r="P741" s="17">
        <f t="shared" si="121"/>
        <v>0.25264589125247716</v>
      </c>
      <c r="Q741" s="17">
        <f t="shared" si="122"/>
        <v>0.73332002287851827</v>
      </c>
      <c r="R741" s="17">
        <f t="shared" si="123"/>
        <v>0.40436745208328401</v>
      </c>
      <c r="S741" s="17">
        <f>'02_지표정의'!$C$22*P741+'02_지표정의'!$C$23*Q741+'02_지표정의'!$C$24*R741</f>
        <v>0.52205179677497804</v>
      </c>
      <c r="T741" s="5">
        <f t="shared" si="124"/>
        <v>0</v>
      </c>
      <c r="U741" s="5" t="str">
        <f t="shared" si="125"/>
        <v>보고서</v>
      </c>
      <c r="V741" s="18">
        <f t="shared" si="126"/>
        <v>102</v>
      </c>
      <c r="W741" s="5">
        <f t="shared" si="127"/>
        <v>93</v>
      </c>
      <c r="X741" s="5">
        <f t="shared" si="128"/>
        <v>0</v>
      </c>
      <c r="Y741" s="5">
        <f t="shared" si="129"/>
        <v>94</v>
      </c>
      <c r="Z741" s="19">
        <f t="shared" si="130"/>
        <v>16</v>
      </c>
      <c r="AA741" s="20">
        <f>ABS(S741-SUMPRODUCT(('05B_가정검정'!$A$5:$A$19=B741)*('05B_가정검정'!$B$5:$B$19=C741)*'05B_가정검정'!$E$5:$E$19))</f>
        <v>6.8777051806649947E-2</v>
      </c>
      <c r="AB741" s="20">
        <f t="shared" si="131"/>
        <v>-5.2838979187132762E-2</v>
      </c>
    </row>
    <row r="742" spans="1:28">
      <c r="A742" s="15" t="s">
        <v>172</v>
      </c>
      <c r="B742" s="15" t="s">
        <v>120</v>
      </c>
      <c r="C742" s="15" t="s">
        <v>119</v>
      </c>
      <c r="D742" s="16">
        <v>0.28827037773359798</v>
      </c>
      <c r="E742" s="16">
        <v>0.52705882352941202</v>
      </c>
      <c r="F742" s="16">
        <v>0.250591016548463</v>
      </c>
      <c r="G742" s="16">
        <v>0.29176470588235298</v>
      </c>
      <c r="H742" s="16">
        <v>0.249124097477255</v>
      </c>
      <c r="I742" s="16">
        <v>0.35440577883503799</v>
      </c>
      <c r="J742" s="16">
        <v>0.71892190470390605</v>
      </c>
      <c r="K742" s="16">
        <v>0.61538903724944105</v>
      </c>
      <c r="L742" s="16">
        <v>0.82680532079604896</v>
      </c>
      <c r="M742" s="16">
        <v>0.8</v>
      </c>
      <c r="N742" s="16">
        <v>0.82926829268292701</v>
      </c>
      <c r="O742" s="16">
        <v>1</v>
      </c>
      <c r="P742" s="17">
        <f t="shared" si="121"/>
        <v>0.32686913333435319</v>
      </c>
      <c r="Q742" s="17">
        <f t="shared" si="122"/>
        <v>0.72037208758313209</v>
      </c>
      <c r="R742" s="17">
        <f t="shared" si="123"/>
        <v>0.87642276422764231</v>
      </c>
      <c r="S742" s="17">
        <f>'02_지표정의'!$C$22*P742+'02_지표정의'!$C$23*Q742+'02_지표정의'!$C$24*R742</f>
        <v>0.69628923355895489</v>
      </c>
      <c r="T742" s="5">
        <f t="shared" si="124"/>
        <v>0</v>
      </c>
      <c r="U742" s="5" t="str">
        <f t="shared" si="125"/>
        <v>보고서</v>
      </c>
      <c r="V742" s="18">
        <f t="shared" si="126"/>
        <v>811</v>
      </c>
      <c r="W742" s="5">
        <f t="shared" si="127"/>
        <v>0</v>
      </c>
      <c r="X742" s="5">
        <f t="shared" si="128"/>
        <v>486</v>
      </c>
      <c r="Y742" s="5">
        <f t="shared" si="129"/>
        <v>585</v>
      </c>
      <c r="Z742" s="19">
        <f t="shared" si="130"/>
        <v>55</v>
      </c>
      <c r="AA742" s="20">
        <f>ABS(S742-SUMPRODUCT(('05B_가정검정'!$A$5:$A$19=B742)*('05B_가정검정'!$B$5:$B$19=C742)*'05B_가정검정'!$E$5:$E$19))</f>
        <v>3.2611917077568608E-2</v>
      </c>
      <c r="AB742" s="20">
        <f t="shared" si="131"/>
        <v>3.7866226048139273E-2</v>
      </c>
    </row>
    <row r="743" spans="1:28">
      <c r="A743" s="15" t="s">
        <v>172</v>
      </c>
      <c r="B743" s="15" t="s">
        <v>121</v>
      </c>
      <c r="C743" s="15" t="s">
        <v>117</v>
      </c>
      <c r="D743" s="16">
        <v>0.26368159203980102</v>
      </c>
      <c r="E743" s="16">
        <v>0.36434108527131798</v>
      </c>
      <c r="F743" s="16">
        <v>0.15625</v>
      </c>
      <c r="G743" s="16">
        <v>0.25581395348837199</v>
      </c>
      <c r="H743" s="16">
        <v>0.29499210784514801</v>
      </c>
      <c r="I743" s="16">
        <v>0.22343160353297001</v>
      </c>
      <c r="J743" s="16">
        <v>0.73055521224829001</v>
      </c>
      <c r="K743" s="16">
        <v>0.78084515390958398</v>
      </c>
      <c r="L743" s="16">
        <v>0.89716085012636204</v>
      </c>
      <c r="M743" s="16">
        <v>0.90654205607476601</v>
      </c>
      <c r="N743" s="16">
        <v>0.91666666666666696</v>
      </c>
      <c r="O743" s="16">
        <v>1</v>
      </c>
      <c r="P743" s="17">
        <f t="shared" si="121"/>
        <v>0.25975172369626814</v>
      </c>
      <c r="Q743" s="17">
        <f t="shared" si="122"/>
        <v>0.80285373876141197</v>
      </c>
      <c r="R743" s="17">
        <f t="shared" si="123"/>
        <v>0.94106957424714432</v>
      </c>
      <c r="S743" s="17">
        <f>'02_지표정의'!$C$22*P743+'02_지표정의'!$C$23*Q743+'02_지표정의'!$C$24*R743</f>
        <v>0.7426088781683895</v>
      </c>
      <c r="T743" s="5">
        <f t="shared" si="124"/>
        <v>1</v>
      </c>
      <c r="U743" s="5" t="str">
        <f t="shared" si="125"/>
        <v>보고서</v>
      </c>
      <c r="V743" s="18">
        <f t="shared" si="126"/>
        <v>934</v>
      </c>
      <c r="W743" s="5">
        <f t="shared" si="127"/>
        <v>634</v>
      </c>
      <c r="X743" s="5">
        <f t="shared" si="128"/>
        <v>609</v>
      </c>
      <c r="Y743" s="5">
        <f t="shared" si="129"/>
        <v>0</v>
      </c>
      <c r="Z743" s="19">
        <f t="shared" si="130"/>
        <v>52</v>
      </c>
      <c r="AA743" s="20">
        <f>ABS(S743-SUMPRODUCT(('05B_가정검정'!$A$5:$A$19=B743)*('05B_가정검정'!$B$5:$B$19=C743)*'05B_가정검정'!$E$5:$E$19))</f>
        <v>1.3176806786508344E-2</v>
      </c>
      <c r="AB743" s="20">
        <f t="shared" si="131"/>
        <v>2.4957085095508535E-2</v>
      </c>
    </row>
    <row r="744" spans="1:28">
      <c r="A744" s="15" t="s">
        <v>172</v>
      </c>
      <c r="B744" s="15" t="s">
        <v>121</v>
      </c>
      <c r="C744" s="15" t="s">
        <v>118</v>
      </c>
      <c r="D744" s="16">
        <v>0.32614555256064698</v>
      </c>
      <c r="E744" s="16">
        <v>0.3</v>
      </c>
      <c r="F744" s="16">
        <v>0.15642458100558701</v>
      </c>
      <c r="G744" s="16">
        <v>0.23888888888888901</v>
      </c>
      <c r="H744" s="16">
        <v>0.22853363239685101</v>
      </c>
      <c r="I744" s="16">
        <v>0.30332663760431899</v>
      </c>
      <c r="J744" s="16">
        <v>0.754351732191895</v>
      </c>
      <c r="K744" s="16">
        <v>0.80721059423694297</v>
      </c>
      <c r="L744" s="16">
        <v>0.91567814081566201</v>
      </c>
      <c r="M744" s="16">
        <v>0.30030959752322001</v>
      </c>
      <c r="N744" s="16">
        <v>0.28244274809160302</v>
      </c>
      <c r="O744" s="16">
        <v>0.52631578947368396</v>
      </c>
      <c r="P744" s="17">
        <f t="shared" si="121"/>
        <v>0.25888654874271549</v>
      </c>
      <c r="Q744" s="17">
        <f t="shared" si="122"/>
        <v>0.82574682241483333</v>
      </c>
      <c r="R744" s="17">
        <f t="shared" si="123"/>
        <v>0.36968937836283566</v>
      </c>
      <c r="S744" s="17">
        <f>'02_지표정의'!$C$22*P744+'02_지표정의'!$C$23*Q744+'02_지표정의'!$C$24*R744</f>
        <v>0.55275466226221059</v>
      </c>
      <c r="T744" s="5">
        <f t="shared" si="124"/>
        <v>0</v>
      </c>
      <c r="U744" s="5" t="str">
        <f t="shared" si="125"/>
        <v>보고서</v>
      </c>
      <c r="V744" s="18">
        <f t="shared" si="126"/>
        <v>216</v>
      </c>
      <c r="W744" s="5">
        <f t="shared" si="127"/>
        <v>179</v>
      </c>
      <c r="X744" s="5">
        <f t="shared" si="128"/>
        <v>0</v>
      </c>
      <c r="Y744" s="5">
        <f t="shared" si="129"/>
        <v>186</v>
      </c>
      <c r="Z744" s="19">
        <f t="shared" si="130"/>
        <v>26</v>
      </c>
      <c r="AA744" s="20">
        <f>ABS(S744-SUMPRODUCT(('05B_가정검정'!$A$5:$A$19=B744)*('05B_가정검정'!$B$5:$B$19=C744)*'05B_가정검정'!$E$5:$E$19))</f>
        <v>4.5824827904757837E-2</v>
      </c>
      <c r="AB744" s="20">
        <f t="shared" si="131"/>
        <v>-2.6644412264602679E-2</v>
      </c>
    </row>
    <row r="745" spans="1:28">
      <c r="A745" s="15" t="s">
        <v>172</v>
      </c>
      <c r="B745" s="15" t="s">
        <v>121</v>
      </c>
      <c r="C745" s="15" t="s">
        <v>119</v>
      </c>
      <c r="D745" s="16">
        <v>0.31594634873323402</v>
      </c>
      <c r="E745" s="16">
        <v>0.39688715953307402</v>
      </c>
      <c r="F745" s="16">
        <v>0.18039215686274501</v>
      </c>
      <c r="G745" s="16">
        <v>0.29571984435797699</v>
      </c>
      <c r="H745" s="16">
        <v>0.39154842362731002</v>
      </c>
      <c r="I745" s="16">
        <v>0.30050358325450399</v>
      </c>
      <c r="J745" s="16">
        <v>0.79710892146325496</v>
      </c>
      <c r="K745" s="16">
        <v>0.743401823271297</v>
      </c>
      <c r="L745" s="16">
        <v>0.87040846608057298</v>
      </c>
      <c r="M745" s="16">
        <v>0.70289855072463803</v>
      </c>
      <c r="N745" s="16">
        <v>0.67901234567901203</v>
      </c>
      <c r="O745" s="16">
        <v>1</v>
      </c>
      <c r="P745" s="17">
        <f t="shared" si="121"/>
        <v>0.31349958606147404</v>
      </c>
      <c r="Q745" s="17">
        <f t="shared" si="122"/>
        <v>0.80363973693837509</v>
      </c>
      <c r="R745" s="17">
        <f t="shared" si="123"/>
        <v>0.79397029880121661</v>
      </c>
      <c r="S745" s="17">
        <f>'02_지표정의'!$C$22*P745+'02_지표정의'!$C$23*Q745+'02_지표정의'!$C$24*R745</f>
        <v>0.70222740341498935</v>
      </c>
      <c r="T745" s="5">
        <f t="shared" si="124"/>
        <v>0</v>
      </c>
      <c r="U745" s="5" t="str">
        <f t="shared" si="125"/>
        <v>보고서</v>
      </c>
      <c r="V745" s="18">
        <f t="shared" si="126"/>
        <v>828</v>
      </c>
      <c r="W745" s="5">
        <f t="shared" si="127"/>
        <v>0</v>
      </c>
      <c r="X745" s="5">
        <f t="shared" si="128"/>
        <v>503</v>
      </c>
      <c r="Y745" s="5">
        <f t="shared" si="129"/>
        <v>597</v>
      </c>
      <c r="Z745" s="19">
        <f t="shared" si="130"/>
        <v>41</v>
      </c>
      <c r="AA745" s="20">
        <f>ABS(S745-SUMPRODUCT(('05B_가정검정'!$A$5:$A$19=B745)*('05B_가정검정'!$B$5:$B$19=C745)*'05B_가정검정'!$E$5:$E$19))</f>
        <v>9.9075606191356691E-3</v>
      </c>
      <c r="AB745" s="20">
        <f t="shared" si="131"/>
        <v>1.3990427995378307E-2</v>
      </c>
    </row>
    <row r="746" spans="1:28">
      <c r="A746" s="15" t="s">
        <v>172</v>
      </c>
      <c r="B746" s="15" t="s">
        <v>122</v>
      </c>
      <c r="C746" s="15" t="s">
        <v>117</v>
      </c>
      <c r="D746" s="16">
        <v>0.26086956521739102</v>
      </c>
      <c r="E746" s="16">
        <v>0.35</v>
      </c>
      <c r="F746" s="16">
        <v>0.115107913669065</v>
      </c>
      <c r="G746" s="16">
        <v>0.221428571428571</v>
      </c>
      <c r="H746" s="16">
        <v>0.35840844913207898</v>
      </c>
      <c r="I746" s="16">
        <v>0.28874217307535999</v>
      </c>
      <c r="J746" s="16">
        <v>0.70280614562730004</v>
      </c>
      <c r="K746" s="16">
        <v>0.57447403653241302</v>
      </c>
      <c r="L746" s="16">
        <v>0.74323912788774305</v>
      </c>
      <c r="M746" s="16">
        <v>0.50270270270270301</v>
      </c>
      <c r="N746" s="16">
        <v>0.44545454545454499</v>
      </c>
      <c r="O746" s="16">
        <v>1</v>
      </c>
      <c r="P746" s="17">
        <f t="shared" si="121"/>
        <v>0.26575944542041102</v>
      </c>
      <c r="Q746" s="17">
        <f t="shared" si="122"/>
        <v>0.67350643668248544</v>
      </c>
      <c r="R746" s="17">
        <f t="shared" si="123"/>
        <v>0.64938574938574933</v>
      </c>
      <c r="S746" s="17">
        <f>'02_지표정의'!$C$22*P746+'02_지표정의'!$C$23*Q746+'02_지표정의'!$C$24*R746</f>
        <v>0.58351479787621297</v>
      </c>
      <c r="T746" s="5">
        <f t="shared" si="124"/>
        <v>0</v>
      </c>
      <c r="U746" s="5" t="str">
        <f t="shared" si="125"/>
        <v>보고서</v>
      </c>
      <c r="V746" s="18">
        <f t="shared" si="126"/>
        <v>331</v>
      </c>
      <c r="W746" s="5">
        <f t="shared" si="127"/>
        <v>270</v>
      </c>
      <c r="X746" s="5">
        <f t="shared" si="128"/>
        <v>143</v>
      </c>
      <c r="Y746" s="5">
        <f t="shared" si="129"/>
        <v>0</v>
      </c>
      <c r="Z746" s="19">
        <f t="shared" si="130"/>
        <v>19</v>
      </c>
      <c r="AA746" s="20">
        <f>ABS(S746-SUMPRODUCT(('05B_가정검정'!$A$5:$A$19=B746)*('05B_가정검정'!$B$5:$B$19=C746)*'05B_가정검정'!$E$5:$E$19))</f>
        <v>5.5838156832465513E-2</v>
      </c>
      <c r="AB746" s="20">
        <f t="shared" si="131"/>
        <v>-3.9366824313433191E-2</v>
      </c>
    </row>
    <row r="747" spans="1:28">
      <c r="A747" s="15" t="s">
        <v>172</v>
      </c>
      <c r="B747" s="15" t="s">
        <v>122</v>
      </c>
      <c r="C747" s="15" t="s">
        <v>118</v>
      </c>
      <c r="D747" s="16">
        <v>0.33772455089820402</v>
      </c>
      <c r="E747" s="16">
        <v>0.36649214659685903</v>
      </c>
      <c r="F747" s="16">
        <v>0.168421052631579</v>
      </c>
      <c r="G747" s="16">
        <v>0.25130890052355997</v>
      </c>
      <c r="H747" s="16">
        <v>0.36042178849454898</v>
      </c>
      <c r="I747" s="16">
        <v>0.39176154021165499</v>
      </c>
      <c r="J747" s="16">
        <v>0.69676796228047699</v>
      </c>
      <c r="K747" s="16">
        <v>0.67082350334017504</v>
      </c>
      <c r="L747" s="16">
        <v>0.80418626126361004</v>
      </c>
      <c r="M747" s="16">
        <v>0.538699690402477</v>
      </c>
      <c r="N747" s="16">
        <v>0.27480916030534402</v>
      </c>
      <c r="O747" s="16">
        <v>0.52631578947368396</v>
      </c>
      <c r="P747" s="17">
        <f t="shared" si="121"/>
        <v>0.31268832989273437</v>
      </c>
      <c r="Q747" s="17">
        <f t="shared" si="122"/>
        <v>0.72392590896142073</v>
      </c>
      <c r="R747" s="17">
        <f t="shared" si="123"/>
        <v>0.44660821339383494</v>
      </c>
      <c r="S747" s="17">
        <f>'02_지표정의'!$C$22*P747+'02_지표정의'!$C$23*Q747+'02_지표정의'!$C$24*R747</f>
        <v>0.54461719969902844</v>
      </c>
      <c r="T747" s="5">
        <f t="shared" si="124"/>
        <v>1</v>
      </c>
      <c r="U747" s="5" t="str">
        <f t="shared" si="125"/>
        <v>보고서</v>
      </c>
      <c r="V747" s="18">
        <f t="shared" si="126"/>
        <v>185</v>
      </c>
      <c r="W747" s="5">
        <f t="shared" si="127"/>
        <v>157</v>
      </c>
      <c r="X747" s="5">
        <f t="shared" si="128"/>
        <v>0</v>
      </c>
      <c r="Y747" s="5">
        <f t="shared" si="129"/>
        <v>163</v>
      </c>
      <c r="Z747" s="19">
        <f t="shared" si="130"/>
        <v>18</v>
      </c>
      <c r="AA747" s="20">
        <f>ABS(S747-SUMPRODUCT(('05B_가정검정'!$A$5:$A$19=B747)*('05B_가정검정'!$B$5:$B$19=C747)*'05B_가정검정'!$E$5:$E$19))</f>
        <v>4.2304736298129808E-2</v>
      </c>
      <c r="AB747" s="20">
        <f t="shared" si="131"/>
        <v>-3.6606076518655328E-2</v>
      </c>
    </row>
    <row r="748" spans="1:28">
      <c r="A748" s="15" t="s">
        <v>172</v>
      </c>
      <c r="B748" s="15" t="s">
        <v>122</v>
      </c>
      <c r="C748" s="15" t="s">
        <v>119</v>
      </c>
      <c r="D748" s="16">
        <v>0.35602094240837701</v>
      </c>
      <c r="E748" s="16">
        <v>0.52329749103942702</v>
      </c>
      <c r="F748" s="16">
        <v>0.231046931407942</v>
      </c>
      <c r="G748" s="16">
        <v>0.31541218637992802</v>
      </c>
      <c r="H748" s="16">
        <v>0.34744476610689001</v>
      </c>
      <c r="I748" s="16">
        <v>0.38951702988737902</v>
      </c>
      <c r="J748" s="16">
        <v>0.74811987198567598</v>
      </c>
      <c r="K748" s="16">
        <v>0.58020402233830104</v>
      </c>
      <c r="L748" s="16">
        <v>0.820935877365364</v>
      </c>
      <c r="M748" s="16">
        <v>0.65945945945945905</v>
      </c>
      <c r="N748" s="16">
        <v>0.62727272727272698</v>
      </c>
      <c r="O748" s="16">
        <v>1</v>
      </c>
      <c r="P748" s="17">
        <f t="shared" si="121"/>
        <v>0.3604565578716572</v>
      </c>
      <c r="Q748" s="17">
        <f t="shared" si="122"/>
        <v>0.71641992389644704</v>
      </c>
      <c r="R748" s="17">
        <f t="shared" si="123"/>
        <v>0.76224406224406194</v>
      </c>
      <c r="S748" s="17">
        <f>'02_지표정의'!$C$22*P748+'02_지표정의'!$C$23*Q748+'02_지표정의'!$C$24*R748</f>
        <v>0.66126569911315425</v>
      </c>
      <c r="T748" s="5">
        <f t="shared" si="124"/>
        <v>0</v>
      </c>
      <c r="U748" s="5" t="str">
        <f t="shared" si="125"/>
        <v>보고서</v>
      </c>
      <c r="V748" s="18">
        <f t="shared" si="126"/>
        <v>679</v>
      </c>
      <c r="W748" s="5">
        <f t="shared" si="127"/>
        <v>0</v>
      </c>
      <c r="X748" s="5">
        <f t="shared" si="128"/>
        <v>360</v>
      </c>
      <c r="Y748" s="5">
        <f t="shared" si="129"/>
        <v>502</v>
      </c>
      <c r="Z748" s="19">
        <f t="shared" si="130"/>
        <v>46</v>
      </c>
      <c r="AA748" s="20">
        <f>ABS(S748-SUMPRODUCT(('05B_가정검정'!$A$5:$A$19=B748)*('05B_가정검정'!$B$5:$B$19=C748)*'05B_가정검정'!$E$5:$E$19))</f>
        <v>2.5659511211702846E-2</v>
      </c>
      <c r="AB748" s="20">
        <f t="shared" si="131"/>
        <v>2.9876832798268249E-2</v>
      </c>
    </row>
    <row r="749" spans="1:28">
      <c r="A749" s="15" t="s">
        <v>172</v>
      </c>
      <c r="B749" s="15" t="s">
        <v>123</v>
      </c>
      <c r="C749" s="15" t="s">
        <v>117</v>
      </c>
      <c r="D749" s="16">
        <v>0.25820105820105799</v>
      </c>
      <c r="E749" s="16">
        <v>0.34355828220858903</v>
      </c>
      <c r="F749" s="16">
        <v>0.141975308641975</v>
      </c>
      <c r="G749" s="16">
        <v>0.22699386503067501</v>
      </c>
      <c r="H749" s="16">
        <v>0.42568546751958403</v>
      </c>
      <c r="I749" s="16">
        <v>0.31650327161759201</v>
      </c>
      <c r="J749" s="16">
        <v>0.72683451579054603</v>
      </c>
      <c r="K749" s="16">
        <v>0.67270431633046501</v>
      </c>
      <c r="L749" s="16">
        <v>0.82980267762822901</v>
      </c>
      <c r="M749" s="16">
        <v>0.90654205607476601</v>
      </c>
      <c r="N749" s="16">
        <v>0.91666666666666696</v>
      </c>
      <c r="O749" s="16">
        <v>1</v>
      </c>
      <c r="P749" s="17">
        <f t="shared" si="121"/>
        <v>0.28548620886991216</v>
      </c>
      <c r="Q749" s="17">
        <f t="shared" si="122"/>
        <v>0.74311383658307995</v>
      </c>
      <c r="R749" s="17">
        <f t="shared" si="123"/>
        <v>0.94106957424714432</v>
      </c>
      <c r="S749" s="17">
        <f>'02_지표정의'!$C$22*P749+'02_지표정의'!$C$23*Q749+'02_지표정의'!$C$24*R749</f>
        <v>0.72087281922286883</v>
      </c>
      <c r="T749" s="5">
        <f t="shared" si="124"/>
        <v>0</v>
      </c>
      <c r="U749" s="5" t="str">
        <f t="shared" si="125"/>
        <v>보고서</v>
      </c>
      <c r="V749" s="18">
        <f t="shared" si="126"/>
        <v>884</v>
      </c>
      <c r="W749" s="5">
        <f t="shared" si="127"/>
        <v>591</v>
      </c>
      <c r="X749" s="5">
        <f t="shared" si="128"/>
        <v>559</v>
      </c>
      <c r="Y749" s="5">
        <f t="shared" si="129"/>
        <v>0</v>
      </c>
      <c r="Z749" s="19">
        <f t="shared" si="130"/>
        <v>44</v>
      </c>
      <c r="AA749" s="20">
        <f>ABS(S749-SUMPRODUCT(('05B_가정검정'!$A$5:$A$19=B749)*('05B_가정검정'!$B$5:$B$19=C749)*'05B_가정검정'!$E$5:$E$19))</f>
        <v>5.9499364466450988E-3</v>
      </c>
      <c r="AB749" s="20">
        <f t="shared" si="131"/>
        <v>1.2887367411625661E-2</v>
      </c>
    </row>
    <row r="750" spans="1:28">
      <c r="A750" s="15" t="s">
        <v>172</v>
      </c>
      <c r="B750" s="15" t="s">
        <v>123</v>
      </c>
      <c r="C750" s="15" t="s">
        <v>118</v>
      </c>
      <c r="D750" s="16">
        <v>0.26953567383918497</v>
      </c>
      <c r="E750" s="16">
        <v>0.32710280373831802</v>
      </c>
      <c r="F750" s="16">
        <v>0.169014084507042</v>
      </c>
      <c r="G750" s="16">
        <v>0.22429906542056099</v>
      </c>
      <c r="H750" s="16">
        <v>0.272576581130479</v>
      </c>
      <c r="I750" s="16">
        <v>0.321456850049681</v>
      </c>
      <c r="J750" s="16">
        <v>0.70377206788806301</v>
      </c>
      <c r="K750" s="16">
        <v>0.68226399320942299</v>
      </c>
      <c r="L750" s="16">
        <v>0.83547832562322599</v>
      </c>
      <c r="M750" s="16">
        <v>0.30030959752322001</v>
      </c>
      <c r="N750" s="16">
        <v>0.28244274809160302</v>
      </c>
      <c r="O750" s="16">
        <v>0.52631578947368396</v>
      </c>
      <c r="P750" s="17">
        <f t="shared" si="121"/>
        <v>0.26399750978087766</v>
      </c>
      <c r="Q750" s="17">
        <f t="shared" si="122"/>
        <v>0.74050479557357063</v>
      </c>
      <c r="R750" s="17">
        <f t="shared" si="123"/>
        <v>0.36968937836283566</v>
      </c>
      <c r="S750" s="17">
        <f>'02_지표정의'!$C$22*P750+'02_지표정의'!$C$23*Q750+'02_지표정의'!$C$24*R750</f>
        <v>0.51541794239127481</v>
      </c>
      <c r="T750" s="5">
        <f t="shared" si="124"/>
        <v>0</v>
      </c>
      <c r="U750" s="5" t="str">
        <f t="shared" si="125"/>
        <v>보고서</v>
      </c>
      <c r="V750" s="18">
        <f t="shared" si="126"/>
        <v>81</v>
      </c>
      <c r="W750" s="5">
        <f t="shared" si="127"/>
        <v>72</v>
      </c>
      <c r="X750" s="5">
        <f t="shared" si="128"/>
        <v>0</v>
      </c>
      <c r="Y750" s="5">
        <f t="shared" si="129"/>
        <v>74</v>
      </c>
      <c r="Z750" s="19">
        <f t="shared" si="130"/>
        <v>18</v>
      </c>
      <c r="AA750" s="20">
        <f>ABS(S750-SUMPRODUCT(('05B_가정검정'!$A$5:$A$19=B750)*('05B_가정검정'!$B$5:$B$19=C750)*'05B_가정검정'!$E$5:$E$19))</f>
        <v>5.9880884487694908E-2</v>
      </c>
      <c r="AB750" s="20">
        <f t="shared" si="131"/>
        <v>-4.445366553321628E-2</v>
      </c>
    </row>
    <row r="751" spans="1:28">
      <c r="A751" s="15" t="s">
        <v>172</v>
      </c>
      <c r="B751" s="15" t="s">
        <v>123</v>
      </c>
      <c r="C751" s="15" t="s">
        <v>119</v>
      </c>
      <c r="D751" s="16">
        <v>0.334975369458128</v>
      </c>
      <c r="E751" s="16">
        <v>0.62153846153846204</v>
      </c>
      <c r="F751" s="16">
        <v>0.37151702786377699</v>
      </c>
      <c r="G751" s="16">
        <v>0.36923076923076897</v>
      </c>
      <c r="H751" s="16">
        <v>0.37257279394036902</v>
      </c>
      <c r="I751" s="16">
        <v>0.516727239816826</v>
      </c>
      <c r="J751" s="16">
        <v>0.73394875099287404</v>
      </c>
      <c r="K751" s="16">
        <v>0.69372124377106903</v>
      </c>
      <c r="L751" s="16">
        <v>0.87342958588048203</v>
      </c>
      <c r="M751" s="16">
        <v>0.70289855072463803</v>
      </c>
      <c r="N751" s="16">
        <v>0.67901234567901203</v>
      </c>
      <c r="O751" s="16">
        <v>1</v>
      </c>
      <c r="P751" s="17">
        <f t="shared" si="121"/>
        <v>0.43109361030805515</v>
      </c>
      <c r="Q751" s="17">
        <f t="shared" si="122"/>
        <v>0.7670331935481417</v>
      </c>
      <c r="R751" s="17">
        <f t="shared" si="123"/>
        <v>0.79397029880121661</v>
      </c>
      <c r="S751" s="17">
        <f>'02_지표정의'!$C$22*P751+'02_지표정의'!$C$23*Q751+'02_지표정의'!$C$24*R751</f>
        <v>0.70927326373870059</v>
      </c>
      <c r="T751" s="5">
        <f t="shared" si="124"/>
        <v>1</v>
      </c>
      <c r="U751" s="5" t="str">
        <f t="shared" si="125"/>
        <v>보고서</v>
      </c>
      <c r="V751" s="18">
        <f t="shared" si="126"/>
        <v>843</v>
      </c>
      <c r="W751" s="5">
        <f t="shared" si="127"/>
        <v>0</v>
      </c>
      <c r="X751" s="5">
        <f t="shared" si="128"/>
        <v>518</v>
      </c>
      <c r="Y751" s="5">
        <f t="shared" si="129"/>
        <v>605</v>
      </c>
      <c r="Z751" s="19">
        <f t="shared" si="130"/>
        <v>46</v>
      </c>
      <c r="AA751" s="20">
        <f>ABS(S751-SUMPRODUCT(('05B_가정검정'!$A$5:$A$19=B751)*('05B_가정검정'!$B$5:$B$19=C751)*'05B_가정검정'!$E$5:$E$19))</f>
        <v>2.3643466414473235E-2</v>
      </c>
      <c r="AB751" s="20">
        <f t="shared" si="131"/>
        <v>2.6854530693698808E-2</v>
      </c>
    </row>
    <row r="752" spans="1:28">
      <c r="A752" s="15" t="s">
        <v>173</v>
      </c>
      <c r="B752" s="15" t="s">
        <v>116</v>
      </c>
      <c r="C752" s="15" t="s">
        <v>117</v>
      </c>
      <c r="D752" s="16">
        <v>0.25274725274725302</v>
      </c>
      <c r="E752" s="16">
        <v>0.32786885245901598</v>
      </c>
      <c r="F752" s="16">
        <v>0.13259668508287301</v>
      </c>
      <c r="G752" s="16">
        <v>0.26229508196721302</v>
      </c>
      <c r="H752" s="16">
        <v>0.25136524844962099</v>
      </c>
      <c r="I752" s="16">
        <v>0.166048666670461</v>
      </c>
      <c r="J752" s="16">
        <v>0.71835520536063802</v>
      </c>
      <c r="K752" s="16">
        <v>0.67702257119553699</v>
      </c>
      <c r="L752" s="16">
        <v>0.83893383927894705</v>
      </c>
      <c r="M752" s="16">
        <v>0.55757575757575795</v>
      </c>
      <c r="N752" s="16">
        <v>8.98876404494382E-2</v>
      </c>
      <c r="O752" s="16">
        <v>1</v>
      </c>
      <c r="P752" s="17">
        <f t="shared" si="121"/>
        <v>0.23215363122940616</v>
      </c>
      <c r="Q752" s="17">
        <f t="shared" si="122"/>
        <v>0.74477053861170728</v>
      </c>
      <c r="R752" s="17">
        <f t="shared" si="123"/>
        <v>0.54915446600839868</v>
      </c>
      <c r="S752" s="17">
        <f>'02_지표정의'!$C$22*P752+'02_지표정의'!$C$23*Q752+'02_지표정의'!$C$24*R752</f>
        <v>0.57378153172408908</v>
      </c>
      <c r="T752" s="5">
        <f t="shared" si="124"/>
        <v>0</v>
      </c>
      <c r="U752" s="5" t="str">
        <f t="shared" si="125"/>
        <v>보고서</v>
      </c>
      <c r="V752" s="18">
        <f t="shared" si="126"/>
        <v>302</v>
      </c>
      <c r="W752" s="5">
        <f t="shared" si="127"/>
        <v>245</v>
      </c>
      <c r="X752" s="5">
        <f t="shared" si="128"/>
        <v>127</v>
      </c>
      <c r="Y752" s="5">
        <f t="shared" si="129"/>
        <v>0</v>
      </c>
      <c r="Z752" s="19">
        <f t="shared" si="130"/>
        <v>56</v>
      </c>
      <c r="AA752" s="20">
        <f>ABS(S752-SUMPRODUCT(('05B_가정검정'!$A$5:$A$19=B752)*('05B_가정검정'!$B$5:$B$19=C752)*'05B_가정검정'!$E$5:$E$19))</f>
        <v>1.6377826739121804E-2</v>
      </c>
      <c r="AB752" s="20">
        <f t="shared" si="131"/>
        <v>2.1230366311465687E-2</v>
      </c>
    </row>
    <row r="753" spans="1:28">
      <c r="A753" s="15" t="s">
        <v>173</v>
      </c>
      <c r="B753" s="15" t="s">
        <v>116</v>
      </c>
      <c r="C753" s="15" t="s">
        <v>118</v>
      </c>
      <c r="D753" s="16">
        <v>0.31754161331626102</v>
      </c>
      <c r="E753" s="16">
        <v>0.27874564459930301</v>
      </c>
      <c r="F753" s="16">
        <v>0.133333333333333</v>
      </c>
      <c r="G753" s="16">
        <v>0.22299651567944301</v>
      </c>
      <c r="H753" s="16">
        <v>0.123949220576514</v>
      </c>
      <c r="I753" s="16">
        <v>0.27161800806320202</v>
      </c>
      <c r="J753" s="16">
        <v>0.72284744494296604</v>
      </c>
      <c r="K753" s="16">
        <v>0.75670576318705196</v>
      </c>
      <c r="L753" s="16">
        <v>0.89170733532882895</v>
      </c>
      <c r="M753" s="16">
        <v>0.43272727272727302</v>
      </c>
      <c r="N753" s="16">
        <v>0</v>
      </c>
      <c r="O753" s="16">
        <v>1</v>
      </c>
      <c r="P753" s="17">
        <f t="shared" si="121"/>
        <v>0.22469738926134267</v>
      </c>
      <c r="Q753" s="17">
        <f t="shared" si="122"/>
        <v>0.7904201811529491</v>
      </c>
      <c r="R753" s="17">
        <f t="shared" si="123"/>
        <v>0.47757575757575771</v>
      </c>
      <c r="S753" s="17">
        <f>'02_지표정의'!$C$22*P753+'02_지표정의'!$C$23*Q753+'02_지표정의'!$C$24*R753</f>
        <v>0.56778007452261081</v>
      </c>
      <c r="T753" s="5">
        <f t="shared" si="124"/>
        <v>0</v>
      </c>
      <c r="U753" s="5" t="str">
        <f t="shared" si="125"/>
        <v>보고서</v>
      </c>
      <c r="V753" s="18">
        <f t="shared" si="126"/>
        <v>276</v>
      </c>
      <c r="W753" s="5">
        <f t="shared" si="127"/>
        <v>224</v>
      </c>
      <c r="X753" s="5">
        <f t="shared" si="128"/>
        <v>0</v>
      </c>
      <c r="Y753" s="5">
        <f t="shared" si="129"/>
        <v>221</v>
      </c>
      <c r="Z753" s="19">
        <f t="shared" si="130"/>
        <v>56</v>
      </c>
      <c r="AA753" s="20">
        <f>ABS(S753-SUMPRODUCT(('05B_가정검정'!$A$5:$A$19=B753)*('05B_가정검정'!$B$5:$B$19=C753)*'05B_가정검정'!$E$5:$E$19))</f>
        <v>3.6487652820889172E-2</v>
      </c>
      <c r="AB753" s="20">
        <f t="shared" si="131"/>
        <v>4.0231042144024509E-2</v>
      </c>
    </row>
    <row r="754" spans="1:28">
      <c r="A754" s="15" t="s">
        <v>173</v>
      </c>
      <c r="B754" s="15" t="s">
        <v>116</v>
      </c>
      <c r="C754" s="15" t="s">
        <v>119</v>
      </c>
      <c r="D754" s="16">
        <v>0.308762169680111</v>
      </c>
      <c r="E754" s="16">
        <v>0.42937853107344598</v>
      </c>
      <c r="F754" s="16">
        <v>0.251428571428571</v>
      </c>
      <c r="G754" s="16">
        <v>0.35028248587570598</v>
      </c>
      <c r="H754" s="16">
        <v>0.237094691992281</v>
      </c>
      <c r="I754" s="16">
        <v>0.311432722566306</v>
      </c>
      <c r="J754" s="16">
        <v>0.76225789101035502</v>
      </c>
      <c r="K754" s="16">
        <v>0.65031600666882305</v>
      </c>
      <c r="L754" s="16">
        <v>0.83802007122092204</v>
      </c>
      <c r="M754" s="16">
        <v>0.46305418719211799</v>
      </c>
      <c r="N754" s="16">
        <v>0</v>
      </c>
      <c r="O754" s="16">
        <v>1</v>
      </c>
      <c r="P754" s="17">
        <f t="shared" si="121"/>
        <v>0.31472986210273685</v>
      </c>
      <c r="Q754" s="17">
        <f t="shared" si="122"/>
        <v>0.7501979896333667</v>
      </c>
      <c r="R754" s="17">
        <f t="shared" si="123"/>
        <v>0.48768472906403931</v>
      </c>
      <c r="S754" s="17">
        <f>'02_지표정의'!$C$22*P754+'02_지표정의'!$C$23*Q754+'02_지표정의'!$C$24*R754</f>
        <v>0.5712247229279761</v>
      </c>
      <c r="T754" s="5">
        <f t="shared" si="124"/>
        <v>0</v>
      </c>
      <c r="U754" s="5" t="str">
        <f t="shared" si="125"/>
        <v>보고서</v>
      </c>
      <c r="V754" s="18">
        <f t="shared" si="126"/>
        <v>288</v>
      </c>
      <c r="W754" s="5">
        <f t="shared" si="127"/>
        <v>0</v>
      </c>
      <c r="X754" s="5">
        <f t="shared" si="128"/>
        <v>116</v>
      </c>
      <c r="Y754" s="5">
        <f t="shared" si="129"/>
        <v>225</v>
      </c>
      <c r="Z754" s="19">
        <f t="shared" si="130"/>
        <v>44</v>
      </c>
      <c r="AA754" s="20">
        <f>ABS(S754-SUMPRODUCT(('05B_가정검정'!$A$5:$A$19=B754)*('05B_가정검정'!$B$5:$B$19=C754)*'05B_가정검정'!$E$5:$E$19))</f>
        <v>1.8201206185193497E-2</v>
      </c>
      <c r="AB754" s="20">
        <f t="shared" si="131"/>
        <v>1.4772239251796049E-2</v>
      </c>
    </row>
    <row r="755" spans="1:28">
      <c r="A755" s="15" t="s">
        <v>173</v>
      </c>
      <c r="B755" s="15" t="s">
        <v>120</v>
      </c>
      <c r="C755" s="15" t="s">
        <v>117</v>
      </c>
      <c r="D755" s="16">
        <v>0.22846441947565499</v>
      </c>
      <c r="E755" s="16">
        <v>0.29818181818181799</v>
      </c>
      <c r="F755" s="16">
        <v>7.3260073260073305E-2</v>
      </c>
      <c r="G755" s="16">
        <v>0.203636363636364</v>
      </c>
      <c r="H755" s="16">
        <v>0.27579688488652498</v>
      </c>
      <c r="I755" s="16">
        <v>0.15982878800049699</v>
      </c>
      <c r="J755" s="16">
        <v>0.70454669861377095</v>
      </c>
      <c r="K755" s="16">
        <v>0.66773880076421399</v>
      </c>
      <c r="L755" s="16">
        <v>0.87057349301535802</v>
      </c>
      <c r="M755" s="16">
        <v>0.53691275167785202</v>
      </c>
      <c r="N755" s="16">
        <v>0.46341463414634099</v>
      </c>
      <c r="O755" s="16">
        <v>1</v>
      </c>
      <c r="P755" s="17">
        <f t="shared" si="121"/>
        <v>0.20652805790682205</v>
      </c>
      <c r="Q755" s="17">
        <f t="shared" si="122"/>
        <v>0.74761966413111436</v>
      </c>
      <c r="R755" s="17">
        <f t="shared" si="123"/>
        <v>0.66677579527473096</v>
      </c>
      <c r="S755" s="17">
        <f>'02_지표정의'!$C$22*P755+'02_지표정의'!$C$23*Q755+'02_지표정의'!$C$24*R755</f>
        <v>0.61110598878652178</v>
      </c>
      <c r="T755" s="5">
        <f t="shared" si="124"/>
        <v>0</v>
      </c>
      <c r="U755" s="5" t="str">
        <f t="shared" si="125"/>
        <v>보고서</v>
      </c>
      <c r="V755" s="18">
        <f t="shared" si="126"/>
        <v>436</v>
      </c>
      <c r="W755" s="5">
        <f t="shared" si="127"/>
        <v>354</v>
      </c>
      <c r="X755" s="5">
        <f t="shared" si="128"/>
        <v>186</v>
      </c>
      <c r="Y755" s="5">
        <f t="shared" si="129"/>
        <v>0</v>
      </c>
      <c r="Z755" s="19">
        <f t="shared" si="130"/>
        <v>14</v>
      </c>
      <c r="AA755" s="20">
        <f>ABS(S755-SUMPRODUCT(('05B_가정검정'!$A$5:$A$19=B755)*('05B_가정검정'!$B$5:$B$19=C755)*'05B_가정검정'!$E$5:$E$19))</f>
        <v>1.6942971270599294E-2</v>
      </c>
      <c r="AB755" s="20">
        <f t="shared" si="131"/>
        <v>-2.0196714638235358E-2</v>
      </c>
    </row>
    <row r="756" spans="1:28">
      <c r="A756" s="15" t="s">
        <v>173</v>
      </c>
      <c r="B756" s="15" t="s">
        <v>120</v>
      </c>
      <c r="C756" s="15" t="s">
        <v>118</v>
      </c>
      <c r="D756" s="16">
        <v>0.27297056199821601</v>
      </c>
      <c r="E756" s="16">
        <v>0.31134564643799501</v>
      </c>
      <c r="F756" s="16">
        <v>9.5490716180371402E-2</v>
      </c>
      <c r="G756" s="16">
        <v>0.22691292875989399</v>
      </c>
      <c r="H756" s="16">
        <v>0.20969572397795799</v>
      </c>
      <c r="I756" s="16">
        <v>0.19912980800491001</v>
      </c>
      <c r="J756" s="16">
        <v>0.68684055585703596</v>
      </c>
      <c r="K756" s="16">
        <v>0.65130243612445604</v>
      </c>
      <c r="L756" s="16">
        <v>0.81079998813580201</v>
      </c>
      <c r="M756" s="16">
        <v>0.49454545454545501</v>
      </c>
      <c r="N756" s="16">
        <v>0.60305343511450404</v>
      </c>
      <c r="O756" s="16">
        <v>1</v>
      </c>
      <c r="P756" s="17">
        <f t="shared" si="121"/>
        <v>0.2192575642265574</v>
      </c>
      <c r="Q756" s="17">
        <f t="shared" si="122"/>
        <v>0.71631432670576467</v>
      </c>
      <c r="R756" s="17">
        <f t="shared" si="123"/>
        <v>0.69919962988665307</v>
      </c>
      <c r="S756" s="17">
        <f>'02_지표정의'!$C$22*P756+'02_지표정의'!$C$23*Q756+'02_지표정의'!$C$24*R756</f>
        <v>0.61091283032323407</v>
      </c>
      <c r="T756" s="5">
        <f t="shared" si="124"/>
        <v>0</v>
      </c>
      <c r="U756" s="5" t="str">
        <f t="shared" si="125"/>
        <v>보고서</v>
      </c>
      <c r="V756" s="18">
        <f t="shared" si="126"/>
        <v>433</v>
      </c>
      <c r="W756" s="5">
        <f t="shared" si="127"/>
        <v>352</v>
      </c>
      <c r="X756" s="5">
        <f t="shared" si="128"/>
        <v>0</v>
      </c>
      <c r="Y756" s="5">
        <f t="shared" si="129"/>
        <v>331</v>
      </c>
      <c r="Z756" s="19">
        <f t="shared" si="130"/>
        <v>44</v>
      </c>
      <c r="AA756" s="20">
        <f>ABS(S756-SUMPRODUCT(('05B_가정검정'!$A$5:$A$19=B756)*('05B_가정검정'!$B$5:$B$19=C756)*'05B_가정검정'!$E$5:$E$19))</f>
        <v>2.0083981741606083E-2</v>
      </c>
      <c r="AB756" s="20">
        <f t="shared" si="131"/>
        <v>3.6022054361123268E-2</v>
      </c>
    </row>
    <row r="757" spans="1:28">
      <c r="A757" s="15" t="s">
        <v>173</v>
      </c>
      <c r="B757" s="15" t="s">
        <v>120</v>
      </c>
      <c r="C757" s="15" t="s">
        <v>119</v>
      </c>
      <c r="D757" s="16">
        <v>0.30217186024551501</v>
      </c>
      <c r="E757" s="16">
        <v>0.475836431226766</v>
      </c>
      <c r="F757" s="16">
        <v>0.20973782771535601</v>
      </c>
      <c r="G757" s="16">
        <v>0.34200743494423802</v>
      </c>
      <c r="H757" s="16">
        <v>0.344665407641984</v>
      </c>
      <c r="I757" s="16">
        <v>0.30036849716372799</v>
      </c>
      <c r="J757" s="16">
        <v>0.73646250179294703</v>
      </c>
      <c r="K757" s="16">
        <v>0.59054126099701298</v>
      </c>
      <c r="L757" s="16">
        <v>0.82240924677114102</v>
      </c>
      <c r="M757" s="16">
        <v>0.62561576354679804</v>
      </c>
      <c r="N757" s="16">
        <v>0.58771929824561397</v>
      </c>
      <c r="O757" s="16">
        <v>1</v>
      </c>
      <c r="P757" s="17">
        <f t="shared" si="121"/>
        <v>0.32913124315626446</v>
      </c>
      <c r="Q757" s="17">
        <f t="shared" si="122"/>
        <v>0.71647100318703372</v>
      </c>
      <c r="R757" s="17">
        <f t="shared" si="123"/>
        <v>0.73777835393080393</v>
      </c>
      <c r="S757" s="17">
        <f>'02_지표정의'!$C$22*P757+'02_지표정의'!$C$23*Q757+'02_지표정의'!$C$24*R757</f>
        <v>0.64646062394119941</v>
      </c>
      <c r="T757" s="5">
        <f t="shared" si="124"/>
        <v>0</v>
      </c>
      <c r="U757" s="5" t="str">
        <f t="shared" si="125"/>
        <v>보고서</v>
      </c>
      <c r="V757" s="18">
        <f t="shared" si="126"/>
        <v>602</v>
      </c>
      <c r="W757" s="5">
        <f t="shared" si="127"/>
        <v>0</v>
      </c>
      <c r="X757" s="5">
        <f t="shared" si="128"/>
        <v>291</v>
      </c>
      <c r="Y757" s="5">
        <f t="shared" si="129"/>
        <v>451</v>
      </c>
      <c r="Z757" s="19">
        <f t="shared" si="130"/>
        <v>19</v>
      </c>
      <c r="AA757" s="20">
        <f>ABS(S757-SUMPRODUCT(('05B_가정검정'!$A$5:$A$19=B757)*('05B_가정검정'!$B$5:$B$19=C757)*'05B_가정검정'!$E$5:$E$19))</f>
        <v>1.7216692540186873E-2</v>
      </c>
      <c r="AB757" s="20">
        <f t="shared" si="131"/>
        <v>-1.1962383569616208E-2</v>
      </c>
    </row>
    <row r="758" spans="1:28">
      <c r="A758" s="15" t="s">
        <v>173</v>
      </c>
      <c r="B758" s="15" t="s">
        <v>121</v>
      </c>
      <c r="C758" s="15" t="s">
        <v>117</v>
      </c>
      <c r="D758" s="16">
        <v>0.229426433915212</v>
      </c>
      <c r="E758" s="16">
        <v>0.35869565217391303</v>
      </c>
      <c r="F758" s="16">
        <v>0.10989010989011</v>
      </c>
      <c r="G758" s="16">
        <v>0.27173913043478298</v>
      </c>
      <c r="H758" s="16">
        <v>0.30825679897978497</v>
      </c>
      <c r="I758" s="16">
        <v>0.14813649033908899</v>
      </c>
      <c r="J758" s="16">
        <v>0.74600940726064702</v>
      </c>
      <c r="K758" s="16">
        <v>0.74436439277038102</v>
      </c>
      <c r="L758" s="16">
        <v>0.87749908300636104</v>
      </c>
      <c r="M758" s="16">
        <v>0.65100671140939603</v>
      </c>
      <c r="N758" s="16">
        <v>0.77464788732394396</v>
      </c>
      <c r="O758" s="16">
        <v>1</v>
      </c>
      <c r="P758" s="17">
        <f t="shared" si="121"/>
        <v>0.23769076928881527</v>
      </c>
      <c r="Q758" s="17">
        <f t="shared" si="122"/>
        <v>0.7892909610124631</v>
      </c>
      <c r="R758" s="17">
        <f t="shared" si="123"/>
        <v>0.80855153291111337</v>
      </c>
      <c r="S758" s="17">
        <f>'02_지표정의'!$C$22*P758+'02_지표정의'!$C$23*Q758+'02_지표정의'!$C$24*R758</f>
        <v>0.68571212283226113</v>
      </c>
      <c r="T758" s="5">
        <f t="shared" si="124"/>
        <v>1</v>
      </c>
      <c r="U758" s="5" t="str">
        <f t="shared" si="125"/>
        <v>보고서</v>
      </c>
      <c r="V758" s="18">
        <f t="shared" si="126"/>
        <v>773</v>
      </c>
      <c r="W758" s="5">
        <f t="shared" si="127"/>
        <v>540</v>
      </c>
      <c r="X758" s="5">
        <f t="shared" si="128"/>
        <v>449</v>
      </c>
      <c r="Y758" s="5">
        <f t="shared" si="129"/>
        <v>0</v>
      </c>
      <c r="Z758" s="19">
        <f t="shared" si="130"/>
        <v>10</v>
      </c>
      <c r="AA758" s="20">
        <f>ABS(S758-SUMPRODUCT(('05B_가정검정'!$A$5:$A$19=B758)*('05B_가정검정'!$B$5:$B$19=C758)*'05B_가정검정'!$E$5:$E$19))</f>
        <v>4.3719948549620025E-2</v>
      </c>
      <c r="AB758" s="20">
        <f t="shared" si="131"/>
        <v>-3.1939670240619833E-2</v>
      </c>
    </row>
    <row r="759" spans="1:28">
      <c r="A759" s="15" t="s">
        <v>173</v>
      </c>
      <c r="B759" s="15" t="s">
        <v>121</v>
      </c>
      <c r="C759" s="15" t="s">
        <v>118</v>
      </c>
      <c r="D759" s="16">
        <v>0.24327485380117</v>
      </c>
      <c r="E759" s="16">
        <v>0.194444444444444</v>
      </c>
      <c r="F759" s="16">
        <v>8.3916083916083906E-2</v>
      </c>
      <c r="G759" s="16">
        <v>0.1875</v>
      </c>
      <c r="H759" s="16">
        <v>0.14256910332382999</v>
      </c>
      <c r="I759" s="16">
        <v>0.16615493149531099</v>
      </c>
      <c r="J759" s="16">
        <v>0.73301294157980401</v>
      </c>
      <c r="K759" s="16">
        <v>0.81594327418421797</v>
      </c>
      <c r="L759" s="16">
        <v>0.91780012820159795</v>
      </c>
      <c r="M759" s="16">
        <v>0.352727272727273</v>
      </c>
      <c r="N759" s="16">
        <v>0.41984732824427501</v>
      </c>
      <c r="O759" s="16">
        <v>1</v>
      </c>
      <c r="P759" s="17">
        <f t="shared" si="121"/>
        <v>0.16964323616347313</v>
      </c>
      <c r="Q759" s="17">
        <f t="shared" si="122"/>
        <v>0.82225211465520653</v>
      </c>
      <c r="R759" s="17">
        <f t="shared" si="123"/>
        <v>0.59085820032384928</v>
      </c>
      <c r="S759" s="17">
        <f>'02_지표정의'!$C$22*P759+'02_지표정의'!$C$23*Q759+'02_지표정의'!$C$24*R759</f>
        <v>0.6107424689408848</v>
      </c>
      <c r="T759" s="5">
        <f t="shared" si="124"/>
        <v>0</v>
      </c>
      <c r="U759" s="5" t="str">
        <f t="shared" si="125"/>
        <v>보고서</v>
      </c>
      <c r="V759" s="18">
        <f t="shared" si="126"/>
        <v>432</v>
      </c>
      <c r="W759" s="5">
        <f t="shared" si="127"/>
        <v>351</v>
      </c>
      <c r="X759" s="5">
        <f t="shared" si="128"/>
        <v>0</v>
      </c>
      <c r="Y759" s="5">
        <f t="shared" si="129"/>
        <v>330</v>
      </c>
      <c r="Z759" s="19">
        <f t="shared" si="130"/>
        <v>41</v>
      </c>
      <c r="AA759" s="20">
        <f>ABS(S759-SUMPRODUCT(('05B_가정검정'!$A$5:$A$19=B759)*('05B_가정검정'!$B$5:$B$19=C759)*'05B_가정검정'!$E$5:$E$19))</f>
        <v>1.2162978773916366E-2</v>
      </c>
      <c r="AB759" s="20">
        <f t="shared" si="131"/>
        <v>3.1343394414071524E-2</v>
      </c>
    </row>
    <row r="760" spans="1:28">
      <c r="A760" s="15" t="s">
        <v>173</v>
      </c>
      <c r="B760" s="15" t="s">
        <v>121</v>
      </c>
      <c r="C760" s="15" t="s">
        <v>119</v>
      </c>
      <c r="D760" s="16">
        <v>0.302648171500631</v>
      </c>
      <c r="E760" s="16">
        <v>0.37078651685393299</v>
      </c>
      <c r="F760" s="16">
        <v>0.19318181818181801</v>
      </c>
      <c r="G760" s="16">
        <v>0.29213483146067398</v>
      </c>
      <c r="H760" s="16">
        <v>0.303961750701915</v>
      </c>
      <c r="I760" s="16">
        <v>0.28650040274561001</v>
      </c>
      <c r="J760" s="16">
        <v>0.78890068193298102</v>
      </c>
      <c r="K760" s="16">
        <v>0.77570539027628105</v>
      </c>
      <c r="L760" s="16">
        <v>0.89063709078142494</v>
      </c>
      <c r="M760" s="16">
        <v>0.47783251231527102</v>
      </c>
      <c r="N760" s="16">
        <v>0.48245614035087703</v>
      </c>
      <c r="O760" s="16">
        <v>1</v>
      </c>
      <c r="P760" s="17">
        <f t="shared" si="121"/>
        <v>0.29153558190743017</v>
      </c>
      <c r="Q760" s="17">
        <f t="shared" si="122"/>
        <v>0.81841438766356234</v>
      </c>
      <c r="R760" s="17">
        <f t="shared" si="123"/>
        <v>0.65342955088871602</v>
      </c>
      <c r="S760" s="17">
        <f>'02_지표정의'!$C$22*P760+'02_지표정의'!$C$23*Q760+'02_지표정의'!$C$24*R760</f>
        <v>0.65529393364113975</v>
      </c>
      <c r="T760" s="5">
        <f t="shared" si="124"/>
        <v>0</v>
      </c>
      <c r="U760" s="5" t="str">
        <f t="shared" si="125"/>
        <v>보고서</v>
      </c>
      <c r="V760" s="18">
        <f t="shared" si="126"/>
        <v>647</v>
      </c>
      <c r="W760" s="5">
        <f t="shared" si="127"/>
        <v>0</v>
      </c>
      <c r="X760" s="5">
        <f t="shared" si="128"/>
        <v>329</v>
      </c>
      <c r="Y760" s="5">
        <f t="shared" si="129"/>
        <v>479</v>
      </c>
      <c r="Z760" s="19">
        <f t="shared" si="130"/>
        <v>11</v>
      </c>
      <c r="AA760" s="20">
        <f>ABS(S760-SUMPRODUCT(('05B_가정검정'!$A$5:$A$19=B760)*('05B_가정검정'!$B$5:$B$19=C760)*'05B_가정검정'!$E$5:$E$19))</f>
        <v>3.7025909154713932E-2</v>
      </c>
      <c r="AB760" s="20">
        <f t="shared" si="131"/>
        <v>-3.2943041778471294E-2</v>
      </c>
    </row>
    <row r="761" spans="1:28">
      <c r="A761" s="15" t="s">
        <v>173</v>
      </c>
      <c r="B761" s="15" t="s">
        <v>122</v>
      </c>
      <c r="C761" s="15" t="s">
        <v>117</v>
      </c>
      <c r="D761" s="16">
        <v>0.28789808917197501</v>
      </c>
      <c r="E761" s="16">
        <v>0.38222222222222202</v>
      </c>
      <c r="F761" s="16">
        <v>0.15246636771300501</v>
      </c>
      <c r="G761" s="16">
        <v>0.284444444444444</v>
      </c>
      <c r="H761" s="16">
        <v>0.31601580574946703</v>
      </c>
      <c r="I761" s="16">
        <v>0.18787850424207</v>
      </c>
      <c r="J761" s="16">
        <v>0.74281341180810401</v>
      </c>
      <c r="K761" s="16">
        <v>0.64818830332843802</v>
      </c>
      <c r="L761" s="16">
        <v>0.84906735633305797</v>
      </c>
      <c r="M761" s="16">
        <v>0.69127516778523501</v>
      </c>
      <c r="N761" s="16">
        <v>0.51351351351351404</v>
      </c>
      <c r="O761" s="16">
        <v>1</v>
      </c>
      <c r="P761" s="17">
        <f t="shared" si="121"/>
        <v>0.26848757225719722</v>
      </c>
      <c r="Q761" s="17">
        <f t="shared" si="122"/>
        <v>0.74668969048986666</v>
      </c>
      <c r="R761" s="17">
        <f t="shared" si="123"/>
        <v>0.73492956043291635</v>
      </c>
      <c r="S761" s="17">
        <f>'02_지표정의'!$C$22*P761+'02_지표정의'!$C$23*Q761+'02_지표정의'!$C$24*R761</f>
        <v>0.64693322132340014</v>
      </c>
      <c r="T761" s="5">
        <f t="shared" si="124"/>
        <v>0</v>
      </c>
      <c r="U761" s="5" t="str">
        <f t="shared" si="125"/>
        <v>보고서</v>
      </c>
      <c r="V761" s="18">
        <f t="shared" si="126"/>
        <v>604</v>
      </c>
      <c r="W761" s="5">
        <f t="shared" si="127"/>
        <v>464</v>
      </c>
      <c r="X761" s="5">
        <f t="shared" si="128"/>
        <v>293</v>
      </c>
      <c r="Y761" s="5">
        <f t="shared" si="129"/>
        <v>0</v>
      </c>
      <c r="Z761" s="19">
        <f t="shared" si="130"/>
        <v>36</v>
      </c>
      <c r="AA761" s="20">
        <f>ABS(S761-SUMPRODUCT(('05B_가정검정'!$A$5:$A$19=B761)*('05B_가정검정'!$B$5:$B$19=C761)*'05B_가정검정'!$E$5:$E$19))</f>
        <v>7.5802666147216646E-3</v>
      </c>
      <c r="AB761" s="20">
        <f t="shared" si="131"/>
        <v>2.4051599133753987E-2</v>
      </c>
    </row>
    <row r="762" spans="1:28">
      <c r="A762" s="15" t="s">
        <v>173</v>
      </c>
      <c r="B762" s="15" t="s">
        <v>122</v>
      </c>
      <c r="C762" s="15" t="s">
        <v>118</v>
      </c>
      <c r="D762" s="16">
        <v>0.34367541766109799</v>
      </c>
      <c r="E762" s="16">
        <v>0.32826747720364702</v>
      </c>
      <c r="F762" s="16">
        <v>0.11009174311926601</v>
      </c>
      <c r="G762" s="16">
        <v>0.218844984802432</v>
      </c>
      <c r="H762" s="16">
        <v>0.17015556015151001</v>
      </c>
      <c r="I762" s="16">
        <v>0.26200111359070599</v>
      </c>
      <c r="J762" s="16">
        <v>0.71985207129222495</v>
      </c>
      <c r="K762" s="16">
        <v>0.70069752940294805</v>
      </c>
      <c r="L762" s="16">
        <v>0.84709804219934604</v>
      </c>
      <c r="M762" s="16">
        <v>0.42545454545454497</v>
      </c>
      <c r="N762" s="16">
        <v>0.36641221374045801</v>
      </c>
      <c r="O762" s="16">
        <v>1</v>
      </c>
      <c r="P762" s="17">
        <f t="shared" si="121"/>
        <v>0.23883938275477648</v>
      </c>
      <c r="Q762" s="17">
        <f t="shared" si="122"/>
        <v>0.75588254763150642</v>
      </c>
      <c r="R762" s="17">
        <f t="shared" si="123"/>
        <v>0.59728891973166764</v>
      </c>
      <c r="S762" s="17">
        <f>'02_지표정의'!$C$22*P762+'02_지표정의'!$C$23*Q762+'02_지표정의'!$C$24*R762</f>
        <v>0.5969661448912168</v>
      </c>
      <c r="T762" s="5">
        <f t="shared" si="124"/>
        <v>1</v>
      </c>
      <c r="U762" s="5" t="str">
        <f t="shared" si="125"/>
        <v>보고서</v>
      </c>
      <c r="V762" s="18">
        <f t="shared" si="126"/>
        <v>382</v>
      </c>
      <c r="W762" s="5">
        <f t="shared" si="127"/>
        <v>308</v>
      </c>
      <c r="X762" s="5">
        <f t="shared" si="128"/>
        <v>0</v>
      </c>
      <c r="Y762" s="5">
        <f t="shared" si="129"/>
        <v>292</v>
      </c>
      <c r="Z762" s="19">
        <f t="shared" si="130"/>
        <v>42</v>
      </c>
      <c r="AA762" s="20">
        <f>ABS(S762-SUMPRODUCT(('05B_가정검정'!$A$5:$A$19=B762)*('05B_가정검정'!$B$5:$B$19=C762)*'05B_가정검정'!$E$5:$E$19))</f>
        <v>1.0044208894058548E-2</v>
      </c>
      <c r="AB762" s="20">
        <f t="shared" si="131"/>
        <v>1.5742868673533028E-2</v>
      </c>
    </row>
    <row r="763" spans="1:28">
      <c r="A763" s="15" t="s">
        <v>173</v>
      </c>
      <c r="B763" s="15" t="s">
        <v>122</v>
      </c>
      <c r="C763" s="15" t="s">
        <v>119</v>
      </c>
      <c r="D763" s="16">
        <v>0.335051546391753</v>
      </c>
      <c r="E763" s="16">
        <v>0.38356164383561703</v>
      </c>
      <c r="F763" s="16">
        <v>0.15668202764976999</v>
      </c>
      <c r="G763" s="16">
        <v>0.28310502283104999</v>
      </c>
      <c r="H763" s="16">
        <v>0.30000575051550898</v>
      </c>
      <c r="I763" s="16">
        <v>0.31290505870115698</v>
      </c>
      <c r="J763" s="16">
        <v>0.71699269699442203</v>
      </c>
      <c r="K763" s="16">
        <v>0.62993534950230201</v>
      </c>
      <c r="L763" s="16">
        <v>0.82073601813525698</v>
      </c>
      <c r="M763" s="16">
        <v>0.50738916256157596</v>
      </c>
      <c r="N763" s="16">
        <v>0.30701754385964902</v>
      </c>
      <c r="O763" s="16">
        <v>1</v>
      </c>
      <c r="P763" s="17">
        <f t="shared" si="121"/>
        <v>0.29521850832080937</v>
      </c>
      <c r="Q763" s="17">
        <f t="shared" si="122"/>
        <v>0.72255468821066027</v>
      </c>
      <c r="R763" s="17">
        <f t="shared" si="123"/>
        <v>0.60480223547374168</v>
      </c>
      <c r="S763" s="17">
        <f>'02_지표정의'!$C$22*P763+'02_지표정의'!$C$23*Q763+'02_지표정의'!$C$24*R763</f>
        <v>0.59587409377476863</v>
      </c>
      <c r="T763" s="5">
        <f t="shared" si="124"/>
        <v>0</v>
      </c>
      <c r="U763" s="5" t="str">
        <f t="shared" si="125"/>
        <v>보고서</v>
      </c>
      <c r="V763" s="18">
        <f t="shared" si="126"/>
        <v>376</v>
      </c>
      <c r="W763" s="5">
        <f t="shared" si="127"/>
        <v>0</v>
      </c>
      <c r="X763" s="5">
        <f t="shared" si="128"/>
        <v>160</v>
      </c>
      <c r="Y763" s="5">
        <f t="shared" si="129"/>
        <v>289</v>
      </c>
      <c r="Z763" s="19">
        <f t="shared" si="130"/>
        <v>13</v>
      </c>
      <c r="AA763" s="20">
        <f>ABS(S763-SUMPRODUCT(('05B_가정검정'!$A$5:$A$19=B763)*('05B_가정검정'!$B$5:$B$19=C763)*'05B_가정검정'!$E$5:$E$19))</f>
        <v>3.9732094126682771E-2</v>
      </c>
      <c r="AB763" s="20">
        <f t="shared" si="131"/>
        <v>-3.5514772540117368E-2</v>
      </c>
    </row>
    <row r="764" spans="1:28">
      <c r="A764" s="15" t="s">
        <v>173</v>
      </c>
      <c r="B764" s="15" t="s">
        <v>123</v>
      </c>
      <c r="C764" s="15" t="s">
        <v>117</v>
      </c>
      <c r="D764" s="16">
        <v>0.21300448430493299</v>
      </c>
      <c r="E764" s="16">
        <v>0.337662337662338</v>
      </c>
      <c r="F764" s="16">
        <v>0.11353711790392999</v>
      </c>
      <c r="G764" s="16">
        <v>0.23376623376623401</v>
      </c>
      <c r="H764" s="16">
        <v>0.389233204977181</v>
      </c>
      <c r="I764" s="16">
        <v>0.151600938904802</v>
      </c>
      <c r="J764" s="16">
        <v>0.74068833454209604</v>
      </c>
      <c r="K764" s="16">
        <v>0.64898959014808899</v>
      </c>
      <c r="L764" s="16">
        <v>0.86343812491055705</v>
      </c>
      <c r="M764" s="16">
        <v>0.65100671140939603</v>
      </c>
      <c r="N764" s="16">
        <v>0.77464788732394396</v>
      </c>
      <c r="O764" s="16">
        <v>1</v>
      </c>
      <c r="P764" s="17">
        <f t="shared" si="121"/>
        <v>0.23980071958656968</v>
      </c>
      <c r="Q764" s="17">
        <f t="shared" si="122"/>
        <v>0.75103868320024736</v>
      </c>
      <c r="R764" s="17">
        <f t="shared" si="123"/>
        <v>0.80855153291111337</v>
      </c>
      <c r="S764" s="17">
        <f>'02_지표정의'!$C$22*P764+'02_지표정의'!$C$23*Q764+'02_지표정의'!$C$24*R764</f>
        <v>0.66892058787631492</v>
      </c>
      <c r="T764" s="5">
        <f t="shared" si="124"/>
        <v>0</v>
      </c>
      <c r="U764" s="5" t="str">
        <f t="shared" si="125"/>
        <v>보고서</v>
      </c>
      <c r="V764" s="18">
        <f t="shared" si="126"/>
        <v>712</v>
      </c>
      <c r="W764" s="5">
        <f t="shared" si="127"/>
        <v>510</v>
      </c>
      <c r="X764" s="5">
        <f t="shared" si="128"/>
        <v>392</v>
      </c>
      <c r="Y764" s="5">
        <f t="shared" si="129"/>
        <v>0</v>
      </c>
      <c r="Z764" s="19">
        <f t="shared" si="130"/>
        <v>7</v>
      </c>
      <c r="AA764" s="20">
        <f>ABS(S764-SUMPRODUCT(('05B_가정검정'!$A$5:$A$19=B764)*('05B_가정검정'!$B$5:$B$19=C764)*'05B_가정검정'!$E$5:$E$19))</f>
        <v>4.6002294899908813E-2</v>
      </c>
      <c r="AB764" s="20">
        <f t="shared" si="131"/>
        <v>-3.9064863934928251E-2</v>
      </c>
    </row>
    <row r="765" spans="1:28">
      <c r="A765" s="15" t="s">
        <v>173</v>
      </c>
      <c r="B765" s="15" t="s">
        <v>123</v>
      </c>
      <c r="C765" s="15" t="s">
        <v>118</v>
      </c>
      <c r="D765" s="16">
        <v>0.24338624338624301</v>
      </c>
      <c r="E765" s="16">
        <v>0.26865671641791</v>
      </c>
      <c r="F765" s="16">
        <v>0.10210210210210199</v>
      </c>
      <c r="G765" s="16">
        <v>0.20895522388059701</v>
      </c>
      <c r="H765" s="16">
        <v>0.18361038529547299</v>
      </c>
      <c r="I765" s="16">
        <v>0.187520573068336</v>
      </c>
      <c r="J765" s="16">
        <v>0.71981987382813095</v>
      </c>
      <c r="K765" s="16">
        <v>0.72700391465079905</v>
      </c>
      <c r="L765" s="16">
        <v>0.86358871420599304</v>
      </c>
      <c r="M765" s="16">
        <v>0.352727272727273</v>
      </c>
      <c r="N765" s="16">
        <v>0.41984732824427501</v>
      </c>
      <c r="O765" s="16">
        <v>1</v>
      </c>
      <c r="P765" s="17">
        <f t="shared" si="121"/>
        <v>0.19903854069177684</v>
      </c>
      <c r="Q765" s="17">
        <f t="shared" si="122"/>
        <v>0.77013750089497435</v>
      </c>
      <c r="R765" s="17">
        <f t="shared" si="123"/>
        <v>0.59085820032384928</v>
      </c>
      <c r="S765" s="17">
        <f>'02_지표정의'!$C$22*P765+'02_지표정의'!$C$23*Q765+'02_지표정의'!$C$24*R765</f>
        <v>0.59316995365444103</v>
      </c>
      <c r="T765" s="5">
        <f t="shared" si="124"/>
        <v>0</v>
      </c>
      <c r="U765" s="5" t="str">
        <f t="shared" si="125"/>
        <v>보고서</v>
      </c>
      <c r="V765" s="18">
        <f t="shared" si="126"/>
        <v>356</v>
      </c>
      <c r="W765" s="5">
        <f t="shared" si="127"/>
        <v>288</v>
      </c>
      <c r="X765" s="5">
        <f t="shared" si="128"/>
        <v>0</v>
      </c>
      <c r="Y765" s="5">
        <f t="shared" si="129"/>
        <v>273</v>
      </c>
      <c r="Z765" s="19">
        <f t="shared" si="130"/>
        <v>42</v>
      </c>
      <c r="AA765" s="20">
        <f>ABS(S765-SUMPRODUCT(('05B_가정검정'!$A$5:$A$19=B765)*('05B_가정검정'!$B$5:$B$19=C765)*'05B_가정검정'!$E$5:$E$19))</f>
        <v>1.7871126775471313E-2</v>
      </c>
      <c r="AB765" s="20">
        <f t="shared" si="131"/>
        <v>3.3298345729949941E-2</v>
      </c>
    </row>
    <row r="766" spans="1:28">
      <c r="A766" s="15" t="s">
        <v>173</v>
      </c>
      <c r="B766" s="15" t="s">
        <v>123</v>
      </c>
      <c r="C766" s="15" t="s">
        <v>119</v>
      </c>
      <c r="D766" s="16">
        <v>0.30351075877689698</v>
      </c>
      <c r="E766" s="16">
        <v>0.41777777777777803</v>
      </c>
      <c r="F766" s="16">
        <v>0.161434977578475</v>
      </c>
      <c r="G766" s="16">
        <v>0.302222222222222</v>
      </c>
      <c r="H766" s="16">
        <v>0.37821651668126</v>
      </c>
      <c r="I766" s="16">
        <v>0.27060659105055201</v>
      </c>
      <c r="J766" s="16">
        <v>0.73840945168816996</v>
      </c>
      <c r="K766" s="16">
        <v>0.64798623564878599</v>
      </c>
      <c r="L766" s="16">
        <v>0.86408668591238702</v>
      </c>
      <c r="M766" s="16">
        <v>0.47783251231527102</v>
      </c>
      <c r="N766" s="16">
        <v>0.48245614035087703</v>
      </c>
      <c r="O766" s="16">
        <v>1</v>
      </c>
      <c r="P766" s="17">
        <f t="shared" si="121"/>
        <v>0.30562814068119737</v>
      </c>
      <c r="Q766" s="17">
        <f t="shared" si="122"/>
        <v>0.7501607910831144</v>
      </c>
      <c r="R766" s="17">
        <f t="shared" si="123"/>
        <v>0.65342955088871602</v>
      </c>
      <c r="S766" s="17">
        <f>'02_지표정의'!$C$22*P766+'02_지표정의'!$C$23*Q766+'02_지표정의'!$C$24*R766</f>
        <v>0.62739832693469155</v>
      </c>
      <c r="T766" s="5">
        <f t="shared" si="124"/>
        <v>1</v>
      </c>
      <c r="U766" s="5" t="str">
        <f t="shared" si="125"/>
        <v>보고서</v>
      </c>
      <c r="V766" s="18">
        <f t="shared" si="126"/>
        <v>517</v>
      </c>
      <c r="W766" s="5">
        <f t="shared" si="127"/>
        <v>0</v>
      </c>
      <c r="X766" s="5">
        <f t="shared" si="128"/>
        <v>227</v>
      </c>
      <c r="Y766" s="5">
        <f t="shared" si="129"/>
        <v>390</v>
      </c>
      <c r="Z766" s="19">
        <f t="shared" si="130"/>
        <v>3</v>
      </c>
      <c r="AA766" s="20">
        <f>ABS(S766-SUMPRODUCT(('05B_가정검정'!$A$5:$A$19=B766)*('05B_가정검정'!$B$5:$B$19=C766)*'05B_가정검정'!$E$5:$E$19))</f>
        <v>5.82314703895358E-2</v>
      </c>
      <c r="AB766" s="20">
        <f t="shared" si="131"/>
        <v>-5.5020406110310227E-2</v>
      </c>
    </row>
    <row r="767" spans="1:28">
      <c r="A767" s="15" t="s">
        <v>174</v>
      </c>
      <c r="B767" s="15" t="s">
        <v>116</v>
      </c>
      <c r="C767" s="15" t="s">
        <v>117</v>
      </c>
      <c r="D767" s="16">
        <v>0.22924901185770799</v>
      </c>
      <c r="E767" s="16">
        <v>0.30612244897959201</v>
      </c>
      <c r="F767" s="16">
        <v>0.123711340206186</v>
      </c>
      <c r="G767" s="16">
        <v>0.25510204081632698</v>
      </c>
      <c r="H767" s="16">
        <v>0.22436109652830599</v>
      </c>
      <c r="I767" s="16">
        <v>0.179007256736085</v>
      </c>
      <c r="J767" s="16">
        <v>0.66520625757338903</v>
      </c>
      <c r="K767" s="16">
        <v>0.64077012184474502</v>
      </c>
      <c r="L767" s="16">
        <v>0.81130531792970295</v>
      </c>
      <c r="M767" s="16">
        <v>0.55757575757575795</v>
      </c>
      <c r="N767" s="16">
        <v>8.98876404494382E-2</v>
      </c>
      <c r="O767" s="16">
        <v>1</v>
      </c>
      <c r="P767" s="17">
        <f t="shared" si="121"/>
        <v>0.21959219918736736</v>
      </c>
      <c r="Q767" s="17">
        <f t="shared" si="122"/>
        <v>0.70576056578261237</v>
      </c>
      <c r="R767" s="17">
        <f t="shared" si="123"/>
        <v>0.54915446600839868</v>
      </c>
      <c r="S767" s="17">
        <f>'02_지표정의'!$C$22*P767+'02_지표정의'!$C$23*Q767+'02_지표정의'!$C$24*R767</f>
        <v>0.55371475754258848</v>
      </c>
      <c r="T767" s="5">
        <f t="shared" si="124"/>
        <v>0</v>
      </c>
      <c r="U767" s="5" t="str">
        <f t="shared" si="125"/>
        <v>보고서</v>
      </c>
      <c r="V767" s="18">
        <f t="shared" si="126"/>
        <v>222</v>
      </c>
      <c r="W767" s="5">
        <f t="shared" si="127"/>
        <v>182</v>
      </c>
      <c r="X767" s="5">
        <f t="shared" si="128"/>
        <v>72</v>
      </c>
      <c r="Y767" s="5">
        <f t="shared" si="129"/>
        <v>0</v>
      </c>
      <c r="Z767" s="19">
        <f t="shared" si="130"/>
        <v>26</v>
      </c>
      <c r="AA767" s="20">
        <f>ABS(S767-SUMPRODUCT(('05B_가정검정'!$A$5:$A$19=B767)*('05B_가정검정'!$B$5:$B$19=C767)*'05B_가정검정'!$E$5:$E$19))</f>
        <v>3.6889474423787982E-3</v>
      </c>
      <c r="AB767" s="20">
        <f t="shared" si="131"/>
        <v>1.1635921299650853E-3</v>
      </c>
    </row>
    <row r="768" spans="1:28">
      <c r="A768" s="15" t="s">
        <v>174</v>
      </c>
      <c r="B768" s="15" t="s">
        <v>116</v>
      </c>
      <c r="C768" s="15" t="s">
        <v>118</v>
      </c>
      <c r="D768" s="16">
        <v>0.30792682926829301</v>
      </c>
      <c r="E768" s="16">
        <v>0.217391304347826</v>
      </c>
      <c r="F768" s="16">
        <v>8.7499999999999994E-2</v>
      </c>
      <c r="G768" s="16">
        <v>0.173913043478261</v>
      </c>
      <c r="H768" s="16">
        <v>0.155314451376801</v>
      </c>
      <c r="I768" s="16">
        <v>0.26006230019431997</v>
      </c>
      <c r="J768" s="16">
        <v>0.68594931027549499</v>
      </c>
      <c r="K768" s="16">
        <v>0.705872806059615</v>
      </c>
      <c r="L768" s="16">
        <v>0.84095390981092699</v>
      </c>
      <c r="M768" s="16">
        <v>0.44855967078189302</v>
      </c>
      <c r="N768" s="16">
        <v>0</v>
      </c>
      <c r="O768" s="16">
        <v>1</v>
      </c>
      <c r="P768" s="17">
        <f t="shared" si="121"/>
        <v>0.20035132144425016</v>
      </c>
      <c r="Q768" s="17">
        <f t="shared" si="122"/>
        <v>0.74425867538201229</v>
      </c>
      <c r="R768" s="17">
        <f t="shared" si="123"/>
        <v>0.48285322359396438</v>
      </c>
      <c r="S768" s="17">
        <f>'02_지표정의'!$C$22*P768+'02_지표정의'!$C$23*Q768+'02_지표정의'!$C$24*R768</f>
        <v>0.54398529646864313</v>
      </c>
      <c r="T768" s="5">
        <f t="shared" si="124"/>
        <v>0</v>
      </c>
      <c r="U768" s="5" t="str">
        <f t="shared" si="125"/>
        <v>보고서</v>
      </c>
      <c r="V768" s="18">
        <f t="shared" si="126"/>
        <v>182</v>
      </c>
      <c r="W768" s="5">
        <f t="shared" si="127"/>
        <v>155</v>
      </c>
      <c r="X768" s="5">
        <f t="shared" si="128"/>
        <v>0</v>
      </c>
      <c r="Y768" s="5">
        <f t="shared" si="129"/>
        <v>161</v>
      </c>
      <c r="Z768" s="19">
        <f t="shared" si="130"/>
        <v>42</v>
      </c>
      <c r="AA768" s="20">
        <f>ABS(S768-SUMPRODUCT(('05B_가정검정'!$A$5:$A$19=B768)*('05B_가정검정'!$B$5:$B$19=C768)*'05B_가정검정'!$E$5:$E$19))</f>
        <v>1.2692874766921491E-2</v>
      </c>
      <c r="AB768" s="20">
        <f t="shared" si="131"/>
        <v>1.6436264090056829E-2</v>
      </c>
    </row>
    <row r="769" spans="1:28">
      <c r="A769" s="15" t="s">
        <v>174</v>
      </c>
      <c r="B769" s="15" t="s">
        <v>116</v>
      </c>
      <c r="C769" s="15" t="s">
        <v>119</v>
      </c>
      <c r="D769" s="16">
        <v>0.29641693811074898</v>
      </c>
      <c r="E769" s="16">
        <v>0.456310679611651</v>
      </c>
      <c r="F769" s="16">
        <v>0.19607843137254899</v>
      </c>
      <c r="G769" s="16">
        <v>0.33009708737864102</v>
      </c>
      <c r="H769" s="16">
        <v>0.28052658932873897</v>
      </c>
      <c r="I769" s="16">
        <v>0.26131298318879398</v>
      </c>
      <c r="J769" s="16">
        <v>0.70323211715576495</v>
      </c>
      <c r="K769" s="16">
        <v>0.61482012005285203</v>
      </c>
      <c r="L769" s="16">
        <v>0.78905948310758101</v>
      </c>
      <c r="M769" s="16">
        <v>0.51515151515151503</v>
      </c>
      <c r="N769" s="16">
        <v>0.213483146067416</v>
      </c>
      <c r="O769" s="16">
        <v>1</v>
      </c>
      <c r="P769" s="17">
        <f t="shared" si="121"/>
        <v>0.30345711816518717</v>
      </c>
      <c r="Q769" s="17">
        <f t="shared" si="122"/>
        <v>0.70237057343873266</v>
      </c>
      <c r="R769" s="17">
        <f t="shared" si="123"/>
        <v>0.57621155373964372</v>
      </c>
      <c r="S769" s="17">
        <f>'02_지표정의'!$C$22*P769+'02_지표정의'!$C$23*Q769+'02_지표정의'!$C$24*R769</f>
        <v>0.57843222548934248</v>
      </c>
      <c r="T769" s="5">
        <f t="shared" si="124"/>
        <v>0</v>
      </c>
      <c r="U769" s="5" t="str">
        <f t="shared" si="125"/>
        <v>보고서</v>
      </c>
      <c r="V769" s="18">
        <f t="shared" si="126"/>
        <v>316</v>
      </c>
      <c r="W769" s="5">
        <f t="shared" si="127"/>
        <v>0</v>
      </c>
      <c r="X769" s="5">
        <f t="shared" si="128"/>
        <v>135</v>
      </c>
      <c r="Y769" s="5">
        <f t="shared" si="129"/>
        <v>241</v>
      </c>
      <c r="Z769" s="19">
        <f t="shared" si="130"/>
        <v>51</v>
      </c>
      <c r="AA769" s="20">
        <f>ABS(S769-SUMPRODUCT(('05B_가정검정'!$A$5:$A$19=B769)*('05B_가정검정'!$B$5:$B$19=C769)*'05B_가정검정'!$E$5:$E$19))</f>
        <v>2.5408708746559872E-2</v>
      </c>
      <c r="AB769" s="20">
        <f t="shared" si="131"/>
        <v>2.1979741813162423E-2</v>
      </c>
    </row>
    <row r="770" spans="1:28">
      <c r="A770" s="15" t="s">
        <v>174</v>
      </c>
      <c r="B770" s="15" t="s">
        <v>120</v>
      </c>
      <c r="C770" s="15" t="s">
        <v>117</v>
      </c>
      <c r="D770" s="16">
        <v>0.23312883435582801</v>
      </c>
      <c r="E770" s="16">
        <v>0.31460674157303398</v>
      </c>
      <c r="F770" s="16">
        <v>9.8113207547169803E-2</v>
      </c>
      <c r="G770" s="16">
        <v>0.202247191011236</v>
      </c>
      <c r="H770" s="16">
        <v>0.31128963235481399</v>
      </c>
      <c r="I770" s="16">
        <v>0.134101821642514</v>
      </c>
      <c r="J770" s="16">
        <v>0.64980122969156995</v>
      </c>
      <c r="K770" s="16">
        <v>0.63357724028687401</v>
      </c>
      <c r="L770" s="16">
        <v>0.84464902687450105</v>
      </c>
      <c r="M770" s="16">
        <v>0.53691275167785202</v>
      </c>
      <c r="N770" s="16">
        <v>0.46341463414634099</v>
      </c>
      <c r="O770" s="16">
        <v>1</v>
      </c>
      <c r="P770" s="17">
        <f t="shared" ref="P770:P833" si="132">AVERAGE(D770:I770)</f>
        <v>0.21558123808076599</v>
      </c>
      <c r="Q770" s="17">
        <f t="shared" ref="Q770:Q833" si="133">AVERAGE(J770:L770)</f>
        <v>0.70934249895098167</v>
      </c>
      <c r="R770" s="17">
        <f t="shared" ref="R770:R833" si="134">AVERAGE(M770:O770)</f>
        <v>0.66677579527473096</v>
      </c>
      <c r="S770" s="17">
        <f>'02_지표정의'!$C$22*P770+'02_지표정의'!$C$23*Q770+'02_지표정의'!$C$24*R770</f>
        <v>0.59569190049025078</v>
      </c>
      <c r="T770" s="5">
        <f t="shared" ref="T770:T833" si="135">IF(OR(AND(B770="gemini",C770="gemma"),AND(B770="qwen3_6",C770="qwen"),AND(B770="mistral",C770="ministral")),1,0)</f>
        <v>0</v>
      </c>
      <c r="U770" s="5" t="str">
        <f t="shared" ref="U770:U833" si="136">IF(LEFT(A770,3)="PAT","특허","보고서")</f>
        <v>보고서</v>
      </c>
      <c r="V770" s="18">
        <f t="shared" ref="V770:V833" si="137">COUNTIF($S$2:$S$976,"&lt;"&amp;S770)+(COUNTIF($S$2:$S$976,"="&amp;S770)+1)/2</f>
        <v>372</v>
      </c>
      <c r="W770" s="5">
        <f t="shared" ref="W770:W833" si="138">IF(C770="qwen",0,COUNTIFS($C$2:$C$976,"&lt;&gt;qwen",$S$2:$S$976,"&lt;"&amp;S770)+1)</f>
        <v>301</v>
      </c>
      <c r="X770" s="5">
        <f t="shared" ref="X770:X833" si="139">IF(C770="ministral",0,COUNTIFS($C$2:$C$976,"&lt;&gt;ministral",$S$2:$S$976,"&lt;"&amp;S770)+1)</f>
        <v>157</v>
      </c>
      <c r="Y770" s="5">
        <f t="shared" ref="Y770:Y833" si="140">IF(C770="gemma",0,COUNTIFS($C$2:$C$976,"&lt;&gt;gemma",$S$2:$S$976,"&lt;"&amp;S770)+1)</f>
        <v>0</v>
      </c>
      <c r="Z770" s="19">
        <f t="shared" ref="Z770:Z833" si="141">COUNTIFS($B$2:$B$976,B770,$C$2:$C$976,C770,$S$2:$S$976,"&lt;"&amp;S770)+1</f>
        <v>3</v>
      </c>
      <c r="AA770" s="20">
        <f>ABS(S770-SUMPRODUCT(('05B_가정검정'!$A$5:$A$19=B770)*('05B_가정검정'!$B$5:$B$19=C770)*'05B_가정검정'!$E$5:$E$19))</f>
        <v>3.2357059566870294E-2</v>
      </c>
      <c r="AB770" s="20">
        <f t="shared" ref="AB770:AB833" si="142">S770-AVERAGEIFS($S$2:$S$976,$B$2:$B$976,B770,$C$2:$C$976,C770)</f>
        <v>-3.5610802934506358E-2</v>
      </c>
    </row>
    <row r="771" spans="1:28">
      <c r="A771" s="15" t="s">
        <v>174</v>
      </c>
      <c r="B771" s="15" t="s">
        <v>120</v>
      </c>
      <c r="C771" s="15" t="s">
        <v>118</v>
      </c>
      <c r="D771" s="16">
        <v>0.250481695568401</v>
      </c>
      <c r="E771" s="16">
        <v>0.27989821882951699</v>
      </c>
      <c r="F771" s="16">
        <v>8.6956521739130405E-2</v>
      </c>
      <c r="G771" s="16">
        <v>0.213740458015267</v>
      </c>
      <c r="H771" s="16">
        <v>0.25589120090642897</v>
      </c>
      <c r="I771" s="16">
        <v>0.182032619201215</v>
      </c>
      <c r="J771" s="16">
        <v>0.65744340876218399</v>
      </c>
      <c r="K771" s="16">
        <v>0.66136106400519101</v>
      </c>
      <c r="L771" s="16">
        <v>0.80894069799629298</v>
      </c>
      <c r="M771" s="16">
        <v>0.53909465020576097</v>
      </c>
      <c r="N771" s="16">
        <v>0.56302521008403394</v>
      </c>
      <c r="O771" s="16">
        <v>1</v>
      </c>
      <c r="P771" s="17">
        <f t="shared" si="132"/>
        <v>0.21150011904332655</v>
      </c>
      <c r="Q771" s="17">
        <f t="shared" si="133"/>
        <v>0.70924839025455599</v>
      </c>
      <c r="R771" s="17">
        <f t="shared" si="134"/>
        <v>0.70070662009659834</v>
      </c>
      <c r="S771" s="17">
        <f>'02_지표정의'!$C$22*P771+'02_지표정의'!$C$23*Q771+'02_지표정의'!$C$24*R771</f>
        <v>0.60670911645702497</v>
      </c>
      <c r="T771" s="5">
        <f t="shared" si="135"/>
        <v>0</v>
      </c>
      <c r="U771" s="5" t="str">
        <f t="shared" si="136"/>
        <v>보고서</v>
      </c>
      <c r="V771" s="18">
        <f t="shared" si="137"/>
        <v>417</v>
      </c>
      <c r="W771" s="5">
        <f t="shared" si="138"/>
        <v>338</v>
      </c>
      <c r="X771" s="5">
        <f t="shared" si="139"/>
        <v>0</v>
      </c>
      <c r="Y771" s="5">
        <f t="shared" si="140"/>
        <v>317</v>
      </c>
      <c r="Z771" s="19">
        <f t="shared" si="141"/>
        <v>41</v>
      </c>
      <c r="AA771" s="20">
        <f>ABS(S771-SUMPRODUCT(('05B_가정검정'!$A$5:$A$19=B771)*('05B_가정검정'!$B$5:$B$19=C771)*'05B_가정검정'!$E$5:$E$19))</f>
        <v>1.5880267875396981E-2</v>
      </c>
      <c r="AB771" s="20">
        <f t="shared" si="142"/>
        <v>3.1818340494914166E-2</v>
      </c>
    </row>
    <row r="772" spans="1:28">
      <c r="A772" s="15" t="s">
        <v>174</v>
      </c>
      <c r="B772" s="15" t="s">
        <v>120</v>
      </c>
      <c r="C772" s="15" t="s">
        <v>119</v>
      </c>
      <c r="D772" s="16">
        <v>0.240963855421687</v>
      </c>
      <c r="E772" s="16">
        <v>0.404332129963899</v>
      </c>
      <c r="F772" s="16">
        <v>0.174545454545455</v>
      </c>
      <c r="G772" s="16">
        <v>0.24548736462093901</v>
      </c>
      <c r="H772" s="16">
        <v>0.20588390991900499</v>
      </c>
      <c r="I772" s="16">
        <v>0.14109674755068199</v>
      </c>
      <c r="J772" s="16">
        <v>0.63575384104465005</v>
      </c>
      <c r="K772" s="16">
        <v>0.60448945245335695</v>
      </c>
      <c r="L772" s="16">
        <v>0.83085793321795198</v>
      </c>
      <c r="M772" s="16">
        <v>0.66428571428571404</v>
      </c>
      <c r="N772" s="16">
        <v>0.59756097560975596</v>
      </c>
      <c r="O772" s="16">
        <v>1</v>
      </c>
      <c r="P772" s="17">
        <f t="shared" si="132"/>
        <v>0.2353849103369445</v>
      </c>
      <c r="Q772" s="17">
        <f t="shared" si="133"/>
        <v>0.69036707557198629</v>
      </c>
      <c r="R772" s="17">
        <f t="shared" si="134"/>
        <v>0.7539488966318233</v>
      </c>
      <c r="S772" s="17">
        <f>'02_지표정의'!$C$22*P772+'02_지표정의'!$C$23*Q772+'02_지표정의'!$C$24*R772</f>
        <v>0.62162427989592084</v>
      </c>
      <c r="T772" s="5">
        <f t="shared" si="135"/>
        <v>0</v>
      </c>
      <c r="U772" s="5" t="str">
        <f t="shared" si="136"/>
        <v>보고서</v>
      </c>
      <c r="V772" s="18">
        <f t="shared" si="137"/>
        <v>497</v>
      </c>
      <c r="W772" s="5">
        <f t="shared" si="138"/>
        <v>0</v>
      </c>
      <c r="X772" s="5">
        <f t="shared" si="139"/>
        <v>218</v>
      </c>
      <c r="Y772" s="5">
        <f t="shared" si="140"/>
        <v>376</v>
      </c>
      <c r="Z772" s="19">
        <f t="shared" si="141"/>
        <v>9</v>
      </c>
      <c r="AA772" s="20">
        <f>ABS(S772-SUMPRODUCT(('05B_가정검정'!$A$5:$A$19=B772)*('05B_가정검정'!$B$5:$B$19=C772)*'05B_가정검정'!$E$5:$E$19))</f>
        <v>4.2053036585465442E-2</v>
      </c>
      <c r="AB772" s="20">
        <f t="shared" si="142"/>
        <v>-3.6798727614894777E-2</v>
      </c>
    </row>
    <row r="773" spans="1:28">
      <c r="A773" s="15" t="s">
        <v>174</v>
      </c>
      <c r="B773" s="15" t="s">
        <v>121</v>
      </c>
      <c r="C773" s="15" t="s">
        <v>117</v>
      </c>
      <c r="D773" s="16">
        <v>0.23755656108597301</v>
      </c>
      <c r="E773" s="16">
        <v>0.31336405529953898</v>
      </c>
      <c r="F773" s="16">
        <v>0.12093023255814001</v>
      </c>
      <c r="G773" s="16">
        <v>0.25806451612903197</v>
      </c>
      <c r="H773" s="16">
        <v>0.31029575489058803</v>
      </c>
      <c r="I773" s="16">
        <v>0.150113559853401</v>
      </c>
      <c r="J773" s="16">
        <v>0.74011720522400404</v>
      </c>
      <c r="K773" s="16">
        <v>0.74157982799356004</v>
      </c>
      <c r="L773" s="16">
        <v>0.87434666143691098</v>
      </c>
      <c r="M773" s="16">
        <v>0.65100671140939603</v>
      </c>
      <c r="N773" s="16">
        <v>0.77464788732394396</v>
      </c>
      <c r="O773" s="16">
        <v>1</v>
      </c>
      <c r="P773" s="17">
        <f t="shared" si="132"/>
        <v>0.23172077996944551</v>
      </c>
      <c r="Q773" s="17">
        <f t="shared" si="133"/>
        <v>0.78534789821815831</v>
      </c>
      <c r="R773" s="17">
        <f t="shared" si="134"/>
        <v>0.80855153291111337</v>
      </c>
      <c r="S773" s="17">
        <f>'02_지표정의'!$C$22*P773+'02_지표정의'!$C$23*Q773+'02_지표정의'!$C$24*R773</f>
        <v>0.68274374671095006</v>
      </c>
      <c r="T773" s="5">
        <f t="shared" si="135"/>
        <v>1</v>
      </c>
      <c r="U773" s="5" t="str">
        <f t="shared" si="136"/>
        <v>보고서</v>
      </c>
      <c r="V773" s="18">
        <f t="shared" si="137"/>
        <v>765</v>
      </c>
      <c r="W773" s="5">
        <f t="shared" si="138"/>
        <v>537</v>
      </c>
      <c r="X773" s="5">
        <f t="shared" si="139"/>
        <v>441</v>
      </c>
      <c r="Y773" s="5">
        <f t="shared" si="140"/>
        <v>0</v>
      </c>
      <c r="Z773" s="19">
        <f t="shared" si="141"/>
        <v>9</v>
      </c>
      <c r="AA773" s="20">
        <f>ABS(S773-SUMPRODUCT(('05B_가정검정'!$A$5:$A$19=B773)*('05B_가정검정'!$B$5:$B$19=C773)*'05B_가정검정'!$E$5:$E$19))</f>
        <v>4.6688324670931092E-2</v>
      </c>
      <c r="AB773" s="20">
        <f t="shared" si="142"/>
        <v>-3.49080463619309E-2</v>
      </c>
    </row>
    <row r="774" spans="1:28">
      <c r="A774" s="15" t="s">
        <v>174</v>
      </c>
      <c r="B774" s="15" t="s">
        <v>121</v>
      </c>
      <c r="C774" s="15" t="s">
        <v>118</v>
      </c>
      <c r="D774" s="16">
        <v>0.271446862996159</v>
      </c>
      <c r="E774" s="16">
        <v>0.25655976676384901</v>
      </c>
      <c r="F774" s="16">
        <v>9.3841642228739003E-2</v>
      </c>
      <c r="G774" s="16">
        <v>0.209912536443149</v>
      </c>
      <c r="H774" s="16">
        <v>0.199453771250544</v>
      </c>
      <c r="I774" s="16">
        <v>0.18316142752363501</v>
      </c>
      <c r="J774" s="16">
        <v>0.73181306591342798</v>
      </c>
      <c r="K774" s="16">
        <v>0.74321751588378104</v>
      </c>
      <c r="L774" s="16">
        <v>0.88390684021697496</v>
      </c>
      <c r="M774" s="16">
        <v>0.39917695473251003</v>
      </c>
      <c r="N774" s="16">
        <v>0.46218487394958002</v>
      </c>
      <c r="O774" s="16">
        <v>1</v>
      </c>
      <c r="P774" s="17">
        <f t="shared" si="132"/>
        <v>0.20239600120101253</v>
      </c>
      <c r="Q774" s="17">
        <f t="shared" si="133"/>
        <v>0.78631247400472792</v>
      </c>
      <c r="R774" s="17">
        <f t="shared" si="134"/>
        <v>0.62045394289403</v>
      </c>
      <c r="S774" s="17">
        <f>'02_지표정의'!$C$22*P774+'02_지표정의'!$C$23*Q774+'02_지표정의'!$C$24*R774</f>
        <v>0.61147869355524054</v>
      </c>
      <c r="T774" s="5">
        <f t="shared" si="135"/>
        <v>0</v>
      </c>
      <c r="U774" s="5" t="str">
        <f t="shared" si="136"/>
        <v>보고서</v>
      </c>
      <c r="V774" s="18">
        <f t="shared" si="137"/>
        <v>439</v>
      </c>
      <c r="W774" s="5">
        <f t="shared" si="138"/>
        <v>356</v>
      </c>
      <c r="X774" s="5">
        <f t="shared" si="139"/>
        <v>0</v>
      </c>
      <c r="Y774" s="5">
        <f t="shared" si="140"/>
        <v>335</v>
      </c>
      <c r="Z774" s="19">
        <f t="shared" si="141"/>
        <v>42</v>
      </c>
      <c r="AA774" s="20">
        <f>ABS(S774-SUMPRODUCT(('05B_가정검정'!$A$5:$A$19=B774)*('05B_가정검정'!$B$5:$B$19=C774)*'05B_가정검정'!$E$5:$E$19))</f>
        <v>1.2899203388272107E-2</v>
      </c>
      <c r="AB774" s="20">
        <f t="shared" si="142"/>
        <v>3.2079619028427264E-2</v>
      </c>
    </row>
    <row r="775" spans="1:28">
      <c r="A775" s="15" t="s">
        <v>174</v>
      </c>
      <c r="B775" s="15" t="s">
        <v>121</v>
      </c>
      <c r="C775" s="15" t="s">
        <v>119</v>
      </c>
      <c r="D775" s="16">
        <v>0.28146143437077098</v>
      </c>
      <c r="E775" s="16">
        <v>0.48458149779735699</v>
      </c>
      <c r="F775" s="16">
        <v>0.21333333333333299</v>
      </c>
      <c r="G775" s="16">
        <v>0.33480176211453699</v>
      </c>
      <c r="H775" s="16">
        <v>0.40352669366764499</v>
      </c>
      <c r="I775" s="16">
        <v>0.29808508279364299</v>
      </c>
      <c r="J775" s="16">
        <v>0.75597282586368697</v>
      </c>
      <c r="K775" s="16">
        <v>0.790256787138087</v>
      </c>
      <c r="L775" s="16">
        <v>0.897910784073644</v>
      </c>
      <c r="M775" s="16">
        <v>0.90654205607476601</v>
      </c>
      <c r="N775" s="16">
        <v>0.91666666666666696</v>
      </c>
      <c r="O775" s="16">
        <v>1</v>
      </c>
      <c r="P775" s="17">
        <f t="shared" si="132"/>
        <v>0.33596496734621423</v>
      </c>
      <c r="Q775" s="17">
        <f t="shared" si="133"/>
        <v>0.81471346569180592</v>
      </c>
      <c r="R775" s="17">
        <f t="shared" si="134"/>
        <v>0.94106957424714432</v>
      </c>
      <c r="S775" s="17">
        <f>'02_지표정의'!$C$22*P775+'02_지표정의'!$C$23*Q775+'02_지표정의'!$C$24*R775</f>
        <v>0.76318840401705601</v>
      </c>
      <c r="T775" s="5">
        <f t="shared" si="135"/>
        <v>0</v>
      </c>
      <c r="U775" s="5" t="str">
        <f t="shared" si="136"/>
        <v>보고서</v>
      </c>
      <c r="V775" s="18">
        <f t="shared" si="137"/>
        <v>969</v>
      </c>
      <c r="W775" s="5">
        <f t="shared" si="138"/>
        <v>0</v>
      </c>
      <c r="X775" s="5">
        <f t="shared" si="139"/>
        <v>644</v>
      </c>
      <c r="Y775" s="5">
        <f t="shared" si="140"/>
        <v>644</v>
      </c>
      <c r="Z775" s="19">
        <f t="shared" si="141"/>
        <v>61</v>
      </c>
      <c r="AA775" s="20">
        <f>ABS(S775-SUMPRODUCT(('05B_가정검정'!$A$5:$A$19=B775)*('05B_가정검정'!$B$5:$B$19=C775)*'05B_가정검정'!$E$5:$E$19))</f>
        <v>7.0868561221202331E-2</v>
      </c>
      <c r="AB775" s="20">
        <f t="shared" si="142"/>
        <v>7.4951428597444969E-2</v>
      </c>
    </row>
    <row r="776" spans="1:28">
      <c r="A776" s="15" t="s">
        <v>174</v>
      </c>
      <c r="B776" s="15" t="s">
        <v>122</v>
      </c>
      <c r="C776" s="15" t="s">
        <v>117</v>
      </c>
      <c r="D776" s="16">
        <v>0.24844720496894401</v>
      </c>
      <c r="E776" s="16">
        <v>0.32432432432432401</v>
      </c>
      <c r="F776" s="16">
        <v>0.12727272727272701</v>
      </c>
      <c r="G776" s="16">
        <v>0.23423423423423401</v>
      </c>
      <c r="H776" s="16">
        <v>0.27801019611797601</v>
      </c>
      <c r="I776" s="16">
        <v>0.174890664455744</v>
      </c>
      <c r="J776" s="16">
        <v>0.70206447562943297</v>
      </c>
      <c r="K776" s="16">
        <v>0.66679401986656295</v>
      </c>
      <c r="L776" s="16">
        <v>0.87018308405398204</v>
      </c>
      <c r="M776" s="16">
        <v>0.70469798657718097</v>
      </c>
      <c r="N776" s="16">
        <v>0.60563380281690204</v>
      </c>
      <c r="O776" s="16">
        <v>1</v>
      </c>
      <c r="P776" s="17">
        <f t="shared" si="132"/>
        <v>0.23119655856232482</v>
      </c>
      <c r="Q776" s="17">
        <f t="shared" si="133"/>
        <v>0.74634719318332599</v>
      </c>
      <c r="R776" s="17">
        <f t="shared" si="134"/>
        <v>0.77011059646469437</v>
      </c>
      <c r="S776" s="17">
        <f>'02_지표정의'!$C$22*P776+'02_지표정의'!$C$23*Q776+'02_지표정의'!$C$24*R776</f>
        <v>0.65163425740760472</v>
      </c>
      <c r="T776" s="5">
        <f t="shared" si="135"/>
        <v>0</v>
      </c>
      <c r="U776" s="5" t="str">
        <f t="shared" si="136"/>
        <v>보고서</v>
      </c>
      <c r="V776" s="18">
        <f t="shared" si="137"/>
        <v>626</v>
      </c>
      <c r="W776" s="5">
        <f t="shared" si="138"/>
        <v>474</v>
      </c>
      <c r="X776" s="5">
        <f t="shared" si="139"/>
        <v>311</v>
      </c>
      <c r="Y776" s="5">
        <f t="shared" si="140"/>
        <v>0</v>
      </c>
      <c r="Z776" s="19">
        <f t="shared" si="141"/>
        <v>40</v>
      </c>
      <c r="AA776" s="20">
        <f>ABS(S776-SUMPRODUCT(('05B_가정검정'!$A$5:$A$19=B776)*('05B_가정검정'!$B$5:$B$19=C776)*'05B_가정검정'!$E$5:$E$19))</f>
        <v>1.2281302698926244E-2</v>
      </c>
      <c r="AB776" s="20">
        <f t="shared" si="142"/>
        <v>2.8752635217958566E-2</v>
      </c>
    </row>
    <row r="777" spans="1:28">
      <c r="A777" s="15" t="s">
        <v>174</v>
      </c>
      <c r="B777" s="15" t="s">
        <v>122</v>
      </c>
      <c r="C777" s="15" t="s">
        <v>118</v>
      </c>
      <c r="D777" s="16">
        <v>0.33618233618233601</v>
      </c>
      <c r="E777" s="16">
        <v>0.22413793103448301</v>
      </c>
      <c r="F777" s="16">
        <v>9.8265895953757204E-2</v>
      </c>
      <c r="G777" s="16">
        <v>0.18965517241379301</v>
      </c>
      <c r="H777" s="16">
        <v>0.211214777821739</v>
      </c>
      <c r="I777" s="16">
        <v>0.25794726033828402</v>
      </c>
      <c r="J777" s="16">
        <v>0.70960456390538695</v>
      </c>
      <c r="K777" s="16">
        <v>0.69105661802507401</v>
      </c>
      <c r="L777" s="16">
        <v>0.84096606288846198</v>
      </c>
      <c r="M777" s="16">
        <v>0.42386831275720199</v>
      </c>
      <c r="N777" s="16">
        <v>0.369747899159664</v>
      </c>
      <c r="O777" s="16">
        <v>1</v>
      </c>
      <c r="P777" s="17">
        <f t="shared" si="132"/>
        <v>0.21956722895739869</v>
      </c>
      <c r="Q777" s="17">
        <f t="shared" si="133"/>
        <v>0.74720908160630761</v>
      </c>
      <c r="R777" s="17">
        <f t="shared" si="134"/>
        <v>0.59787207063895531</v>
      </c>
      <c r="S777" s="17">
        <f>'02_지표정의'!$C$22*P777+'02_지표정의'!$C$23*Q777+'02_지표정의'!$C$24*R777</f>
        <v>0.5894127572379525</v>
      </c>
      <c r="T777" s="5">
        <f t="shared" si="135"/>
        <v>1</v>
      </c>
      <c r="U777" s="5" t="str">
        <f t="shared" si="136"/>
        <v>보고서</v>
      </c>
      <c r="V777" s="18">
        <f t="shared" si="137"/>
        <v>351</v>
      </c>
      <c r="W777" s="5">
        <f t="shared" si="138"/>
        <v>285</v>
      </c>
      <c r="X777" s="5">
        <f t="shared" si="139"/>
        <v>0</v>
      </c>
      <c r="Y777" s="5">
        <f t="shared" si="140"/>
        <v>268</v>
      </c>
      <c r="Z777" s="19">
        <f t="shared" si="141"/>
        <v>36</v>
      </c>
      <c r="AA777" s="20">
        <f>ABS(S777-SUMPRODUCT(('05B_가정검정'!$A$5:$A$19=B777)*('05B_가정검정'!$B$5:$B$19=C777)*'05B_가정검정'!$E$5:$E$19))</f>
        <v>2.4908212407942498E-3</v>
      </c>
      <c r="AB777" s="20">
        <f t="shared" si="142"/>
        <v>8.1894810202687296E-3</v>
      </c>
    </row>
    <row r="778" spans="1:28">
      <c r="A778" s="15" t="s">
        <v>174</v>
      </c>
      <c r="B778" s="15" t="s">
        <v>122</v>
      </c>
      <c r="C778" s="15" t="s">
        <v>119</v>
      </c>
      <c r="D778" s="16">
        <v>0.33030303030302999</v>
      </c>
      <c r="E778" s="16">
        <v>0.5</v>
      </c>
      <c r="F778" s="16">
        <v>0.23478260869565201</v>
      </c>
      <c r="G778" s="16">
        <v>0.27586206896551702</v>
      </c>
      <c r="H778" s="16">
        <v>0.33426644658946197</v>
      </c>
      <c r="I778" s="16">
        <v>0.32113776118651399</v>
      </c>
      <c r="J778" s="16">
        <v>0.69431752116836398</v>
      </c>
      <c r="K778" s="16">
        <v>0.64181429772107101</v>
      </c>
      <c r="L778" s="16">
        <v>0.84380199867844197</v>
      </c>
      <c r="M778" s="16">
        <v>0.747899159663866</v>
      </c>
      <c r="N778" s="16">
        <v>0.74242424242424199</v>
      </c>
      <c r="O778" s="16">
        <v>1</v>
      </c>
      <c r="P778" s="17">
        <f t="shared" si="132"/>
        <v>0.33272531929002919</v>
      </c>
      <c r="Q778" s="17">
        <f t="shared" si="133"/>
        <v>0.72664460585595891</v>
      </c>
      <c r="R778" s="17">
        <f t="shared" si="134"/>
        <v>0.83010780069603596</v>
      </c>
      <c r="S778" s="17">
        <f>'02_지표정의'!$C$22*P778+'02_지표정의'!$C$23*Q778+'02_지표정의'!$C$24*R778</f>
        <v>0.6840728667367999</v>
      </c>
      <c r="T778" s="5">
        <f t="shared" si="135"/>
        <v>0</v>
      </c>
      <c r="U778" s="5" t="str">
        <f t="shared" si="136"/>
        <v>보고서</v>
      </c>
      <c r="V778" s="18">
        <f t="shared" si="137"/>
        <v>768</v>
      </c>
      <c r="W778" s="5">
        <f t="shared" si="138"/>
        <v>0</v>
      </c>
      <c r="X778" s="5">
        <f t="shared" si="139"/>
        <v>444</v>
      </c>
      <c r="Y778" s="5">
        <f t="shared" si="140"/>
        <v>554</v>
      </c>
      <c r="Z778" s="19">
        <f t="shared" si="141"/>
        <v>59</v>
      </c>
      <c r="AA778" s="20">
        <f>ABS(S778-SUMPRODUCT(('05B_가정검정'!$A$5:$A$19=B778)*('05B_가정검정'!$B$5:$B$19=C778)*'05B_가정검정'!$E$5:$E$19))</f>
        <v>4.8466678835348498E-2</v>
      </c>
      <c r="AB778" s="20">
        <f t="shared" si="142"/>
        <v>5.2684000421913901E-2</v>
      </c>
    </row>
    <row r="779" spans="1:28">
      <c r="A779" s="15" t="s">
        <v>174</v>
      </c>
      <c r="B779" s="15" t="s">
        <v>123</v>
      </c>
      <c r="C779" s="15" t="s">
        <v>117</v>
      </c>
      <c r="D779" s="16">
        <v>0.249208025343189</v>
      </c>
      <c r="E779" s="16">
        <v>0.32411067193675902</v>
      </c>
      <c r="F779" s="16">
        <v>0.103585657370518</v>
      </c>
      <c r="G779" s="16">
        <v>0.205533596837945</v>
      </c>
      <c r="H779" s="16">
        <v>0.38551694858275198</v>
      </c>
      <c r="I779" s="16">
        <v>0.17569323288923</v>
      </c>
      <c r="J779" s="16">
        <v>0.71035515563394003</v>
      </c>
      <c r="K779" s="16">
        <v>0.67562095500695496</v>
      </c>
      <c r="L779" s="16">
        <v>0.86522070946367702</v>
      </c>
      <c r="M779" s="16">
        <v>0.65100671140939603</v>
      </c>
      <c r="N779" s="16">
        <v>0.77464788732394396</v>
      </c>
      <c r="O779" s="16">
        <v>1</v>
      </c>
      <c r="P779" s="17">
        <f t="shared" si="132"/>
        <v>0.24060802216006549</v>
      </c>
      <c r="Q779" s="17">
        <f t="shared" si="133"/>
        <v>0.7503989400348573</v>
      </c>
      <c r="R779" s="17">
        <f t="shared" si="134"/>
        <v>0.80855153291111337</v>
      </c>
      <c r="S779" s="17">
        <f>'02_지표정의'!$C$22*P779+'02_지표정의'!$C$23*Q779+'02_지표정의'!$C$24*R779</f>
        <v>0.66879416396658864</v>
      </c>
      <c r="T779" s="5">
        <f t="shared" si="135"/>
        <v>0</v>
      </c>
      <c r="U779" s="5" t="str">
        <f t="shared" si="136"/>
        <v>보고서</v>
      </c>
      <c r="V779" s="18">
        <f t="shared" si="137"/>
        <v>711</v>
      </c>
      <c r="W779" s="5">
        <f t="shared" si="138"/>
        <v>509</v>
      </c>
      <c r="X779" s="5">
        <f t="shared" si="139"/>
        <v>391</v>
      </c>
      <c r="Y779" s="5">
        <f t="shared" si="140"/>
        <v>0</v>
      </c>
      <c r="Z779" s="19">
        <f t="shared" si="141"/>
        <v>6</v>
      </c>
      <c r="AA779" s="20">
        <f>ABS(S779-SUMPRODUCT(('05B_가정검정'!$A$5:$A$19=B779)*('05B_가정검정'!$B$5:$B$19=C779)*'05B_가정검정'!$E$5:$E$19))</f>
        <v>4.6128718809635094E-2</v>
      </c>
      <c r="AB779" s="20">
        <f t="shared" si="142"/>
        <v>-3.9191287844654532E-2</v>
      </c>
    </row>
    <row r="780" spans="1:28">
      <c r="A780" s="15" t="s">
        <v>174</v>
      </c>
      <c r="B780" s="15" t="s">
        <v>123</v>
      </c>
      <c r="C780" s="15" t="s">
        <v>118</v>
      </c>
      <c r="D780" s="16">
        <v>0.23933649289099501</v>
      </c>
      <c r="E780" s="16">
        <v>0.211081794195251</v>
      </c>
      <c r="F780" s="16">
        <v>7.9575596816976096E-2</v>
      </c>
      <c r="G780" s="16">
        <v>0.174142480211082</v>
      </c>
      <c r="H780" s="16">
        <v>0.21172155520982699</v>
      </c>
      <c r="I780" s="16">
        <v>0.17602755873717801</v>
      </c>
      <c r="J780" s="16">
        <v>0.69795786347434396</v>
      </c>
      <c r="K780" s="16">
        <v>0.68942385541554096</v>
      </c>
      <c r="L780" s="16">
        <v>0.83476083054332095</v>
      </c>
      <c r="M780" s="16">
        <v>0.39917695473251003</v>
      </c>
      <c r="N780" s="16">
        <v>0.46218487394958002</v>
      </c>
      <c r="O780" s="16">
        <v>1</v>
      </c>
      <c r="P780" s="17">
        <f t="shared" si="132"/>
        <v>0.18198091301021821</v>
      </c>
      <c r="Q780" s="17">
        <f t="shared" si="133"/>
        <v>0.74071418314440196</v>
      </c>
      <c r="R780" s="17">
        <f t="shared" si="134"/>
        <v>0.62045394289403</v>
      </c>
      <c r="S780" s="17">
        <f>'02_지표정의'!$C$22*P780+'02_지표정의'!$C$23*Q780+'02_지표정의'!$C$24*R780</f>
        <v>0.58687644502993497</v>
      </c>
      <c r="T780" s="5">
        <f t="shared" si="135"/>
        <v>0</v>
      </c>
      <c r="U780" s="5" t="str">
        <f t="shared" si="136"/>
        <v>보고서</v>
      </c>
      <c r="V780" s="18">
        <f t="shared" si="137"/>
        <v>339</v>
      </c>
      <c r="W780" s="5">
        <f t="shared" si="138"/>
        <v>277</v>
      </c>
      <c r="X780" s="5">
        <f t="shared" si="139"/>
        <v>0</v>
      </c>
      <c r="Y780" s="5">
        <f t="shared" si="140"/>
        <v>256</v>
      </c>
      <c r="Z780" s="19">
        <f t="shared" si="141"/>
        <v>39</v>
      </c>
      <c r="AA780" s="20">
        <f>ABS(S780-SUMPRODUCT(('05B_가정검정'!$A$5:$A$19=B780)*('05B_가정검정'!$B$5:$B$19=C780)*'05B_가정검정'!$E$5:$E$19))</f>
        <v>1.1577618150965252E-2</v>
      </c>
      <c r="AB780" s="20">
        <f t="shared" si="142"/>
        <v>2.700483710544388E-2</v>
      </c>
    </row>
    <row r="781" spans="1:28">
      <c r="A781" s="15" t="s">
        <v>174</v>
      </c>
      <c r="B781" s="15" t="s">
        <v>123</v>
      </c>
      <c r="C781" s="15" t="s">
        <v>119</v>
      </c>
      <c r="D781" s="16">
        <v>0.304239401496259</v>
      </c>
      <c r="E781" s="16">
        <v>0.55513307984790905</v>
      </c>
      <c r="F781" s="16">
        <v>0.23754789272030699</v>
      </c>
      <c r="G781" s="16">
        <v>0.33460076045627402</v>
      </c>
      <c r="H781" s="16">
        <v>0.38410041380019699</v>
      </c>
      <c r="I781" s="16">
        <v>0.37981330130569801</v>
      </c>
      <c r="J781" s="16">
        <v>0.70233311276312904</v>
      </c>
      <c r="K781" s="16">
        <v>0.68023478814118499</v>
      </c>
      <c r="L781" s="16">
        <v>0.87443320515027501</v>
      </c>
      <c r="M781" s="16">
        <v>0.90654205607476601</v>
      </c>
      <c r="N781" s="16">
        <v>0.91666666666666696</v>
      </c>
      <c r="O781" s="16">
        <v>1</v>
      </c>
      <c r="P781" s="17">
        <f t="shared" si="132"/>
        <v>0.36590580827110736</v>
      </c>
      <c r="Q781" s="17">
        <f t="shared" si="133"/>
        <v>0.75233370201819627</v>
      </c>
      <c r="R781" s="17">
        <f t="shared" si="134"/>
        <v>0.94106957424714432</v>
      </c>
      <c r="S781" s="17">
        <f>'02_지표정의'!$C$22*P781+'02_지표정의'!$C$23*Q781+'02_지표정의'!$C$24*R781</f>
        <v>0.7411056785489103</v>
      </c>
      <c r="T781" s="5">
        <f t="shared" si="135"/>
        <v>1</v>
      </c>
      <c r="U781" s="5" t="str">
        <f t="shared" si="136"/>
        <v>보고서</v>
      </c>
      <c r="V781" s="18">
        <f t="shared" si="137"/>
        <v>927</v>
      </c>
      <c r="W781" s="5">
        <f t="shared" si="138"/>
        <v>0</v>
      </c>
      <c r="X781" s="5">
        <f t="shared" si="139"/>
        <v>602</v>
      </c>
      <c r="Y781" s="5">
        <f t="shared" si="140"/>
        <v>624</v>
      </c>
      <c r="Z781" s="19">
        <f t="shared" si="141"/>
        <v>53</v>
      </c>
      <c r="AA781" s="20">
        <f>ABS(S781-SUMPRODUCT(('05B_가정검정'!$A$5:$A$19=B781)*('05B_가정검정'!$B$5:$B$19=C781)*'05B_가정검정'!$E$5:$E$19))</f>
        <v>5.5475881224682944E-2</v>
      </c>
      <c r="AB781" s="20">
        <f t="shared" si="142"/>
        <v>5.8686945503908516E-2</v>
      </c>
    </row>
    <row r="782" spans="1:28">
      <c r="A782" s="15" t="s">
        <v>175</v>
      </c>
      <c r="B782" s="15" t="s">
        <v>116</v>
      </c>
      <c r="C782" s="15" t="s">
        <v>117</v>
      </c>
      <c r="D782" s="16">
        <v>0.26944444444444399</v>
      </c>
      <c r="E782" s="16">
        <v>0.38888888888888901</v>
      </c>
      <c r="F782" s="16">
        <v>0.19718309859154901</v>
      </c>
      <c r="G782" s="16">
        <v>0.33333333333333298</v>
      </c>
      <c r="H782" s="16">
        <v>0.24083604283347801</v>
      </c>
      <c r="I782" s="16">
        <v>0.17951143799564301</v>
      </c>
      <c r="J782" s="16">
        <v>0.70898768907489795</v>
      </c>
      <c r="K782" s="16">
        <v>0.61189183638956701</v>
      </c>
      <c r="L782" s="16">
        <v>0.836870314077233</v>
      </c>
      <c r="M782" s="16">
        <v>0.51515151515151503</v>
      </c>
      <c r="N782" s="16">
        <v>0.213483146067416</v>
      </c>
      <c r="O782" s="16">
        <v>1</v>
      </c>
      <c r="P782" s="17">
        <f t="shared" si="132"/>
        <v>0.26819954101455601</v>
      </c>
      <c r="Q782" s="17">
        <f t="shared" si="133"/>
        <v>0.71924994651389929</v>
      </c>
      <c r="R782" s="17">
        <f t="shared" si="134"/>
        <v>0.57621155373964372</v>
      </c>
      <c r="S782" s="17">
        <f>'02_지표정의'!$C$22*P782+'02_지표정의'!$C$23*Q782+'02_지표정의'!$C$24*R782</f>
        <v>0.57897642794304116</v>
      </c>
      <c r="T782" s="5">
        <f t="shared" si="135"/>
        <v>0</v>
      </c>
      <c r="U782" s="5" t="str">
        <f t="shared" si="136"/>
        <v>보고서</v>
      </c>
      <c r="V782" s="18">
        <f t="shared" si="137"/>
        <v>319</v>
      </c>
      <c r="W782" s="5">
        <f t="shared" si="138"/>
        <v>259</v>
      </c>
      <c r="X782" s="5">
        <f t="shared" si="139"/>
        <v>137</v>
      </c>
      <c r="Y782" s="5">
        <f t="shared" si="140"/>
        <v>0</v>
      </c>
      <c r="Z782" s="19">
        <f t="shared" si="141"/>
        <v>58</v>
      </c>
      <c r="AA782" s="20">
        <f>ABS(S782-SUMPRODUCT(('05B_가정검정'!$A$5:$A$19=B782)*('05B_가정검정'!$B$5:$B$19=C782)*'05B_가정검정'!$E$5:$E$19))</f>
        <v>2.1572722958073887E-2</v>
      </c>
      <c r="AB782" s="20">
        <f t="shared" si="142"/>
        <v>2.642526253041777E-2</v>
      </c>
    </row>
    <row r="783" spans="1:28">
      <c r="A783" s="15" t="s">
        <v>175</v>
      </c>
      <c r="B783" s="15" t="s">
        <v>116</v>
      </c>
      <c r="C783" s="15" t="s">
        <v>118</v>
      </c>
      <c r="D783" s="16">
        <v>0.34581105169340498</v>
      </c>
      <c r="E783" s="16">
        <v>0.192857142857143</v>
      </c>
      <c r="F783" s="16">
        <v>0.107913669064748</v>
      </c>
      <c r="G783" s="16">
        <v>0.17857142857142899</v>
      </c>
      <c r="H783" s="16">
        <v>0.177598300508885</v>
      </c>
      <c r="I783" s="16">
        <v>0.23493344052422899</v>
      </c>
      <c r="J783" s="16">
        <v>0.71161645918848604</v>
      </c>
      <c r="K783" s="16">
        <v>0.66652321047510599</v>
      </c>
      <c r="L783" s="16">
        <v>0.82838679504040902</v>
      </c>
      <c r="M783" s="16">
        <v>0.42553191489361702</v>
      </c>
      <c r="N783" s="16">
        <v>0</v>
      </c>
      <c r="O783" s="16">
        <v>1</v>
      </c>
      <c r="P783" s="17">
        <f t="shared" si="132"/>
        <v>0.20628083886997317</v>
      </c>
      <c r="Q783" s="17">
        <f t="shared" si="133"/>
        <v>0.73550882156800046</v>
      </c>
      <c r="R783" s="17">
        <f t="shared" si="134"/>
        <v>0.47517730496453897</v>
      </c>
      <c r="S783" s="17">
        <f>'02_지표정의'!$C$22*P783+'02_지표정의'!$C$23*Q783+'02_지표정의'!$C$24*R783</f>
        <v>0.53854719421718356</v>
      </c>
      <c r="T783" s="5">
        <f t="shared" si="135"/>
        <v>0</v>
      </c>
      <c r="U783" s="5" t="str">
        <f t="shared" si="136"/>
        <v>보고서</v>
      </c>
      <c r="V783" s="18">
        <f t="shared" si="137"/>
        <v>163</v>
      </c>
      <c r="W783" s="5">
        <f t="shared" si="138"/>
        <v>143</v>
      </c>
      <c r="X783" s="5">
        <f t="shared" si="139"/>
        <v>0</v>
      </c>
      <c r="Y783" s="5">
        <f t="shared" si="140"/>
        <v>147</v>
      </c>
      <c r="Z783" s="19">
        <f t="shared" si="141"/>
        <v>38</v>
      </c>
      <c r="AA783" s="20">
        <f>ABS(S783-SUMPRODUCT(('05B_가정검정'!$A$5:$A$19=B783)*('05B_가정검정'!$B$5:$B$19=C783)*'05B_가정검정'!$E$5:$E$19))</f>
        <v>7.2547725154619158E-3</v>
      </c>
      <c r="AB783" s="20">
        <f t="shared" si="142"/>
        <v>1.0998161838597253E-2</v>
      </c>
    </row>
    <row r="784" spans="1:28">
      <c r="A784" s="15" t="s">
        <v>175</v>
      </c>
      <c r="B784" s="15" t="s">
        <v>116</v>
      </c>
      <c r="C784" s="15" t="s">
        <v>119</v>
      </c>
      <c r="D784" s="16">
        <v>0.32114467408585101</v>
      </c>
      <c r="E784" s="16">
        <v>0.44961240310077499</v>
      </c>
      <c r="F784" s="16">
        <v>0.28346456692913402</v>
      </c>
      <c r="G784" s="16">
        <v>0.387596899224806</v>
      </c>
      <c r="H784" s="16">
        <v>0.28294452750548599</v>
      </c>
      <c r="I784" s="16">
        <v>0.36204549160410199</v>
      </c>
      <c r="J784" s="16">
        <v>0.71514280498134697</v>
      </c>
      <c r="K784" s="16">
        <v>0.62102730367978198</v>
      </c>
      <c r="L784" s="16">
        <v>0.83904460676742598</v>
      </c>
      <c r="M784" s="16">
        <v>0.39393939393939398</v>
      </c>
      <c r="N784" s="16">
        <v>0</v>
      </c>
      <c r="O784" s="16">
        <v>1</v>
      </c>
      <c r="P784" s="17">
        <f t="shared" si="132"/>
        <v>0.34780142707502565</v>
      </c>
      <c r="Q784" s="17">
        <f t="shared" si="133"/>
        <v>0.72507157180951831</v>
      </c>
      <c r="R784" s="17">
        <f t="shared" si="134"/>
        <v>0.4646464646464647</v>
      </c>
      <c r="S784" s="17">
        <f>'02_지표정의'!$C$22*P784+'02_지표정의'!$C$23*Q784+'02_지표정의'!$C$24*R784</f>
        <v>0.55846875535555107</v>
      </c>
      <c r="T784" s="5">
        <f t="shared" si="135"/>
        <v>0</v>
      </c>
      <c r="U784" s="5" t="str">
        <f t="shared" si="136"/>
        <v>보고서</v>
      </c>
      <c r="V784" s="18">
        <f t="shared" si="137"/>
        <v>244</v>
      </c>
      <c r="W784" s="5">
        <f t="shared" si="138"/>
        <v>0</v>
      </c>
      <c r="X784" s="5">
        <f t="shared" si="139"/>
        <v>89</v>
      </c>
      <c r="Y784" s="5">
        <f t="shared" si="140"/>
        <v>201</v>
      </c>
      <c r="Z784" s="19">
        <f t="shared" si="141"/>
        <v>38</v>
      </c>
      <c r="AA784" s="20">
        <f>ABS(S784-SUMPRODUCT(('05B_가정검정'!$A$5:$A$19=B784)*('05B_가정검정'!$B$5:$B$19=C784)*'05B_가정검정'!$E$5:$E$19))</f>
        <v>5.445238612768466E-3</v>
      </c>
      <c r="AB784" s="20">
        <f t="shared" si="142"/>
        <v>2.0162716793710178E-3</v>
      </c>
    </row>
    <row r="785" spans="1:28">
      <c r="A785" s="15" t="s">
        <v>175</v>
      </c>
      <c r="B785" s="15" t="s">
        <v>120</v>
      </c>
      <c r="C785" s="15" t="s">
        <v>117</v>
      </c>
      <c r="D785" s="16">
        <v>0.264560710760118</v>
      </c>
      <c r="E785" s="16">
        <v>0.35185185185185203</v>
      </c>
      <c r="F785" s="16">
        <v>0.11214953271028</v>
      </c>
      <c r="G785" s="16">
        <v>0.25</v>
      </c>
      <c r="H785" s="16">
        <v>0.3121976492488</v>
      </c>
      <c r="I785" s="16">
        <v>0.27337939862357802</v>
      </c>
      <c r="J785" s="16">
        <v>0.70602445908984401</v>
      </c>
      <c r="K785" s="16">
        <v>0.62633594278294002</v>
      </c>
      <c r="L785" s="16">
        <v>0.84662701628051795</v>
      </c>
      <c r="M785" s="16">
        <v>0.62837837837837796</v>
      </c>
      <c r="N785" s="16">
        <v>0.56976744186046502</v>
      </c>
      <c r="O785" s="16">
        <v>1</v>
      </c>
      <c r="P785" s="17">
        <f t="shared" si="132"/>
        <v>0.2606898571991047</v>
      </c>
      <c r="Q785" s="17">
        <f t="shared" si="133"/>
        <v>0.726329139384434</v>
      </c>
      <c r="R785" s="17">
        <f t="shared" si="134"/>
        <v>0.73271527341294762</v>
      </c>
      <c r="S785" s="17">
        <f>'02_지표정의'!$C$22*P785+'02_지표정의'!$C$23*Q785+'02_지표정의'!$C$24*R785</f>
        <v>0.63543642985734794</v>
      </c>
      <c r="T785" s="5">
        <f t="shared" si="135"/>
        <v>0</v>
      </c>
      <c r="U785" s="5" t="str">
        <f t="shared" si="136"/>
        <v>보고서</v>
      </c>
      <c r="V785" s="18">
        <f t="shared" si="137"/>
        <v>558</v>
      </c>
      <c r="W785" s="5">
        <f t="shared" si="138"/>
        <v>437</v>
      </c>
      <c r="X785" s="5">
        <f t="shared" si="139"/>
        <v>258</v>
      </c>
      <c r="Y785" s="5">
        <f t="shared" si="140"/>
        <v>0</v>
      </c>
      <c r="Z785" s="19">
        <f t="shared" si="141"/>
        <v>41</v>
      </c>
      <c r="AA785" s="20">
        <f>ABS(S785-SUMPRODUCT(('05B_가정검정'!$A$5:$A$19=B785)*('05B_가정검정'!$B$5:$B$19=C785)*'05B_가정검정'!$E$5:$E$19))</f>
        <v>7.3874698002268646E-3</v>
      </c>
      <c r="AB785" s="20">
        <f t="shared" si="142"/>
        <v>4.1337264325908007E-3</v>
      </c>
    </row>
    <row r="786" spans="1:28">
      <c r="A786" s="15" t="s">
        <v>175</v>
      </c>
      <c r="B786" s="15" t="s">
        <v>120</v>
      </c>
      <c r="C786" s="15" t="s">
        <v>118</v>
      </c>
      <c r="D786" s="16">
        <v>0.29274004683840799</v>
      </c>
      <c r="E786" s="16">
        <v>0.25</v>
      </c>
      <c r="F786" s="16">
        <v>0.10285714285714299</v>
      </c>
      <c r="G786" s="16">
        <v>0.21022727272727301</v>
      </c>
      <c r="H786" s="16">
        <v>0.25708116547064702</v>
      </c>
      <c r="I786" s="16">
        <v>0.22823268918149001</v>
      </c>
      <c r="J786" s="16">
        <v>0.71107111142309198</v>
      </c>
      <c r="K786" s="16">
        <v>0.64468962956943399</v>
      </c>
      <c r="L786" s="16">
        <v>0.83646822151286504</v>
      </c>
      <c r="M786" s="16">
        <v>0.52765957446808498</v>
      </c>
      <c r="N786" s="16">
        <v>0.55652173913043501</v>
      </c>
      <c r="O786" s="16">
        <v>1</v>
      </c>
      <c r="P786" s="17">
        <f t="shared" si="132"/>
        <v>0.22352305284582685</v>
      </c>
      <c r="Q786" s="17">
        <f t="shared" si="133"/>
        <v>0.730742987501797</v>
      </c>
      <c r="R786" s="17">
        <f t="shared" si="134"/>
        <v>0.69472710453284003</v>
      </c>
      <c r="S786" s="17">
        <f>'02_지표정의'!$C$22*P786+'02_지표정의'!$C$23*Q786+'02_지표정의'!$C$24*R786</f>
        <v>0.61669344153146799</v>
      </c>
      <c r="T786" s="5">
        <f t="shared" si="135"/>
        <v>0</v>
      </c>
      <c r="U786" s="5" t="str">
        <f t="shared" si="136"/>
        <v>보고서</v>
      </c>
      <c r="V786" s="18">
        <f t="shared" si="137"/>
        <v>472</v>
      </c>
      <c r="W786" s="5">
        <f t="shared" si="138"/>
        <v>384</v>
      </c>
      <c r="X786" s="5">
        <f t="shared" si="139"/>
        <v>0</v>
      </c>
      <c r="Y786" s="5">
        <f t="shared" si="140"/>
        <v>355</v>
      </c>
      <c r="Z786" s="19">
        <f t="shared" si="141"/>
        <v>48</v>
      </c>
      <c r="AA786" s="20">
        <f>ABS(S786-SUMPRODUCT(('05B_가정검정'!$A$5:$A$19=B786)*('05B_가정검정'!$B$5:$B$19=C786)*'05B_가정검정'!$E$5:$E$19))</f>
        <v>2.5864592949840004E-2</v>
      </c>
      <c r="AB786" s="20">
        <f t="shared" si="142"/>
        <v>4.1802665569357189E-2</v>
      </c>
    </row>
    <row r="787" spans="1:28">
      <c r="A787" s="15" t="s">
        <v>175</v>
      </c>
      <c r="B787" s="15" t="s">
        <v>120</v>
      </c>
      <c r="C787" s="15" t="s">
        <v>119</v>
      </c>
      <c r="D787" s="16">
        <v>0.31670281995661598</v>
      </c>
      <c r="E787" s="16">
        <v>0.46766169154228898</v>
      </c>
      <c r="F787" s="16">
        <v>0.20100502512562801</v>
      </c>
      <c r="G787" s="16">
        <v>0.35820895522388102</v>
      </c>
      <c r="H787" s="16">
        <v>0.327245142053252</v>
      </c>
      <c r="I787" s="16">
        <v>0.36454837272100099</v>
      </c>
      <c r="J787" s="16">
        <v>0.71664655384798004</v>
      </c>
      <c r="K787" s="16">
        <v>0.618662383330848</v>
      </c>
      <c r="L787" s="16">
        <v>0.83173431863148295</v>
      </c>
      <c r="M787" s="16">
        <v>0.64242424242424201</v>
      </c>
      <c r="N787" s="16">
        <v>0.63</v>
      </c>
      <c r="O787" s="16">
        <v>1</v>
      </c>
      <c r="P787" s="17">
        <f t="shared" si="132"/>
        <v>0.33922866777044453</v>
      </c>
      <c r="Q787" s="17">
        <f t="shared" si="133"/>
        <v>0.72234775193677037</v>
      </c>
      <c r="R787" s="17">
        <f t="shared" si="134"/>
        <v>0.7574747474747473</v>
      </c>
      <c r="S787" s="17">
        <f>'02_지표정의'!$C$22*P787+'02_지표정의'!$C$23*Q787+'02_지표정의'!$C$24*R787</f>
        <v>0.65801838354179709</v>
      </c>
      <c r="T787" s="5">
        <f t="shared" si="135"/>
        <v>0</v>
      </c>
      <c r="U787" s="5" t="str">
        <f t="shared" si="136"/>
        <v>보고서</v>
      </c>
      <c r="V787" s="18">
        <f t="shared" si="137"/>
        <v>662</v>
      </c>
      <c r="W787" s="5">
        <f t="shared" si="138"/>
        <v>0</v>
      </c>
      <c r="X787" s="5">
        <f t="shared" si="139"/>
        <v>343</v>
      </c>
      <c r="Y787" s="5">
        <f t="shared" si="140"/>
        <v>491</v>
      </c>
      <c r="Z787" s="19">
        <f t="shared" si="141"/>
        <v>26</v>
      </c>
      <c r="AA787" s="20">
        <f>ABS(S787-SUMPRODUCT(('05B_가정검정'!$A$5:$A$19=B787)*('05B_가정검정'!$B$5:$B$19=C787)*'05B_가정검정'!$E$5:$E$19))</f>
        <v>5.6589329395891896E-3</v>
      </c>
      <c r="AB787" s="20">
        <f t="shared" si="142"/>
        <v>-4.0462396901852493E-4</v>
      </c>
    </row>
    <row r="788" spans="1:28">
      <c r="A788" s="15" t="s">
        <v>175</v>
      </c>
      <c r="B788" s="15" t="s">
        <v>121</v>
      </c>
      <c r="C788" s="15" t="s">
        <v>117</v>
      </c>
      <c r="D788" s="16">
        <v>0.28534704370179997</v>
      </c>
      <c r="E788" s="16">
        <v>0.45033112582781498</v>
      </c>
      <c r="F788" s="16">
        <v>0.20134228187919501</v>
      </c>
      <c r="G788" s="16">
        <v>0.370860927152318</v>
      </c>
      <c r="H788" s="16">
        <v>0.31198806432395498</v>
      </c>
      <c r="I788" s="16">
        <v>0.26342275971465601</v>
      </c>
      <c r="J788" s="16">
        <v>0.753620796510587</v>
      </c>
      <c r="K788" s="16">
        <v>0.730827463165443</v>
      </c>
      <c r="L788" s="16">
        <v>0.87390246551749695</v>
      </c>
      <c r="M788" s="16">
        <v>0.90654205607476601</v>
      </c>
      <c r="N788" s="16">
        <v>0.91666666666666696</v>
      </c>
      <c r="O788" s="16">
        <v>1</v>
      </c>
      <c r="P788" s="17">
        <f t="shared" si="132"/>
        <v>0.3138820337666231</v>
      </c>
      <c r="Q788" s="17">
        <f t="shared" si="133"/>
        <v>0.78611690839784243</v>
      </c>
      <c r="R788" s="17">
        <f t="shared" si="134"/>
        <v>0.94106957424714432</v>
      </c>
      <c r="S788" s="17">
        <f>'02_지표정의'!$C$22*P788+'02_지표정의'!$C$23*Q788+'02_지표정의'!$C$24*R788</f>
        <v>0.74590336651885414</v>
      </c>
      <c r="T788" s="5">
        <f t="shared" si="135"/>
        <v>1</v>
      </c>
      <c r="U788" s="5" t="str">
        <f t="shared" si="136"/>
        <v>보고서</v>
      </c>
      <c r="V788" s="18">
        <f t="shared" si="137"/>
        <v>945</v>
      </c>
      <c r="W788" s="5">
        <f t="shared" si="138"/>
        <v>642</v>
      </c>
      <c r="X788" s="5">
        <f t="shared" si="139"/>
        <v>620</v>
      </c>
      <c r="Y788" s="5">
        <f t="shared" si="140"/>
        <v>0</v>
      </c>
      <c r="Z788" s="19">
        <f t="shared" si="141"/>
        <v>58</v>
      </c>
      <c r="AA788" s="20">
        <f>ABS(S788-SUMPRODUCT(('05B_가정검정'!$A$5:$A$19=B788)*('05B_가정검정'!$B$5:$B$19=C788)*'05B_가정검정'!$E$5:$E$19))</f>
        <v>1.6471295136972985E-2</v>
      </c>
      <c r="AB788" s="20">
        <f t="shared" si="142"/>
        <v>2.8251573445973177E-2</v>
      </c>
    </row>
    <row r="789" spans="1:28">
      <c r="A789" s="15" t="s">
        <v>175</v>
      </c>
      <c r="B789" s="15" t="s">
        <v>121</v>
      </c>
      <c r="C789" s="15" t="s">
        <v>118</v>
      </c>
      <c r="D789" s="16">
        <v>0.27140549273020997</v>
      </c>
      <c r="E789" s="16">
        <v>0.24390243902438999</v>
      </c>
      <c r="F789" s="16">
        <v>0.140350877192982</v>
      </c>
      <c r="G789" s="16">
        <v>0.21602787456445999</v>
      </c>
      <c r="H789" s="16">
        <v>0.20686173196768201</v>
      </c>
      <c r="I789" s="16">
        <v>0.18582862174610601</v>
      </c>
      <c r="J789" s="16">
        <v>0.76048764859504803</v>
      </c>
      <c r="K789" s="16">
        <v>0.748927912438481</v>
      </c>
      <c r="L789" s="16">
        <v>0.88237543972749999</v>
      </c>
      <c r="M789" s="16">
        <v>0.412765957446809</v>
      </c>
      <c r="N789" s="16">
        <v>0.47826086956521702</v>
      </c>
      <c r="O789" s="16">
        <v>1</v>
      </c>
      <c r="P789" s="17">
        <f t="shared" si="132"/>
        <v>0.210729506204305</v>
      </c>
      <c r="Q789" s="17">
        <f t="shared" si="133"/>
        <v>0.79726366692034301</v>
      </c>
      <c r="R789" s="17">
        <f t="shared" si="134"/>
        <v>0.63034227567067536</v>
      </c>
      <c r="S789" s="17">
        <f>'02_지표정의'!$C$22*P789+'02_지표정의'!$C$23*Q789+'02_지표정의'!$C$24*R789</f>
        <v>0.6215343478397517</v>
      </c>
      <c r="T789" s="5">
        <f t="shared" si="135"/>
        <v>0</v>
      </c>
      <c r="U789" s="5" t="str">
        <f t="shared" si="136"/>
        <v>보고서</v>
      </c>
      <c r="V789" s="18">
        <f t="shared" si="137"/>
        <v>496</v>
      </c>
      <c r="W789" s="5">
        <f t="shared" si="138"/>
        <v>400</v>
      </c>
      <c r="X789" s="5">
        <f t="shared" si="139"/>
        <v>0</v>
      </c>
      <c r="Y789" s="5">
        <f t="shared" si="140"/>
        <v>375</v>
      </c>
      <c r="Z789" s="19">
        <f t="shared" si="141"/>
        <v>52</v>
      </c>
      <c r="AA789" s="20">
        <f>ABS(S789-SUMPRODUCT(('05B_가정검정'!$A$5:$A$19=B789)*('05B_가정검정'!$B$5:$B$19=C789)*'05B_가정검정'!$E$5:$E$19))</f>
        <v>2.2954857672783269E-2</v>
      </c>
      <c r="AB789" s="20">
        <f t="shared" si="142"/>
        <v>4.2135273312938426E-2</v>
      </c>
    </row>
    <row r="790" spans="1:28">
      <c r="A790" s="15" t="s">
        <v>175</v>
      </c>
      <c r="B790" s="15" t="s">
        <v>121</v>
      </c>
      <c r="C790" s="15" t="s">
        <v>119</v>
      </c>
      <c r="D790" s="16">
        <v>0.32896652110625901</v>
      </c>
      <c r="E790" s="16">
        <v>0.42647058823529399</v>
      </c>
      <c r="F790" s="16">
        <v>0.20895522388059701</v>
      </c>
      <c r="G790" s="16">
        <v>0.33823529411764702</v>
      </c>
      <c r="H790" s="16">
        <v>0.34423341736950303</v>
      </c>
      <c r="I790" s="16">
        <v>0.265079214403037</v>
      </c>
      <c r="J790" s="16">
        <v>0.77641095830027496</v>
      </c>
      <c r="K790" s="16">
        <v>0.74253974815891199</v>
      </c>
      <c r="L790" s="16">
        <v>0.88258345373703195</v>
      </c>
      <c r="M790" s="16">
        <v>0.587878787878788</v>
      </c>
      <c r="N790" s="16">
        <v>0.55000000000000004</v>
      </c>
      <c r="O790" s="16">
        <v>1</v>
      </c>
      <c r="P790" s="17">
        <f t="shared" si="132"/>
        <v>0.31865670985205613</v>
      </c>
      <c r="Q790" s="17">
        <f t="shared" si="133"/>
        <v>0.80051138673207289</v>
      </c>
      <c r="R790" s="17">
        <f t="shared" si="134"/>
        <v>0.71262626262626272</v>
      </c>
      <c r="S790" s="17">
        <f>'02_지표정의'!$C$22*P790+'02_지표정의'!$C$23*Q790+'02_지표정의'!$C$24*R790</f>
        <v>0.67338065791903601</v>
      </c>
      <c r="T790" s="5">
        <f t="shared" si="135"/>
        <v>0</v>
      </c>
      <c r="U790" s="5" t="str">
        <f t="shared" si="136"/>
        <v>보고서</v>
      </c>
      <c r="V790" s="18">
        <f t="shared" si="137"/>
        <v>730</v>
      </c>
      <c r="W790" s="5">
        <f t="shared" si="138"/>
        <v>0</v>
      </c>
      <c r="X790" s="5">
        <f t="shared" si="139"/>
        <v>409</v>
      </c>
      <c r="Y790" s="5">
        <f t="shared" si="140"/>
        <v>532</v>
      </c>
      <c r="Z790" s="19">
        <f t="shared" si="141"/>
        <v>27</v>
      </c>
      <c r="AA790" s="20">
        <f>ABS(S790-SUMPRODUCT(('05B_가정검정'!$A$5:$A$19=B790)*('05B_가정검정'!$B$5:$B$19=C790)*'05B_가정검정'!$E$5:$E$19))</f>
        <v>1.8939184876817672E-2</v>
      </c>
      <c r="AB790" s="20">
        <f t="shared" si="142"/>
        <v>-1.4856317500575034E-2</v>
      </c>
    </row>
    <row r="791" spans="1:28">
      <c r="A791" s="15" t="s">
        <v>175</v>
      </c>
      <c r="B791" s="15" t="s">
        <v>122</v>
      </c>
      <c r="C791" s="15" t="s">
        <v>117</v>
      </c>
      <c r="D791" s="16">
        <v>0.26948480845442502</v>
      </c>
      <c r="E791" s="16">
        <v>0.391891891891892</v>
      </c>
      <c r="F791" s="16">
        <v>0.13698630136986301</v>
      </c>
      <c r="G791" s="16">
        <v>0.32432432432432401</v>
      </c>
      <c r="H791" s="16">
        <v>0.29209573470363198</v>
      </c>
      <c r="I791" s="16">
        <v>0.18852423483011699</v>
      </c>
      <c r="J791" s="16">
        <v>0.69609559152413403</v>
      </c>
      <c r="K791" s="16">
        <v>0.62108487060766704</v>
      </c>
      <c r="L791" s="16">
        <v>0.78481089316514396</v>
      </c>
      <c r="M791" s="16">
        <v>0.747899159663866</v>
      </c>
      <c r="N791" s="16">
        <v>0.74242424242424199</v>
      </c>
      <c r="O791" s="16">
        <v>1</v>
      </c>
      <c r="P791" s="17">
        <f t="shared" si="132"/>
        <v>0.26721788259570883</v>
      </c>
      <c r="Q791" s="17">
        <f t="shared" si="133"/>
        <v>0.70066378509898175</v>
      </c>
      <c r="R791" s="17">
        <f t="shared" si="134"/>
        <v>0.83010780069603596</v>
      </c>
      <c r="S791" s="17">
        <f>'02_지표정의'!$C$22*P791+'02_지표정의'!$C$23*Q791+'02_지표정의'!$C$24*R791</f>
        <v>0.6592800100572962</v>
      </c>
      <c r="T791" s="5">
        <f t="shared" si="135"/>
        <v>0</v>
      </c>
      <c r="U791" s="5" t="str">
        <f t="shared" si="136"/>
        <v>보고서</v>
      </c>
      <c r="V791" s="18">
        <f t="shared" si="137"/>
        <v>667</v>
      </c>
      <c r="W791" s="5">
        <f t="shared" si="138"/>
        <v>493</v>
      </c>
      <c r="X791" s="5">
        <f t="shared" si="139"/>
        <v>348</v>
      </c>
      <c r="Y791" s="5">
        <f t="shared" si="140"/>
        <v>0</v>
      </c>
      <c r="Z791" s="19">
        <f t="shared" si="141"/>
        <v>52</v>
      </c>
      <c r="AA791" s="20">
        <f>ABS(S791-SUMPRODUCT(('05B_가정검정'!$A$5:$A$19=B791)*('05B_가정검정'!$B$5:$B$19=C791)*'05B_가정검정'!$E$5:$E$19))</f>
        <v>1.9927055348617717E-2</v>
      </c>
      <c r="AB791" s="20">
        <f t="shared" si="142"/>
        <v>3.6398387867650039E-2</v>
      </c>
    </row>
    <row r="792" spans="1:28">
      <c r="A792" s="15" t="s">
        <v>175</v>
      </c>
      <c r="B792" s="15" t="s">
        <v>122</v>
      </c>
      <c r="C792" s="15" t="s">
        <v>118</v>
      </c>
      <c r="D792" s="16">
        <v>0.36789297658862902</v>
      </c>
      <c r="E792" s="16">
        <v>0.21830985915493001</v>
      </c>
      <c r="F792" s="16">
        <v>8.5106382978723402E-2</v>
      </c>
      <c r="G792" s="16">
        <v>0.183098591549296</v>
      </c>
      <c r="H792" s="16">
        <v>0.21579496747850899</v>
      </c>
      <c r="I792" s="16">
        <v>0.21936745093539201</v>
      </c>
      <c r="J792" s="16">
        <v>0.71992329150438295</v>
      </c>
      <c r="K792" s="16">
        <v>0.68350513548028802</v>
      </c>
      <c r="L792" s="16">
        <v>0.82641080976706804</v>
      </c>
      <c r="M792" s="16">
        <v>0.412765957446809</v>
      </c>
      <c r="N792" s="16">
        <v>0.38260869565217398</v>
      </c>
      <c r="O792" s="16">
        <v>1</v>
      </c>
      <c r="P792" s="17">
        <f t="shared" si="132"/>
        <v>0.2149283714475799</v>
      </c>
      <c r="Q792" s="17">
        <f t="shared" si="133"/>
        <v>0.74327974558391308</v>
      </c>
      <c r="R792" s="17">
        <f t="shared" si="134"/>
        <v>0.59845821769966101</v>
      </c>
      <c r="S792" s="17">
        <f>'02_지표정의'!$C$22*P792+'02_지표정의'!$C$23*Q792+'02_지표정의'!$C$24*R792</f>
        <v>0.58692193599715825</v>
      </c>
      <c r="T792" s="5">
        <f t="shared" si="135"/>
        <v>1</v>
      </c>
      <c r="U792" s="5" t="str">
        <f t="shared" si="136"/>
        <v>보고서</v>
      </c>
      <c r="V792" s="18">
        <f t="shared" si="137"/>
        <v>341</v>
      </c>
      <c r="W792" s="5">
        <f t="shared" si="138"/>
        <v>279</v>
      </c>
      <c r="X792" s="5">
        <f t="shared" si="139"/>
        <v>0</v>
      </c>
      <c r="Y792" s="5">
        <f t="shared" si="140"/>
        <v>258</v>
      </c>
      <c r="Z792" s="19">
        <f t="shared" si="141"/>
        <v>33</v>
      </c>
      <c r="AA792" s="20">
        <f>ABS(S792-SUMPRODUCT(('05B_가정검정'!$A$5:$A$19=B792)*('05B_가정검정'!$B$5:$B$19=C792)*'05B_가정검정'!$E$5:$E$19))</f>
        <v>0</v>
      </c>
      <c r="AB792" s="20">
        <f t="shared" si="142"/>
        <v>5.6986597794744798E-3</v>
      </c>
    </row>
    <row r="793" spans="1:28">
      <c r="A793" s="15" t="s">
        <v>175</v>
      </c>
      <c r="B793" s="15" t="s">
        <v>122</v>
      </c>
      <c r="C793" s="15" t="s">
        <v>119</v>
      </c>
      <c r="D793" s="16">
        <v>0.31231231231231199</v>
      </c>
      <c r="E793" s="16">
        <v>0.43609022556390997</v>
      </c>
      <c r="F793" s="16">
        <v>0.213740458015267</v>
      </c>
      <c r="G793" s="16">
        <v>0.406015037593985</v>
      </c>
      <c r="H793" s="16">
        <v>0.33525821227687502</v>
      </c>
      <c r="I793" s="16">
        <v>0.27135217907474701</v>
      </c>
      <c r="J793" s="16">
        <v>0.72515996917716197</v>
      </c>
      <c r="K793" s="16">
        <v>0.64456637794075</v>
      </c>
      <c r="L793" s="16">
        <v>0.81790962846396498</v>
      </c>
      <c r="M793" s="16">
        <v>0.47878787878787898</v>
      </c>
      <c r="N793" s="16">
        <v>0.43</v>
      </c>
      <c r="O793" s="16">
        <v>1</v>
      </c>
      <c r="P793" s="17">
        <f t="shared" si="132"/>
        <v>0.32912807080618267</v>
      </c>
      <c r="Q793" s="17">
        <f t="shared" si="133"/>
        <v>0.72921199186062557</v>
      </c>
      <c r="R793" s="17">
        <f t="shared" si="134"/>
        <v>0.63626262626262631</v>
      </c>
      <c r="S793" s="17">
        <f>'02_지표정의'!$C$22*P793+'02_지표정의'!$C$23*Q793+'02_지표정의'!$C$24*R793</f>
        <v>0.61666292969043723</v>
      </c>
      <c r="T793" s="5">
        <f t="shared" si="135"/>
        <v>0</v>
      </c>
      <c r="U793" s="5" t="str">
        <f t="shared" si="136"/>
        <v>보고서</v>
      </c>
      <c r="V793" s="18">
        <f t="shared" si="137"/>
        <v>471</v>
      </c>
      <c r="W793" s="5">
        <f t="shared" si="138"/>
        <v>0</v>
      </c>
      <c r="X793" s="5">
        <f t="shared" si="139"/>
        <v>205</v>
      </c>
      <c r="Y793" s="5">
        <f t="shared" si="140"/>
        <v>354</v>
      </c>
      <c r="Z793" s="19">
        <f t="shared" si="141"/>
        <v>19</v>
      </c>
      <c r="AA793" s="20">
        <f>ABS(S793-SUMPRODUCT(('05B_가정검정'!$A$5:$A$19=B793)*('05B_가정검정'!$B$5:$B$19=C793)*'05B_가정검정'!$E$5:$E$19))</f>
        <v>1.8943258211014169E-2</v>
      </c>
      <c r="AB793" s="20">
        <f t="shared" si="142"/>
        <v>-1.4725936624448765E-2</v>
      </c>
    </row>
    <row r="794" spans="1:28">
      <c r="A794" s="15" t="s">
        <v>175</v>
      </c>
      <c r="B794" s="15" t="s">
        <v>123</v>
      </c>
      <c r="C794" s="15" t="s">
        <v>117</v>
      </c>
      <c r="D794" s="16">
        <v>0.28013777267508599</v>
      </c>
      <c r="E794" s="16">
        <v>0.434782608695652</v>
      </c>
      <c r="F794" s="16">
        <v>0.138364779874214</v>
      </c>
      <c r="G794" s="16">
        <v>0.31055900621117999</v>
      </c>
      <c r="H794" s="16">
        <v>0.41436636756978601</v>
      </c>
      <c r="I794" s="16">
        <v>0.30520332857411397</v>
      </c>
      <c r="J794" s="16">
        <v>0.73308283114781203</v>
      </c>
      <c r="K794" s="16">
        <v>0.70318294596755804</v>
      </c>
      <c r="L794" s="16">
        <v>0.90388644911847404</v>
      </c>
      <c r="M794" s="16">
        <v>0.90654205607476601</v>
      </c>
      <c r="N794" s="16">
        <v>0.91666666666666696</v>
      </c>
      <c r="O794" s="16">
        <v>1</v>
      </c>
      <c r="P794" s="17">
        <f t="shared" si="132"/>
        <v>0.31390231060000534</v>
      </c>
      <c r="Q794" s="17">
        <f t="shared" si="133"/>
        <v>0.780050742077948</v>
      </c>
      <c r="R794" s="17">
        <f t="shared" si="134"/>
        <v>0.94106957424714432</v>
      </c>
      <c r="S794" s="17">
        <f>'02_지표정의'!$C$22*P794+'02_지표정의'!$C$23*Q794+'02_지표정의'!$C$24*R794</f>
        <v>0.74317764704157818</v>
      </c>
      <c r="T794" s="5">
        <f t="shared" si="135"/>
        <v>0</v>
      </c>
      <c r="U794" s="5" t="str">
        <f t="shared" si="136"/>
        <v>보고서</v>
      </c>
      <c r="V794" s="18">
        <f t="shared" si="137"/>
        <v>936</v>
      </c>
      <c r="W794" s="5">
        <f t="shared" si="138"/>
        <v>636</v>
      </c>
      <c r="X794" s="5">
        <f t="shared" si="139"/>
        <v>611</v>
      </c>
      <c r="Y794" s="5">
        <f t="shared" si="140"/>
        <v>0</v>
      </c>
      <c r="Z794" s="19">
        <f t="shared" si="141"/>
        <v>63</v>
      </c>
      <c r="AA794" s="20">
        <f>ABS(S794-SUMPRODUCT(('05B_가정검정'!$A$5:$A$19=B794)*('05B_가정검정'!$B$5:$B$19=C794)*'05B_가정검정'!$E$5:$E$19))</f>
        <v>2.8254764265354448E-2</v>
      </c>
      <c r="AB794" s="20">
        <f t="shared" si="142"/>
        <v>3.5192195230335011E-2</v>
      </c>
    </row>
    <row r="795" spans="1:28">
      <c r="A795" s="15" t="s">
        <v>175</v>
      </c>
      <c r="B795" s="15" t="s">
        <v>123</v>
      </c>
      <c r="C795" s="15" t="s">
        <v>118</v>
      </c>
      <c r="D795" s="16">
        <v>0.26685393258426998</v>
      </c>
      <c r="E795" s="16">
        <v>0.24242424242424301</v>
      </c>
      <c r="F795" s="16">
        <v>0.10847457627118599</v>
      </c>
      <c r="G795" s="16">
        <v>0.22222222222222199</v>
      </c>
      <c r="H795" s="16">
        <v>0.25468488572109499</v>
      </c>
      <c r="I795" s="16">
        <v>0.17154742962529301</v>
      </c>
      <c r="J795" s="16">
        <v>0.71773644596584196</v>
      </c>
      <c r="K795" s="16">
        <v>0.688159030164192</v>
      </c>
      <c r="L795" s="16">
        <v>0.86900164329771701</v>
      </c>
      <c r="M795" s="16">
        <v>0.412765957446809</v>
      </c>
      <c r="N795" s="16">
        <v>0.47826086956521702</v>
      </c>
      <c r="O795" s="16">
        <v>1</v>
      </c>
      <c r="P795" s="17">
        <f t="shared" si="132"/>
        <v>0.21103454814138481</v>
      </c>
      <c r="Q795" s="17">
        <f t="shared" si="133"/>
        <v>0.75829903980925029</v>
      </c>
      <c r="R795" s="17">
        <f t="shared" si="134"/>
        <v>0.63034227567067536</v>
      </c>
      <c r="S795" s="17">
        <f>'02_지표정의'!$C$22*P795+'02_지표정의'!$C$23*Q795+'02_지표정의'!$C$24*R795</f>
        <v>0.60406127402717591</v>
      </c>
      <c r="T795" s="5">
        <f t="shared" si="135"/>
        <v>0</v>
      </c>
      <c r="U795" s="5" t="str">
        <f t="shared" si="136"/>
        <v>보고서</v>
      </c>
      <c r="V795" s="18">
        <f t="shared" si="137"/>
        <v>407</v>
      </c>
      <c r="W795" s="5">
        <f t="shared" si="138"/>
        <v>329</v>
      </c>
      <c r="X795" s="5">
        <f t="shared" si="139"/>
        <v>0</v>
      </c>
      <c r="Y795" s="5">
        <f t="shared" si="140"/>
        <v>309</v>
      </c>
      <c r="Z795" s="19">
        <f t="shared" si="141"/>
        <v>51</v>
      </c>
      <c r="AA795" s="20">
        <f>ABS(S795-SUMPRODUCT(('05B_가정검정'!$A$5:$A$19=B795)*('05B_가정검정'!$B$5:$B$19=C795)*'05B_가정검정'!$E$5:$E$19))</f>
        <v>2.8762447148206194E-2</v>
      </c>
      <c r="AB795" s="20">
        <f t="shared" si="142"/>
        <v>4.4189666102684821E-2</v>
      </c>
    </row>
    <row r="796" spans="1:28">
      <c r="A796" s="15" t="s">
        <v>175</v>
      </c>
      <c r="B796" s="15" t="s">
        <v>123</v>
      </c>
      <c r="C796" s="15" t="s">
        <v>119</v>
      </c>
      <c r="D796" s="16">
        <v>0.29487179487179499</v>
      </c>
      <c r="E796" s="16">
        <v>0.45205479452054798</v>
      </c>
      <c r="F796" s="16">
        <v>0.180555555555556</v>
      </c>
      <c r="G796" s="16">
        <v>0.35616438356164398</v>
      </c>
      <c r="H796" s="16">
        <v>0.43551990809375601</v>
      </c>
      <c r="I796" s="16">
        <v>0.27584239305138097</v>
      </c>
      <c r="J796" s="16">
        <v>0.72665118767176295</v>
      </c>
      <c r="K796" s="16">
        <v>0.67732008419533096</v>
      </c>
      <c r="L796" s="16">
        <v>0.86570883938038201</v>
      </c>
      <c r="M796" s="16">
        <v>0.587878787878788</v>
      </c>
      <c r="N796" s="16">
        <v>0.55000000000000004</v>
      </c>
      <c r="O796" s="16">
        <v>1</v>
      </c>
      <c r="P796" s="17">
        <f t="shared" si="132"/>
        <v>0.33250147160911331</v>
      </c>
      <c r="Q796" s="17">
        <f t="shared" si="133"/>
        <v>0.75656003708249209</v>
      </c>
      <c r="R796" s="17">
        <f t="shared" si="134"/>
        <v>0.71262626262626272</v>
      </c>
      <c r="S796" s="17">
        <f>'02_지표정의'!$C$22*P796+'02_지표정의'!$C$23*Q796+'02_지표정의'!$C$24*R796</f>
        <v>0.65637150292813606</v>
      </c>
      <c r="T796" s="5">
        <f t="shared" si="135"/>
        <v>1</v>
      </c>
      <c r="U796" s="5" t="str">
        <f t="shared" si="136"/>
        <v>보고서</v>
      </c>
      <c r="V796" s="18">
        <f t="shared" si="137"/>
        <v>650</v>
      </c>
      <c r="W796" s="5">
        <f t="shared" si="138"/>
        <v>0</v>
      </c>
      <c r="X796" s="5">
        <f t="shared" si="139"/>
        <v>331</v>
      </c>
      <c r="Y796" s="5">
        <f t="shared" si="140"/>
        <v>482</v>
      </c>
      <c r="Z796" s="19">
        <f t="shared" si="141"/>
        <v>20</v>
      </c>
      <c r="AA796" s="20">
        <f>ABS(S796-SUMPRODUCT(('05B_가정검정'!$A$5:$A$19=B796)*('05B_가정검정'!$B$5:$B$19=C796)*'05B_가정검정'!$E$5:$E$19))</f>
        <v>2.9258294396091289E-2</v>
      </c>
      <c r="AB796" s="20">
        <f t="shared" si="142"/>
        <v>-2.6047230116865716E-2</v>
      </c>
    </row>
    <row r="797" spans="1:28">
      <c r="A797" s="15" t="s">
        <v>176</v>
      </c>
      <c r="B797" s="15" t="s">
        <v>116</v>
      </c>
      <c r="C797" s="15" t="s">
        <v>117</v>
      </c>
      <c r="D797" s="16">
        <v>0.23587223587223599</v>
      </c>
      <c r="E797" s="16">
        <v>0.341880341880342</v>
      </c>
      <c r="F797" s="16">
        <v>0.13793103448275901</v>
      </c>
      <c r="G797" s="16">
        <v>0.256410256410256</v>
      </c>
      <c r="H797" s="16">
        <v>0.29534440880573998</v>
      </c>
      <c r="I797" s="16">
        <v>0.183266609897662</v>
      </c>
      <c r="J797" s="16">
        <v>0.69186432849301405</v>
      </c>
      <c r="K797" s="16">
        <v>0.52661676741880703</v>
      </c>
      <c r="L797" s="16">
        <v>0.75093174330574797</v>
      </c>
      <c r="M797" s="16">
        <v>0.392405063291139</v>
      </c>
      <c r="N797" s="16">
        <v>0.13970588235294101</v>
      </c>
      <c r="O797" s="16">
        <v>1</v>
      </c>
      <c r="P797" s="17">
        <f t="shared" si="132"/>
        <v>0.24178414789149918</v>
      </c>
      <c r="Q797" s="17">
        <f t="shared" si="133"/>
        <v>0.65647094640585635</v>
      </c>
      <c r="R797" s="17">
        <f t="shared" si="134"/>
        <v>0.51070364854802663</v>
      </c>
      <c r="S797" s="17">
        <f>'02_지표정의'!$C$22*P797+'02_지표정의'!$C$23*Q797+'02_지표정의'!$C$24*R797</f>
        <v>0.52251503245274455</v>
      </c>
      <c r="T797" s="5">
        <f t="shared" si="135"/>
        <v>0</v>
      </c>
      <c r="U797" s="5" t="str">
        <f t="shared" si="136"/>
        <v>보고서</v>
      </c>
      <c r="V797" s="18">
        <f t="shared" si="137"/>
        <v>107</v>
      </c>
      <c r="W797" s="5">
        <f t="shared" si="138"/>
        <v>97</v>
      </c>
      <c r="X797" s="5">
        <f t="shared" si="139"/>
        <v>19</v>
      </c>
      <c r="Y797" s="5">
        <f t="shared" si="140"/>
        <v>0</v>
      </c>
      <c r="Z797" s="19">
        <f t="shared" si="141"/>
        <v>8</v>
      </c>
      <c r="AA797" s="20">
        <f>ABS(S797-SUMPRODUCT(('05B_가정검정'!$A$5:$A$19=B797)*('05B_가정검정'!$B$5:$B$19=C797)*'05B_가정검정'!$E$5:$E$19))</f>
        <v>3.488867253222272E-2</v>
      </c>
      <c r="AB797" s="20">
        <f t="shared" si="142"/>
        <v>-3.0036132959878836E-2</v>
      </c>
    </row>
    <row r="798" spans="1:28">
      <c r="A798" s="15" t="s">
        <v>176</v>
      </c>
      <c r="B798" s="15" t="s">
        <v>116</v>
      </c>
      <c r="C798" s="15" t="s">
        <v>118</v>
      </c>
      <c r="D798" s="16">
        <v>0.30422535211267598</v>
      </c>
      <c r="E798" s="16">
        <v>0.34985422740524802</v>
      </c>
      <c r="F798" s="16">
        <v>0.15249266862170099</v>
      </c>
      <c r="G798" s="16">
        <v>0.29154518950437303</v>
      </c>
      <c r="H798" s="16">
        <v>0.24742657550052799</v>
      </c>
      <c r="I798" s="16">
        <v>0.26387324292747499</v>
      </c>
      <c r="J798" s="16">
        <v>0.70291020561336903</v>
      </c>
      <c r="K798" s="16">
        <v>0.64657123435047303</v>
      </c>
      <c r="L798" s="16">
        <v>0.80766501915083599</v>
      </c>
      <c r="M798" s="16">
        <v>0.63440860215053796</v>
      </c>
      <c r="N798" s="16">
        <v>0.27941176470588203</v>
      </c>
      <c r="O798" s="16">
        <v>1</v>
      </c>
      <c r="P798" s="17">
        <f t="shared" si="132"/>
        <v>0.26823620934533349</v>
      </c>
      <c r="Q798" s="17">
        <f t="shared" si="133"/>
        <v>0.71904881970489276</v>
      </c>
      <c r="R798" s="17">
        <f t="shared" si="134"/>
        <v>0.63794012228547337</v>
      </c>
      <c r="S798" s="17">
        <f>'02_지표정의'!$C$22*P798+'02_지표정의'!$C$23*Q798+'02_지표정의'!$C$24*R798</f>
        <v>0.60049825353618413</v>
      </c>
      <c r="T798" s="5">
        <f t="shared" si="135"/>
        <v>0</v>
      </c>
      <c r="U798" s="5" t="str">
        <f t="shared" si="136"/>
        <v>보고서</v>
      </c>
      <c r="V798" s="18">
        <f t="shared" si="137"/>
        <v>392</v>
      </c>
      <c r="W798" s="5">
        <f t="shared" si="138"/>
        <v>317</v>
      </c>
      <c r="X798" s="5">
        <f t="shared" si="139"/>
        <v>0</v>
      </c>
      <c r="Y798" s="5">
        <f t="shared" si="140"/>
        <v>299</v>
      </c>
      <c r="Z798" s="19">
        <f t="shared" si="141"/>
        <v>63</v>
      </c>
      <c r="AA798" s="20">
        <f>ABS(S798-SUMPRODUCT(('05B_가정검정'!$A$5:$A$19=B798)*('05B_가정검정'!$B$5:$B$19=C798)*'05B_가정검정'!$E$5:$E$19))</f>
        <v>6.9205831834462495E-2</v>
      </c>
      <c r="AB798" s="20">
        <f t="shared" si="142"/>
        <v>7.2949221157597832E-2</v>
      </c>
    </row>
    <row r="799" spans="1:28">
      <c r="A799" s="15" t="s">
        <v>176</v>
      </c>
      <c r="B799" s="15" t="s">
        <v>116</v>
      </c>
      <c r="C799" s="15" t="s">
        <v>119</v>
      </c>
      <c r="D799" s="16">
        <v>0.24678111587982801</v>
      </c>
      <c r="E799" s="16">
        <v>0.30113636363636398</v>
      </c>
      <c r="F799" s="16">
        <v>9.1428571428571401E-2</v>
      </c>
      <c r="G799" s="16">
        <v>0.25</v>
      </c>
      <c r="H799" s="16">
        <v>0.25244120881158</v>
      </c>
      <c r="I799" s="16">
        <v>0.22299603512441199</v>
      </c>
      <c r="J799" s="16">
        <v>0.67691506553877701</v>
      </c>
      <c r="K799" s="16">
        <v>0.63970880488961102</v>
      </c>
      <c r="L799" s="16">
        <v>0.78502911580645696</v>
      </c>
      <c r="M799" s="16">
        <v>0.54008438818565396</v>
      </c>
      <c r="N799" s="16">
        <v>0.28676470588235298</v>
      </c>
      <c r="O799" s="16">
        <v>1</v>
      </c>
      <c r="P799" s="17">
        <f t="shared" si="132"/>
        <v>0.22746388248012592</v>
      </c>
      <c r="Q799" s="17">
        <f t="shared" si="133"/>
        <v>0.70055099541161503</v>
      </c>
      <c r="R799" s="17">
        <f t="shared" si="134"/>
        <v>0.60894969802266896</v>
      </c>
      <c r="S799" s="17">
        <f>'02_지표정의'!$C$22*P799+'02_지표정의'!$C$23*Q799+'02_지표정의'!$C$24*R799</f>
        <v>0.57387311873918612</v>
      </c>
      <c r="T799" s="5">
        <f t="shared" si="135"/>
        <v>0</v>
      </c>
      <c r="U799" s="5" t="str">
        <f t="shared" si="136"/>
        <v>보고서</v>
      </c>
      <c r="V799" s="18">
        <f t="shared" si="137"/>
        <v>303</v>
      </c>
      <c r="W799" s="5">
        <f t="shared" si="138"/>
        <v>0</v>
      </c>
      <c r="X799" s="5">
        <f t="shared" si="139"/>
        <v>128</v>
      </c>
      <c r="Y799" s="5">
        <f t="shared" si="140"/>
        <v>233</v>
      </c>
      <c r="Z799" s="19">
        <f t="shared" si="141"/>
        <v>49</v>
      </c>
      <c r="AA799" s="20">
        <f>ABS(S799-SUMPRODUCT(('05B_가정검정'!$A$5:$A$19=B799)*('05B_가정검정'!$B$5:$B$19=C799)*'05B_가정검정'!$E$5:$E$19))</f>
        <v>2.0849601996403511E-2</v>
      </c>
      <c r="AB799" s="20">
        <f t="shared" si="142"/>
        <v>1.7420635063006062E-2</v>
      </c>
    </row>
    <row r="800" spans="1:28">
      <c r="A800" s="15" t="s">
        <v>176</v>
      </c>
      <c r="B800" s="15" t="s">
        <v>120</v>
      </c>
      <c r="C800" s="15" t="s">
        <v>117</v>
      </c>
      <c r="D800" s="16">
        <v>0.212837837837838</v>
      </c>
      <c r="E800" s="16">
        <v>0.30994152046783602</v>
      </c>
      <c r="F800" s="16">
        <v>8.2352941176470601E-2</v>
      </c>
      <c r="G800" s="16">
        <v>0.198830409356725</v>
      </c>
      <c r="H800" s="16">
        <v>0.28244730987600902</v>
      </c>
      <c r="I800" s="16">
        <v>0.170315497147244</v>
      </c>
      <c r="J800" s="16">
        <v>0.68927369515613601</v>
      </c>
      <c r="K800" s="16">
        <v>0.66040376813531498</v>
      </c>
      <c r="L800" s="16">
        <v>0.85578254691061995</v>
      </c>
      <c r="M800" s="16">
        <v>0.66428571428571404</v>
      </c>
      <c r="N800" s="16">
        <v>0.56097560975609795</v>
      </c>
      <c r="O800" s="16">
        <v>1</v>
      </c>
      <c r="P800" s="17">
        <f t="shared" si="132"/>
        <v>0.20945425264368711</v>
      </c>
      <c r="Q800" s="17">
        <f t="shared" si="133"/>
        <v>0.73515333673402361</v>
      </c>
      <c r="R800" s="17">
        <f t="shared" si="134"/>
        <v>0.74175377468060388</v>
      </c>
      <c r="S800" s="17">
        <f>'02_지표정의'!$C$22*P800+'02_지표정의'!$C$23*Q800+'02_지표정의'!$C$24*R800</f>
        <v>0.63232367319725946</v>
      </c>
      <c r="T800" s="5">
        <f t="shared" si="135"/>
        <v>0</v>
      </c>
      <c r="U800" s="5" t="str">
        <f t="shared" si="136"/>
        <v>보고서</v>
      </c>
      <c r="V800" s="18">
        <f t="shared" si="137"/>
        <v>541</v>
      </c>
      <c r="W800" s="5">
        <f t="shared" si="138"/>
        <v>431</v>
      </c>
      <c r="X800" s="5">
        <f t="shared" si="139"/>
        <v>244</v>
      </c>
      <c r="Y800" s="5">
        <f t="shared" si="140"/>
        <v>0</v>
      </c>
      <c r="Z800" s="19">
        <f t="shared" si="141"/>
        <v>38</v>
      </c>
      <c r="AA800" s="20">
        <f>ABS(S800-SUMPRODUCT(('05B_가정검정'!$A$5:$A$19=B800)*('05B_가정검정'!$B$5:$B$19=C800)*'05B_가정검정'!$E$5:$E$19))</f>
        <v>4.2747131401383864E-3</v>
      </c>
      <c r="AB800" s="20">
        <f t="shared" si="142"/>
        <v>1.0209697725023226E-3</v>
      </c>
    </row>
    <row r="801" spans="1:28">
      <c r="A801" s="15" t="s">
        <v>176</v>
      </c>
      <c r="B801" s="15" t="s">
        <v>120</v>
      </c>
      <c r="C801" s="15" t="s">
        <v>118</v>
      </c>
      <c r="D801" s="16">
        <v>0.264814814814815</v>
      </c>
      <c r="E801" s="16">
        <v>0.33259423503325902</v>
      </c>
      <c r="F801" s="16">
        <v>8.0178173719376397E-2</v>
      </c>
      <c r="G801" s="16">
        <v>0.19512195121951201</v>
      </c>
      <c r="H801" s="16">
        <v>0.24833807853838599</v>
      </c>
      <c r="I801" s="16">
        <v>0.19964846316665399</v>
      </c>
      <c r="J801" s="16">
        <v>0.67912549767360997</v>
      </c>
      <c r="K801" s="16">
        <v>0.66373348004731803</v>
      </c>
      <c r="L801" s="16">
        <v>0.807145660898826</v>
      </c>
      <c r="M801" s="16">
        <v>0.494623655913979</v>
      </c>
      <c r="N801" s="16">
        <v>0.612403100775194</v>
      </c>
      <c r="O801" s="16">
        <v>1</v>
      </c>
      <c r="P801" s="17">
        <f t="shared" si="132"/>
        <v>0.22011595274866705</v>
      </c>
      <c r="Q801" s="17">
        <f t="shared" si="133"/>
        <v>0.71666821287325133</v>
      </c>
      <c r="R801" s="17">
        <f t="shared" si="134"/>
        <v>0.70234225222972435</v>
      </c>
      <c r="S801" s="17">
        <f>'02_지표정의'!$C$22*P801+'02_지표정의'!$C$23*Q801+'02_지표정의'!$C$24*R801</f>
        <v>0.61234367462310002</v>
      </c>
      <c r="T801" s="5">
        <f t="shared" si="135"/>
        <v>0</v>
      </c>
      <c r="U801" s="5" t="str">
        <f t="shared" si="136"/>
        <v>보고서</v>
      </c>
      <c r="V801" s="18">
        <f t="shared" si="137"/>
        <v>447</v>
      </c>
      <c r="W801" s="5">
        <f t="shared" si="138"/>
        <v>364</v>
      </c>
      <c r="X801" s="5">
        <f t="shared" si="139"/>
        <v>0</v>
      </c>
      <c r="Y801" s="5">
        <f t="shared" si="140"/>
        <v>340</v>
      </c>
      <c r="Z801" s="19">
        <f t="shared" si="141"/>
        <v>45</v>
      </c>
      <c r="AA801" s="20">
        <f>ABS(S801-SUMPRODUCT(('05B_가정검정'!$A$5:$A$19=B801)*('05B_가정검정'!$B$5:$B$19=C801)*'05B_가정검정'!$E$5:$E$19))</f>
        <v>2.1514826041472035E-2</v>
      </c>
      <c r="AB801" s="20">
        <f t="shared" si="142"/>
        <v>3.745289866098922E-2</v>
      </c>
    </row>
    <row r="802" spans="1:28">
      <c r="A802" s="15" t="s">
        <v>176</v>
      </c>
      <c r="B802" s="15" t="s">
        <v>120</v>
      </c>
      <c r="C802" s="15" t="s">
        <v>119</v>
      </c>
      <c r="D802" s="16">
        <v>0.25038402457757297</v>
      </c>
      <c r="E802" s="16">
        <v>0.39565217391304403</v>
      </c>
      <c r="F802" s="16">
        <v>0.109170305676856</v>
      </c>
      <c r="G802" s="16">
        <v>0.20434782608695701</v>
      </c>
      <c r="H802" s="16">
        <v>0.29497542972781499</v>
      </c>
      <c r="I802" s="16">
        <v>0.25150561660047599</v>
      </c>
      <c r="J802" s="16">
        <v>0.66826193960369595</v>
      </c>
      <c r="K802" s="16">
        <v>0.66077850055882903</v>
      </c>
      <c r="L802" s="16">
        <v>0.81145174157490996</v>
      </c>
      <c r="M802" s="16">
        <v>0.67977528089887596</v>
      </c>
      <c r="N802" s="16">
        <v>0.69791666666666696</v>
      </c>
      <c r="O802" s="16">
        <v>1</v>
      </c>
      <c r="P802" s="17">
        <f t="shared" si="132"/>
        <v>0.25100589609712015</v>
      </c>
      <c r="Q802" s="17">
        <f t="shared" si="133"/>
        <v>0.71349739391247835</v>
      </c>
      <c r="R802" s="17">
        <f t="shared" si="134"/>
        <v>0.79256398252184768</v>
      </c>
      <c r="S802" s="17">
        <f>'02_지표정의'!$C$22*P802+'02_지표정의'!$C$23*Q802+'02_지표정의'!$C$24*R802</f>
        <v>0.64867240036268603</v>
      </c>
      <c r="T802" s="5">
        <f t="shared" si="135"/>
        <v>0</v>
      </c>
      <c r="U802" s="5" t="str">
        <f t="shared" si="136"/>
        <v>보고서</v>
      </c>
      <c r="V802" s="18">
        <f t="shared" si="137"/>
        <v>612</v>
      </c>
      <c r="W802" s="5">
        <f t="shared" si="138"/>
        <v>0</v>
      </c>
      <c r="X802" s="5">
        <f t="shared" si="139"/>
        <v>299</v>
      </c>
      <c r="Y802" s="5">
        <f t="shared" si="140"/>
        <v>459</v>
      </c>
      <c r="Z802" s="19">
        <f t="shared" si="141"/>
        <v>21</v>
      </c>
      <c r="AA802" s="20">
        <f>ABS(S802-SUMPRODUCT(('05B_가정검정'!$A$5:$A$19=B802)*('05B_가정검정'!$B$5:$B$19=C802)*'05B_가정검정'!$E$5:$E$19))</f>
        <v>1.5004916118700251E-2</v>
      </c>
      <c r="AB802" s="20">
        <f t="shared" si="142"/>
        <v>-9.7506071481295864E-3</v>
      </c>
    </row>
    <row r="803" spans="1:28">
      <c r="A803" s="15" t="s">
        <v>176</v>
      </c>
      <c r="B803" s="15" t="s">
        <v>121</v>
      </c>
      <c r="C803" s="15" t="s">
        <v>117</v>
      </c>
      <c r="D803" s="16">
        <v>0.24093567251462</v>
      </c>
      <c r="E803" s="16">
        <v>0.38174273858921198</v>
      </c>
      <c r="F803" s="16">
        <v>0.14225941422594099</v>
      </c>
      <c r="G803" s="16">
        <v>0.26556016597510401</v>
      </c>
      <c r="H803" s="16">
        <v>0.30072695165593499</v>
      </c>
      <c r="I803" s="16">
        <v>0.19501529653379199</v>
      </c>
      <c r="J803" s="16">
        <v>0.75191024895970404</v>
      </c>
      <c r="K803" s="16">
        <v>0.75734348141428498</v>
      </c>
      <c r="L803" s="16">
        <v>0.88417830964276001</v>
      </c>
      <c r="M803" s="16">
        <v>0.85840707964601803</v>
      </c>
      <c r="N803" s="16">
        <v>0.87301587301587302</v>
      </c>
      <c r="O803" s="16">
        <v>1</v>
      </c>
      <c r="P803" s="17">
        <f t="shared" si="132"/>
        <v>0.25437337324910064</v>
      </c>
      <c r="Q803" s="17">
        <f t="shared" si="133"/>
        <v>0.79781068000558297</v>
      </c>
      <c r="R803" s="17">
        <f t="shared" si="134"/>
        <v>0.91047431755396369</v>
      </c>
      <c r="S803" s="17">
        <f>'02_지표정의'!$C$22*P803+'02_지표정의'!$C$23*Q803+'02_지표정의'!$C$24*R803</f>
        <v>0.72855549179621981</v>
      </c>
      <c r="T803" s="5">
        <f t="shared" si="135"/>
        <v>1</v>
      </c>
      <c r="U803" s="5" t="str">
        <f t="shared" si="136"/>
        <v>보고서</v>
      </c>
      <c r="V803" s="18">
        <f t="shared" si="137"/>
        <v>900</v>
      </c>
      <c r="W803" s="5">
        <f t="shared" si="138"/>
        <v>605</v>
      </c>
      <c r="X803" s="5">
        <f t="shared" si="139"/>
        <v>575</v>
      </c>
      <c r="Y803" s="5">
        <f t="shared" si="140"/>
        <v>0</v>
      </c>
      <c r="Z803" s="19">
        <f t="shared" si="141"/>
        <v>32</v>
      </c>
      <c r="AA803" s="20">
        <f>ABS(S803-SUMPRODUCT(('05B_가정검정'!$A$5:$A$19=B803)*('05B_가정검정'!$B$5:$B$19=C803)*'05B_가정검정'!$E$5:$E$19))</f>
        <v>8.765795856613412E-4</v>
      </c>
      <c r="AB803" s="20">
        <f t="shared" si="142"/>
        <v>1.090369872333885E-2</v>
      </c>
    </row>
    <row r="804" spans="1:28">
      <c r="A804" s="15" t="s">
        <v>176</v>
      </c>
      <c r="B804" s="15" t="s">
        <v>121</v>
      </c>
      <c r="C804" s="15" t="s">
        <v>118</v>
      </c>
      <c r="D804" s="16">
        <v>0.26098535286285002</v>
      </c>
      <c r="E804" s="16">
        <v>0.22857142857142901</v>
      </c>
      <c r="F804" s="16">
        <v>8.6206896551724102E-2</v>
      </c>
      <c r="G804" s="16">
        <v>0.17142857142857101</v>
      </c>
      <c r="H804" s="16">
        <v>0.19062244941040099</v>
      </c>
      <c r="I804" s="16">
        <v>0.18233711609432199</v>
      </c>
      <c r="J804" s="16">
        <v>0.73620091696803502</v>
      </c>
      <c r="K804" s="16">
        <v>0.78455983987439204</v>
      </c>
      <c r="L804" s="16">
        <v>0.90540950596445602</v>
      </c>
      <c r="M804" s="16">
        <v>0.34767025089605702</v>
      </c>
      <c r="N804" s="16">
        <v>0.42635658914728702</v>
      </c>
      <c r="O804" s="16">
        <v>1</v>
      </c>
      <c r="P804" s="17">
        <f t="shared" si="132"/>
        <v>0.18669196915321618</v>
      </c>
      <c r="Q804" s="17">
        <f t="shared" si="133"/>
        <v>0.80872342093562766</v>
      </c>
      <c r="R804" s="17">
        <f t="shared" si="134"/>
        <v>0.591342280014448</v>
      </c>
      <c r="S804" s="17">
        <f>'02_지표정의'!$C$22*P804+'02_지표정의'!$C$23*Q804+'02_지표정의'!$C$24*R804</f>
        <v>0.60823373125673252</v>
      </c>
      <c r="T804" s="5">
        <f t="shared" si="135"/>
        <v>0</v>
      </c>
      <c r="U804" s="5" t="str">
        <f t="shared" si="136"/>
        <v>보고서</v>
      </c>
      <c r="V804" s="18">
        <f t="shared" si="137"/>
        <v>425</v>
      </c>
      <c r="W804" s="5">
        <f t="shared" si="138"/>
        <v>346</v>
      </c>
      <c r="X804" s="5">
        <f t="shared" si="139"/>
        <v>0</v>
      </c>
      <c r="Y804" s="5">
        <f t="shared" si="140"/>
        <v>323</v>
      </c>
      <c r="Z804" s="19">
        <f t="shared" si="141"/>
        <v>39</v>
      </c>
      <c r="AA804" s="20">
        <f>ABS(S804-SUMPRODUCT(('05B_가정검정'!$A$5:$A$19=B804)*('05B_가정검정'!$B$5:$B$19=C804)*'05B_가정검정'!$E$5:$E$19))</f>
        <v>9.6542410897640929E-3</v>
      </c>
      <c r="AB804" s="20">
        <f t="shared" si="142"/>
        <v>2.883465672991925E-2</v>
      </c>
    </row>
    <row r="805" spans="1:28">
      <c r="A805" s="15" t="s">
        <v>176</v>
      </c>
      <c r="B805" s="15" t="s">
        <v>121</v>
      </c>
      <c r="C805" s="15" t="s">
        <v>119</v>
      </c>
      <c r="D805" s="16">
        <v>0.25077081192189099</v>
      </c>
      <c r="E805" s="16">
        <v>0.34540389972144903</v>
      </c>
      <c r="F805" s="16">
        <v>0.12885154061624701</v>
      </c>
      <c r="G805" s="16">
        <v>0.21169916434540401</v>
      </c>
      <c r="H805" s="16">
        <v>0.22895721485110901</v>
      </c>
      <c r="I805" s="16">
        <v>0.296974113154089</v>
      </c>
      <c r="J805" s="16">
        <v>0.72978505431363905</v>
      </c>
      <c r="K805" s="16">
        <v>0.76675959243759295</v>
      </c>
      <c r="L805" s="16">
        <v>0.89101322511825998</v>
      </c>
      <c r="M805" s="16">
        <v>0.54494382022471899</v>
      </c>
      <c r="N805" s="16">
        <v>0.57291666666666696</v>
      </c>
      <c r="O805" s="16">
        <v>1</v>
      </c>
      <c r="P805" s="17">
        <f t="shared" si="132"/>
        <v>0.24377612410169822</v>
      </c>
      <c r="Q805" s="17">
        <f t="shared" si="133"/>
        <v>0.79585262395649725</v>
      </c>
      <c r="R805" s="17">
        <f t="shared" si="134"/>
        <v>0.70595349563046206</v>
      </c>
      <c r="S805" s="17">
        <f>'02_지표정의'!$C$22*P805+'02_지표정의'!$C$23*Q805+'02_지표정의'!$C$24*R805</f>
        <v>0.65397262907142517</v>
      </c>
      <c r="T805" s="5">
        <f t="shared" si="135"/>
        <v>0</v>
      </c>
      <c r="U805" s="5" t="str">
        <f t="shared" si="136"/>
        <v>보고서</v>
      </c>
      <c r="V805" s="18">
        <f t="shared" si="137"/>
        <v>635</v>
      </c>
      <c r="W805" s="5">
        <f t="shared" si="138"/>
        <v>0</v>
      </c>
      <c r="X805" s="5">
        <f t="shared" si="139"/>
        <v>317</v>
      </c>
      <c r="Y805" s="5">
        <f t="shared" si="140"/>
        <v>474</v>
      </c>
      <c r="Z805" s="19">
        <f t="shared" si="141"/>
        <v>8</v>
      </c>
      <c r="AA805" s="20">
        <f>ABS(S805-SUMPRODUCT(('05B_가정검정'!$A$5:$A$19=B805)*('05B_가정검정'!$B$5:$B$19=C805)*'05B_가정검정'!$E$5:$E$19))</f>
        <v>3.8347213724428508E-2</v>
      </c>
      <c r="AB805" s="20">
        <f t="shared" si="142"/>
        <v>-3.426434634818587E-2</v>
      </c>
    </row>
    <row r="806" spans="1:28">
      <c r="A806" s="15" t="s">
        <v>176</v>
      </c>
      <c r="B806" s="15" t="s">
        <v>122</v>
      </c>
      <c r="C806" s="15" t="s">
        <v>117</v>
      </c>
      <c r="D806" s="16">
        <v>0.27338129496402902</v>
      </c>
      <c r="E806" s="16">
        <v>0.342592592592593</v>
      </c>
      <c r="F806" s="16">
        <v>0.121495327102804</v>
      </c>
      <c r="G806" s="16">
        <v>0.25925925925925902</v>
      </c>
      <c r="H806" s="16">
        <v>0.31479447782241798</v>
      </c>
      <c r="I806" s="16">
        <v>0.20241389633033999</v>
      </c>
      <c r="J806" s="16">
        <v>0.699684366366773</v>
      </c>
      <c r="K806" s="16">
        <v>0.63142617989192495</v>
      </c>
      <c r="L806" s="16">
        <v>0.82632043295248303</v>
      </c>
      <c r="M806" s="16">
        <v>0.69747899159663895</v>
      </c>
      <c r="N806" s="16">
        <v>0.69696969696969702</v>
      </c>
      <c r="O806" s="16">
        <v>1</v>
      </c>
      <c r="P806" s="17">
        <f t="shared" si="132"/>
        <v>0.25232280801190715</v>
      </c>
      <c r="Q806" s="17">
        <f t="shared" si="133"/>
        <v>0.7191436597370604</v>
      </c>
      <c r="R806" s="17">
        <f t="shared" si="134"/>
        <v>0.79814956285544536</v>
      </c>
      <c r="S806" s="17">
        <f>'02_지표정의'!$C$22*P806+'02_지표정의'!$C$23*Q806+'02_지표정의'!$C$24*R806</f>
        <v>0.65343155548346443</v>
      </c>
      <c r="T806" s="5">
        <f t="shared" si="135"/>
        <v>0</v>
      </c>
      <c r="U806" s="5" t="str">
        <f t="shared" si="136"/>
        <v>보고서</v>
      </c>
      <c r="V806" s="18">
        <f t="shared" si="137"/>
        <v>633</v>
      </c>
      <c r="W806" s="5">
        <f t="shared" si="138"/>
        <v>478</v>
      </c>
      <c r="X806" s="5">
        <f t="shared" si="139"/>
        <v>316</v>
      </c>
      <c r="Y806" s="5">
        <f t="shared" si="140"/>
        <v>0</v>
      </c>
      <c r="Z806" s="19">
        <f t="shared" si="141"/>
        <v>42</v>
      </c>
      <c r="AA806" s="20">
        <f>ABS(S806-SUMPRODUCT(('05B_가정검정'!$A$5:$A$19=B806)*('05B_가정검정'!$B$5:$B$19=C806)*'05B_가정검정'!$E$5:$E$19))</f>
        <v>1.4078600774785954E-2</v>
      </c>
      <c r="AB806" s="20">
        <f t="shared" si="142"/>
        <v>3.0549933293818277E-2</v>
      </c>
    </row>
    <row r="807" spans="1:28">
      <c r="A807" s="15" t="s">
        <v>176</v>
      </c>
      <c r="B807" s="15" t="s">
        <v>122</v>
      </c>
      <c r="C807" s="15" t="s">
        <v>118</v>
      </c>
      <c r="D807" s="16">
        <v>0.317808219178082</v>
      </c>
      <c r="E807" s="16">
        <v>0.27076923076923098</v>
      </c>
      <c r="F807" s="16">
        <v>7.4303405572755402E-2</v>
      </c>
      <c r="G807" s="16">
        <v>0.18461538461538499</v>
      </c>
      <c r="H807" s="16">
        <v>0.21391281939928899</v>
      </c>
      <c r="I807" s="16">
        <v>0.24021722124137901</v>
      </c>
      <c r="J807" s="16">
        <v>0.69621920370938795</v>
      </c>
      <c r="K807" s="16">
        <v>0.718460737846634</v>
      </c>
      <c r="L807" s="16">
        <v>0.84871779401080805</v>
      </c>
      <c r="M807" s="16">
        <v>0.38351254480286701</v>
      </c>
      <c r="N807" s="16">
        <v>0.34108527131783001</v>
      </c>
      <c r="O807" s="16">
        <v>1</v>
      </c>
      <c r="P807" s="17">
        <f t="shared" si="132"/>
        <v>0.21693771346268687</v>
      </c>
      <c r="Q807" s="17">
        <f t="shared" si="133"/>
        <v>0.75446591185560996</v>
      </c>
      <c r="R807" s="17">
        <f t="shared" si="134"/>
        <v>0.57486593870689895</v>
      </c>
      <c r="S807" s="17">
        <f>'02_지표정의'!$C$22*P807+'02_지표정의'!$C$23*Q807+'02_지표정의'!$C$24*R807</f>
        <v>0.58410028157497651</v>
      </c>
      <c r="T807" s="5">
        <f t="shared" si="135"/>
        <v>1</v>
      </c>
      <c r="U807" s="5" t="str">
        <f t="shared" si="136"/>
        <v>보고서</v>
      </c>
      <c r="V807" s="18">
        <f t="shared" si="137"/>
        <v>332</v>
      </c>
      <c r="W807" s="5">
        <f t="shared" si="138"/>
        <v>271</v>
      </c>
      <c r="X807" s="5">
        <f t="shared" si="139"/>
        <v>0</v>
      </c>
      <c r="Y807" s="5">
        <f t="shared" si="140"/>
        <v>250</v>
      </c>
      <c r="Z807" s="19">
        <f t="shared" si="141"/>
        <v>30</v>
      </c>
      <c r="AA807" s="20">
        <f>ABS(S807-SUMPRODUCT(('05B_가정검정'!$A$5:$A$19=B807)*('05B_가정검정'!$B$5:$B$19=C807)*'05B_가정검정'!$E$5:$E$19))</f>
        <v>2.8216544221817408E-3</v>
      </c>
      <c r="AB807" s="20">
        <f t="shared" si="142"/>
        <v>2.877005357292739E-3</v>
      </c>
    </row>
    <row r="808" spans="1:28">
      <c r="A808" s="15" t="s">
        <v>176</v>
      </c>
      <c r="B808" s="15" t="s">
        <v>122</v>
      </c>
      <c r="C808" s="15" t="s">
        <v>119</v>
      </c>
      <c r="D808" s="16">
        <v>0.28991596638655498</v>
      </c>
      <c r="E808" s="16">
        <v>0.25149700598802399</v>
      </c>
      <c r="F808" s="16">
        <v>6.6265060240963902E-2</v>
      </c>
      <c r="G808" s="16">
        <v>0.18562874251497</v>
      </c>
      <c r="H808" s="16">
        <v>0.26218663447243801</v>
      </c>
      <c r="I808" s="16">
        <v>0.24977178499146899</v>
      </c>
      <c r="J808" s="16">
        <v>0.69002734302713797</v>
      </c>
      <c r="K808" s="16">
        <v>0.69203203373900901</v>
      </c>
      <c r="L808" s="16">
        <v>0.83815964472835303</v>
      </c>
      <c r="M808" s="16">
        <v>0.57865168539325795</v>
      </c>
      <c r="N808" s="16">
        <v>0.57291666666666696</v>
      </c>
      <c r="O808" s="16">
        <v>1</v>
      </c>
      <c r="P808" s="17">
        <f t="shared" si="132"/>
        <v>0.21754419909906997</v>
      </c>
      <c r="Q808" s="17">
        <f t="shared" si="133"/>
        <v>0.74007300716483337</v>
      </c>
      <c r="R808" s="17">
        <f t="shared" si="134"/>
        <v>0.71718945068664164</v>
      </c>
      <c r="S808" s="17">
        <f>'02_지표정의'!$C$22*P808+'02_지표정의'!$C$23*Q808+'02_지표정의'!$C$24*R808</f>
        <v>0.62755800078431356</v>
      </c>
      <c r="T808" s="5">
        <f t="shared" si="135"/>
        <v>0</v>
      </c>
      <c r="U808" s="5" t="str">
        <f t="shared" si="136"/>
        <v>보고서</v>
      </c>
      <c r="V808" s="18">
        <f t="shared" si="137"/>
        <v>518</v>
      </c>
      <c r="W808" s="5">
        <f t="shared" si="138"/>
        <v>0</v>
      </c>
      <c r="X808" s="5">
        <f t="shared" si="139"/>
        <v>228</v>
      </c>
      <c r="Y808" s="5">
        <f t="shared" si="140"/>
        <v>391</v>
      </c>
      <c r="Z808" s="19">
        <f t="shared" si="141"/>
        <v>23</v>
      </c>
      <c r="AA808" s="20">
        <f>ABS(S808-SUMPRODUCT(('05B_가정검정'!$A$5:$A$19=B808)*('05B_가정검정'!$B$5:$B$19=C808)*'05B_가정검정'!$E$5:$E$19))</f>
        <v>8.0481871171378394E-3</v>
      </c>
      <c r="AB808" s="20">
        <f t="shared" si="142"/>
        <v>-3.830865530572436E-3</v>
      </c>
    </row>
    <row r="809" spans="1:28">
      <c r="A809" s="15" t="s">
        <v>176</v>
      </c>
      <c r="B809" s="15" t="s">
        <v>123</v>
      </c>
      <c r="C809" s="15" t="s">
        <v>117</v>
      </c>
      <c r="D809" s="16">
        <v>0.28808290155440403</v>
      </c>
      <c r="E809" s="16">
        <v>0.37308868501529102</v>
      </c>
      <c r="F809" s="16">
        <v>0.123076923076923</v>
      </c>
      <c r="G809" s="16">
        <v>0.23241590214067301</v>
      </c>
      <c r="H809" s="16">
        <v>0.39319008475790901</v>
      </c>
      <c r="I809" s="16">
        <v>0.25813297302230498</v>
      </c>
      <c r="J809" s="16">
        <v>0.71771474201128405</v>
      </c>
      <c r="K809" s="16">
        <v>0.68497480062443805</v>
      </c>
      <c r="L809" s="16">
        <v>0.86835905278707504</v>
      </c>
      <c r="M809" s="16">
        <v>0.85840707964601803</v>
      </c>
      <c r="N809" s="16">
        <v>0.87301587301587302</v>
      </c>
      <c r="O809" s="16">
        <v>1</v>
      </c>
      <c r="P809" s="17">
        <f t="shared" si="132"/>
        <v>0.27799791159458415</v>
      </c>
      <c r="Q809" s="17">
        <f t="shared" si="133"/>
        <v>0.75701619847426571</v>
      </c>
      <c r="R809" s="17">
        <f t="shared" si="134"/>
        <v>0.91047431755396369</v>
      </c>
      <c r="S809" s="17">
        <f>'02_지표정의'!$C$22*P809+'02_지표정의'!$C$23*Q809+'02_지표정의'!$C$24*R809</f>
        <v>0.71492288277622373</v>
      </c>
      <c r="T809" s="5">
        <f t="shared" si="135"/>
        <v>0</v>
      </c>
      <c r="U809" s="5" t="str">
        <f t="shared" si="136"/>
        <v>보고서</v>
      </c>
      <c r="V809" s="18">
        <f t="shared" si="137"/>
        <v>860</v>
      </c>
      <c r="W809" s="5">
        <f t="shared" si="138"/>
        <v>572</v>
      </c>
      <c r="X809" s="5">
        <f t="shared" si="139"/>
        <v>535</v>
      </c>
      <c r="Y809" s="5">
        <f t="shared" si="140"/>
        <v>0</v>
      </c>
      <c r="Z809" s="19">
        <f t="shared" si="141"/>
        <v>33</v>
      </c>
      <c r="AA809" s="20">
        <f>ABS(S809-SUMPRODUCT(('05B_가정검정'!$A$5:$A$19=B809)*('05B_가정검정'!$B$5:$B$19=C809)*'05B_가정검정'!$E$5:$E$19))</f>
        <v>0</v>
      </c>
      <c r="AB809" s="20">
        <f t="shared" si="142"/>
        <v>6.9374309649805621E-3</v>
      </c>
    </row>
    <row r="810" spans="1:28">
      <c r="A810" s="15" t="s">
        <v>176</v>
      </c>
      <c r="B810" s="15" t="s">
        <v>123</v>
      </c>
      <c r="C810" s="15" t="s">
        <v>118</v>
      </c>
      <c r="D810" s="16">
        <v>0.27177700348432099</v>
      </c>
      <c r="E810" s="16">
        <v>0.243119266055046</v>
      </c>
      <c r="F810" s="16">
        <v>8.2949308755760398E-2</v>
      </c>
      <c r="G810" s="16">
        <v>0.18807339449541299</v>
      </c>
      <c r="H810" s="16">
        <v>0.216740517631306</v>
      </c>
      <c r="I810" s="16">
        <v>0.19133562082357999</v>
      </c>
      <c r="J810" s="16">
        <v>0.68983539771985303</v>
      </c>
      <c r="K810" s="16">
        <v>0.67354329428979198</v>
      </c>
      <c r="L810" s="16">
        <v>0.84175438080449905</v>
      </c>
      <c r="M810" s="16">
        <v>0.34767025089605702</v>
      </c>
      <c r="N810" s="16">
        <v>0.42635658914728702</v>
      </c>
      <c r="O810" s="16">
        <v>1</v>
      </c>
      <c r="P810" s="17">
        <f t="shared" si="132"/>
        <v>0.19899918520757101</v>
      </c>
      <c r="Q810" s="17">
        <f t="shared" si="133"/>
        <v>0.73504435760471465</v>
      </c>
      <c r="R810" s="17">
        <f t="shared" si="134"/>
        <v>0.591342280014448</v>
      </c>
      <c r="S810" s="17">
        <f>'02_지표정의'!$C$22*P810+'02_지표정의'!$C$23*Q810+'02_지표정의'!$C$24*R810</f>
        <v>0.57753959596869253</v>
      </c>
      <c r="T810" s="5">
        <f t="shared" si="135"/>
        <v>0</v>
      </c>
      <c r="U810" s="5" t="str">
        <f t="shared" si="136"/>
        <v>보고서</v>
      </c>
      <c r="V810" s="18">
        <f t="shared" si="137"/>
        <v>314</v>
      </c>
      <c r="W810" s="5">
        <f t="shared" si="138"/>
        <v>255</v>
      </c>
      <c r="X810" s="5">
        <f t="shared" si="139"/>
        <v>0</v>
      </c>
      <c r="Y810" s="5">
        <f t="shared" si="140"/>
        <v>239</v>
      </c>
      <c r="Z810" s="19">
        <f t="shared" si="141"/>
        <v>34</v>
      </c>
      <c r="AA810" s="20">
        <f>ABS(S810-SUMPRODUCT(('05B_가정검정'!$A$5:$A$19=B810)*('05B_가정검정'!$B$5:$B$19=C810)*'05B_가정검정'!$E$5:$E$19))</f>
        <v>2.2407690897228161E-3</v>
      </c>
      <c r="AB810" s="20">
        <f t="shared" si="142"/>
        <v>1.7667988044201444E-2</v>
      </c>
    </row>
    <row r="811" spans="1:28">
      <c r="A811" s="15" t="s">
        <v>176</v>
      </c>
      <c r="B811" s="15" t="s">
        <v>123</v>
      </c>
      <c r="C811" s="15" t="s">
        <v>119</v>
      </c>
      <c r="D811" s="16">
        <v>0.32686980609418298</v>
      </c>
      <c r="E811" s="16">
        <v>0.47640449438202298</v>
      </c>
      <c r="F811" s="16">
        <v>0.225733634311512</v>
      </c>
      <c r="G811" s="16">
        <v>0.29662921348314603</v>
      </c>
      <c r="H811" s="16">
        <v>0.32750431223103899</v>
      </c>
      <c r="I811" s="16">
        <v>0.41488372517391198</v>
      </c>
      <c r="J811" s="16">
        <v>0.70251608299160095</v>
      </c>
      <c r="K811" s="16">
        <v>0.73525892269802895</v>
      </c>
      <c r="L811" s="16">
        <v>0.86758015897884999</v>
      </c>
      <c r="M811" s="16">
        <v>0.54494382022471899</v>
      </c>
      <c r="N811" s="16">
        <v>0.57291666666666696</v>
      </c>
      <c r="O811" s="16">
        <v>1</v>
      </c>
      <c r="P811" s="17">
        <f t="shared" si="132"/>
        <v>0.34467086427930255</v>
      </c>
      <c r="Q811" s="17">
        <f t="shared" si="133"/>
        <v>0.76845172155615993</v>
      </c>
      <c r="R811" s="17">
        <f t="shared" si="134"/>
        <v>0.70595349563046206</v>
      </c>
      <c r="S811" s="17">
        <f>'02_지표정의'!$C$22*P811+'02_지표정의'!$C$23*Q811+'02_지표정의'!$C$24*R811</f>
        <v>0.66182117102679427</v>
      </c>
      <c r="T811" s="5">
        <f t="shared" si="135"/>
        <v>1</v>
      </c>
      <c r="U811" s="5" t="str">
        <f t="shared" si="136"/>
        <v>보고서</v>
      </c>
      <c r="V811" s="18">
        <f t="shared" si="137"/>
        <v>683</v>
      </c>
      <c r="W811" s="5">
        <f t="shared" si="138"/>
        <v>0</v>
      </c>
      <c r="X811" s="5">
        <f t="shared" si="139"/>
        <v>364</v>
      </c>
      <c r="Y811" s="5">
        <f t="shared" si="140"/>
        <v>506</v>
      </c>
      <c r="Z811" s="19">
        <f t="shared" si="141"/>
        <v>26</v>
      </c>
      <c r="AA811" s="20">
        <f>ABS(S811-SUMPRODUCT(('05B_가정검정'!$A$5:$A$19=B811)*('05B_가정검정'!$B$5:$B$19=C811)*'05B_가정검정'!$E$5:$E$19))</f>
        <v>2.3808626297433078E-2</v>
      </c>
      <c r="AB811" s="20">
        <f t="shared" si="142"/>
        <v>-2.0597562018207505E-2</v>
      </c>
    </row>
    <row r="812" spans="1:28">
      <c r="A812" s="15" t="s">
        <v>177</v>
      </c>
      <c r="B812" s="15" t="s">
        <v>116</v>
      </c>
      <c r="C812" s="15" t="s">
        <v>117</v>
      </c>
      <c r="D812" s="16">
        <v>0.23363286264441599</v>
      </c>
      <c r="E812" s="16">
        <v>0.31111111111111101</v>
      </c>
      <c r="F812" s="16">
        <v>0.134328358208955</v>
      </c>
      <c r="G812" s="16">
        <v>0.23703703703703699</v>
      </c>
      <c r="H812" s="16">
        <v>0.23673451867961601</v>
      </c>
      <c r="I812" s="16">
        <v>0.24641363783106199</v>
      </c>
      <c r="J812" s="16">
        <v>0.66775023481398998</v>
      </c>
      <c r="K812" s="16">
        <v>0.61306453423093898</v>
      </c>
      <c r="L812" s="16">
        <v>0.80219793264415795</v>
      </c>
      <c r="M812" s="16">
        <v>0.51515151515151503</v>
      </c>
      <c r="N812" s="16">
        <v>0.213483146067416</v>
      </c>
      <c r="O812" s="16">
        <v>1</v>
      </c>
      <c r="P812" s="17">
        <f t="shared" si="132"/>
        <v>0.23320958758536614</v>
      </c>
      <c r="Q812" s="17">
        <f t="shared" si="133"/>
        <v>0.69433756722969564</v>
      </c>
      <c r="R812" s="17">
        <f t="shared" si="134"/>
        <v>0.57621155373964372</v>
      </c>
      <c r="S812" s="17">
        <f>'02_지표정의'!$C$22*P812+'02_지표정의'!$C$23*Q812+'02_지표정의'!$C$24*R812</f>
        <v>0.56076786657931155</v>
      </c>
      <c r="T812" s="5">
        <f t="shared" si="135"/>
        <v>0</v>
      </c>
      <c r="U812" s="5" t="str">
        <f t="shared" si="136"/>
        <v>보고서</v>
      </c>
      <c r="V812" s="18">
        <f t="shared" si="137"/>
        <v>254</v>
      </c>
      <c r="W812" s="5">
        <f t="shared" si="138"/>
        <v>208</v>
      </c>
      <c r="X812" s="5">
        <f t="shared" si="139"/>
        <v>93</v>
      </c>
      <c r="Y812" s="5">
        <f t="shared" si="140"/>
        <v>0</v>
      </c>
      <c r="Z812" s="19">
        <f t="shared" si="141"/>
        <v>38</v>
      </c>
      <c r="AA812" s="20">
        <f>ABS(S812-SUMPRODUCT(('05B_가정검정'!$A$5:$A$19=B812)*('05B_가정검정'!$B$5:$B$19=C812)*'05B_가정검정'!$E$5:$E$19))</f>
        <v>3.3641615943442726E-3</v>
      </c>
      <c r="AB812" s="20">
        <f t="shared" si="142"/>
        <v>8.2167011666881562E-3</v>
      </c>
    </row>
    <row r="813" spans="1:28">
      <c r="A813" s="15" t="s">
        <v>177</v>
      </c>
      <c r="B813" s="15" t="s">
        <v>116</v>
      </c>
      <c r="C813" s="15" t="s">
        <v>118</v>
      </c>
      <c r="D813" s="16">
        <v>0.37320574162679399</v>
      </c>
      <c r="E813" s="16">
        <v>0.40989399293286199</v>
      </c>
      <c r="F813" s="16">
        <v>0.26334519572953702</v>
      </c>
      <c r="G813" s="16">
        <v>0.303886925795053</v>
      </c>
      <c r="H813" s="16">
        <v>0.201167171094386</v>
      </c>
      <c r="I813" s="16">
        <v>0.48015160174858301</v>
      </c>
      <c r="J813" s="16">
        <v>0.72981410665749402</v>
      </c>
      <c r="K813" s="16">
        <v>0.69804536845698695</v>
      </c>
      <c r="L813" s="16">
        <v>0.83429678111488403</v>
      </c>
      <c r="M813" s="16">
        <v>0.40401146131805199</v>
      </c>
      <c r="N813" s="16">
        <v>0</v>
      </c>
      <c r="O813" s="16">
        <v>0.52631578947368396</v>
      </c>
      <c r="P813" s="17">
        <f t="shared" si="132"/>
        <v>0.33860843815453584</v>
      </c>
      <c r="Q813" s="17">
        <f t="shared" si="133"/>
        <v>0.7540520854097883</v>
      </c>
      <c r="R813" s="17">
        <f t="shared" si="134"/>
        <v>0.31010908359724532</v>
      </c>
      <c r="S813" s="17">
        <f>'02_지표정의'!$C$22*P813+'02_지표정의'!$C$23*Q813+'02_지표정의'!$C$24*R813</f>
        <v>0.51558330532434782</v>
      </c>
      <c r="T813" s="5">
        <f t="shared" si="135"/>
        <v>0</v>
      </c>
      <c r="U813" s="5" t="str">
        <f t="shared" si="136"/>
        <v>보고서</v>
      </c>
      <c r="V813" s="18">
        <f t="shared" si="137"/>
        <v>82</v>
      </c>
      <c r="W813" s="5">
        <f t="shared" si="138"/>
        <v>73</v>
      </c>
      <c r="X813" s="5">
        <f t="shared" si="139"/>
        <v>0</v>
      </c>
      <c r="Y813" s="5">
        <f t="shared" si="140"/>
        <v>75</v>
      </c>
      <c r="Z813" s="19">
        <f t="shared" si="141"/>
        <v>29</v>
      </c>
      <c r="AA813" s="20">
        <f>ABS(S813-SUMPRODUCT(('05B_가정검정'!$A$5:$A$19=B813)*('05B_가정검정'!$B$5:$B$19=C813)*'05B_가정검정'!$E$5:$E$19))</f>
        <v>1.5709116377373822E-2</v>
      </c>
      <c r="AB813" s="20">
        <f t="shared" si="142"/>
        <v>-1.1965727054238484E-2</v>
      </c>
    </row>
    <row r="814" spans="1:28">
      <c r="A814" s="15" t="s">
        <v>177</v>
      </c>
      <c r="B814" s="15" t="s">
        <v>116</v>
      </c>
      <c r="C814" s="15" t="s">
        <v>119</v>
      </c>
      <c r="D814" s="16">
        <v>0.29187817258883297</v>
      </c>
      <c r="E814" s="16">
        <v>0.354430379746835</v>
      </c>
      <c r="F814" s="16">
        <v>0.16560509554140099</v>
      </c>
      <c r="G814" s="16">
        <v>0.234177215189873</v>
      </c>
      <c r="H814" s="16">
        <v>0.202662011119633</v>
      </c>
      <c r="I814" s="16">
        <v>0.371822317119955</v>
      </c>
      <c r="J814" s="16">
        <v>0.69183696904471403</v>
      </c>
      <c r="K814" s="16">
        <v>0.60223791978874597</v>
      </c>
      <c r="L814" s="16">
        <v>0.80253424946139296</v>
      </c>
      <c r="M814" s="16">
        <v>0.41062801932367199</v>
      </c>
      <c r="N814" s="16">
        <v>4.5871559633027498E-2</v>
      </c>
      <c r="O814" s="16">
        <v>0.92105263157894701</v>
      </c>
      <c r="P814" s="17">
        <f t="shared" si="132"/>
        <v>0.27009586521775497</v>
      </c>
      <c r="Q814" s="17">
        <f t="shared" si="133"/>
        <v>0.69886971276495091</v>
      </c>
      <c r="R814" s="17">
        <f t="shared" si="134"/>
        <v>0.45918407017854879</v>
      </c>
      <c r="S814" s="17">
        <f>'02_지표정의'!$C$22*P814+'02_지표정의'!$C$23*Q814+'02_지표정의'!$C$24*R814</f>
        <v>0.529224968350271</v>
      </c>
      <c r="T814" s="5">
        <f t="shared" si="135"/>
        <v>0</v>
      </c>
      <c r="U814" s="5" t="str">
        <f t="shared" si="136"/>
        <v>보고서</v>
      </c>
      <c r="V814" s="18">
        <f t="shared" si="137"/>
        <v>130</v>
      </c>
      <c r="W814" s="5">
        <f t="shared" si="138"/>
        <v>0</v>
      </c>
      <c r="X814" s="5">
        <f t="shared" si="139"/>
        <v>26</v>
      </c>
      <c r="Y814" s="5">
        <f t="shared" si="140"/>
        <v>118</v>
      </c>
      <c r="Z814" s="19">
        <f t="shared" si="141"/>
        <v>9</v>
      </c>
      <c r="AA814" s="20">
        <f>ABS(S814-SUMPRODUCT(('05B_가정검정'!$A$5:$A$19=B814)*('05B_가정검정'!$B$5:$B$19=C814)*'05B_가정검정'!$E$5:$E$19))</f>
        <v>2.3798548392511609E-2</v>
      </c>
      <c r="AB814" s="20">
        <f t="shared" si="142"/>
        <v>-2.7227515325909057E-2</v>
      </c>
    </row>
    <row r="815" spans="1:28">
      <c r="A815" s="15" t="s">
        <v>177</v>
      </c>
      <c r="B815" s="15" t="s">
        <v>120</v>
      </c>
      <c r="C815" s="15" t="s">
        <v>117</v>
      </c>
      <c r="D815" s="16">
        <v>0.23055295220243699</v>
      </c>
      <c r="E815" s="16">
        <v>0.34134615384615402</v>
      </c>
      <c r="F815" s="16">
        <v>0.14492753623188401</v>
      </c>
      <c r="G815" s="16">
        <v>0.22115384615384601</v>
      </c>
      <c r="H815" s="16">
        <v>0.33374055843133299</v>
      </c>
      <c r="I815" s="16">
        <v>0.20223218257046</v>
      </c>
      <c r="J815" s="16">
        <v>0.66714228887978999</v>
      </c>
      <c r="K815" s="16">
        <v>0.64913696696692602</v>
      </c>
      <c r="L815" s="16">
        <v>0.83128994141399504</v>
      </c>
      <c r="M815" s="16">
        <v>0.56707317073170704</v>
      </c>
      <c r="N815" s="16">
        <v>0.52127659574468099</v>
      </c>
      <c r="O815" s="16">
        <v>1</v>
      </c>
      <c r="P815" s="17">
        <f t="shared" si="132"/>
        <v>0.24565887157268565</v>
      </c>
      <c r="Q815" s="17">
        <f t="shared" si="133"/>
        <v>0.71585639908690368</v>
      </c>
      <c r="R815" s="17">
        <f t="shared" si="134"/>
        <v>0.69611658882546268</v>
      </c>
      <c r="S815" s="17">
        <f>'02_지표정의'!$C$22*P815+'02_지표정의'!$C$23*Q815+'02_지표정의'!$C$24*R815</f>
        <v>0.61490795999255576</v>
      </c>
      <c r="T815" s="5">
        <f t="shared" si="135"/>
        <v>0</v>
      </c>
      <c r="U815" s="5" t="str">
        <f t="shared" si="136"/>
        <v>보고서</v>
      </c>
      <c r="V815" s="18">
        <f t="shared" si="137"/>
        <v>461</v>
      </c>
      <c r="W815" s="5">
        <f t="shared" si="138"/>
        <v>376</v>
      </c>
      <c r="X815" s="5">
        <f t="shared" si="139"/>
        <v>197</v>
      </c>
      <c r="Y815" s="5">
        <f t="shared" si="140"/>
        <v>0</v>
      </c>
      <c r="Z815" s="19">
        <f t="shared" si="141"/>
        <v>21</v>
      </c>
      <c r="AA815" s="20">
        <f>ABS(S815-SUMPRODUCT(('05B_가정검정'!$A$5:$A$19=B815)*('05B_가정검정'!$B$5:$B$19=C815)*'05B_가정검정'!$E$5:$E$19))</f>
        <v>1.3141000064565311E-2</v>
      </c>
      <c r="AB815" s="20">
        <f t="shared" si="142"/>
        <v>-1.6394743432201375E-2</v>
      </c>
    </row>
    <row r="816" spans="1:28">
      <c r="A816" s="15" t="s">
        <v>177</v>
      </c>
      <c r="B816" s="15" t="s">
        <v>120</v>
      </c>
      <c r="C816" s="15" t="s">
        <v>118</v>
      </c>
      <c r="D816" s="16">
        <v>0.27978142076502699</v>
      </c>
      <c r="E816" s="16">
        <v>0.47086247086247102</v>
      </c>
      <c r="F816" s="16">
        <v>0.28103044496487101</v>
      </c>
      <c r="G816" s="16">
        <v>0.33566433566433601</v>
      </c>
      <c r="H816" s="16">
        <v>0.29445289231403698</v>
      </c>
      <c r="I816" s="16">
        <v>0.34520862932731</v>
      </c>
      <c r="J816" s="16">
        <v>0.71016217886031197</v>
      </c>
      <c r="K816" s="16">
        <v>0.65624420025907504</v>
      </c>
      <c r="L816" s="16">
        <v>0.84201288121561102</v>
      </c>
      <c r="M816" s="16">
        <v>0.42979942693409801</v>
      </c>
      <c r="N816" s="16">
        <v>0.20689655172413801</v>
      </c>
      <c r="O816" s="16">
        <v>0.52631578947368396</v>
      </c>
      <c r="P816" s="17">
        <f t="shared" si="132"/>
        <v>0.33450003231634201</v>
      </c>
      <c r="Q816" s="17">
        <f t="shared" si="133"/>
        <v>0.73613975344499938</v>
      </c>
      <c r="R816" s="17">
        <f t="shared" si="134"/>
        <v>0.38767058937730664</v>
      </c>
      <c r="S816" s="17">
        <f>'02_지표정의'!$C$22*P816+'02_지표정의'!$C$23*Q816+'02_지표정의'!$C$24*R816</f>
        <v>0.53384760179557544</v>
      </c>
      <c r="T816" s="5">
        <f t="shared" si="135"/>
        <v>0</v>
      </c>
      <c r="U816" s="5" t="str">
        <f t="shared" si="136"/>
        <v>보고서</v>
      </c>
      <c r="V816" s="18">
        <f t="shared" si="137"/>
        <v>146</v>
      </c>
      <c r="W816" s="5">
        <f t="shared" si="138"/>
        <v>131</v>
      </c>
      <c r="X816" s="5">
        <f t="shared" si="139"/>
        <v>0</v>
      </c>
      <c r="Y816" s="5">
        <f t="shared" si="140"/>
        <v>132</v>
      </c>
      <c r="Z816" s="19">
        <f t="shared" si="141"/>
        <v>22</v>
      </c>
      <c r="AA816" s="20">
        <f>ABS(S816-SUMPRODUCT(('05B_가정검정'!$A$5:$A$19=B816)*('05B_가정검정'!$B$5:$B$19=C816)*'05B_가정검정'!$E$5:$E$19))</f>
        <v>5.6981246786052542E-2</v>
      </c>
      <c r="AB816" s="20">
        <f t="shared" si="142"/>
        <v>-4.1043174166535357E-2</v>
      </c>
    </row>
    <row r="817" spans="1:28">
      <c r="A817" s="15" t="s">
        <v>177</v>
      </c>
      <c r="B817" s="15" t="s">
        <v>120</v>
      </c>
      <c r="C817" s="15" t="s">
        <v>119</v>
      </c>
      <c r="D817" s="16">
        <v>0.262081784386617</v>
      </c>
      <c r="E817" s="16">
        <v>0.54545454545454497</v>
      </c>
      <c r="F817" s="16">
        <v>0.26086956521739102</v>
      </c>
      <c r="G817" s="16">
        <v>0.29004329004328999</v>
      </c>
      <c r="H817" s="16">
        <v>0.32943024850645403</v>
      </c>
      <c r="I817" s="16">
        <v>0.33188602926112099</v>
      </c>
      <c r="J817" s="16">
        <v>0.71217192522158601</v>
      </c>
      <c r="K817" s="16">
        <v>0.647482107975763</v>
      </c>
      <c r="L817" s="16">
        <v>0.81869424557935699</v>
      </c>
      <c r="M817" s="16">
        <v>0.60869565217391297</v>
      </c>
      <c r="N817" s="16">
        <v>0.596330275229358</v>
      </c>
      <c r="O817" s="16">
        <v>0.93684210526315803</v>
      </c>
      <c r="P817" s="17">
        <f t="shared" si="132"/>
        <v>0.33662757714490299</v>
      </c>
      <c r="Q817" s="17">
        <f t="shared" si="133"/>
        <v>0.72611609292556867</v>
      </c>
      <c r="R817" s="17">
        <f t="shared" si="134"/>
        <v>0.71395601088880978</v>
      </c>
      <c r="S817" s="17">
        <f>'02_지표정의'!$C$22*P817+'02_지표정의'!$C$23*Q817+'02_지표정의'!$C$24*R817</f>
        <v>0.6439623610565699</v>
      </c>
      <c r="T817" s="5">
        <f t="shared" si="135"/>
        <v>0</v>
      </c>
      <c r="U817" s="5" t="str">
        <f t="shared" si="136"/>
        <v>보고서</v>
      </c>
      <c r="V817" s="18">
        <f t="shared" si="137"/>
        <v>592</v>
      </c>
      <c r="W817" s="5">
        <f t="shared" si="138"/>
        <v>0</v>
      </c>
      <c r="X817" s="5">
        <f t="shared" si="139"/>
        <v>283</v>
      </c>
      <c r="Y817" s="5">
        <f t="shared" si="140"/>
        <v>443</v>
      </c>
      <c r="Z817" s="19">
        <f t="shared" si="141"/>
        <v>17</v>
      </c>
      <c r="AA817" s="20">
        <f>ABS(S817-SUMPRODUCT(('05B_가정검정'!$A$5:$A$19=B817)*('05B_가정검정'!$B$5:$B$19=C817)*'05B_가정검정'!$E$5:$E$19))</f>
        <v>1.9714955424816383E-2</v>
      </c>
      <c r="AB817" s="20">
        <f t="shared" si="142"/>
        <v>-1.4460646454245718E-2</v>
      </c>
    </row>
    <row r="818" spans="1:28">
      <c r="A818" s="15" t="s">
        <v>177</v>
      </c>
      <c r="B818" s="15" t="s">
        <v>121</v>
      </c>
      <c r="C818" s="15" t="s">
        <v>117</v>
      </c>
      <c r="D818" s="16">
        <v>0.20807833537331699</v>
      </c>
      <c r="E818" s="16">
        <v>0.352112676056338</v>
      </c>
      <c r="F818" s="16">
        <v>0.14893617021276601</v>
      </c>
      <c r="G818" s="16">
        <v>0.25352112676056299</v>
      </c>
      <c r="H818" s="16">
        <v>0.28311784362197601</v>
      </c>
      <c r="I818" s="16">
        <v>0.229924070588405</v>
      </c>
      <c r="J818" s="16">
        <v>0.73249163090318203</v>
      </c>
      <c r="K818" s="16">
        <v>0.77038457494488499</v>
      </c>
      <c r="L818" s="16">
        <v>0.88953941778147705</v>
      </c>
      <c r="M818" s="16">
        <v>0.90654205607476601</v>
      </c>
      <c r="N818" s="16">
        <v>0.91666666666666696</v>
      </c>
      <c r="O818" s="16">
        <v>1</v>
      </c>
      <c r="P818" s="17">
        <f t="shared" si="132"/>
        <v>0.24594837043556081</v>
      </c>
      <c r="Q818" s="17">
        <f t="shared" si="133"/>
        <v>0.79747187454318136</v>
      </c>
      <c r="R818" s="17">
        <f t="shared" si="134"/>
        <v>0.94106957424714432</v>
      </c>
      <c r="S818" s="17">
        <f>'02_지표정의'!$C$22*P818+'02_지표정의'!$C$23*Q818+'02_지표정의'!$C$24*R818</f>
        <v>0.73742636861804423</v>
      </c>
      <c r="T818" s="5">
        <f t="shared" si="135"/>
        <v>1</v>
      </c>
      <c r="U818" s="5" t="str">
        <f t="shared" si="136"/>
        <v>보고서</v>
      </c>
      <c r="V818" s="18">
        <f t="shared" si="137"/>
        <v>921</v>
      </c>
      <c r="W818" s="5">
        <f t="shared" si="138"/>
        <v>625</v>
      </c>
      <c r="X818" s="5">
        <f t="shared" si="139"/>
        <v>596</v>
      </c>
      <c r="Y818" s="5">
        <f t="shared" si="140"/>
        <v>0</v>
      </c>
      <c r="Z818" s="19">
        <f t="shared" si="141"/>
        <v>44</v>
      </c>
      <c r="AA818" s="20">
        <f>ABS(S818-SUMPRODUCT(('05B_가정검정'!$A$5:$A$19=B818)*('05B_가정검정'!$B$5:$B$19=C818)*'05B_가정검정'!$E$5:$E$19))</f>
        <v>7.9942972361630726E-3</v>
      </c>
      <c r="AB818" s="20">
        <f t="shared" si="142"/>
        <v>1.9774575545163264E-2</v>
      </c>
    </row>
    <row r="819" spans="1:28">
      <c r="A819" s="15" t="s">
        <v>177</v>
      </c>
      <c r="B819" s="15" t="s">
        <v>121</v>
      </c>
      <c r="C819" s="15" t="s">
        <v>118</v>
      </c>
      <c r="D819" s="16">
        <v>0.26466165413533799</v>
      </c>
      <c r="E819" s="16">
        <v>0.43097643097643101</v>
      </c>
      <c r="F819" s="16">
        <v>0.25762711864406801</v>
      </c>
      <c r="G819" s="16">
        <v>0.28956228956229002</v>
      </c>
      <c r="H819" s="16">
        <v>0.22313414515351301</v>
      </c>
      <c r="I819" s="16">
        <v>0.38655100671799297</v>
      </c>
      <c r="J819" s="16">
        <v>0.76344192045534498</v>
      </c>
      <c r="K819" s="16">
        <v>0.777735474362095</v>
      </c>
      <c r="L819" s="16">
        <v>0.88802212910174605</v>
      </c>
      <c r="M819" s="16">
        <v>0.277936962750716</v>
      </c>
      <c r="N819" s="16">
        <v>0.25517241379310301</v>
      </c>
      <c r="O819" s="16">
        <v>0.52631578947368396</v>
      </c>
      <c r="P819" s="17">
        <f t="shared" si="132"/>
        <v>0.30875210753160548</v>
      </c>
      <c r="Q819" s="17">
        <f t="shared" si="133"/>
        <v>0.8097331746397286</v>
      </c>
      <c r="R819" s="17">
        <f t="shared" si="134"/>
        <v>0.35314172200583432</v>
      </c>
      <c r="S819" s="17">
        <f>'02_지표정의'!$C$22*P819+'02_지표정의'!$C$23*Q819+'02_지표정의'!$C$24*R819</f>
        <v>0.54972995279624093</v>
      </c>
      <c r="T819" s="5">
        <f t="shared" si="135"/>
        <v>0</v>
      </c>
      <c r="U819" s="5" t="str">
        <f t="shared" si="136"/>
        <v>보고서</v>
      </c>
      <c r="V819" s="18">
        <f t="shared" si="137"/>
        <v>207</v>
      </c>
      <c r="W819" s="5">
        <f t="shared" si="138"/>
        <v>171</v>
      </c>
      <c r="X819" s="5">
        <f t="shared" si="139"/>
        <v>0</v>
      </c>
      <c r="Y819" s="5">
        <f t="shared" si="140"/>
        <v>179</v>
      </c>
      <c r="Z819" s="19">
        <f t="shared" si="141"/>
        <v>24</v>
      </c>
      <c r="AA819" s="20">
        <f>ABS(S819-SUMPRODUCT(('05B_가정검정'!$A$5:$A$19=B819)*('05B_가정검정'!$B$5:$B$19=C819)*'05B_가정검정'!$E$5:$E$19))</f>
        <v>4.8849537370727503E-2</v>
      </c>
      <c r="AB819" s="20">
        <f t="shared" si="142"/>
        <v>-2.9669121730572345E-2</v>
      </c>
    </row>
    <row r="820" spans="1:28">
      <c r="A820" s="15" t="s">
        <v>177</v>
      </c>
      <c r="B820" s="15" t="s">
        <v>121</v>
      </c>
      <c r="C820" s="15" t="s">
        <v>119</v>
      </c>
      <c r="D820" s="16">
        <v>0.256658595641647</v>
      </c>
      <c r="E820" s="16">
        <v>0.42424242424242398</v>
      </c>
      <c r="F820" s="16">
        <v>0.20121951219512199</v>
      </c>
      <c r="G820" s="16">
        <v>0.26060606060606101</v>
      </c>
      <c r="H820" s="16">
        <v>0.25024326110587602</v>
      </c>
      <c r="I820" s="16">
        <v>0.45052630725234699</v>
      </c>
      <c r="J820" s="16">
        <v>0.76873539938036595</v>
      </c>
      <c r="K820" s="16">
        <v>0.736530775996173</v>
      </c>
      <c r="L820" s="16">
        <v>0.85873483330818601</v>
      </c>
      <c r="M820" s="16">
        <v>0.46859903381642498</v>
      </c>
      <c r="N820" s="16">
        <v>0.50458715596330295</v>
      </c>
      <c r="O820" s="16">
        <v>0.92105263157894701</v>
      </c>
      <c r="P820" s="17">
        <f t="shared" si="132"/>
        <v>0.30724936017391286</v>
      </c>
      <c r="Q820" s="17">
        <f t="shared" si="133"/>
        <v>0.78800033622824162</v>
      </c>
      <c r="R820" s="17">
        <f t="shared" si="134"/>
        <v>0.63141294045289165</v>
      </c>
      <c r="S820" s="17">
        <f>'02_지표정의'!$C$22*P820+'02_지표정의'!$C$23*Q820+'02_지표정의'!$C$24*R820</f>
        <v>0.63704455249600334</v>
      </c>
      <c r="T820" s="5">
        <f t="shared" si="135"/>
        <v>0</v>
      </c>
      <c r="U820" s="5" t="str">
        <f t="shared" si="136"/>
        <v>보고서</v>
      </c>
      <c r="V820" s="18">
        <f t="shared" si="137"/>
        <v>568</v>
      </c>
      <c r="W820" s="5">
        <f t="shared" si="138"/>
        <v>0</v>
      </c>
      <c r="X820" s="5">
        <f t="shared" si="139"/>
        <v>265</v>
      </c>
      <c r="Y820" s="5">
        <f t="shared" si="140"/>
        <v>429</v>
      </c>
      <c r="Z820" s="19">
        <f t="shared" si="141"/>
        <v>4</v>
      </c>
      <c r="AA820" s="20">
        <f>ABS(S820-SUMPRODUCT(('05B_가정검정'!$A$5:$A$19=B820)*('05B_가정검정'!$B$5:$B$19=C820)*'05B_가정검정'!$E$5:$E$19))</f>
        <v>5.5275290299850344E-2</v>
      </c>
      <c r="AB820" s="20">
        <f t="shared" si="142"/>
        <v>-5.1192422923607706E-2</v>
      </c>
    </row>
    <row r="821" spans="1:28">
      <c r="A821" s="15" t="s">
        <v>177</v>
      </c>
      <c r="B821" s="15" t="s">
        <v>122</v>
      </c>
      <c r="C821" s="15" t="s">
        <v>117</v>
      </c>
      <c r="D821" s="16">
        <v>0.23825136612021899</v>
      </c>
      <c r="E821" s="16">
        <v>0.35388739946380698</v>
      </c>
      <c r="F821" s="16">
        <v>0.15094339622641501</v>
      </c>
      <c r="G821" s="16">
        <v>0.241286863270777</v>
      </c>
      <c r="H821" s="16">
        <v>0.32831647003752301</v>
      </c>
      <c r="I821" s="16">
        <v>0.242551723290553</v>
      </c>
      <c r="J821" s="16">
        <v>0.649257417072165</v>
      </c>
      <c r="K821" s="16">
        <v>0.58378735446868202</v>
      </c>
      <c r="L821" s="16">
        <v>0.78381347518164401</v>
      </c>
      <c r="M821" s="16">
        <v>0.38912133891213402</v>
      </c>
      <c r="N821" s="16">
        <v>0.37404580152671801</v>
      </c>
      <c r="O821" s="16">
        <v>1</v>
      </c>
      <c r="P821" s="17">
        <f t="shared" si="132"/>
        <v>0.25920620306821568</v>
      </c>
      <c r="Q821" s="17">
        <f t="shared" si="133"/>
        <v>0.67228608224083031</v>
      </c>
      <c r="R821" s="17">
        <f t="shared" si="134"/>
        <v>0.58772238014628397</v>
      </c>
      <c r="S821" s="17">
        <f>'02_지표정의'!$C$22*P821+'02_지표정의'!$C$23*Q821+'02_지표정의'!$C$24*R821</f>
        <v>0.56007281067321613</v>
      </c>
      <c r="T821" s="5">
        <f t="shared" si="135"/>
        <v>0</v>
      </c>
      <c r="U821" s="5" t="str">
        <f t="shared" si="136"/>
        <v>보고서</v>
      </c>
      <c r="V821" s="18">
        <f t="shared" si="137"/>
        <v>251</v>
      </c>
      <c r="W821" s="5">
        <f t="shared" si="138"/>
        <v>205</v>
      </c>
      <c r="X821" s="5">
        <f t="shared" si="139"/>
        <v>90</v>
      </c>
      <c r="Y821" s="5">
        <f t="shared" si="140"/>
        <v>0</v>
      </c>
      <c r="Z821" s="19">
        <f t="shared" si="141"/>
        <v>8</v>
      </c>
      <c r="AA821" s="20">
        <f>ABS(S821-SUMPRODUCT(('05B_가정검정'!$A$5:$A$19=B821)*('05B_가정검정'!$B$5:$B$19=C821)*'05B_가정검정'!$E$5:$E$19))</f>
        <v>7.9280144035462352E-2</v>
      </c>
      <c r="AB821" s="20">
        <f t="shared" si="142"/>
        <v>-6.280881151643003E-2</v>
      </c>
    </row>
    <row r="822" spans="1:28">
      <c r="A822" s="15" t="s">
        <v>177</v>
      </c>
      <c r="B822" s="15" t="s">
        <v>122</v>
      </c>
      <c r="C822" s="15" t="s">
        <v>118</v>
      </c>
      <c r="D822" s="16">
        <v>0.36173001310615999</v>
      </c>
      <c r="E822" s="16">
        <v>0.58031088082901605</v>
      </c>
      <c r="F822" s="16">
        <v>0.32291666666666702</v>
      </c>
      <c r="G822" s="16">
        <v>0.33678756476683902</v>
      </c>
      <c r="H822" s="16">
        <v>0.41794171332193097</v>
      </c>
      <c r="I822" s="16">
        <v>0.46001902544614298</v>
      </c>
      <c r="J822" s="16">
        <v>0.71270284414305896</v>
      </c>
      <c r="K822" s="16">
        <v>0.66438471069041405</v>
      </c>
      <c r="L822" s="16">
        <v>0.85796417984719897</v>
      </c>
      <c r="M822" s="16">
        <v>0.492836676217765</v>
      </c>
      <c r="N822" s="16">
        <v>0.27586206896551702</v>
      </c>
      <c r="O822" s="16">
        <v>0.52631578947368396</v>
      </c>
      <c r="P822" s="17">
        <f t="shared" si="132"/>
        <v>0.41328431068945931</v>
      </c>
      <c r="Q822" s="17">
        <f t="shared" si="133"/>
        <v>0.74501724489355725</v>
      </c>
      <c r="R822" s="17">
        <f t="shared" si="134"/>
        <v>0.43167151155232197</v>
      </c>
      <c r="S822" s="17">
        <f>'02_지표정의'!$C$22*P822+'02_지표정의'!$C$23*Q822+'02_지표정의'!$C$24*R822</f>
        <v>0.56899965138330533</v>
      </c>
      <c r="T822" s="5">
        <f t="shared" si="135"/>
        <v>1</v>
      </c>
      <c r="U822" s="5" t="str">
        <f t="shared" si="136"/>
        <v>보고서</v>
      </c>
      <c r="V822" s="18">
        <f t="shared" si="137"/>
        <v>280</v>
      </c>
      <c r="W822" s="5">
        <f t="shared" si="138"/>
        <v>228</v>
      </c>
      <c r="X822" s="5">
        <f t="shared" si="139"/>
        <v>0</v>
      </c>
      <c r="Y822" s="5">
        <f t="shared" si="140"/>
        <v>222</v>
      </c>
      <c r="Z822" s="19">
        <f t="shared" si="141"/>
        <v>28</v>
      </c>
      <c r="AA822" s="20">
        <f>ABS(S822-SUMPRODUCT(('05B_가정검정'!$A$5:$A$19=B822)*('05B_가정검정'!$B$5:$B$19=C822)*'05B_가정검정'!$E$5:$E$19))</f>
        <v>1.7922284613852923E-2</v>
      </c>
      <c r="AB822" s="20">
        <f t="shared" si="142"/>
        <v>-1.2223624834378444E-2</v>
      </c>
    </row>
    <row r="823" spans="1:28">
      <c r="A823" s="15" t="s">
        <v>177</v>
      </c>
      <c r="B823" s="15" t="s">
        <v>122</v>
      </c>
      <c r="C823" s="15" t="s">
        <v>119</v>
      </c>
      <c r="D823" s="16">
        <v>0.27922077922077898</v>
      </c>
      <c r="E823" s="16">
        <v>0.60143198090692096</v>
      </c>
      <c r="F823" s="16">
        <v>0.31175059952038398</v>
      </c>
      <c r="G823" s="16">
        <v>0.36754176610978501</v>
      </c>
      <c r="H823" s="16">
        <v>0.38209863042752501</v>
      </c>
      <c r="I823" s="16">
        <v>0.477390078016874</v>
      </c>
      <c r="J823" s="16">
        <v>0.69764344720355498</v>
      </c>
      <c r="K823" s="16">
        <v>0.59772387781804004</v>
      </c>
      <c r="L823" s="16">
        <v>0.79785537854392097</v>
      </c>
      <c r="M823" s="16">
        <v>0.63179916317991602</v>
      </c>
      <c r="N823" s="16">
        <v>0.64885496183206104</v>
      </c>
      <c r="O823" s="16">
        <v>0.94736842105263197</v>
      </c>
      <c r="P823" s="17">
        <f t="shared" si="132"/>
        <v>0.40323897236704465</v>
      </c>
      <c r="Q823" s="17">
        <f t="shared" si="133"/>
        <v>0.69774090118850529</v>
      </c>
      <c r="R823" s="17">
        <f t="shared" si="134"/>
        <v>0.74267418202153623</v>
      </c>
      <c r="S823" s="17">
        <f>'02_지표정의'!$C$22*P823+'02_지표정의'!$C$23*Q823+'02_지표정의'!$C$24*R823</f>
        <v>0.65456716371577395</v>
      </c>
      <c r="T823" s="5">
        <f t="shared" si="135"/>
        <v>0</v>
      </c>
      <c r="U823" s="5" t="str">
        <f t="shared" si="136"/>
        <v>보고서</v>
      </c>
      <c r="V823" s="18">
        <f t="shared" si="137"/>
        <v>641</v>
      </c>
      <c r="W823" s="5">
        <f t="shared" si="138"/>
        <v>0</v>
      </c>
      <c r="X823" s="5">
        <f t="shared" si="139"/>
        <v>323</v>
      </c>
      <c r="Y823" s="5">
        <f t="shared" si="140"/>
        <v>476</v>
      </c>
      <c r="Z823" s="19">
        <f t="shared" si="141"/>
        <v>43</v>
      </c>
      <c r="AA823" s="20">
        <f>ABS(S823-SUMPRODUCT(('05B_가정검정'!$A$5:$A$19=B823)*('05B_가정검정'!$B$5:$B$19=C823)*'05B_가정검정'!$E$5:$E$19))</f>
        <v>1.8960975814322545E-2</v>
      </c>
      <c r="AB823" s="20">
        <f t="shared" si="142"/>
        <v>2.3178297400887948E-2</v>
      </c>
    </row>
    <row r="824" spans="1:28">
      <c r="A824" s="15" t="s">
        <v>177</v>
      </c>
      <c r="B824" s="15" t="s">
        <v>123</v>
      </c>
      <c r="C824" s="15" t="s">
        <v>117</v>
      </c>
      <c r="D824" s="16">
        <v>0.25454545454545502</v>
      </c>
      <c r="E824" s="16">
        <v>0.40540540540540498</v>
      </c>
      <c r="F824" s="16">
        <v>0.15217391304347799</v>
      </c>
      <c r="G824" s="16">
        <v>0.24324324324324301</v>
      </c>
      <c r="H824" s="16">
        <v>0.31822286804414301</v>
      </c>
      <c r="I824" s="16">
        <v>0.25075500079563701</v>
      </c>
      <c r="J824" s="16">
        <v>0.71407814591201302</v>
      </c>
      <c r="K824" s="16">
        <v>0.66163200591834703</v>
      </c>
      <c r="L824" s="16">
        <v>0.81523611789317596</v>
      </c>
      <c r="M824" s="16">
        <v>0.86915887850467299</v>
      </c>
      <c r="N824" s="16">
        <v>0.88333333333333297</v>
      </c>
      <c r="O824" s="16">
        <v>1</v>
      </c>
      <c r="P824" s="17">
        <f t="shared" si="132"/>
        <v>0.27072431417956017</v>
      </c>
      <c r="Q824" s="17">
        <f t="shared" si="133"/>
        <v>0.73031542324117871</v>
      </c>
      <c r="R824" s="17">
        <f t="shared" si="134"/>
        <v>0.91749740394600199</v>
      </c>
      <c r="S824" s="17">
        <f>'02_지표정의'!$C$22*P824+'02_지표정의'!$C$23*Q824+'02_지표정의'!$C$24*R824</f>
        <v>0.70391089467554302</v>
      </c>
      <c r="T824" s="5">
        <f t="shared" si="135"/>
        <v>0</v>
      </c>
      <c r="U824" s="5" t="str">
        <f t="shared" si="136"/>
        <v>보고서</v>
      </c>
      <c r="V824" s="18">
        <f t="shared" si="137"/>
        <v>833</v>
      </c>
      <c r="W824" s="5">
        <f t="shared" si="138"/>
        <v>557</v>
      </c>
      <c r="X824" s="5">
        <f t="shared" si="139"/>
        <v>508</v>
      </c>
      <c r="Y824" s="5">
        <f t="shared" si="140"/>
        <v>0</v>
      </c>
      <c r="Z824" s="19">
        <f t="shared" si="141"/>
        <v>23</v>
      </c>
      <c r="AA824" s="20">
        <f>ABS(S824-SUMPRODUCT(('05B_가정검정'!$A$5:$A$19=B824)*('05B_가정검정'!$B$5:$B$19=C824)*'05B_가정검정'!$E$5:$E$19))</f>
        <v>1.1011988100680714E-2</v>
      </c>
      <c r="AB824" s="20">
        <f t="shared" si="142"/>
        <v>-4.074557135700152E-3</v>
      </c>
    </row>
    <row r="825" spans="1:28">
      <c r="A825" s="15" t="s">
        <v>177</v>
      </c>
      <c r="B825" s="15" t="s">
        <v>123</v>
      </c>
      <c r="C825" s="15" t="s">
        <v>118</v>
      </c>
      <c r="D825" s="16">
        <v>0.31264916467780401</v>
      </c>
      <c r="E825" s="16">
        <v>0.45953002610966098</v>
      </c>
      <c r="F825" s="16">
        <v>0.23622047244094499</v>
      </c>
      <c r="G825" s="16">
        <v>0.29765013054830303</v>
      </c>
      <c r="H825" s="16">
        <v>0.29278311333969798</v>
      </c>
      <c r="I825" s="16">
        <v>0.37427581853587399</v>
      </c>
      <c r="J825" s="16">
        <v>0.71528988325281895</v>
      </c>
      <c r="K825" s="16">
        <v>0.65388150960841396</v>
      </c>
      <c r="L825" s="16">
        <v>0.83800545830617101</v>
      </c>
      <c r="M825" s="16">
        <v>0.28366762177650401</v>
      </c>
      <c r="N825" s="16">
        <v>0.26206896551724101</v>
      </c>
      <c r="O825" s="16">
        <v>0.52631578947368396</v>
      </c>
      <c r="P825" s="17">
        <f t="shared" si="132"/>
        <v>0.32885145427538087</v>
      </c>
      <c r="Q825" s="17">
        <f t="shared" si="133"/>
        <v>0.73572561705580142</v>
      </c>
      <c r="R825" s="17">
        <f t="shared" si="134"/>
        <v>0.35735079225580968</v>
      </c>
      <c r="S825" s="17">
        <f>'02_지표정의'!$C$22*P825+'02_지표정의'!$C$23*Q825+'02_지표정의'!$C$24*R825</f>
        <v>0.52191959581972025</v>
      </c>
      <c r="T825" s="5">
        <f t="shared" si="135"/>
        <v>0</v>
      </c>
      <c r="U825" s="5" t="str">
        <f t="shared" si="136"/>
        <v>보고서</v>
      </c>
      <c r="V825" s="18">
        <f t="shared" si="137"/>
        <v>100</v>
      </c>
      <c r="W825" s="5">
        <f t="shared" si="138"/>
        <v>91</v>
      </c>
      <c r="X825" s="5">
        <f t="shared" si="139"/>
        <v>0</v>
      </c>
      <c r="Y825" s="5">
        <f t="shared" si="140"/>
        <v>92</v>
      </c>
      <c r="Z825" s="19">
        <f t="shared" si="141"/>
        <v>24</v>
      </c>
      <c r="AA825" s="20">
        <f>ABS(S825-SUMPRODUCT(('05B_가정검정'!$A$5:$A$19=B825)*('05B_가정검정'!$B$5:$B$19=C825)*'05B_가정검정'!$E$5:$E$19))</f>
        <v>5.3379231059249466E-2</v>
      </c>
      <c r="AB825" s="20">
        <f t="shared" si="142"/>
        <v>-3.7952012104770838E-2</v>
      </c>
    </row>
    <row r="826" spans="1:28">
      <c r="A826" s="15" t="s">
        <v>177</v>
      </c>
      <c r="B826" s="15" t="s">
        <v>123</v>
      </c>
      <c r="C826" s="15" t="s">
        <v>119</v>
      </c>
      <c r="D826" s="16">
        <v>0.26426426426426403</v>
      </c>
      <c r="E826" s="16">
        <v>0.50961538461538503</v>
      </c>
      <c r="F826" s="16">
        <v>0.231884057971015</v>
      </c>
      <c r="G826" s="16">
        <v>0.30769230769230799</v>
      </c>
      <c r="H826" s="16">
        <v>0.30014117380504401</v>
      </c>
      <c r="I826" s="16">
        <v>0.45538555371070999</v>
      </c>
      <c r="J826" s="16">
        <v>0.71936515065358198</v>
      </c>
      <c r="K826" s="16">
        <v>0.64824604492513804</v>
      </c>
      <c r="L826" s="16">
        <v>0.82350646193257304</v>
      </c>
      <c r="M826" s="16">
        <v>0.458937198067633</v>
      </c>
      <c r="N826" s="16">
        <v>0.48623853211009199</v>
      </c>
      <c r="O826" s="16">
        <v>0.92105263157894701</v>
      </c>
      <c r="P826" s="17">
        <f t="shared" si="132"/>
        <v>0.34483045700978771</v>
      </c>
      <c r="Q826" s="17">
        <f t="shared" si="133"/>
        <v>0.73037255250376443</v>
      </c>
      <c r="R826" s="17">
        <f t="shared" si="134"/>
        <v>0.62207612058555739</v>
      </c>
      <c r="S826" s="17">
        <f>'02_지표정의'!$C$22*P826+'02_지표정의'!$C$23*Q826+'02_지표정의'!$C$24*R826</f>
        <v>0.61536038223359668</v>
      </c>
      <c r="T826" s="5">
        <f t="shared" si="135"/>
        <v>1</v>
      </c>
      <c r="U826" s="5" t="str">
        <f t="shared" si="136"/>
        <v>보고서</v>
      </c>
      <c r="V826" s="18">
        <f t="shared" si="137"/>
        <v>464</v>
      </c>
      <c r="W826" s="5">
        <f t="shared" si="138"/>
        <v>0</v>
      </c>
      <c r="X826" s="5">
        <f t="shared" si="139"/>
        <v>199</v>
      </c>
      <c r="Y826" s="5">
        <f t="shared" si="140"/>
        <v>351</v>
      </c>
      <c r="Z826" s="19">
        <f t="shared" si="141"/>
        <v>2</v>
      </c>
      <c r="AA826" s="20">
        <f>ABS(S826-SUMPRODUCT(('05B_가정검정'!$A$5:$A$19=B826)*('05B_가정검정'!$B$5:$B$19=C826)*'05B_가정검정'!$E$5:$E$19))</f>
        <v>7.0269415090630671E-2</v>
      </c>
      <c r="AB826" s="20">
        <f t="shared" si="142"/>
        <v>-6.7058350811405099E-2</v>
      </c>
    </row>
    <row r="827" spans="1:28">
      <c r="A827" s="15" t="s">
        <v>178</v>
      </c>
      <c r="B827" s="15" t="s">
        <v>116</v>
      </c>
      <c r="C827" s="15" t="s">
        <v>117</v>
      </c>
      <c r="D827" s="16">
        <v>0.26429479034307501</v>
      </c>
      <c r="E827" s="16">
        <v>0.35341365461847402</v>
      </c>
      <c r="F827" s="16">
        <v>0.145748987854251</v>
      </c>
      <c r="G827" s="16">
        <v>0.27309236947791199</v>
      </c>
      <c r="H827" s="16">
        <v>0.331666424361241</v>
      </c>
      <c r="I827" s="16">
        <v>0.334039929877265</v>
      </c>
      <c r="J827" s="16">
        <v>0.675687987619493</v>
      </c>
      <c r="K827" s="16">
        <v>0.63239222018298602</v>
      </c>
      <c r="L827" s="16">
        <v>0.82266555851999501</v>
      </c>
      <c r="M827" s="16">
        <v>0.392405063291139</v>
      </c>
      <c r="N827" s="16">
        <v>0.13970588235294101</v>
      </c>
      <c r="O827" s="16">
        <v>1</v>
      </c>
      <c r="P827" s="17">
        <f t="shared" si="132"/>
        <v>0.28370935942203634</v>
      </c>
      <c r="Q827" s="17">
        <f t="shared" si="133"/>
        <v>0.71024858877415797</v>
      </c>
      <c r="R827" s="17">
        <f t="shared" si="134"/>
        <v>0.51070364854802663</v>
      </c>
      <c r="S827" s="17">
        <f>'02_지표정의'!$C$22*P827+'02_지표정의'!$C$23*Q827+'02_지표정의'!$C$24*R827</f>
        <v>0.55510001382458762</v>
      </c>
      <c r="T827" s="5">
        <f t="shared" si="135"/>
        <v>0</v>
      </c>
      <c r="U827" s="5" t="str">
        <f t="shared" si="136"/>
        <v>보고서</v>
      </c>
      <c r="V827" s="18">
        <f t="shared" si="137"/>
        <v>228</v>
      </c>
      <c r="W827" s="5">
        <f t="shared" si="138"/>
        <v>186</v>
      </c>
      <c r="X827" s="5">
        <f t="shared" si="139"/>
        <v>76</v>
      </c>
      <c r="Y827" s="5">
        <f t="shared" si="140"/>
        <v>0</v>
      </c>
      <c r="Z827" s="19">
        <f t="shared" si="141"/>
        <v>27</v>
      </c>
      <c r="AA827" s="20">
        <f>ABS(S827-SUMPRODUCT(('05B_가정검정'!$A$5:$A$19=B827)*('05B_가정검정'!$B$5:$B$19=C827)*'05B_가정검정'!$E$5:$E$19))</f>
        <v>2.3036911603796506E-3</v>
      </c>
      <c r="AB827" s="20">
        <f t="shared" si="142"/>
        <v>2.548848411964233E-3</v>
      </c>
    </row>
    <row r="828" spans="1:28">
      <c r="A828" s="15" t="s">
        <v>178</v>
      </c>
      <c r="B828" s="15" t="s">
        <v>116</v>
      </c>
      <c r="C828" s="15" t="s">
        <v>118</v>
      </c>
      <c r="D828" s="16">
        <v>0.352395672333849</v>
      </c>
      <c r="E828" s="16">
        <v>0.36885245901639302</v>
      </c>
      <c r="F828" s="16">
        <v>0.165289256198347</v>
      </c>
      <c r="G828" s="16">
        <v>0.33606557377049201</v>
      </c>
      <c r="H828" s="16">
        <v>0.29703071755179999</v>
      </c>
      <c r="I828" s="16">
        <v>0.43840804820361001</v>
      </c>
      <c r="J828" s="16">
        <v>0.71247463211114004</v>
      </c>
      <c r="K828" s="16">
        <v>0.66418217225736398</v>
      </c>
      <c r="L828" s="16">
        <v>0.86212623795851095</v>
      </c>
      <c r="M828" s="16">
        <v>0.60337552742615996</v>
      </c>
      <c r="N828" s="16">
        <v>0.161764705882353</v>
      </c>
      <c r="O828" s="16">
        <v>1</v>
      </c>
      <c r="P828" s="17">
        <f t="shared" si="132"/>
        <v>0.32634028784574848</v>
      </c>
      <c r="Q828" s="17">
        <f t="shared" si="133"/>
        <v>0.74626101410900503</v>
      </c>
      <c r="R828" s="17">
        <f t="shared" si="134"/>
        <v>0.58838007776950441</v>
      </c>
      <c r="S828" s="17">
        <f>'02_지표정의'!$C$22*P828+'02_지표정의'!$C$23*Q828+'02_지표정의'!$C$24*R828</f>
        <v>0.60701854113752851</v>
      </c>
      <c r="T828" s="5">
        <f t="shared" si="135"/>
        <v>0</v>
      </c>
      <c r="U828" s="5" t="str">
        <f t="shared" si="136"/>
        <v>보고서</v>
      </c>
      <c r="V828" s="18">
        <f t="shared" si="137"/>
        <v>418</v>
      </c>
      <c r="W828" s="5">
        <f t="shared" si="138"/>
        <v>339</v>
      </c>
      <c r="X828" s="5">
        <f t="shared" si="139"/>
        <v>0</v>
      </c>
      <c r="Y828" s="5">
        <f t="shared" si="140"/>
        <v>318</v>
      </c>
      <c r="Z828" s="19">
        <f t="shared" si="141"/>
        <v>64</v>
      </c>
      <c r="AA828" s="20">
        <f>ABS(S828-SUMPRODUCT(('05B_가정검정'!$A$5:$A$19=B828)*('05B_가정검정'!$B$5:$B$19=C828)*'05B_가정검정'!$E$5:$E$19))</f>
        <v>7.5726119435806871E-2</v>
      </c>
      <c r="AB828" s="20">
        <f t="shared" si="142"/>
        <v>7.9469508758942209E-2</v>
      </c>
    </row>
    <row r="829" spans="1:28">
      <c r="A829" s="15" t="s">
        <v>178</v>
      </c>
      <c r="B829" s="15" t="s">
        <v>116</v>
      </c>
      <c r="C829" s="15" t="s">
        <v>119</v>
      </c>
      <c r="D829" s="16">
        <v>0.29763560500695402</v>
      </c>
      <c r="E829" s="16">
        <v>0.327402135231317</v>
      </c>
      <c r="F829" s="16">
        <v>0.10035842293906801</v>
      </c>
      <c r="G829" s="16">
        <v>0.23487544483985801</v>
      </c>
      <c r="H829" s="16">
        <v>0.31529132471558902</v>
      </c>
      <c r="I829" s="16">
        <v>0.27341296990104302</v>
      </c>
      <c r="J829" s="16">
        <v>0.66965693496690104</v>
      </c>
      <c r="K829" s="16">
        <v>0.63280117858765805</v>
      </c>
      <c r="L829" s="16">
        <v>0.80752442599889396</v>
      </c>
      <c r="M829" s="16">
        <v>0.45147679324894502</v>
      </c>
      <c r="N829" s="16">
        <v>6.6176470588235295E-2</v>
      </c>
      <c r="O829" s="16">
        <v>1</v>
      </c>
      <c r="P829" s="17">
        <f t="shared" si="132"/>
        <v>0.25816265043897152</v>
      </c>
      <c r="Q829" s="17">
        <f t="shared" si="133"/>
        <v>0.70332751318448439</v>
      </c>
      <c r="R829" s="17">
        <f t="shared" si="134"/>
        <v>0.50588442127906008</v>
      </c>
      <c r="S829" s="17">
        <f>'02_지표정의'!$C$22*P829+'02_지표정의'!$C$23*Q829+'02_지표정의'!$C$24*R829</f>
        <v>0.54518945846848332</v>
      </c>
      <c r="T829" s="5">
        <f t="shared" si="135"/>
        <v>0</v>
      </c>
      <c r="U829" s="5" t="str">
        <f t="shared" si="136"/>
        <v>보고서</v>
      </c>
      <c r="V829" s="18">
        <f t="shared" si="137"/>
        <v>187</v>
      </c>
      <c r="W829" s="5">
        <f t="shared" si="138"/>
        <v>0</v>
      </c>
      <c r="X829" s="5">
        <f t="shared" si="139"/>
        <v>52</v>
      </c>
      <c r="Y829" s="5">
        <f t="shared" si="140"/>
        <v>164</v>
      </c>
      <c r="Z829" s="19">
        <f t="shared" si="141"/>
        <v>24</v>
      </c>
      <c r="AA829" s="20">
        <f>ABS(S829-SUMPRODUCT(('05B_가정검정'!$A$5:$A$19=B829)*('05B_가정검정'!$B$5:$B$19=C829)*'05B_가정검정'!$E$5:$E$19))</f>
        <v>7.8340582742992826E-3</v>
      </c>
      <c r="AB829" s="20">
        <f t="shared" si="142"/>
        <v>-1.1263025207696731E-2</v>
      </c>
    </row>
    <row r="830" spans="1:28">
      <c r="A830" s="15" t="s">
        <v>178</v>
      </c>
      <c r="B830" s="15" t="s">
        <v>120</v>
      </c>
      <c r="C830" s="15" t="s">
        <v>117</v>
      </c>
      <c r="D830" s="16">
        <v>0.25023696682464502</v>
      </c>
      <c r="E830" s="16">
        <v>0.34398034398034399</v>
      </c>
      <c r="F830" s="16">
        <v>0.10370370370370401</v>
      </c>
      <c r="G830" s="16">
        <v>0.226044226044226</v>
      </c>
      <c r="H830" s="16">
        <v>0.31077873490268698</v>
      </c>
      <c r="I830" s="16">
        <v>0.30189638941393698</v>
      </c>
      <c r="J830" s="16">
        <v>0.66750045998330498</v>
      </c>
      <c r="K830" s="16">
        <v>0.65137485834201103</v>
      </c>
      <c r="L830" s="16">
        <v>0.839141236795092</v>
      </c>
      <c r="M830" s="16">
        <v>0.55029585798816605</v>
      </c>
      <c r="N830" s="16">
        <v>0.480392156862745</v>
      </c>
      <c r="O830" s="16">
        <v>1</v>
      </c>
      <c r="P830" s="17">
        <f t="shared" si="132"/>
        <v>0.25610672747825719</v>
      </c>
      <c r="Q830" s="17">
        <f t="shared" si="133"/>
        <v>0.71933885170680278</v>
      </c>
      <c r="R830" s="17">
        <f t="shared" si="134"/>
        <v>0.67689600495030378</v>
      </c>
      <c r="S830" s="17">
        <f>'02_지표정의'!$C$22*P830+'02_지표정의'!$C$23*Q830+'02_지표정의'!$C$24*R830</f>
        <v>0.611837430496319</v>
      </c>
      <c r="T830" s="5">
        <f t="shared" si="135"/>
        <v>0</v>
      </c>
      <c r="U830" s="5" t="str">
        <f t="shared" si="136"/>
        <v>보고서</v>
      </c>
      <c r="V830" s="18">
        <f t="shared" si="137"/>
        <v>444</v>
      </c>
      <c r="W830" s="5">
        <f t="shared" si="138"/>
        <v>361</v>
      </c>
      <c r="X830" s="5">
        <f t="shared" si="139"/>
        <v>188</v>
      </c>
      <c r="Y830" s="5">
        <f t="shared" si="140"/>
        <v>0</v>
      </c>
      <c r="Z830" s="19">
        <f t="shared" si="141"/>
        <v>15</v>
      </c>
      <c r="AA830" s="20">
        <f>ABS(S830-SUMPRODUCT(('05B_가정검정'!$A$5:$A$19=B830)*('05B_가정검정'!$B$5:$B$19=C830)*'05B_가정검정'!$E$5:$E$19))</f>
        <v>1.6211529560802074E-2</v>
      </c>
      <c r="AB830" s="20">
        <f t="shared" si="142"/>
        <v>-1.9465272928438138E-2</v>
      </c>
    </row>
    <row r="831" spans="1:28">
      <c r="A831" s="15" t="s">
        <v>178</v>
      </c>
      <c r="B831" s="15" t="s">
        <v>120</v>
      </c>
      <c r="C831" s="15" t="s">
        <v>118</v>
      </c>
      <c r="D831" s="16">
        <v>0.28633879781420801</v>
      </c>
      <c r="E831" s="16">
        <v>0.42786069651741299</v>
      </c>
      <c r="F831" s="16">
        <v>0.25</v>
      </c>
      <c r="G831" s="16">
        <v>0.34328358208955201</v>
      </c>
      <c r="H831" s="16">
        <v>0.26076804536708598</v>
      </c>
      <c r="I831" s="16">
        <v>0.46304866314009502</v>
      </c>
      <c r="J831" s="16">
        <v>0.71645424815710201</v>
      </c>
      <c r="K831" s="16">
        <v>0.64941188138042505</v>
      </c>
      <c r="L831" s="16">
        <v>0.85045234485245302</v>
      </c>
      <c r="M831" s="16">
        <v>0.61340206185567003</v>
      </c>
      <c r="N831" s="16">
        <v>0.45192307692307698</v>
      </c>
      <c r="O831" s="16">
        <v>1</v>
      </c>
      <c r="P831" s="17">
        <f t="shared" si="132"/>
        <v>0.33854996415472566</v>
      </c>
      <c r="Q831" s="17">
        <f t="shared" si="133"/>
        <v>0.73877282479665995</v>
      </c>
      <c r="R831" s="17">
        <f t="shared" si="134"/>
        <v>0.68844171292624912</v>
      </c>
      <c r="S831" s="17">
        <f>'02_지표정의'!$C$22*P831+'02_지표정의'!$C$23*Q831+'02_지표정의'!$C$24*R831</f>
        <v>0.64111236351362932</v>
      </c>
      <c r="T831" s="5">
        <f t="shared" si="135"/>
        <v>0</v>
      </c>
      <c r="U831" s="5" t="str">
        <f t="shared" si="136"/>
        <v>보고서</v>
      </c>
      <c r="V831" s="18">
        <f t="shared" si="137"/>
        <v>582</v>
      </c>
      <c r="W831" s="5">
        <f t="shared" si="138"/>
        <v>452</v>
      </c>
      <c r="X831" s="5">
        <f t="shared" si="139"/>
        <v>0</v>
      </c>
      <c r="Y831" s="5">
        <f t="shared" si="140"/>
        <v>437</v>
      </c>
      <c r="Z831" s="19">
        <f t="shared" si="141"/>
        <v>62</v>
      </c>
      <c r="AA831" s="20">
        <f>ABS(S831-SUMPRODUCT(('05B_가정검정'!$A$5:$A$19=B831)*('05B_가정검정'!$B$5:$B$19=C831)*'05B_가정검정'!$E$5:$E$19))</f>
        <v>5.0283514932001339E-2</v>
      </c>
      <c r="AB831" s="20">
        <f t="shared" si="142"/>
        <v>6.6221587551518524E-2</v>
      </c>
    </row>
    <row r="832" spans="1:28">
      <c r="A832" s="15" t="s">
        <v>178</v>
      </c>
      <c r="B832" s="15" t="s">
        <v>120</v>
      </c>
      <c r="C832" s="15" t="s">
        <v>119</v>
      </c>
      <c r="D832" s="16">
        <v>0.28774062816615997</v>
      </c>
      <c r="E832" s="16">
        <v>0.48747152619590001</v>
      </c>
      <c r="F832" s="16">
        <v>0.237986270022883</v>
      </c>
      <c r="G832" s="16">
        <v>0.305239179954442</v>
      </c>
      <c r="H832" s="16">
        <v>0.314596043702845</v>
      </c>
      <c r="I832" s="16">
        <v>0.48101075382249803</v>
      </c>
      <c r="J832" s="16">
        <v>0.67304262945073801</v>
      </c>
      <c r="K832" s="16">
        <v>0.67862661110565803</v>
      </c>
      <c r="L832" s="16">
        <v>0.84968303384106203</v>
      </c>
      <c r="M832" s="16">
        <v>0.46745562130177498</v>
      </c>
      <c r="N832" s="16">
        <v>0.38235294117647101</v>
      </c>
      <c r="O832" s="16">
        <v>1</v>
      </c>
      <c r="P832" s="17">
        <f t="shared" si="132"/>
        <v>0.35234073364412133</v>
      </c>
      <c r="Q832" s="17">
        <f t="shared" si="133"/>
        <v>0.73378409146581935</v>
      </c>
      <c r="R832" s="17">
        <f t="shared" si="134"/>
        <v>0.6166028541594154</v>
      </c>
      <c r="S832" s="17">
        <f>'02_지표정의'!$C$22*P832+'02_지표정의'!$C$23*Q832+'02_지표정의'!$C$24*R832</f>
        <v>0.61648198684423838</v>
      </c>
      <c r="T832" s="5">
        <f t="shared" si="135"/>
        <v>0</v>
      </c>
      <c r="U832" s="5" t="str">
        <f t="shared" si="136"/>
        <v>보고서</v>
      </c>
      <c r="V832" s="18">
        <f t="shared" si="137"/>
        <v>467</v>
      </c>
      <c r="W832" s="5">
        <f t="shared" si="138"/>
        <v>0</v>
      </c>
      <c r="X832" s="5">
        <f t="shared" si="139"/>
        <v>202</v>
      </c>
      <c r="Y832" s="5">
        <f t="shared" si="140"/>
        <v>352</v>
      </c>
      <c r="Z832" s="19">
        <f t="shared" si="141"/>
        <v>5</v>
      </c>
      <c r="AA832" s="20">
        <f>ABS(S832-SUMPRODUCT(('05B_가정검정'!$A$5:$A$19=B832)*('05B_가정검정'!$B$5:$B$19=C832)*'05B_가정검정'!$E$5:$E$19))</f>
        <v>4.7195329637147898E-2</v>
      </c>
      <c r="AB832" s="20">
        <f t="shared" si="142"/>
        <v>-4.1941020666577233E-2</v>
      </c>
    </row>
    <row r="833" spans="1:28">
      <c r="A833" s="15" t="s">
        <v>178</v>
      </c>
      <c r="B833" s="15" t="s">
        <v>121</v>
      </c>
      <c r="C833" s="15" t="s">
        <v>117</v>
      </c>
      <c r="D833" s="16">
        <v>0.26433915211970099</v>
      </c>
      <c r="E833" s="16">
        <v>0.39097744360902298</v>
      </c>
      <c r="F833" s="16">
        <v>0.13636363636363599</v>
      </c>
      <c r="G833" s="16">
        <v>0.255639097744361</v>
      </c>
      <c r="H833" s="16">
        <v>0.30288042353158401</v>
      </c>
      <c r="I833" s="16">
        <v>0.282648140992174</v>
      </c>
      <c r="J833" s="16">
        <v>0.74403411012637699</v>
      </c>
      <c r="K833" s="16">
        <v>0.765015608679813</v>
      </c>
      <c r="L833" s="16">
        <v>0.88457412756853704</v>
      </c>
      <c r="M833" s="16">
        <v>0.90654205607476601</v>
      </c>
      <c r="N833" s="16">
        <v>0.91666666666666696</v>
      </c>
      <c r="O833" s="16">
        <v>1</v>
      </c>
      <c r="P833" s="17">
        <f t="shared" si="132"/>
        <v>0.27214131572674649</v>
      </c>
      <c r="Q833" s="17">
        <f t="shared" si="133"/>
        <v>0.79787461545824234</v>
      </c>
      <c r="R833" s="17">
        <f t="shared" si="134"/>
        <v>0.94106957424714432</v>
      </c>
      <c r="S833" s="17">
        <f>'02_지표정의'!$C$22*P833+'02_지표정의'!$C$23*Q833+'02_지표정의'!$C$24*R833</f>
        <v>0.74284619108805883</v>
      </c>
      <c r="T833" s="5">
        <f t="shared" si="135"/>
        <v>1</v>
      </c>
      <c r="U833" s="5" t="str">
        <f t="shared" si="136"/>
        <v>보고서</v>
      </c>
      <c r="V833" s="18">
        <f t="shared" si="137"/>
        <v>935</v>
      </c>
      <c r="W833" s="5">
        <f t="shared" si="138"/>
        <v>635</v>
      </c>
      <c r="X833" s="5">
        <f t="shared" si="139"/>
        <v>610</v>
      </c>
      <c r="Y833" s="5">
        <f t="shared" si="140"/>
        <v>0</v>
      </c>
      <c r="Z833" s="19">
        <f t="shared" si="141"/>
        <v>53</v>
      </c>
      <c r="AA833" s="20">
        <f>ABS(S833-SUMPRODUCT(('05B_가정검정'!$A$5:$A$19=B833)*('05B_가정검정'!$B$5:$B$19=C833)*'05B_가정검정'!$E$5:$E$19))</f>
        <v>1.3414119706177674E-2</v>
      </c>
      <c r="AB833" s="20">
        <f t="shared" si="142"/>
        <v>2.5194398015177866E-2</v>
      </c>
    </row>
    <row r="834" spans="1:28">
      <c r="A834" s="15" t="s">
        <v>178</v>
      </c>
      <c r="B834" s="15" t="s">
        <v>121</v>
      </c>
      <c r="C834" s="15" t="s">
        <v>118</v>
      </c>
      <c r="D834" s="16">
        <v>0.29607250755287001</v>
      </c>
      <c r="E834" s="16">
        <v>0.40613026819923398</v>
      </c>
      <c r="F834" s="16">
        <v>0.18532818532818501</v>
      </c>
      <c r="G834" s="16">
        <v>0.29885057471264398</v>
      </c>
      <c r="H834" s="16">
        <v>0.26140691973599101</v>
      </c>
      <c r="I834" s="16">
        <v>0.38837601367555502</v>
      </c>
      <c r="J834" s="16">
        <v>0.77439723368021396</v>
      </c>
      <c r="K834" s="16">
        <v>0.79861491575083998</v>
      </c>
      <c r="L834" s="16">
        <v>0.90614234014962503</v>
      </c>
      <c r="M834" s="16">
        <v>0.5</v>
      </c>
      <c r="N834" s="16">
        <v>0.52884615384615397</v>
      </c>
      <c r="O834" s="16">
        <v>1</v>
      </c>
      <c r="P834" s="17">
        <f t="shared" ref="P834:P897" si="143">AVERAGE(D834:I834)</f>
        <v>0.30602741153407981</v>
      </c>
      <c r="Q834" s="17">
        <f t="shared" ref="Q834:Q897" si="144">AVERAGE(J834:L834)</f>
        <v>0.82638482986022632</v>
      </c>
      <c r="R834" s="17">
        <f t="shared" ref="R834:R897" si="145">AVERAGE(M834:O834)</f>
        <v>0.67628205128205143</v>
      </c>
      <c r="S834" s="17">
        <f>'02_지표정의'!$C$22*P834+'02_지표정의'!$C$23*Q834+'02_지표정의'!$C$24*R834</f>
        <v>0.66977737369263579</v>
      </c>
      <c r="T834" s="5">
        <f t="shared" ref="T834:T897" si="146">IF(OR(AND(B834="gemini",C834="gemma"),AND(B834="qwen3_6",C834="qwen"),AND(B834="mistral",C834="ministral")),1,0)</f>
        <v>0</v>
      </c>
      <c r="U834" s="5" t="str">
        <f t="shared" ref="U834:U897" si="147">IF(LEFT(A834,3)="PAT","특허","보고서")</f>
        <v>보고서</v>
      </c>
      <c r="V834" s="18">
        <f t="shared" ref="V834:V897" si="148">COUNTIF($S$2:$S$976,"&lt;"&amp;S834)+(COUNTIF($S$2:$S$976,"="&amp;S834)+1)/2</f>
        <v>714</v>
      </c>
      <c r="W834" s="5">
        <f t="shared" ref="W834:W897" si="149">IF(C834="qwen",0,COUNTIFS($C$2:$C$976,"&lt;&gt;qwen",$S$2:$S$976,"&lt;"&amp;S834)+1)</f>
        <v>512</v>
      </c>
      <c r="X834" s="5">
        <f t="shared" ref="X834:X897" si="150">IF(C834="ministral",0,COUNTIFS($C$2:$C$976,"&lt;&gt;ministral",$S$2:$S$976,"&lt;"&amp;S834)+1)</f>
        <v>0</v>
      </c>
      <c r="Y834" s="5">
        <f t="shared" ref="Y834:Y897" si="151">IF(C834="gemma",0,COUNTIFS($C$2:$C$976,"&lt;&gt;gemma",$S$2:$S$976,"&lt;"&amp;S834)+1)</f>
        <v>523</v>
      </c>
      <c r="Z834" s="19">
        <f t="shared" ref="Z834:Z897" si="152">COUNTIFS($B$2:$B$976,B834,$C$2:$C$976,C834,$S$2:$S$976,"&lt;"&amp;S834)+1</f>
        <v>65</v>
      </c>
      <c r="AA834" s="20">
        <f>ABS(S834-SUMPRODUCT(('05B_가정검정'!$A$5:$A$19=B834)*('05B_가정검정'!$B$5:$B$19=C834)*'05B_가정검정'!$E$5:$E$19))</f>
        <v>7.119788352566736E-2</v>
      </c>
      <c r="AB834" s="20">
        <f t="shared" ref="AB834:AB897" si="153">S834-AVERAGEIFS($S$2:$S$976,$B$2:$B$976,B834,$C$2:$C$976,C834)</f>
        <v>9.0378299165822518E-2</v>
      </c>
    </row>
    <row r="835" spans="1:28">
      <c r="A835" s="15" t="s">
        <v>178</v>
      </c>
      <c r="B835" s="15" t="s">
        <v>121</v>
      </c>
      <c r="C835" s="15" t="s">
        <v>119</v>
      </c>
      <c r="D835" s="16">
        <v>0.27792915531335199</v>
      </c>
      <c r="E835" s="16">
        <v>0.40268456375838901</v>
      </c>
      <c r="F835" s="16">
        <v>0.15540540540540501</v>
      </c>
      <c r="G835" s="16">
        <v>0.27516778523489899</v>
      </c>
      <c r="H835" s="16">
        <v>0.29737794391686101</v>
      </c>
      <c r="I835" s="16">
        <v>0.37292221043572998</v>
      </c>
      <c r="J835" s="16">
        <v>0.73842394023096802</v>
      </c>
      <c r="K835" s="16">
        <v>0.74935166918919605</v>
      </c>
      <c r="L835" s="16">
        <v>0.876880400730359</v>
      </c>
      <c r="M835" s="16">
        <v>0.65986394557823103</v>
      </c>
      <c r="N835" s="16">
        <v>0.78571428571428603</v>
      </c>
      <c r="O835" s="16">
        <v>1</v>
      </c>
      <c r="P835" s="17">
        <f t="shared" si="143"/>
        <v>0.29691451067743929</v>
      </c>
      <c r="Q835" s="17">
        <f t="shared" si="144"/>
        <v>0.78821867005017443</v>
      </c>
      <c r="R835" s="17">
        <f t="shared" si="145"/>
        <v>0.81519274376417228</v>
      </c>
      <c r="S835" s="17">
        <f>'02_지표정의'!$C$22*P835+'02_지표정의'!$C$23*Q835+'02_지표정의'!$C$24*R835</f>
        <v>0.69939876397552658</v>
      </c>
      <c r="T835" s="5">
        <f t="shared" si="146"/>
        <v>0</v>
      </c>
      <c r="U835" s="5" t="str">
        <f t="shared" si="147"/>
        <v>보고서</v>
      </c>
      <c r="V835" s="18">
        <f t="shared" si="148"/>
        <v>821</v>
      </c>
      <c r="W835" s="5">
        <f t="shared" si="149"/>
        <v>0</v>
      </c>
      <c r="X835" s="5">
        <f t="shared" si="150"/>
        <v>496</v>
      </c>
      <c r="Y835" s="5">
        <f t="shared" si="151"/>
        <v>592</v>
      </c>
      <c r="Z835" s="19">
        <f t="shared" si="152"/>
        <v>39</v>
      </c>
      <c r="AA835" s="20">
        <f>ABS(S835-SUMPRODUCT(('05B_가정검정'!$A$5:$A$19=B835)*('05B_가정검정'!$B$5:$B$19=C835)*'05B_가정검정'!$E$5:$E$19))</f>
        <v>7.0789211796729035E-3</v>
      </c>
      <c r="AB835" s="20">
        <f t="shared" si="153"/>
        <v>1.1161788555915542E-2</v>
      </c>
    </row>
    <row r="836" spans="1:28">
      <c r="A836" s="15" t="s">
        <v>178</v>
      </c>
      <c r="B836" s="15" t="s">
        <v>122</v>
      </c>
      <c r="C836" s="15" t="s">
        <v>117</v>
      </c>
      <c r="D836" s="16">
        <v>0.28682170542635699</v>
      </c>
      <c r="E836" s="16">
        <v>0.37593984962406002</v>
      </c>
      <c r="F836" s="16">
        <v>0.12121212121212099</v>
      </c>
      <c r="G836" s="16">
        <v>0.24812030075187999</v>
      </c>
      <c r="H836" s="16">
        <v>0.30651123860803697</v>
      </c>
      <c r="I836" s="16">
        <v>0.297544129717217</v>
      </c>
      <c r="J836" s="16">
        <v>0.68767660512233797</v>
      </c>
      <c r="K836" s="16">
        <v>0.66391389330129202</v>
      </c>
      <c r="L836" s="16">
        <v>0.843249327562</v>
      </c>
      <c r="M836" s="16">
        <v>0.65925925925925899</v>
      </c>
      <c r="N836" s="16">
        <v>0.66216216216216195</v>
      </c>
      <c r="O836" s="16">
        <v>1</v>
      </c>
      <c r="P836" s="17">
        <f t="shared" si="143"/>
        <v>0.27269155755661195</v>
      </c>
      <c r="Q836" s="17">
        <f t="shared" si="144"/>
        <v>0.73161327532854337</v>
      </c>
      <c r="R836" s="17">
        <f t="shared" si="145"/>
        <v>0.77380714047380694</v>
      </c>
      <c r="S836" s="17">
        <f>'02_지표정의'!$C$22*P836+'02_지표정의'!$C$23*Q836+'02_지표정의'!$C$24*R836</f>
        <v>0.65459678457499937</v>
      </c>
      <c r="T836" s="5">
        <f t="shared" si="146"/>
        <v>0</v>
      </c>
      <c r="U836" s="5" t="str">
        <f t="shared" si="147"/>
        <v>보고서</v>
      </c>
      <c r="V836" s="18">
        <f t="shared" si="148"/>
        <v>642</v>
      </c>
      <c r="W836" s="5">
        <f t="shared" si="149"/>
        <v>484</v>
      </c>
      <c r="X836" s="5">
        <f t="shared" si="150"/>
        <v>324</v>
      </c>
      <c r="Y836" s="5">
        <f t="shared" si="151"/>
        <v>0</v>
      </c>
      <c r="Z836" s="19">
        <f t="shared" si="152"/>
        <v>46</v>
      </c>
      <c r="AA836" s="20">
        <f>ABS(S836-SUMPRODUCT(('05B_가정검정'!$A$5:$A$19=B836)*('05B_가정검정'!$B$5:$B$19=C836)*'05B_가정검정'!$E$5:$E$19))</f>
        <v>1.524382986632089E-2</v>
      </c>
      <c r="AB836" s="20">
        <f t="shared" si="153"/>
        <v>3.1715162385353213E-2</v>
      </c>
    </row>
    <row r="837" spans="1:28">
      <c r="A837" s="15" t="s">
        <v>178</v>
      </c>
      <c r="B837" s="15" t="s">
        <v>122</v>
      </c>
      <c r="C837" s="15" t="s">
        <v>118</v>
      </c>
      <c r="D837" s="16">
        <v>0.39116719242902198</v>
      </c>
      <c r="E837" s="16">
        <v>0.44444444444444398</v>
      </c>
      <c r="F837" s="16">
        <v>0.25482625482625498</v>
      </c>
      <c r="G837" s="16">
        <v>0.35249042145593901</v>
      </c>
      <c r="H837" s="16">
        <v>0.288521264895716</v>
      </c>
      <c r="I837" s="16">
        <v>0.49995884719830203</v>
      </c>
      <c r="J837" s="16">
        <v>0.721849425834164</v>
      </c>
      <c r="K837" s="16">
        <v>0.72014607587306401</v>
      </c>
      <c r="L837" s="16">
        <v>0.88394012197469296</v>
      </c>
      <c r="M837" s="16">
        <v>0.59278350515463896</v>
      </c>
      <c r="N837" s="16">
        <v>0.38461538461538503</v>
      </c>
      <c r="O837" s="16">
        <v>1</v>
      </c>
      <c r="P837" s="17">
        <f t="shared" si="143"/>
        <v>0.37190140420827961</v>
      </c>
      <c r="Q837" s="17">
        <f t="shared" si="144"/>
        <v>0.77531187456064032</v>
      </c>
      <c r="R837" s="17">
        <f t="shared" si="145"/>
        <v>0.65913296325667459</v>
      </c>
      <c r="S837" s="17">
        <f>'02_지표정의'!$C$22*P837+'02_지표정의'!$C$23*Q837+'02_지표정의'!$C$24*R837</f>
        <v>0.65396716153378021</v>
      </c>
      <c r="T837" s="5">
        <f t="shared" si="146"/>
        <v>1</v>
      </c>
      <c r="U837" s="5" t="str">
        <f t="shared" si="147"/>
        <v>보고서</v>
      </c>
      <c r="V837" s="18">
        <f t="shared" si="148"/>
        <v>634</v>
      </c>
      <c r="W837" s="5">
        <f t="shared" si="149"/>
        <v>479</v>
      </c>
      <c r="X837" s="5">
        <f t="shared" si="150"/>
        <v>0</v>
      </c>
      <c r="Y837" s="5">
        <f t="shared" si="151"/>
        <v>473</v>
      </c>
      <c r="Z837" s="19">
        <f t="shared" si="152"/>
        <v>60</v>
      </c>
      <c r="AA837" s="20">
        <f>ABS(S837-SUMPRODUCT(('05B_가정검정'!$A$5:$A$19=B837)*('05B_가정검정'!$B$5:$B$19=C837)*'05B_가정검정'!$E$5:$E$19))</f>
        <v>6.7045225536621955E-2</v>
      </c>
      <c r="AB837" s="20">
        <f t="shared" si="153"/>
        <v>7.2743885316096435E-2</v>
      </c>
    </row>
    <row r="838" spans="1:28">
      <c r="A838" s="15" t="s">
        <v>178</v>
      </c>
      <c r="B838" s="15" t="s">
        <v>122</v>
      </c>
      <c r="C838" s="15" t="s">
        <v>119</v>
      </c>
      <c r="D838" s="16">
        <v>0.297450424929178</v>
      </c>
      <c r="E838" s="16">
        <v>0.41610738255033602</v>
      </c>
      <c r="F838" s="16">
        <v>0.18243243243243201</v>
      </c>
      <c r="G838" s="16">
        <v>0.27516778523489899</v>
      </c>
      <c r="H838" s="16">
        <v>0.30170707397551899</v>
      </c>
      <c r="I838" s="16">
        <v>0.36684739413909701</v>
      </c>
      <c r="J838" s="16">
        <v>0.69400727010590302</v>
      </c>
      <c r="K838" s="16">
        <v>0.71937624092058705</v>
      </c>
      <c r="L838" s="16">
        <v>0.85241401786717497</v>
      </c>
      <c r="M838" s="16">
        <v>0.70068027210884398</v>
      </c>
      <c r="N838" s="16">
        <v>0.52702702702702697</v>
      </c>
      <c r="O838" s="16">
        <v>1</v>
      </c>
      <c r="P838" s="17">
        <f t="shared" si="143"/>
        <v>0.30661874887691015</v>
      </c>
      <c r="Q838" s="17">
        <f t="shared" si="144"/>
        <v>0.75526584296455501</v>
      </c>
      <c r="R838" s="17">
        <f t="shared" si="145"/>
        <v>0.74256909971195695</v>
      </c>
      <c r="S838" s="17">
        <f>'02_지표정의'!$C$22*P838+'02_지표정의'!$C$23*Q838+'02_지표정의'!$C$24*R838</f>
        <v>0.66109256400861671</v>
      </c>
      <c r="T838" s="5">
        <f t="shared" si="146"/>
        <v>0</v>
      </c>
      <c r="U838" s="5" t="str">
        <f t="shared" si="147"/>
        <v>보고서</v>
      </c>
      <c r="V838" s="18">
        <f t="shared" si="148"/>
        <v>678</v>
      </c>
      <c r="W838" s="5">
        <f t="shared" si="149"/>
        <v>0</v>
      </c>
      <c r="X838" s="5">
        <f t="shared" si="150"/>
        <v>359</v>
      </c>
      <c r="Y838" s="5">
        <f t="shared" si="151"/>
        <v>501</v>
      </c>
      <c r="Z838" s="19">
        <f t="shared" si="152"/>
        <v>45</v>
      </c>
      <c r="AA838" s="20">
        <f>ABS(S838-SUMPRODUCT(('05B_가정검정'!$A$5:$A$19=B838)*('05B_가정검정'!$B$5:$B$19=C838)*'05B_가정검정'!$E$5:$E$19))</f>
        <v>2.5486376107165309E-2</v>
      </c>
      <c r="AB838" s="20">
        <f t="shared" si="153"/>
        <v>2.9703697693730713E-2</v>
      </c>
    </row>
    <row r="839" spans="1:28">
      <c r="A839" s="15" t="s">
        <v>178</v>
      </c>
      <c r="B839" s="15" t="s">
        <v>123</v>
      </c>
      <c r="C839" s="15" t="s">
        <v>117</v>
      </c>
      <c r="D839" s="16">
        <v>0.275784753363229</v>
      </c>
      <c r="E839" s="16">
        <v>0.40498442367601301</v>
      </c>
      <c r="F839" s="16">
        <v>0.14420062695924801</v>
      </c>
      <c r="G839" s="16">
        <v>0.25545171339563899</v>
      </c>
      <c r="H839" s="16">
        <v>0.40313867737664899</v>
      </c>
      <c r="I839" s="16">
        <v>0.28896551181871899</v>
      </c>
      <c r="J839" s="16">
        <v>0.70951514419589001</v>
      </c>
      <c r="K839" s="16">
        <v>0.72651642629253799</v>
      </c>
      <c r="L839" s="16">
        <v>0.89035557463751602</v>
      </c>
      <c r="M839" s="16">
        <v>0.90654205607476601</v>
      </c>
      <c r="N839" s="16">
        <v>0.91666666666666696</v>
      </c>
      <c r="O839" s="16">
        <v>1</v>
      </c>
      <c r="P839" s="17">
        <f t="shared" si="143"/>
        <v>0.29542095109824951</v>
      </c>
      <c r="Q839" s="17">
        <f t="shared" si="144"/>
        <v>0.7754623817086479</v>
      </c>
      <c r="R839" s="17">
        <f t="shared" si="145"/>
        <v>0.94106957424714432</v>
      </c>
      <c r="S839" s="17">
        <f>'02_지표정의'!$C$22*P839+'02_지표정의'!$C$23*Q839+'02_지표정의'!$C$24*R839</f>
        <v>0.73741661297504191</v>
      </c>
      <c r="T839" s="5">
        <f t="shared" si="146"/>
        <v>0</v>
      </c>
      <c r="U839" s="5" t="str">
        <f t="shared" si="147"/>
        <v>보고서</v>
      </c>
      <c r="V839" s="18">
        <f t="shared" si="148"/>
        <v>920</v>
      </c>
      <c r="W839" s="5">
        <f t="shared" si="149"/>
        <v>624</v>
      </c>
      <c r="X839" s="5">
        <f t="shared" si="150"/>
        <v>595</v>
      </c>
      <c r="Y839" s="5">
        <f t="shared" si="151"/>
        <v>0</v>
      </c>
      <c r="Z839" s="19">
        <f t="shared" si="152"/>
        <v>61</v>
      </c>
      <c r="AA839" s="20">
        <f>ABS(S839-SUMPRODUCT(('05B_가정검정'!$A$5:$A$19=B839)*('05B_가정검정'!$B$5:$B$19=C839)*'05B_가정검정'!$E$5:$E$19))</f>
        <v>2.2493730198818174E-2</v>
      </c>
      <c r="AB839" s="20">
        <f t="shared" si="153"/>
        <v>2.9431161163798736E-2</v>
      </c>
    </row>
    <row r="840" spans="1:28">
      <c r="A840" s="15" t="s">
        <v>178</v>
      </c>
      <c r="B840" s="15" t="s">
        <v>123</v>
      </c>
      <c r="C840" s="15" t="s">
        <v>118</v>
      </c>
      <c r="D840" s="16">
        <v>0.284574468085106</v>
      </c>
      <c r="E840" s="16">
        <v>0.392405063291139</v>
      </c>
      <c r="F840" s="16">
        <v>0.20382165605095501</v>
      </c>
      <c r="G840" s="16">
        <v>0.29746835443038</v>
      </c>
      <c r="H840" s="16">
        <v>0.31829988623809702</v>
      </c>
      <c r="I840" s="16">
        <v>0.33761583486518598</v>
      </c>
      <c r="J840" s="16">
        <v>0.72434625915213702</v>
      </c>
      <c r="K840" s="16">
        <v>0.74013587113116197</v>
      </c>
      <c r="L840" s="16">
        <v>0.89793121613877502</v>
      </c>
      <c r="M840" s="16">
        <v>0.5</v>
      </c>
      <c r="N840" s="16">
        <v>0.52884615384615397</v>
      </c>
      <c r="O840" s="16">
        <v>1</v>
      </c>
      <c r="P840" s="17">
        <f t="shared" si="143"/>
        <v>0.30569754382681052</v>
      </c>
      <c r="Q840" s="17">
        <f t="shared" si="144"/>
        <v>0.78747111547402471</v>
      </c>
      <c r="R840" s="17">
        <f t="shared" si="145"/>
        <v>0.67628205128205143</v>
      </c>
      <c r="S840" s="17">
        <f>'02_지표정의'!$C$22*P840+'02_지표정의'!$C$23*Q840+'02_지표정의'!$C$24*R840</f>
        <v>0.65220022867739125</v>
      </c>
      <c r="T840" s="5">
        <f t="shared" si="146"/>
        <v>0</v>
      </c>
      <c r="U840" s="5" t="str">
        <f t="shared" si="147"/>
        <v>보고서</v>
      </c>
      <c r="V840" s="18">
        <f t="shared" si="148"/>
        <v>628</v>
      </c>
      <c r="W840" s="5">
        <f t="shared" si="149"/>
        <v>476</v>
      </c>
      <c r="X840" s="5">
        <f t="shared" si="150"/>
        <v>0</v>
      </c>
      <c r="Y840" s="5">
        <f t="shared" si="151"/>
        <v>469</v>
      </c>
      <c r="Z840" s="19">
        <f t="shared" si="152"/>
        <v>65</v>
      </c>
      <c r="AA840" s="20">
        <f>ABS(S840-SUMPRODUCT(('05B_가정검정'!$A$5:$A$19=B840)*('05B_가정검정'!$B$5:$B$19=C840)*'05B_가정검정'!$E$5:$E$19))</f>
        <v>7.6901401798421531E-2</v>
      </c>
      <c r="AB840" s="20">
        <f t="shared" si="153"/>
        <v>9.2328620752900159E-2</v>
      </c>
    </row>
    <row r="841" spans="1:28">
      <c r="A841" s="15" t="s">
        <v>178</v>
      </c>
      <c r="B841" s="15" t="s">
        <v>123</v>
      </c>
      <c r="C841" s="15" t="s">
        <v>119</v>
      </c>
      <c r="D841" s="16">
        <v>0.34223300970873799</v>
      </c>
      <c r="E841" s="16">
        <v>0.49858356940509901</v>
      </c>
      <c r="F841" s="16">
        <v>0.210826210826211</v>
      </c>
      <c r="G841" s="16">
        <v>0.31728045325778997</v>
      </c>
      <c r="H841" s="16">
        <v>0.43419323543307797</v>
      </c>
      <c r="I841" s="16">
        <v>0.42837069850141701</v>
      </c>
      <c r="J841" s="16">
        <v>0.72697634752987805</v>
      </c>
      <c r="K841" s="16">
        <v>0.757459610449981</v>
      </c>
      <c r="L841" s="16">
        <v>0.89904707280223595</v>
      </c>
      <c r="M841" s="16">
        <v>0.65986394557823103</v>
      </c>
      <c r="N841" s="16">
        <v>0.78571428571428603</v>
      </c>
      <c r="O841" s="16">
        <v>1</v>
      </c>
      <c r="P841" s="17">
        <f t="shared" si="143"/>
        <v>0.37191452952205545</v>
      </c>
      <c r="Q841" s="17">
        <f t="shared" si="144"/>
        <v>0.7944943435940317</v>
      </c>
      <c r="R841" s="17">
        <f t="shared" si="145"/>
        <v>0.81519274376417228</v>
      </c>
      <c r="S841" s="17">
        <f>'02_지표정의'!$C$22*P841+'02_지표정의'!$C$23*Q841+'02_지표정의'!$C$24*R841</f>
        <v>0.71722282083918576</v>
      </c>
      <c r="T841" s="5">
        <f t="shared" si="146"/>
        <v>1</v>
      </c>
      <c r="U841" s="5" t="str">
        <f t="shared" si="147"/>
        <v>보고서</v>
      </c>
      <c r="V841" s="18">
        <f t="shared" si="148"/>
        <v>867</v>
      </c>
      <c r="W841" s="5">
        <f t="shared" si="149"/>
        <v>0</v>
      </c>
      <c r="X841" s="5">
        <f t="shared" si="150"/>
        <v>542</v>
      </c>
      <c r="Y841" s="5">
        <f t="shared" si="151"/>
        <v>616</v>
      </c>
      <c r="Z841" s="19">
        <f t="shared" si="152"/>
        <v>49</v>
      </c>
      <c r="AA841" s="20">
        <f>ABS(S841-SUMPRODUCT(('05B_가정검정'!$A$5:$A$19=B841)*('05B_가정검정'!$B$5:$B$19=C841)*'05B_가정검정'!$E$5:$E$19))</f>
        <v>3.1593023514958407E-2</v>
      </c>
      <c r="AB841" s="20">
        <f t="shared" si="153"/>
        <v>3.480408779418398E-2</v>
      </c>
    </row>
    <row r="842" spans="1:28">
      <c r="A842" s="15" t="s">
        <v>179</v>
      </c>
      <c r="B842" s="15" t="s">
        <v>116</v>
      </c>
      <c r="C842" s="15" t="s">
        <v>117</v>
      </c>
      <c r="D842" s="16">
        <v>0.23815309842041299</v>
      </c>
      <c r="E842" s="16">
        <v>0.33644859813084099</v>
      </c>
      <c r="F842" s="16">
        <v>0.113207547169811</v>
      </c>
      <c r="G842" s="16">
        <v>0.27102803738317799</v>
      </c>
      <c r="H842" s="16">
        <v>0.30431370736869101</v>
      </c>
      <c r="I842" s="16">
        <v>0.14797328444315</v>
      </c>
      <c r="J842" s="16">
        <v>0.63933745894169103</v>
      </c>
      <c r="K842" s="16">
        <v>0.58287592076247197</v>
      </c>
      <c r="L842" s="16">
        <v>0.77421787502976602</v>
      </c>
      <c r="M842" s="16">
        <v>0.392405063291139</v>
      </c>
      <c r="N842" s="16">
        <v>0.13970588235294101</v>
      </c>
      <c r="O842" s="16">
        <v>1</v>
      </c>
      <c r="P842" s="17">
        <f t="shared" si="143"/>
        <v>0.23518737881934734</v>
      </c>
      <c r="Q842" s="17">
        <f t="shared" si="144"/>
        <v>0.66547708491130964</v>
      </c>
      <c r="R842" s="17">
        <f t="shared" si="145"/>
        <v>0.51070364854802663</v>
      </c>
      <c r="S842" s="17">
        <f>'02_지표정의'!$C$22*P842+'02_지표정의'!$C$23*Q842+'02_지표정의'!$C$24*R842</f>
        <v>0.52524844096576817</v>
      </c>
      <c r="T842" s="5">
        <f t="shared" si="146"/>
        <v>0</v>
      </c>
      <c r="U842" s="5" t="str">
        <f t="shared" si="147"/>
        <v>보고서</v>
      </c>
      <c r="V842" s="18">
        <f t="shared" si="148"/>
        <v>118</v>
      </c>
      <c r="W842" s="5">
        <f t="shared" si="149"/>
        <v>107</v>
      </c>
      <c r="X842" s="5">
        <f t="shared" si="150"/>
        <v>23</v>
      </c>
      <c r="Y842" s="5">
        <f t="shared" si="151"/>
        <v>0</v>
      </c>
      <c r="Z842" s="19">
        <f t="shared" si="152"/>
        <v>11</v>
      </c>
      <c r="AA842" s="20">
        <f>ABS(S842-SUMPRODUCT(('05B_가정검정'!$A$5:$A$19=B842)*('05B_가정검정'!$B$5:$B$19=C842)*'05B_가정검정'!$E$5:$E$19))</f>
        <v>3.2155264019199103E-2</v>
      </c>
      <c r="AB842" s="20">
        <f t="shared" si="153"/>
        <v>-2.730272444685522E-2</v>
      </c>
    </row>
    <row r="843" spans="1:28">
      <c r="A843" s="15" t="s">
        <v>179</v>
      </c>
      <c r="B843" s="15" t="s">
        <v>116</v>
      </c>
      <c r="C843" s="15" t="s">
        <v>118</v>
      </c>
      <c r="D843" s="16">
        <v>0.307888040712468</v>
      </c>
      <c r="E843" s="16">
        <v>0.42201834862385301</v>
      </c>
      <c r="F843" s="16">
        <v>0.23148148148148201</v>
      </c>
      <c r="G843" s="16">
        <v>0.38532110091743099</v>
      </c>
      <c r="H843" s="16">
        <v>0.245571441689034</v>
      </c>
      <c r="I843" s="16">
        <v>0.28635397761551501</v>
      </c>
      <c r="J843" s="16">
        <v>0.69869563712081695</v>
      </c>
      <c r="K843" s="16">
        <v>0.63207301647012704</v>
      </c>
      <c r="L843" s="16">
        <v>0.78939638842186499</v>
      </c>
      <c r="M843" s="16">
        <v>0.53623188405797095</v>
      </c>
      <c r="N843" s="16">
        <v>0</v>
      </c>
      <c r="O843" s="16">
        <v>0.52631578947368396</v>
      </c>
      <c r="P843" s="17">
        <f t="shared" si="143"/>
        <v>0.31310573183996387</v>
      </c>
      <c r="Q843" s="17">
        <f t="shared" si="144"/>
        <v>0.70672168067093633</v>
      </c>
      <c r="R843" s="17">
        <f t="shared" si="145"/>
        <v>0.35418255784388492</v>
      </c>
      <c r="S843" s="17">
        <f>'02_지표정의'!$C$22*P843+'02_지표정의'!$C$23*Q843+'02_지표정의'!$C$24*R843</f>
        <v>0.50460979791527383</v>
      </c>
      <c r="T843" s="5">
        <f t="shared" si="146"/>
        <v>0</v>
      </c>
      <c r="U843" s="5" t="str">
        <f t="shared" si="147"/>
        <v>보고서</v>
      </c>
      <c r="V843" s="18">
        <f t="shared" si="148"/>
        <v>52</v>
      </c>
      <c r="W843" s="5">
        <f t="shared" si="149"/>
        <v>46</v>
      </c>
      <c r="X843" s="5">
        <f t="shared" si="150"/>
        <v>0</v>
      </c>
      <c r="Y843" s="5">
        <f t="shared" si="151"/>
        <v>46</v>
      </c>
      <c r="Z843" s="19">
        <f t="shared" si="152"/>
        <v>22</v>
      </c>
      <c r="AA843" s="20">
        <f>ABS(S843-SUMPRODUCT(('05B_가정검정'!$A$5:$A$19=B843)*('05B_가정검정'!$B$5:$B$19=C843)*'05B_가정검정'!$E$5:$E$19))</f>
        <v>2.6682623786447812E-2</v>
      </c>
      <c r="AB843" s="20">
        <f t="shared" si="153"/>
        <v>-2.2939234463312475E-2</v>
      </c>
    </row>
    <row r="844" spans="1:28">
      <c r="A844" s="15" t="s">
        <v>179</v>
      </c>
      <c r="B844" s="15" t="s">
        <v>116</v>
      </c>
      <c r="C844" s="15" t="s">
        <v>119</v>
      </c>
      <c r="D844" s="16">
        <v>0.308074534161491</v>
      </c>
      <c r="E844" s="16">
        <v>0.33064516129032301</v>
      </c>
      <c r="F844" s="16">
        <v>0.113821138211382</v>
      </c>
      <c r="G844" s="16">
        <v>0.241935483870968</v>
      </c>
      <c r="H844" s="16">
        <v>0.30987004454717898</v>
      </c>
      <c r="I844" s="16">
        <v>0.27721194910200397</v>
      </c>
      <c r="J844" s="16">
        <v>0.685216663627636</v>
      </c>
      <c r="K844" s="16">
        <v>0.60144997034817604</v>
      </c>
      <c r="L844" s="16">
        <v>0.79866956970625302</v>
      </c>
      <c r="M844" s="16">
        <v>0.57383966244725704</v>
      </c>
      <c r="N844" s="16">
        <v>0.191176470588235</v>
      </c>
      <c r="O844" s="16">
        <v>1</v>
      </c>
      <c r="P844" s="17">
        <f t="shared" si="143"/>
        <v>0.26359305186389115</v>
      </c>
      <c r="Q844" s="17">
        <f t="shared" si="144"/>
        <v>0.6951120678940218</v>
      </c>
      <c r="R844" s="17">
        <f t="shared" si="145"/>
        <v>0.58833871101183066</v>
      </c>
      <c r="S844" s="17">
        <f>'02_지표정의'!$C$22*P844+'02_지표정의'!$C$23*Q844+'02_지표정의'!$C$24*R844</f>
        <v>0.57143758977922876</v>
      </c>
      <c r="T844" s="5">
        <f t="shared" si="146"/>
        <v>0</v>
      </c>
      <c r="U844" s="5" t="str">
        <f t="shared" si="147"/>
        <v>보고서</v>
      </c>
      <c r="V844" s="18">
        <f t="shared" si="148"/>
        <v>291</v>
      </c>
      <c r="W844" s="5">
        <f t="shared" si="149"/>
        <v>0</v>
      </c>
      <c r="X844" s="5">
        <f t="shared" si="150"/>
        <v>119</v>
      </c>
      <c r="Y844" s="5">
        <f t="shared" si="151"/>
        <v>227</v>
      </c>
      <c r="Z844" s="19">
        <f t="shared" si="152"/>
        <v>46</v>
      </c>
      <c r="AA844" s="20">
        <f>ABS(S844-SUMPRODUCT(('05B_가정검정'!$A$5:$A$19=B844)*('05B_가정검정'!$B$5:$B$19=C844)*'05B_가정검정'!$E$5:$E$19))</f>
        <v>1.8414073036446155E-2</v>
      </c>
      <c r="AB844" s="20">
        <f t="shared" si="153"/>
        <v>1.4985106103048706E-2</v>
      </c>
    </row>
    <row r="845" spans="1:28">
      <c r="A845" s="15" t="s">
        <v>179</v>
      </c>
      <c r="B845" s="15" t="s">
        <v>120</v>
      </c>
      <c r="C845" s="15" t="s">
        <v>117</v>
      </c>
      <c r="D845" s="16">
        <v>0.21864406779661</v>
      </c>
      <c r="E845" s="16">
        <v>0.293333333333333</v>
      </c>
      <c r="F845" s="16">
        <v>7.3825503355704702E-2</v>
      </c>
      <c r="G845" s="16">
        <v>0.18666666666666701</v>
      </c>
      <c r="H845" s="16">
        <v>0.27915615443436798</v>
      </c>
      <c r="I845" s="16">
        <v>0.136650180476102</v>
      </c>
      <c r="J845" s="16">
        <v>0.70109523662436102</v>
      </c>
      <c r="K845" s="16">
        <v>0.66889528880336002</v>
      </c>
      <c r="L845" s="16">
        <v>0.85219988512718703</v>
      </c>
      <c r="M845" s="16">
        <v>0.56707317073170704</v>
      </c>
      <c r="N845" s="16">
        <v>0.52127659574468099</v>
      </c>
      <c r="O845" s="16">
        <v>1</v>
      </c>
      <c r="P845" s="17">
        <f t="shared" si="143"/>
        <v>0.19804598434379742</v>
      </c>
      <c r="Q845" s="17">
        <f t="shared" si="144"/>
        <v>0.74073013685163591</v>
      </c>
      <c r="R845" s="17">
        <f t="shared" si="145"/>
        <v>0.69611658882546268</v>
      </c>
      <c r="S845" s="17">
        <f>'02_지표정의'!$C$22*P845+'02_지표정의'!$C$23*Q845+'02_지표정의'!$C$24*R845</f>
        <v>0.61657856454090754</v>
      </c>
      <c r="T845" s="5">
        <f t="shared" si="146"/>
        <v>0</v>
      </c>
      <c r="U845" s="5" t="str">
        <f t="shared" si="147"/>
        <v>보고서</v>
      </c>
      <c r="V845" s="18">
        <f t="shared" si="148"/>
        <v>470</v>
      </c>
      <c r="W845" s="5">
        <f t="shared" si="149"/>
        <v>383</v>
      </c>
      <c r="X845" s="5">
        <f t="shared" si="150"/>
        <v>204</v>
      </c>
      <c r="Y845" s="5">
        <f t="shared" si="151"/>
        <v>0</v>
      </c>
      <c r="Z845" s="19">
        <f t="shared" si="152"/>
        <v>25</v>
      </c>
      <c r="AA845" s="20">
        <f>ABS(S845-SUMPRODUCT(('05B_가정검정'!$A$5:$A$19=B845)*('05B_가정검정'!$B$5:$B$19=C845)*'05B_가정검정'!$E$5:$E$19))</f>
        <v>1.1470395516213538E-2</v>
      </c>
      <c r="AB845" s="20">
        <f t="shared" si="153"/>
        <v>-1.4724138883849602E-2</v>
      </c>
    </row>
    <row r="846" spans="1:28">
      <c r="A846" s="15" t="s">
        <v>179</v>
      </c>
      <c r="B846" s="15" t="s">
        <v>120</v>
      </c>
      <c r="C846" s="15" t="s">
        <v>118</v>
      </c>
      <c r="D846" s="16">
        <v>0.25196850393700798</v>
      </c>
      <c r="E846" s="16">
        <v>0.34210526315789502</v>
      </c>
      <c r="F846" s="16">
        <v>0.112582781456954</v>
      </c>
      <c r="G846" s="16">
        <v>0.23684210526315799</v>
      </c>
      <c r="H846" s="16">
        <v>0.23984984884346999</v>
      </c>
      <c r="I846" s="16">
        <v>0.147630122341667</v>
      </c>
      <c r="J846" s="16">
        <v>0.70987211121689497</v>
      </c>
      <c r="K846" s="16">
        <v>0.68325855734823104</v>
      </c>
      <c r="L846" s="16">
        <v>0.855139043668524</v>
      </c>
      <c r="M846" s="16">
        <v>0.455072463768116</v>
      </c>
      <c r="N846" s="16">
        <v>0.243589743589744</v>
      </c>
      <c r="O846" s="16">
        <v>0.52631578947368396</v>
      </c>
      <c r="P846" s="17">
        <f t="shared" si="143"/>
        <v>0.22182977083335864</v>
      </c>
      <c r="Q846" s="17">
        <f t="shared" si="144"/>
        <v>0.74942323741121675</v>
      </c>
      <c r="R846" s="17">
        <f t="shared" si="145"/>
        <v>0.40832599894384797</v>
      </c>
      <c r="S846" s="17">
        <f>'02_지표정의'!$C$22*P846+'02_지표정의'!$C$23*Q846+'02_지표정의'!$C$24*R846</f>
        <v>0.52452051063206606</v>
      </c>
      <c r="T846" s="5">
        <f t="shared" si="146"/>
        <v>0</v>
      </c>
      <c r="U846" s="5" t="str">
        <f t="shared" si="147"/>
        <v>보고서</v>
      </c>
      <c r="V846" s="18">
        <f t="shared" si="148"/>
        <v>114</v>
      </c>
      <c r="W846" s="5">
        <f t="shared" si="149"/>
        <v>103</v>
      </c>
      <c r="X846" s="5">
        <f t="shared" si="150"/>
        <v>0</v>
      </c>
      <c r="Y846" s="5">
        <f t="shared" si="151"/>
        <v>104</v>
      </c>
      <c r="Z846" s="19">
        <f t="shared" si="152"/>
        <v>17</v>
      </c>
      <c r="AA846" s="20">
        <f>ABS(S846-SUMPRODUCT(('05B_가정검정'!$A$5:$A$19=B846)*('05B_가정검정'!$B$5:$B$19=C846)*'05B_가정검정'!$E$5:$E$19))</f>
        <v>6.6308337949561924E-2</v>
      </c>
      <c r="AB846" s="20">
        <f t="shared" si="153"/>
        <v>-5.0370265330044739E-2</v>
      </c>
    </row>
    <row r="847" spans="1:28">
      <c r="A847" s="15" t="s">
        <v>179</v>
      </c>
      <c r="B847" s="15" t="s">
        <v>120</v>
      </c>
      <c r="C847" s="15" t="s">
        <v>119</v>
      </c>
      <c r="D847" s="16">
        <v>0.258175559380379</v>
      </c>
      <c r="E847" s="16">
        <v>0.32335329341317398</v>
      </c>
      <c r="F847" s="16">
        <v>0.102409638554217</v>
      </c>
      <c r="G847" s="16">
        <v>0.22754491017964101</v>
      </c>
      <c r="H847" s="16">
        <v>0.30631593669424301</v>
      </c>
      <c r="I847" s="16">
        <v>0.164082223642537</v>
      </c>
      <c r="J847" s="16">
        <v>0.70722846833503905</v>
      </c>
      <c r="K847" s="16">
        <v>0.67509021821250703</v>
      </c>
      <c r="L847" s="16">
        <v>0.85729467534363701</v>
      </c>
      <c r="M847" s="16">
        <v>0.72826086956521696</v>
      </c>
      <c r="N847" s="16">
        <v>0.59574468085106402</v>
      </c>
      <c r="O847" s="16">
        <v>1</v>
      </c>
      <c r="P847" s="17">
        <f t="shared" si="143"/>
        <v>0.23031359364403181</v>
      </c>
      <c r="Q847" s="17">
        <f t="shared" si="144"/>
        <v>0.746537787297061</v>
      </c>
      <c r="R847" s="17">
        <f t="shared" si="145"/>
        <v>0.77466851680542703</v>
      </c>
      <c r="S847" s="17">
        <f>'02_지표정의'!$C$22*P847+'02_지표정의'!$C$23*Q847+'02_지표정의'!$C$24*R847</f>
        <v>0.65313870389438322</v>
      </c>
      <c r="T847" s="5">
        <f t="shared" si="146"/>
        <v>0</v>
      </c>
      <c r="U847" s="5" t="str">
        <f t="shared" si="147"/>
        <v>보고서</v>
      </c>
      <c r="V847" s="18">
        <f t="shared" si="148"/>
        <v>632</v>
      </c>
      <c r="W847" s="5">
        <f t="shared" si="149"/>
        <v>0</v>
      </c>
      <c r="X847" s="5">
        <f t="shared" si="150"/>
        <v>315</v>
      </c>
      <c r="Y847" s="5">
        <f t="shared" si="151"/>
        <v>472</v>
      </c>
      <c r="Z847" s="19">
        <f t="shared" si="152"/>
        <v>24</v>
      </c>
      <c r="AA847" s="20">
        <f>ABS(S847-SUMPRODUCT(('05B_가정검정'!$A$5:$A$19=B847)*('05B_가정검정'!$B$5:$B$19=C847)*'05B_가정검정'!$E$5:$E$19))</f>
        <v>1.053861258700306E-2</v>
      </c>
      <c r="AB847" s="20">
        <f t="shared" si="153"/>
        <v>-5.2843036164323953E-3</v>
      </c>
    </row>
    <row r="848" spans="1:28">
      <c r="A848" s="15" t="s">
        <v>179</v>
      </c>
      <c r="B848" s="15" t="s">
        <v>121</v>
      </c>
      <c r="C848" s="15" t="s">
        <v>117</v>
      </c>
      <c r="D848" s="16">
        <v>0.22793296089385501</v>
      </c>
      <c r="E848" s="16">
        <v>0.27731092436974802</v>
      </c>
      <c r="F848" s="16">
        <v>5.0847457627118703E-2</v>
      </c>
      <c r="G848" s="16">
        <v>0.20168067226890801</v>
      </c>
      <c r="H848" s="16">
        <v>0.27492441544345197</v>
      </c>
      <c r="I848" s="16">
        <v>0.113128658853191</v>
      </c>
      <c r="J848" s="16">
        <v>0.71785578048917498</v>
      </c>
      <c r="K848" s="16">
        <v>0.68080210720025003</v>
      </c>
      <c r="L848" s="16">
        <v>0.84643107437137499</v>
      </c>
      <c r="M848" s="16">
        <v>0.56074766355140204</v>
      </c>
      <c r="N848" s="16">
        <v>0</v>
      </c>
      <c r="O848" s="16">
        <v>0</v>
      </c>
      <c r="P848" s="17">
        <f t="shared" si="143"/>
        <v>0.19097084824271213</v>
      </c>
      <c r="Q848" s="17">
        <f t="shared" si="144"/>
        <v>0.74836298735359996</v>
      </c>
      <c r="R848" s="17">
        <f t="shared" si="145"/>
        <v>0.18691588785046734</v>
      </c>
      <c r="S848" s="17">
        <f>'02_지표정의'!$C$22*P848+'02_지표정의'!$C$23*Q848+'02_지표정의'!$C$24*R848</f>
        <v>0.44037807470532597</v>
      </c>
      <c r="T848" s="5">
        <f t="shared" si="146"/>
        <v>1</v>
      </c>
      <c r="U848" s="5" t="str">
        <f t="shared" si="147"/>
        <v>보고서</v>
      </c>
      <c r="V848" s="18">
        <f t="shared" si="148"/>
        <v>8</v>
      </c>
      <c r="W848" s="5">
        <f t="shared" si="149"/>
        <v>2</v>
      </c>
      <c r="X848" s="5">
        <f t="shared" si="150"/>
        <v>7</v>
      </c>
      <c r="Y848" s="5">
        <f t="shared" si="151"/>
        <v>0</v>
      </c>
      <c r="Z848" s="19">
        <f t="shared" si="152"/>
        <v>1</v>
      </c>
      <c r="AA848" s="20">
        <f>ABS(S848-SUMPRODUCT(('05B_가정검정'!$A$5:$A$19=B848)*('05B_가정검정'!$B$5:$B$19=C848)*'05B_가정검정'!$E$5:$E$19))</f>
        <v>0.28905399667655518</v>
      </c>
      <c r="AB848" s="20">
        <f t="shared" si="153"/>
        <v>-0.27727371836755499</v>
      </c>
    </row>
    <row r="849" spans="1:28">
      <c r="A849" s="15" t="s">
        <v>179</v>
      </c>
      <c r="B849" s="15" t="s">
        <v>121</v>
      </c>
      <c r="C849" s="15" t="s">
        <v>118</v>
      </c>
      <c r="D849" s="16">
        <v>0.221445221445221</v>
      </c>
      <c r="E849" s="16">
        <v>0.30578512396694202</v>
      </c>
      <c r="F849" s="16">
        <v>8.3333333333333301E-2</v>
      </c>
      <c r="G849" s="16">
        <v>0.247933884297521</v>
      </c>
      <c r="H849" s="16">
        <v>0.17768016942023199</v>
      </c>
      <c r="I849" s="16">
        <v>0.13903530771905701</v>
      </c>
      <c r="J849" s="16">
        <v>0.72871332890072404</v>
      </c>
      <c r="K849" s="16">
        <v>0.697229241357887</v>
      </c>
      <c r="L849" s="16">
        <v>0.85663834029238894</v>
      </c>
      <c r="M849" s="16">
        <v>0.21449275362318801</v>
      </c>
      <c r="N849" s="16">
        <v>0</v>
      </c>
      <c r="O849" s="16">
        <v>0</v>
      </c>
      <c r="P849" s="17">
        <f t="shared" si="143"/>
        <v>0.19586884003038432</v>
      </c>
      <c r="Q849" s="17">
        <f t="shared" si="144"/>
        <v>0.76086030351700007</v>
      </c>
      <c r="R849" s="17">
        <f t="shared" si="145"/>
        <v>7.149758454106267E-2</v>
      </c>
      <c r="S849" s="17">
        <f>'02_지표정의'!$C$22*P849+'02_지표정의'!$C$23*Q849+'02_지표정의'!$C$24*R849</f>
        <v>0.40658505917809884</v>
      </c>
      <c r="T849" s="5">
        <f t="shared" si="146"/>
        <v>0</v>
      </c>
      <c r="U849" s="5" t="str">
        <f t="shared" si="147"/>
        <v>보고서</v>
      </c>
      <c r="V849" s="18">
        <f t="shared" si="148"/>
        <v>6</v>
      </c>
      <c r="W849" s="5">
        <f t="shared" si="149"/>
        <v>1</v>
      </c>
      <c r="X849" s="5">
        <f t="shared" si="150"/>
        <v>0</v>
      </c>
      <c r="Y849" s="5">
        <f t="shared" si="151"/>
        <v>6</v>
      </c>
      <c r="Z849" s="19">
        <f t="shared" si="152"/>
        <v>1</v>
      </c>
      <c r="AA849" s="20">
        <f>ABS(S849-SUMPRODUCT(('05B_가정검정'!$A$5:$A$19=B849)*('05B_가정검정'!$B$5:$B$19=C849)*'05B_가정검정'!$E$5:$E$19))</f>
        <v>0.19199443098886959</v>
      </c>
      <c r="AB849" s="20">
        <f t="shared" si="153"/>
        <v>-0.17281401534871443</v>
      </c>
    </row>
    <row r="850" spans="1:28">
      <c r="A850" s="15" t="s">
        <v>179</v>
      </c>
      <c r="B850" s="15" t="s">
        <v>121</v>
      </c>
      <c r="C850" s="15" t="s">
        <v>119</v>
      </c>
      <c r="D850" s="16">
        <v>0.24401368301026199</v>
      </c>
      <c r="E850" s="16">
        <v>0.33088235294117702</v>
      </c>
      <c r="F850" s="16">
        <v>8.8888888888888906E-2</v>
      </c>
      <c r="G850" s="16">
        <v>0.25735294117647101</v>
      </c>
      <c r="H850" s="16">
        <v>0.25462445097890002</v>
      </c>
      <c r="I850" s="16">
        <v>0.16492216232228801</v>
      </c>
      <c r="J850" s="16">
        <v>0.72381668185989401</v>
      </c>
      <c r="K850" s="16">
        <v>0.71453631036708698</v>
      </c>
      <c r="L850" s="16">
        <v>0.85755310965102705</v>
      </c>
      <c r="M850" s="16">
        <v>0.34782608695652201</v>
      </c>
      <c r="N850" s="16">
        <v>0</v>
      </c>
      <c r="O850" s="16">
        <v>0</v>
      </c>
      <c r="P850" s="17">
        <f t="shared" si="143"/>
        <v>0.22344741321966452</v>
      </c>
      <c r="Q850" s="17">
        <f t="shared" si="144"/>
        <v>0.76530203395933605</v>
      </c>
      <c r="R850" s="17">
        <f t="shared" si="145"/>
        <v>0.11594202898550733</v>
      </c>
      <c r="S850" s="17">
        <f>'02_지표정의'!$C$22*P850+'02_지표정의'!$C$23*Q850+'02_지표정의'!$C$24*R850</f>
        <v>0.42965510807056168</v>
      </c>
      <c r="T850" s="5">
        <f t="shared" si="146"/>
        <v>0</v>
      </c>
      <c r="U850" s="5" t="str">
        <f t="shared" si="147"/>
        <v>보고서</v>
      </c>
      <c r="V850" s="18">
        <f t="shared" si="148"/>
        <v>7</v>
      </c>
      <c r="W850" s="5">
        <f t="shared" si="149"/>
        <v>0</v>
      </c>
      <c r="X850" s="5">
        <f t="shared" si="150"/>
        <v>6</v>
      </c>
      <c r="Y850" s="5">
        <f t="shared" si="151"/>
        <v>7</v>
      </c>
      <c r="Z850" s="19">
        <f t="shared" si="152"/>
        <v>2</v>
      </c>
      <c r="AA850" s="20">
        <f>ABS(S850-SUMPRODUCT(('05B_가정검정'!$A$5:$A$19=B850)*('05B_가정검정'!$B$5:$B$19=C850)*'05B_가정검정'!$E$5:$E$19))</f>
        <v>0.262664734725292</v>
      </c>
      <c r="AB850" s="20">
        <f t="shared" si="153"/>
        <v>-0.25858186734904937</v>
      </c>
    </row>
    <row r="851" spans="1:28">
      <c r="A851" s="15" t="s">
        <v>179</v>
      </c>
      <c r="B851" s="15" t="s">
        <v>122</v>
      </c>
      <c r="C851" s="15" t="s">
        <v>117</v>
      </c>
      <c r="D851" s="16">
        <v>0.236442516268981</v>
      </c>
      <c r="E851" s="16">
        <v>0.28571428571428598</v>
      </c>
      <c r="F851" s="16">
        <v>8.9041095890410996E-2</v>
      </c>
      <c r="G851" s="16">
        <v>0.22448979591836701</v>
      </c>
      <c r="H851" s="16">
        <v>0.26321813166226998</v>
      </c>
      <c r="I851" s="16">
        <v>0.14805527633749599</v>
      </c>
      <c r="J851" s="16">
        <v>0.69758807008569101</v>
      </c>
      <c r="K851" s="16">
        <v>0.60504213996468104</v>
      </c>
      <c r="L851" s="16">
        <v>0.84891417448664397</v>
      </c>
      <c r="M851" s="16">
        <v>0.329787234042553</v>
      </c>
      <c r="N851" s="16">
        <v>0.310126582278481</v>
      </c>
      <c r="O851" s="16">
        <v>1</v>
      </c>
      <c r="P851" s="17">
        <f t="shared" si="143"/>
        <v>0.20782685029863515</v>
      </c>
      <c r="Q851" s="17">
        <f t="shared" si="144"/>
        <v>0.71718146151233864</v>
      </c>
      <c r="R851" s="17">
        <f t="shared" si="145"/>
        <v>0.54663793877367806</v>
      </c>
      <c r="S851" s="17">
        <f>'02_지표정의'!$C$22*P851+'02_지표정의'!$C$23*Q851+'02_지표정의'!$C$24*R851</f>
        <v>0.55562030631106674</v>
      </c>
      <c r="T851" s="5">
        <f t="shared" si="146"/>
        <v>0</v>
      </c>
      <c r="U851" s="5" t="str">
        <f t="shared" si="147"/>
        <v>보고서</v>
      </c>
      <c r="V851" s="18">
        <f t="shared" si="148"/>
        <v>234</v>
      </c>
      <c r="W851" s="5">
        <f t="shared" si="149"/>
        <v>192</v>
      </c>
      <c r="X851" s="5">
        <f t="shared" si="150"/>
        <v>81</v>
      </c>
      <c r="Y851" s="5">
        <f t="shared" si="151"/>
        <v>0</v>
      </c>
      <c r="Z851" s="19">
        <f t="shared" si="152"/>
        <v>7</v>
      </c>
      <c r="AA851" s="20">
        <f>ABS(S851-SUMPRODUCT(('05B_가정검정'!$A$5:$A$19=B851)*('05B_가정검정'!$B$5:$B$19=C851)*'05B_가정검정'!$E$5:$E$19))</f>
        <v>8.3732648397611742E-2</v>
      </c>
      <c r="AB851" s="20">
        <f t="shared" si="153"/>
        <v>-6.726131587857942E-2</v>
      </c>
    </row>
    <row r="852" spans="1:28">
      <c r="A852" s="15" t="s">
        <v>179</v>
      </c>
      <c r="B852" s="15" t="s">
        <v>122</v>
      </c>
      <c r="C852" s="15" t="s">
        <v>118</v>
      </c>
      <c r="D852" s="16">
        <v>0.338983050847458</v>
      </c>
      <c r="E852" s="16">
        <v>0.47651006711409399</v>
      </c>
      <c r="F852" s="16">
        <v>0.17567567567567599</v>
      </c>
      <c r="G852" s="16">
        <v>0.34228187919463099</v>
      </c>
      <c r="H852" s="16">
        <v>0.33058174550638297</v>
      </c>
      <c r="I852" s="16">
        <v>0.32338852698655701</v>
      </c>
      <c r="J852" s="16">
        <v>0.73472120498311</v>
      </c>
      <c r="K852" s="16">
        <v>0.64289479471366895</v>
      </c>
      <c r="L852" s="16">
        <v>0.85148937746059905</v>
      </c>
      <c r="M852" s="16">
        <v>0.623188405797101</v>
      </c>
      <c r="N852" s="16">
        <v>0.246835443037975</v>
      </c>
      <c r="O852" s="16">
        <v>0.52631578947368396</v>
      </c>
      <c r="P852" s="17">
        <f t="shared" si="143"/>
        <v>0.33123682422079986</v>
      </c>
      <c r="Q852" s="17">
        <f t="shared" si="144"/>
        <v>0.743035125719126</v>
      </c>
      <c r="R852" s="17">
        <f t="shared" si="145"/>
        <v>0.46544654610291997</v>
      </c>
      <c r="S852" s="17">
        <f>'02_지표정의'!$C$22*P852+'02_지표정의'!$C$23*Q852+'02_지표정의'!$C$24*R852</f>
        <v>0.56351946255378871</v>
      </c>
      <c r="T852" s="5">
        <f t="shared" si="146"/>
        <v>1</v>
      </c>
      <c r="U852" s="5" t="str">
        <f t="shared" si="147"/>
        <v>보고서</v>
      </c>
      <c r="V852" s="18">
        <f t="shared" si="148"/>
        <v>262</v>
      </c>
      <c r="W852" s="5">
        <f t="shared" si="149"/>
        <v>214</v>
      </c>
      <c r="X852" s="5">
        <f t="shared" si="150"/>
        <v>0</v>
      </c>
      <c r="Y852" s="5">
        <f t="shared" si="151"/>
        <v>213</v>
      </c>
      <c r="Z852" s="19">
        <f t="shared" si="152"/>
        <v>27</v>
      </c>
      <c r="AA852" s="20">
        <f>ABS(S852-SUMPRODUCT(('05B_가정검정'!$A$5:$A$19=B852)*('05B_가정검정'!$B$5:$B$19=C852)*'05B_가정검정'!$E$5:$E$19))</f>
        <v>2.3402473443369542E-2</v>
      </c>
      <c r="AB852" s="20">
        <f t="shared" si="153"/>
        <v>-1.7703813663895063E-2</v>
      </c>
    </row>
    <row r="853" spans="1:28">
      <c r="A853" s="15" t="s">
        <v>179</v>
      </c>
      <c r="B853" s="15" t="s">
        <v>122</v>
      </c>
      <c r="C853" s="15" t="s">
        <v>119</v>
      </c>
      <c r="D853" s="16">
        <v>0.31194690265486702</v>
      </c>
      <c r="E853" s="16">
        <v>0.38414634146341498</v>
      </c>
      <c r="F853" s="16">
        <v>0.104294478527607</v>
      </c>
      <c r="G853" s="16">
        <v>0.237804878048781</v>
      </c>
      <c r="H853" s="16">
        <v>0.33369904444569798</v>
      </c>
      <c r="I853" s="16">
        <v>0.27959509698730101</v>
      </c>
      <c r="J853" s="16">
        <v>0.70853950884522099</v>
      </c>
      <c r="K853" s="16">
        <v>0.622141524241696</v>
      </c>
      <c r="L853" s="16">
        <v>0.86177824410647796</v>
      </c>
      <c r="M853" s="16">
        <v>0.57092198581560305</v>
      </c>
      <c r="N853" s="16">
        <v>0.518987341772152</v>
      </c>
      <c r="O853" s="16">
        <v>1</v>
      </c>
      <c r="P853" s="17">
        <f t="shared" si="143"/>
        <v>0.2752477903546115</v>
      </c>
      <c r="Q853" s="17">
        <f t="shared" si="144"/>
        <v>0.73081975906446495</v>
      </c>
      <c r="R853" s="17">
        <f t="shared" si="145"/>
        <v>0.69663644252925172</v>
      </c>
      <c r="S853" s="17">
        <f>'02_지표정의'!$C$22*P853+'02_지표정의'!$C$23*Q853+'02_지표정의'!$C$24*R853</f>
        <v>0.62774120453516957</v>
      </c>
      <c r="T853" s="5">
        <f t="shared" si="146"/>
        <v>0</v>
      </c>
      <c r="U853" s="5" t="str">
        <f t="shared" si="147"/>
        <v>보고서</v>
      </c>
      <c r="V853" s="18">
        <f t="shared" si="148"/>
        <v>521</v>
      </c>
      <c r="W853" s="5">
        <f t="shared" si="149"/>
        <v>0</v>
      </c>
      <c r="X853" s="5">
        <f t="shared" si="150"/>
        <v>230</v>
      </c>
      <c r="Y853" s="5">
        <f t="shared" si="151"/>
        <v>394</v>
      </c>
      <c r="Z853" s="19">
        <f t="shared" si="152"/>
        <v>24</v>
      </c>
      <c r="AA853" s="20">
        <f>ABS(S853-SUMPRODUCT(('05B_가정검정'!$A$5:$A$19=B853)*('05B_가정검정'!$B$5:$B$19=C853)*'05B_가정검정'!$E$5:$E$19))</f>
        <v>7.8649833662818303E-3</v>
      </c>
      <c r="AB853" s="20">
        <f t="shared" si="153"/>
        <v>-3.6476617797164268E-3</v>
      </c>
    </row>
    <row r="854" spans="1:28">
      <c r="A854" s="15" t="s">
        <v>179</v>
      </c>
      <c r="B854" s="15" t="s">
        <v>123</v>
      </c>
      <c r="C854" s="15" t="s">
        <v>117</v>
      </c>
      <c r="D854" s="16">
        <v>0.24945295404814</v>
      </c>
      <c r="E854" s="16">
        <v>0.34817813765182198</v>
      </c>
      <c r="F854" s="16">
        <v>9.7959183673469397E-2</v>
      </c>
      <c r="G854" s="16">
        <v>0.22672064777327899</v>
      </c>
      <c r="H854" s="16">
        <v>0.36789072554684599</v>
      </c>
      <c r="I854" s="16">
        <v>0.12558590767713301</v>
      </c>
      <c r="J854" s="16">
        <v>0.69702361350227904</v>
      </c>
      <c r="K854" s="16">
        <v>0.67725288462202604</v>
      </c>
      <c r="L854" s="16">
        <v>0.86592283601777797</v>
      </c>
      <c r="M854" s="16">
        <v>0.90654205607476601</v>
      </c>
      <c r="N854" s="16">
        <v>0.91666666666666696</v>
      </c>
      <c r="O854" s="16">
        <v>1</v>
      </c>
      <c r="P854" s="17">
        <f t="shared" si="143"/>
        <v>0.23596459272844825</v>
      </c>
      <c r="Q854" s="17">
        <f t="shared" si="144"/>
        <v>0.74673311138069431</v>
      </c>
      <c r="R854" s="17">
        <f t="shared" si="145"/>
        <v>0.94106957424714432</v>
      </c>
      <c r="S854" s="17">
        <f>'02_지표정의'!$C$22*P854+'02_지표정의'!$C$23*Q854+'02_지표정의'!$C$24*R854</f>
        <v>0.7125971696535025</v>
      </c>
      <c r="T854" s="5">
        <f t="shared" si="146"/>
        <v>0</v>
      </c>
      <c r="U854" s="5" t="str">
        <f t="shared" si="147"/>
        <v>보고서</v>
      </c>
      <c r="V854" s="18">
        <f t="shared" si="148"/>
        <v>854</v>
      </c>
      <c r="W854" s="5">
        <f t="shared" si="149"/>
        <v>569</v>
      </c>
      <c r="X854" s="5">
        <f t="shared" si="150"/>
        <v>529</v>
      </c>
      <c r="Y854" s="5">
        <f t="shared" si="151"/>
        <v>0</v>
      </c>
      <c r="Z854" s="19">
        <f t="shared" si="152"/>
        <v>31</v>
      </c>
      <c r="AA854" s="20">
        <f>ABS(S854-SUMPRODUCT(('05B_가정검정'!$A$5:$A$19=B854)*('05B_가정검정'!$B$5:$B$19=C854)*'05B_가정검정'!$E$5:$E$19))</f>
        <v>2.3257131227212291E-3</v>
      </c>
      <c r="AB854" s="20">
        <f t="shared" si="153"/>
        <v>4.611717842259333E-3</v>
      </c>
    </row>
    <row r="855" spans="1:28">
      <c r="A855" s="15" t="s">
        <v>179</v>
      </c>
      <c r="B855" s="15" t="s">
        <v>123</v>
      </c>
      <c r="C855" s="15" t="s">
        <v>118</v>
      </c>
      <c r="D855" s="16">
        <v>0.26453819840364901</v>
      </c>
      <c r="E855" s="16">
        <v>0.29482071713147401</v>
      </c>
      <c r="F855" s="16">
        <v>0.120481927710843</v>
      </c>
      <c r="G855" s="16">
        <v>0.23904382470119501</v>
      </c>
      <c r="H855" s="16">
        <v>0.215581458021498</v>
      </c>
      <c r="I855" s="16">
        <v>0.24529310503367199</v>
      </c>
      <c r="J855" s="16">
        <v>0.71741088760383398</v>
      </c>
      <c r="K855" s="16">
        <v>0.68901656872566397</v>
      </c>
      <c r="L855" s="16">
        <v>0.84158943497668803</v>
      </c>
      <c r="M855" s="16">
        <v>0.28115942028985502</v>
      </c>
      <c r="N855" s="16">
        <v>0.237179487179487</v>
      </c>
      <c r="O855" s="16">
        <v>0.52631578947368396</v>
      </c>
      <c r="P855" s="17">
        <f t="shared" si="143"/>
        <v>0.22995987183372182</v>
      </c>
      <c r="Q855" s="17">
        <f t="shared" si="144"/>
        <v>0.74933896376872866</v>
      </c>
      <c r="R855" s="17">
        <f t="shared" si="145"/>
        <v>0.34821823231434196</v>
      </c>
      <c r="S855" s="17">
        <f>'02_지표정의'!$C$22*P855+'02_지표정의'!$C$23*Q855+'02_지표정의'!$C$24*R855</f>
        <v>0.50507088937269196</v>
      </c>
      <c r="T855" s="5">
        <f t="shared" si="146"/>
        <v>0</v>
      </c>
      <c r="U855" s="5" t="str">
        <f t="shared" si="147"/>
        <v>보고서</v>
      </c>
      <c r="V855" s="18">
        <f t="shared" si="148"/>
        <v>56</v>
      </c>
      <c r="W855" s="5">
        <f t="shared" si="149"/>
        <v>50</v>
      </c>
      <c r="X855" s="5">
        <f t="shared" si="150"/>
        <v>0</v>
      </c>
      <c r="Y855" s="5">
        <f t="shared" si="151"/>
        <v>50</v>
      </c>
      <c r="Z855" s="19">
        <f t="shared" si="152"/>
        <v>13</v>
      </c>
      <c r="AA855" s="20">
        <f>ABS(S855-SUMPRODUCT(('05B_가정검정'!$A$5:$A$19=B855)*('05B_가정검정'!$B$5:$B$19=C855)*'05B_가정검정'!$E$5:$E$19))</f>
        <v>7.022793750627776E-2</v>
      </c>
      <c r="AB855" s="20">
        <f t="shared" si="153"/>
        <v>-5.4800718551799132E-2</v>
      </c>
    </row>
    <row r="856" spans="1:28">
      <c r="A856" s="15" t="s">
        <v>179</v>
      </c>
      <c r="B856" s="15" t="s">
        <v>123</v>
      </c>
      <c r="C856" s="15" t="s">
        <v>119</v>
      </c>
      <c r="D856" s="16">
        <v>0.27232142857142899</v>
      </c>
      <c r="E856" s="16">
        <v>0.327402135231317</v>
      </c>
      <c r="F856" s="16">
        <v>0.121863799283154</v>
      </c>
      <c r="G856" s="16">
        <v>0.23487544483985801</v>
      </c>
      <c r="H856" s="16">
        <v>0.341847171830723</v>
      </c>
      <c r="I856" s="16">
        <v>0.270626525326223</v>
      </c>
      <c r="J856" s="16">
        <v>0.72719291682965903</v>
      </c>
      <c r="K856" s="16">
        <v>0.69952407246991</v>
      </c>
      <c r="L856" s="16">
        <v>0.86907066956286305</v>
      </c>
      <c r="M856" s="16">
        <v>0.52717391304347805</v>
      </c>
      <c r="N856" s="16">
        <v>0.58510638297872297</v>
      </c>
      <c r="O856" s="16">
        <v>1</v>
      </c>
      <c r="P856" s="17">
        <f t="shared" si="143"/>
        <v>0.26148941751378402</v>
      </c>
      <c r="Q856" s="17">
        <f t="shared" si="144"/>
        <v>0.76526255295414403</v>
      </c>
      <c r="R856" s="17">
        <f t="shared" si="145"/>
        <v>0.70409343200740038</v>
      </c>
      <c r="S856" s="17">
        <f>'02_지표정의'!$C$22*P856+'02_지표정의'!$C$23*Q856+'02_지표정의'!$C$24*R856</f>
        <v>0.64309873353471181</v>
      </c>
      <c r="T856" s="5">
        <f t="shared" si="146"/>
        <v>1</v>
      </c>
      <c r="U856" s="5" t="str">
        <f t="shared" si="147"/>
        <v>보고서</v>
      </c>
      <c r="V856" s="18">
        <f t="shared" si="148"/>
        <v>589</v>
      </c>
      <c r="W856" s="5">
        <f t="shared" si="149"/>
        <v>0</v>
      </c>
      <c r="X856" s="5">
        <f t="shared" si="150"/>
        <v>281</v>
      </c>
      <c r="Y856" s="5">
        <f t="shared" si="151"/>
        <v>440</v>
      </c>
      <c r="Z856" s="19">
        <f t="shared" si="152"/>
        <v>12</v>
      </c>
      <c r="AA856" s="20">
        <f>ABS(S856-SUMPRODUCT(('05B_가정검정'!$A$5:$A$19=B856)*('05B_가정검정'!$B$5:$B$19=C856)*'05B_가정검정'!$E$5:$E$19))</f>
        <v>4.2531063789515544E-2</v>
      </c>
      <c r="AB856" s="20">
        <f t="shared" si="153"/>
        <v>-3.9319999510289971E-2</v>
      </c>
    </row>
    <row r="857" spans="1:28">
      <c r="A857" s="15" t="s">
        <v>180</v>
      </c>
      <c r="B857" s="15" t="s">
        <v>116</v>
      </c>
      <c r="C857" s="15" t="s">
        <v>117</v>
      </c>
      <c r="D857" s="16">
        <v>0.255483870967742</v>
      </c>
      <c r="E857" s="16">
        <v>0.394495412844037</v>
      </c>
      <c r="F857" s="16">
        <v>0.21296296296296299</v>
      </c>
      <c r="G857" s="16">
        <v>0.33944954128440402</v>
      </c>
      <c r="H857" s="16">
        <v>0.230251019384348</v>
      </c>
      <c r="I857" s="16">
        <v>0.190591343477192</v>
      </c>
      <c r="J857" s="16">
        <v>0.66359101002971499</v>
      </c>
      <c r="K857" s="16">
        <v>0.58511227512050601</v>
      </c>
      <c r="L857" s="16">
        <v>0.77771449735905296</v>
      </c>
      <c r="M857" s="16">
        <v>0.55757575757575795</v>
      </c>
      <c r="N857" s="16">
        <v>0.101123595505618</v>
      </c>
      <c r="O857" s="16">
        <v>1</v>
      </c>
      <c r="P857" s="17">
        <f t="shared" si="143"/>
        <v>0.27053902515344769</v>
      </c>
      <c r="Q857" s="17">
        <f t="shared" si="144"/>
        <v>0.67547259416975802</v>
      </c>
      <c r="R857" s="17">
        <f t="shared" si="145"/>
        <v>0.55289978436045872</v>
      </c>
      <c r="S857" s="17">
        <f>'02_지표정의'!$C$22*P857+'02_지표정의'!$C$23*Q857+'02_지표정의'!$C$24*R857</f>
        <v>0.55158539693324116</v>
      </c>
      <c r="T857" s="5">
        <f t="shared" si="146"/>
        <v>0</v>
      </c>
      <c r="U857" s="5" t="str">
        <f t="shared" si="147"/>
        <v>보고서</v>
      </c>
      <c r="V857" s="18">
        <f t="shared" si="148"/>
        <v>210</v>
      </c>
      <c r="W857" s="5">
        <f t="shared" si="149"/>
        <v>174</v>
      </c>
      <c r="X857" s="5">
        <f t="shared" si="150"/>
        <v>65</v>
      </c>
      <c r="Y857" s="5">
        <f t="shared" si="151"/>
        <v>0</v>
      </c>
      <c r="Z857" s="19">
        <f t="shared" si="152"/>
        <v>24</v>
      </c>
      <c r="AA857" s="20">
        <f>ABS(S857-SUMPRODUCT(('05B_가정검정'!$A$5:$A$19=B857)*('05B_가정검정'!$B$5:$B$19=C857)*'05B_가정검정'!$E$5:$E$19))</f>
        <v>5.8183080517261176E-3</v>
      </c>
      <c r="AB857" s="20">
        <f t="shared" si="153"/>
        <v>-9.6576847938223409E-4</v>
      </c>
    </row>
    <row r="858" spans="1:28">
      <c r="A858" s="15" t="s">
        <v>180</v>
      </c>
      <c r="B858" s="15" t="s">
        <v>116</v>
      </c>
      <c r="C858" s="15" t="s">
        <v>118</v>
      </c>
      <c r="D858" s="16">
        <v>0.25409836065573799</v>
      </c>
      <c r="E858" s="16">
        <v>0.27462686567164202</v>
      </c>
      <c r="F858" s="16">
        <v>0.126126126126126</v>
      </c>
      <c r="G858" s="16">
        <v>0.23283582089552199</v>
      </c>
      <c r="H858" s="16">
        <v>0.12737902787538399</v>
      </c>
      <c r="I858" s="16">
        <v>0.24409487246320599</v>
      </c>
      <c r="J858" s="16">
        <v>0.68889115341115803</v>
      </c>
      <c r="K858" s="16">
        <v>0.70126384439068501</v>
      </c>
      <c r="L858" s="16">
        <v>0.82759827999028901</v>
      </c>
      <c r="M858" s="16">
        <v>0.46996466431095402</v>
      </c>
      <c r="N858" s="16">
        <v>3.0534351145038201E-2</v>
      </c>
      <c r="O858" s="16">
        <v>1</v>
      </c>
      <c r="P858" s="17">
        <f t="shared" si="143"/>
        <v>0.20986017894793632</v>
      </c>
      <c r="Q858" s="17">
        <f t="shared" si="144"/>
        <v>0.73925109259737731</v>
      </c>
      <c r="R858" s="17">
        <f t="shared" si="145"/>
        <v>0.50016633848533065</v>
      </c>
      <c r="S858" s="17">
        <f>'02_지표정의'!$C$22*P858+'02_지표정의'!$C$23*Q858+'02_지표정의'!$C$24*R858</f>
        <v>0.54969324592827273</v>
      </c>
      <c r="T858" s="5">
        <f t="shared" si="146"/>
        <v>0</v>
      </c>
      <c r="U858" s="5" t="str">
        <f t="shared" si="147"/>
        <v>보고서</v>
      </c>
      <c r="V858" s="18">
        <f t="shared" si="148"/>
        <v>205</v>
      </c>
      <c r="W858" s="5">
        <f t="shared" si="149"/>
        <v>169</v>
      </c>
      <c r="X858" s="5">
        <f t="shared" si="150"/>
        <v>0</v>
      </c>
      <c r="Y858" s="5">
        <f t="shared" si="151"/>
        <v>178</v>
      </c>
      <c r="Z858" s="19">
        <f t="shared" si="152"/>
        <v>46</v>
      </c>
      <c r="AA858" s="20">
        <f>ABS(S858-SUMPRODUCT(('05B_가정검정'!$A$5:$A$19=B858)*('05B_가정검정'!$B$5:$B$19=C858)*'05B_가정검정'!$E$5:$E$19))</f>
        <v>1.8400824226551094E-2</v>
      </c>
      <c r="AB858" s="20">
        <f t="shared" si="153"/>
        <v>2.2144213549686431E-2</v>
      </c>
    </row>
    <row r="859" spans="1:28">
      <c r="A859" s="15" t="s">
        <v>180</v>
      </c>
      <c r="B859" s="15" t="s">
        <v>116</v>
      </c>
      <c r="C859" s="15" t="s">
        <v>119</v>
      </c>
      <c r="D859" s="16">
        <v>0.298682284040996</v>
      </c>
      <c r="E859" s="16">
        <v>0.35398230088495602</v>
      </c>
      <c r="F859" s="16">
        <v>0.16964285714285701</v>
      </c>
      <c r="G859" s="16">
        <v>0.30088495575221202</v>
      </c>
      <c r="H859" s="16">
        <v>0.23104512809590999</v>
      </c>
      <c r="I859" s="16">
        <v>0.28811380934274999</v>
      </c>
      <c r="J859" s="16">
        <v>0.68176784190387996</v>
      </c>
      <c r="K859" s="16">
        <v>0.62624785193263199</v>
      </c>
      <c r="L859" s="16">
        <v>0.80152780027026704</v>
      </c>
      <c r="M859" s="16">
        <v>0.51515151515151503</v>
      </c>
      <c r="N859" s="16">
        <v>0</v>
      </c>
      <c r="O859" s="16">
        <v>1</v>
      </c>
      <c r="P859" s="17">
        <f t="shared" si="143"/>
        <v>0.27372522254328019</v>
      </c>
      <c r="Q859" s="17">
        <f t="shared" si="144"/>
        <v>0.70318116470225966</v>
      </c>
      <c r="R859" s="17">
        <f t="shared" si="145"/>
        <v>0.50505050505050508</v>
      </c>
      <c r="S859" s="17">
        <f>'02_지표정의'!$C$22*P859+'02_지표정의'!$C$23*Q859+'02_지표정의'!$C$24*R859</f>
        <v>0.54794424539234965</v>
      </c>
      <c r="T859" s="5">
        <f t="shared" si="146"/>
        <v>0</v>
      </c>
      <c r="U859" s="5" t="str">
        <f t="shared" si="147"/>
        <v>보고서</v>
      </c>
      <c r="V859" s="18">
        <f t="shared" si="148"/>
        <v>195</v>
      </c>
      <c r="W859" s="5">
        <f t="shared" si="149"/>
        <v>0</v>
      </c>
      <c r="X859" s="5">
        <f t="shared" si="150"/>
        <v>60</v>
      </c>
      <c r="Y859" s="5">
        <f t="shared" si="151"/>
        <v>169</v>
      </c>
      <c r="Z859" s="19">
        <f t="shared" si="152"/>
        <v>28</v>
      </c>
      <c r="AA859" s="20">
        <f>ABS(S859-SUMPRODUCT(('05B_가정검정'!$A$5:$A$19=B859)*('05B_가정검정'!$B$5:$B$19=C859)*'05B_가정검정'!$E$5:$E$19))</f>
        <v>5.0792713504329567E-3</v>
      </c>
      <c r="AB859" s="20">
        <f t="shared" si="153"/>
        <v>-8.5082382838304049E-3</v>
      </c>
    </row>
    <row r="860" spans="1:28">
      <c r="A860" s="15" t="s">
        <v>180</v>
      </c>
      <c r="B860" s="15" t="s">
        <v>120</v>
      </c>
      <c r="C860" s="15" t="s">
        <v>117</v>
      </c>
      <c r="D860" s="16">
        <v>0.240786240786241</v>
      </c>
      <c r="E860" s="16">
        <v>0.36871508379888301</v>
      </c>
      <c r="F860" s="16">
        <v>0.101123595505618</v>
      </c>
      <c r="G860" s="16">
        <v>0.206703910614525</v>
      </c>
      <c r="H860" s="16">
        <v>0.30227173270063601</v>
      </c>
      <c r="I860" s="16">
        <v>0.13937847294605399</v>
      </c>
      <c r="J860" s="16">
        <v>0.70460828960481603</v>
      </c>
      <c r="K860" s="16">
        <v>0.66209427655753395</v>
      </c>
      <c r="L860" s="16">
        <v>0.86154257898687203</v>
      </c>
      <c r="M860" s="16">
        <v>0.530612244897959</v>
      </c>
      <c r="N860" s="16">
        <v>0.47560975609756101</v>
      </c>
      <c r="O860" s="16">
        <v>1</v>
      </c>
      <c r="P860" s="17">
        <f t="shared" si="143"/>
        <v>0.22649650605865954</v>
      </c>
      <c r="Q860" s="17">
        <f t="shared" si="144"/>
        <v>0.74274838171640722</v>
      </c>
      <c r="R860" s="17">
        <f t="shared" si="145"/>
        <v>0.66874066699850676</v>
      </c>
      <c r="S860" s="17">
        <f>'02_지표정의'!$C$22*P860+'02_지표정의'!$C$23*Q860+'02_지표정의'!$C$24*R860</f>
        <v>0.6135953064335925</v>
      </c>
      <c r="T860" s="5">
        <f t="shared" si="146"/>
        <v>0</v>
      </c>
      <c r="U860" s="5" t="str">
        <f t="shared" si="147"/>
        <v>보고서</v>
      </c>
      <c r="V860" s="18">
        <f t="shared" si="148"/>
        <v>454</v>
      </c>
      <c r="W860" s="5">
        <f t="shared" si="149"/>
        <v>370</v>
      </c>
      <c r="X860" s="5">
        <f t="shared" si="150"/>
        <v>194</v>
      </c>
      <c r="Y860" s="5">
        <f t="shared" si="151"/>
        <v>0</v>
      </c>
      <c r="Z860" s="19">
        <f t="shared" si="152"/>
        <v>19</v>
      </c>
      <c r="AA860" s="20">
        <f>ABS(S860-SUMPRODUCT(('05B_가정검정'!$A$5:$A$19=B860)*('05B_가정검정'!$B$5:$B$19=C860)*'05B_가정검정'!$E$5:$E$19))</f>
        <v>1.4453653623528573E-2</v>
      </c>
      <c r="AB860" s="20">
        <f t="shared" si="153"/>
        <v>-1.7707396991164637E-2</v>
      </c>
    </row>
    <row r="861" spans="1:28">
      <c r="A861" s="15" t="s">
        <v>180</v>
      </c>
      <c r="B861" s="15" t="s">
        <v>120</v>
      </c>
      <c r="C861" s="15" t="s">
        <v>118</v>
      </c>
      <c r="D861" s="16">
        <v>0.23599320882852301</v>
      </c>
      <c r="E861" s="16">
        <v>0.29894736842105302</v>
      </c>
      <c r="F861" s="16">
        <v>9.7251585623678694E-2</v>
      </c>
      <c r="G861" s="16">
        <v>0.214736842105263</v>
      </c>
      <c r="H861" s="16">
        <v>0.21427549970578599</v>
      </c>
      <c r="I861" s="16">
        <v>0.13704900401357201</v>
      </c>
      <c r="J861" s="16">
        <v>0.71906407662751504</v>
      </c>
      <c r="K861" s="16">
        <v>0.685703418080849</v>
      </c>
      <c r="L861" s="16">
        <v>0.82256800161565002</v>
      </c>
      <c r="M861" s="16">
        <v>0.48763250883392201</v>
      </c>
      <c r="N861" s="16">
        <v>0.60305343511450404</v>
      </c>
      <c r="O861" s="16">
        <v>1</v>
      </c>
      <c r="P861" s="17">
        <f t="shared" si="143"/>
        <v>0.19970891811631261</v>
      </c>
      <c r="Q861" s="17">
        <f t="shared" si="144"/>
        <v>0.74244516544133798</v>
      </c>
      <c r="R861" s="17">
        <f t="shared" si="145"/>
        <v>0.69689531464947529</v>
      </c>
      <c r="S861" s="17">
        <f>'02_지표정의'!$C$22*P861+'02_지표정의'!$C$23*Q861+'02_지표정의'!$C$24*R861</f>
        <v>0.61795546819918101</v>
      </c>
      <c r="T861" s="5">
        <f t="shared" si="146"/>
        <v>0</v>
      </c>
      <c r="U861" s="5" t="str">
        <f t="shared" si="147"/>
        <v>보고서</v>
      </c>
      <c r="V861" s="18">
        <f t="shared" si="148"/>
        <v>479</v>
      </c>
      <c r="W861" s="5">
        <f t="shared" si="149"/>
        <v>387</v>
      </c>
      <c r="X861" s="5">
        <f t="shared" si="150"/>
        <v>0</v>
      </c>
      <c r="Y861" s="5">
        <f t="shared" si="151"/>
        <v>360</v>
      </c>
      <c r="Z861" s="19">
        <f t="shared" si="152"/>
        <v>49</v>
      </c>
      <c r="AA861" s="20">
        <f>ABS(S861-SUMPRODUCT(('05B_가정검정'!$A$5:$A$19=B861)*('05B_가정검정'!$B$5:$B$19=C861)*'05B_가정검정'!$E$5:$E$19))</f>
        <v>2.7126619617553027E-2</v>
      </c>
      <c r="AB861" s="20">
        <f t="shared" si="153"/>
        <v>4.3064692237070212E-2</v>
      </c>
    </row>
    <row r="862" spans="1:28">
      <c r="A862" s="15" t="s">
        <v>180</v>
      </c>
      <c r="B862" s="15" t="s">
        <v>120</v>
      </c>
      <c r="C862" s="15" t="s">
        <v>119</v>
      </c>
      <c r="D862" s="16">
        <v>0.27280779450841502</v>
      </c>
      <c r="E862" s="16">
        <v>0.42622950819672101</v>
      </c>
      <c r="F862" s="16">
        <v>0.115384615384615</v>
      </c>
      <c r="G862" s="16">
        <v>0.24043715846994501</v>
      </c>
      <c r="H862" s="16">
        <v>0.30938822386810499</v>
      </c>
      <c r="I862" s="16">
        <v>0.18994904351597</v>
      </c>
      <c r="J862" s="16">
        <v>0.70601137354884302</v>
      </c>
      <c r="K862" s="16">
        <v>0.682446929215489</v>
      </c>
      <c r="L862" s="16">
        <v>0.85364428093674705</v>
      </c>
      <c r="M862" s="16">
        <v>0.8</v>
      </c>
      <c r="N862" s="16">
        <v>0.82926829268292701</v>
      </c>
      <c r="O862" s="16">
        <v>1</v>
      </c>
      <c r="P862" s="17">
        <f t="shared" si="143"/>
        <v>0.25903272399062849</v>
      </c>
      <c r="Q862" s="17">
        <f t="shared" si="144"/>
        <v>0.74736752790035965</v>
      </c>
      <c r="R862" s="17">
        <f t="shared" si="145"/>
        <v>0.87642276422764231</v>
      </c>
      <c r="S862" s="17">
        <f>'02_지표정의'!$C$22*P862+'02_지표정의'!$C$23*Q862+'02_지표정의'!$C$24*R862</f>
        <v>0.69486989983296232</v>
      </c>
      <c r="T862" s="5">
        <f t="shared" si="146"/>
        <v>0</v>
      </c>
      <c r="U862" s="5" t="str">
        <f t="shared" si="147"/>
        <v>보고서</v>
      </c>
      <c r="V862" s="18">
        <f t="shared" si="148"/>
        <v>805</v>
      </c>
      <c r="W862" s="5">
        <f t="shared" si="149"/>
        <v>0</v>
      </c>
      <c r="X862" s="5">
        <f t="shared" si="150"/>
        <v>480</v>
      </c>
      <c r="Y862" s="5">
        <f t="shared" si="151"/>
        <v>580</v>
      </c>
      <c r="Z862" s="19">
        <f t="shared" si="152"/>
        <v>52</v>
      </c>
      <c r="AA862" s="20">
        <f>ABS(S862-SUMPRODUCT(('05B_가정검정'!$A$5:$A$19=B862)*('05B_가정검정'!$B$5:$B$19=C862)*'05B_가정검정'!$E$5:$E$19))</f>
        <v>3.1192583351576042E-2</v>
      </c>
      <c r="AB862" s="20">
        <f t="shared" si="153"/>
        <v>3.6446892322146707E-2</v>
      </c>
    </row>
    <row r="863" spans="1:28">
      <c r="A863" s="15" t="s">
        <v>180</v>
      </c>
      <c r="B863" s="15" t="s">
        <v>121</v>
      </c>
      <c r="C863" s="15" t="s">
        <v>117</v>
      </c>
      <c r="D863" s="16">
        <v>0.21372328458942599</v>
      </c>
      <c r="E863" s="16">
        <v>0.38818565400843902</v>
      </c>
      <c r="F863" s="16">
        <v>0.11914893617021299</v>
      </c>
      <c r="G863" s="16">
        <v>0.253164556962025</v>
      </c>
      <c r="H863" s="16">
        <v>0.264736804924321</v>
      </c>
      <c r="I863" s="16">
        <v>0.11854542630426999</v>
      </c>
      <c r="J863" s="16">
        <v>0.73244793729260405</v>
      </c>
      <c r="K863" s="16">
        <v>0.70302398015196599</v>
      </c>
      <c r="L863" s="16">
        <v>0.86479326655623801</v>
      </c>
      <c r="M863" s="16">
        <v>0.65986394557823103</v>
      </c>
      <c r="N863" s="16">
        <v>0.78571428571428603</v>
      </c>
      <c r="O863" s="16">
        <v>1</v>
      </c>
      <c r="P863" s="17">
        <f t="shared" si="143"/>
        <v>0.22625077715978234</v>
      </c>
      <c r="Q863" s="17">
        <f t="shared" si="144"/>
        <v>0.76675506133360261</v>
      </c>
      <c r="R863" s="17">
        <f t="shared" si="145"/>
        <v>0.81519274376417228</v>
      </c>
      <c r="S863" s="17">
        <f>'02_지표정의'!$C$22*P863+'02_지표정의'!$C$23*Q863+'02_지표정의'!$C$24*R863</f>
        <v>0.6756073933495379</v>
      </c>
      <c r="T863" s="5">
        <f t="shared" si="146"/>
        <v>1</v>
      </c>
      <c r="U863" s="5" t="str">
        <f t="shared" si="147"/>
        <v>보고서</v>
      </c>
      <c r="V863" s="18">
        <f t="shared" si="148"/>
        <v>739</v>
      </c>
      <c r="W863" s="5">
        <f t="shared" si="149"/>
        <v>524</v>
      </c>
      <c r="X863" s="5">
        <f t="shared" si="150"/>
        <v>418</v>
      </c>
      <c r="Y863" s="5">
        <f t="shared" si="151"/>
        <v>0</v>
      </c>
      <c r="Z863" s="19">
        <f t="shared" si="152"/>
        <v>4</v>
      </c>
      <c r="AA863" s="20">
        <f>ABS(S863-SUMPRODUCT(('05B_가정검정'!$A$5:$A$19=B863)*('05B_가정검정'!$B$5:$B$19=C863)*'05B_가정검정'!$E$5:$E$19))</f>
        <v>5.3824678032343254E-2</v>
      </c>
      <c r="AB863" s="20">
        <f t="shared" si="153"/>
        <v>-4.2044399723343062E-2</v>
      </c>
    </row>
    <row r="864" spans="1:28">
      <c r="A864" s="15" t="s">
        <v>180</v>
      </c>
      <c r="B864" s="15" t="s">
        <v>121</v>
      </c>
      <c r="C864" s="15" t="s">
        <v>118</v>
      </c>
      <c r="D864" s="16">
        <v>0.23404255319148901</v>
      </c>
      <c r="E864" s="16">
        <v>0.25988700564971801</v>
      </c>
      <c r="F864" s="16">
        <v>0.102272727272727</v>
      </c>
      <c r="G864" s="16">
        <v>0.19209039548022599</v>
      </c>
      <c r="H864" s="16">
        <v>0.14311706427051599</v>
      </c>
      <c r="I864" s="16">
        <v>0.139052391576863</v>
      </c>
      <c r="J864" s="16">
        <v>0.72869387401587604</v>
      </c>
      <c r="K864" s="16">
        <v>0.76130405571547</v>
      </c>
      <c r="L864" s="16">
        <v>0.89173768706932299</v>
      </c>
      <c r="M864" s="16">
        <v>0.34275618374558298</v>
      </c>
      <c r="N864" s="16">
        <v>0.41984732824427501</v>
      </c>
      <c r="O864" s="16">
        <v>1</v>
      </c>
      <c r="P864" s="17">
        <f t="shared" si="143"/>
        <v>0.1784103562402565</v>
      </c>
      <c r="Q864" s="17">
        <f t="shared" si="144"/>
        <v>0.79391187226688975</v>
      </c>
      <c r="R864" s="17">
        <f t="shared" si="145"/>
        <v>0.58753450399661933</v>
      </c>
      <c r="S864" s="17">
        <f>'02_지표정의'!$C$22*P864+'02_지표정의'!$C$23*Q864+'02_지표정의'!$C$24*R864</f>
        <v>0.59857949016696843</v>
      </c>
      <c r="T864" s="5">
        <f t="shared" si="146"/>
        <v>0</v>
      </c>
      <c r="U864" s="5" t="str">
        <f t="shared" si="147"/>
        <v>보고서</v>
      </c>
      <c r="V864" s="18">
        <f t="shared" si="148"/>
        <v>386</v>
      </c>
      <c r="W864" s="5">
        <f t="shared" si="149"/>
        <v>312</v>
      </c>
      <c r="X864" s="5">
        <f t="shared" si="150"/>
        <v>0</v>
      </c>
      <c r="Y864" s="5">
        <f t="shared" si="151"/>
        <v>295</v>
      </c>
      <c r="Z864" s="19">
        <f t="shared" si="152"/>
        <v>33</v>
      </c>
      <c r="AA864" s="20">
        <f>ABS(S864-SUMPRODUCT(('05B_가정검정'!$A$5:$A$19=B864)*('05B_가정검정'!$B$5:$B$19=C864)*'05B_가정검정'!$E$5:$E$19))</f>
        <v>0</v>
      </c>
      <c r="AB864" s="20">
        <f t="shared" si="153"/>
        <v>1.9180415640155157E-2</v>
      </c>
    </row>
    <row r="865" spans="1:28">
      <c r="A865" s="15" t="s">
        <v>180</v>
      </c>
      <c r="B865" s="15" t="s">
        <v>121</v>
      </c>
      <c r="C865" s="15" t="s">
        <v>119</v>
      </c>
      <c r="D865" s="16">
        <v>0.26850690087829399</v>
      </c>
      <c r="E865" s="16">
        <v>0.424489795918367</v>
      </c>
      <c r="F865" s="16">
        <v>0.12345679012345701</v>
      </c>
      <c r="G865" s="16">
        <v>0.28571428571428598</v>
      </c>
      <c r="H865" s="16">
        <v>0.29217810278775502</v>
      </c>
      <c r="I865" s="16">
        <v>0.201516510799085</v>
      </c>
      <c r="J865" s="16">
        <v>0.75050497989176901</v>
      </c>
      <c r="K865" s="16">
        <v>0.74396769587429301</v>
      </c>
      <c r="L865" s="16">
        <v>0.87994720696106798</v>
      </c>
      <c r="M865" s="16">
        <v>0.70289855072463803</v>
      </c>
      <c r="N865" s="16">
        <v>0.67901234567901203</v>
      </c>
      <c r="O865" s="16">
        <v>1</v>
      </c>
      <c r="P865" s="17">
        <f t="shared" si="143"/>
        <v>0.26597706437020735</v>
      </c>
      <c r="Q865" s="17">
        <f t="shared" si="144"/>
        <v>0.79147329424237667</v>
      </c>
      <c r="R865" s="17">
        <f t="shared" si="145"/>
        <v>0.79397029880121661</v>
      </c>
      <c r="S865" s="17">
        <f>'02_지표정의'!$C$22*P865+'02_지표정의'!$C$23*Q865+'02_지표정의'!$C$24*R865</f>
        <v>0.6872479998635368</v>
      </c>
      <c r="T865" s="5">
        <f t="shared" si="146"/>
        <v>0</v>
      </c>
      <c r="U865" s="5" t="str">
        <f t="shared" si="147"/>
        <v>보고서</v>
      </c>
      <c r="V865" s="18">
        <f t="shared" si="148"/>
        <v>777</v>
      </c>
      <c r="W865" s="5">
        <f t="shared" si="149"/>
        <v>0</v>
      </c>
      <c r="X865" s="5">
        <f t="shared" si="150"/>
        <v>453</v>
      </c>
      <c r="Y865" s="5">
        <f t="shared" si="151"/>
        <v>561</v>
      </c>
      <c r="Z865" s="19">
        <f t="shared" si="152"/>
        <v>30</v>
      </c>
      <c r="AA865" s="20">
        <f>ABS(S865-SUMPRODUCT(('05B_가정검정'!$A$5:$A$19=B865)*('05B_가정검정'!$B$5:$B$19=C865)*'05B_가정검정'!$E$5:$E$19))</f>
        <v>5.0718429323168834E-3</v>
      </c>
      <c r="AB865" s="20">
        <f t="shared" si="153"/>
        <v>-9.8897555607424525E-4</v>
      </c>
    </row>
    <row r="866" spans="1:28">
      <c r="A866" s="15" t="s">
        <v>180</v>
      </c>
      <c r="B866" s="15" t="s">
        <v>122</v>
      </c>
      <c r="C866" s="15" t="s">
        <v>117</v>
      </c>
      <c r="D866" s="16">
        <v>0.26634958382877499</v>
      </c>
      <c r="E866" s="16">
        <v>0.301158301158301</v>
      </c>
      <c r="F866" s="16">
        <v>0.116731517509728</v>
      </c>
      <c r="G866" s="16">
        <v>0.247104247104247</v>
      </c>
      <c r="H866" s="16">
        <v>0.30115787359806001</v>
      </c>
      <c r="I866" s="16">
        <v>0.141065785260024</v>
      </c>
      <c r="J866" s="16">
        <v>0.67537781304516498</v>
      </c>
      <c r="K866" s="16">
        <v>0.625996543558067</v>
      </c>
      <c r="L866" s="16">
        <v>0.79206739191963105</v>
      </c>
      <c r="M866" s="16">
        <v>0.70068027210884398</v>
      </c>
      <c r="N866" s="16">
        <v>0.52702702702702697</v>
      </c>
      <c r="O866" s="16">
        <v>1</v>
      </c>
      <c r="P866" s="17">
        <f t="shared" si="143"/>
        <v>0.22892788474318918</v>
      </c>
      <c r="Q866" s="17">
        <f t="shared" si="144"/>
        <v>0.69781391617428756</v>
      </c>
      <c r="R866" s="17">
        <f t="shared" si="145"/>
        <v>0.74256909971195695</v>
      </c>
      <c r="S866" s="17">
        <f>'02_지표정의'!$C$22*P866+'02_지표정의'!$C$23*Q866+'02_지표정의'!$C$24*R866</f>
        <v>0.61970102412625216</v>
      </c>
      <c r="T866" s="5">
        <f t="shared" si="146"/>
        <v>0</v>
      </c>
      <c r="U866" s="5" t="str">
        <f t="shared" si="147"/>
        <v>보고서</v>
      </c>
      <c r="V866" s="18">
        <f t="shared" si="148"/>
        <v>488</v>
      </c>
      <c r="W866" s="5">
        <f t="shared" si="149"/>
        <v>394</v>
      </c>
      <c r="X866" s="5">
        <f t="shared" si="150"/>
        <v>215</v>
      </c>
      <c r="Y866" s="5">
        <f t="shared" si="151"/>
        <v>0</v>
      </c>
      <c r="Z866" s="19">
        <f t="shared" si="152"/>
        <v>28</v>
      </c>
      <c r="AA866" s="20">
        <f>ABS(S866-SUMPRODUCT(('05B_가정검정'!$A$5:$A$19=B866)*('05B_가정검정'!$B$5:$B$19=C866)*'05B_가정검정'!$E$5:$E$19))</f>
        <v>1.9651930582426314E-2</v>
      </c>
      <c r="AB866" s="20">
        <f t="shared" si="153"/>
        <v>-3.1805980633939912E-3</v>
      </c>
    </row>
    <row r="867" spans="1:28">
      <c r="A867" s="15" t="s">
        <v>180</v>
      </c>
      <c r="B867" s="15" t="s">
        <v>122</v>
      </c>
      <c r="C867" s="15" t="s">
        <v>118</v>
      </c>
      <c r="D867" s="16">
        <v>0.26315789473684198</v>
      </c>
      <c r="E867" s="16">
        <v>0.45212765957446799</v>
      </c>
      <c r="F867" s="16">
        <v>0.18716577540106999</v>
      </c>
      <c r="G867" s="16">
        <v>0.35106382978723399</v>
      </c>
      <c r="H867" s="16">
        <v>0.207789830723558</v>
      </c>
      <c r="I867" s="16">
        <v>0.47837074805292601</v>
      </c>
      <c r="J867" s="16">
        <v>0.72449479455749199</v>
      </c>
      <c r="K867" s="16">
        <v>0.73092159478281504</v>
      </c>
      <c r="L867" s="16">
        <v>0.84386529382526299</v>
      </c>
      <c r="M867" s="16">
        <v>0.42049469964664299</v>
      </c>
      <c r="N867" s="16">
        <v>0.36641221374045801</v>
      </c>
      <c r="O867" s="16">
        <v>1</v>
      </c>
      <c r="P867" s="17">
        <f t="shared" si="143"/>
        <v>0.32327928971268299</v>
      </c>
      <c r="Q867" s="17">
        <f t="shared" si="144"/>
        <v>0.76642722772185667</v>
      </c>
      <c r="R867" s="17">
        <f t="shared" si="145"/>
        <v>0.59563563779570028</v>
      </c>
      <c r="S867" s="17">
        <f>'02_지표정의'!$C$22*P867+'02_지표정의'!$C$23*Q867+'02_지표정의'!$C$24*R867</f>
        <v>0.61802058364586721</v>
      </c>
      <c r="T867" s="5">
        <f t="shared" si="146"/>
        <v>1</v>
      </c>
      <c r="U867" s="5" t="str">
        <f t="shared" si="147"/>
        <v>보고서</v>
      </c>
      <c r="V867" s="18">
        <f t="shared" si="148"/>
        <v>480</v>
      </c>
      <c r="W867" s="5">
        <f t="shared" si="149"/>
        <v>388</v>
      </c>
      <c r="X867" s="5">
        <f t="shared" si="150"/>
        <v>0</v>
      </c>
      <c r="Y867" s="5">
        <f t="shared" si="151"/>
        <v>361</v>
      </c>
      <c r="Z867" s="19">
        <f t="shared" si="152"/>
        <v>49</v>
      </c>
      <c r="AA867" s="20">
        <f>ABS(S867-SUMPRODUCT(('05B_가정검정'!$A$5:$A$19=B867)*('05B_가정검정'!$B$5:$B$19=C867)*'05B_가정검정'!$E$5:$E$19))</f>
        <v>3.1098647648708955E-2</v>
      </c>
      <c r="AB867" s="20">
        <f t="shared" si="153"/>
        <v>3.6797307428183434E-2</v>
      </c>
    </row>
    <row r="868" spans="1:28">
      <c r="A868" s="15" t="s">
        <v>180</v>
      </c>
      <c r="B868" s="15" t="s">
        <v>122</v>
      </c>
      <c r="C868" s="15" t="s">
        <v>119</v>
      </c>
      <c r="D868" s="16">
        <v>0.33110814419225598</v>
      </c>
      <c r="E868" s="16">
        <v>0.35955056179775302</v>
      </c>
      <c r="F868" s="16">
        <v>0.135849056603774</v>
      </c>
      <c r="G868" s="16">
        <v>0.26966292134831499</v>
      </c>
      <c r="H868" s="16">
        <v>0.32614171728545499</v>
      </c>
      <c r="I868" s="16">
        <v>0.26184861486216898</v>
      </c>
      <c r="J868" s="16">
        <v>0.69201564833677398</v>
      </c>
      <c r="K868" s="16">
        <v>0.68370456099614496</v>
      </c>
      <c r="L868" s="16">
        <v>0.81547756844040498</v>
      </c>
      <c r="M868" s="16">
        <v>0.55797101449275399</v>
      </c>
      <c r="N868" s="16">
        <v>0.43209876543209902</v>
      </c>
      <c r="O868" s="16">
        <v>1</v>
      </c>
      <c r="P868" s="17">
        <f t="shared" si="143"/>
        <v>0.28069350268162035</v>
      </c>
      <c r="Q868" s="17">
        <f t="shared" si="144"/>
        <v>0.7303992592577746</v>
      </c>
      <c r="R868" s="17">
        <f t="shared" si="145"/>
        <v>0.66335659330828434</v>
      </c>
      <c r="S868" s="17">
        <f>'02_지표정의'!$C$22*P868+'02_지표정의'!$C$23*Q868+'02_지표정의'!$C$24*R868</f>
        <v>0.6169931748602222</v>
      </c>
      <c r="T868" s="5">
        <f t="shared" si="146"/>
        <v>0</v>
      </c>
      <c r="U868" s="5" t="str">
        <f t="shared" si="147"/>
        <v>보고서</v>
      </c>
      <c r="V868" s="18">
        <f t="shared" si="148"/>
        <v>474</v>
      </c>
      <c r="W868" s="5">
        <f t="shared" si="149"/>
        <v>0</v>
      </c>
      <c r="X868" s="5">
        <f t="shared" si="150"/>
        <v>207</v>
      </c>
      <c r="Y868" s="5">
        <f t="shared" si="151"/>
        <v>356</v>
      </c>
      <c r="Z868" s="19">
        <f t="shared" si="152"/>
        <v>20</v>
      </c>
      <c r="AA868" s="20">
        <f>ABS(S868-SUMPRODUCT(('05B_가정검정'!$A$5:$A$19=B868)*('05B_가정검정'!$B$5:$B$19=C868)*'05B_가정검정'!$E$5:$E$19))</f>
        <v>1.8613013041229198E-2</v>
      </c>
      <c r="AB868" s="20">
        <f t="shared" si="153"/>
        <v>-1.4395691454663795E-2</v>
      </c>
    </row>
    <row r="869" spans="1:28">
      <c r="A869" s="15" t="s">
        <v>180</v>
      </c>
      <c r="B869" s="15" t="s">
        <v>123</v>
      </c>
      <c r="C869" s="15" t="s">
        <v>117</v>
      </c>
      <c r="D869" s="16">
        <v>0.233261339092873</v>
      </c>
      <c r="E869" s="16">
        <v>0.31756756756756799</v>
      </c>
      <c r="F869" s="16">
        <v>0.115646258503401</v>
      </c>
      <c r="G869" s="16">
        <v>0.25</v>
      </c>
      <c r="H869" s="16">
        <v>0.36030329102061198</v>
      </c>
      <c r="I869" s="16">
        <v>0.21031269255565699</v>
      </c>
      <c r="J869" s="16">
        <v>0.72132009691390298</v>
      </c>
      <c r="K869" s="16">
        <v>0.66457007087014897</v>
      </c>
      <c r="L869" s="16">
        <v>0.85688699902838406</v>
      </c>
      <c r="M869" s="16">
        <v>0.65986394557823103</v>
      </c>
      <c r="N869" s="16">
        <v>0.78571428571428603</v>
      </c>
      <c r="O869" s="16">
        <v>1</v>
      </c>
      <c r="P869" s="17">
        <f t="shared" si="143"/>
        <v>0.24784852479001848</v>
      </c>
      <c r="Q869" s="17">
        <f t="shared" si="144"/>
        <v>0.7475923889374787</v>
      </c>
      <c r="R869" s="17">
        <f t="shared" si="145"/>
        <v>0.81519274376417228</v>
      </c>
      <c r="S869" s="17">
        <f>'02_지표정의'!$C$22*P869+'02_지표정의'!$C$23*Q869+'02_지표정의'!$C$24*R869</f>
        <v>0.67130374029732942</v>
      </c>
      <c r="T869" s="5">
        <f t="shared" si="146"/>
        <v>0</v>
      </c>
      <c r="U869" s="5" t="str">
        <f t="shared" si="147"/>
        <v>보고서</v>
      </c>
      <c r="V869" s="18">
        <f t="shared" si="148"/>
        <v>723</v>
      </c>
      <c r="W869" s="5">
        <f t="shared" si="149"/>
        <v>516</v>
      </c>
      <c r="X869" s="5">
        <f t="shared" si="150"/>
        <v>402</v>
      </c>
      <c r="Y869" s="5">
        <f t="shared" si="151"/>
        <v>0</v>
      </c>
      <c r="Z869" s="19">
        <f t="shared" si="152"/>
        <v>8</v>
      </c>
      <c r="AA869" s="20">
        <f>ABS(S869-SUMPRODUCT(('05B_가정검정'!$A$5:$A$19=B869)*('05B_가정검정'!$B$5:$B$19=C869)*'05B_가정검정'!$E$5:$E$19))</f>
        <v>4.3619142478894313E-2</v>
      </c>
      <c r="AB869" s="20">
        <f t="shared" si="153"/>
        <v>-3.6681711513913751E-2</v>
      </c>
    </row>
    <row r="870" spans="1:28">
      <c r="A870" s="15" t="s">
        <v>180</v>
      </c>
      <c r="B870" s="15" t="s">
        <v>123</v>
      </c>
      <c r="C870" s="15" t="s">
        <v>118</v>
      </c>
      <c r="D870" s="16">
        <v>0.217440543601359</v>
      </c>
      <c r="E870" s="16">
        <v>0.256658595641647</v>
      </c>
      <c r="F870" s="16">
        <v>8.7591240875912399E-2</v>
      </c>
      <c r="G870" s="16">
        <v>0.20823244552058101</v>
      </c>
      <c r="H870" s="16">
        <v>0.18630519424538999</v>
      </c>
      <c r="I870" s="16">
        <v>0.162394779191984</v>
      </c>
      <c r="J870" s="16">
        <v>0.71803084579368404</v>
      </c>
      <c r="K870" s="16">
        <v>0.69409673129645499</v>
      </c>
      <c r="L870" s="16">
        <v>0.84710081743698895</v>
      </c>
      <c r="M870" s="16">
        <v>0.34275618374558298</v>
      </c>
      <c r="N870" s="16">
        <v>0.41984732824427501</v>
      </c>
      <c r="O870" s="16">
        <v>1</v>
      </c>
      <c r="P870" s="17">
        <f t="shared" si="143"/>
        <v>0.18643713317947888</v>
      </c>
      <c r="Q870" s="17">
        <f t="shared" si="144"/>
        <v>0.75307613150904273</v>
      </c>
      <c r="R870" s="17">
        <f t="shared" si="145"/>
        <v>0.58753450399661933</v>
      </c>
      <c r="S870" s="17">
        <f>'02_지표정의'!$C$22*P870+'02_지표정의'!$C$23*Q870+'02_지표정의'!$C$24*R870</f>
        <v>0.58180876221378175</v>
      </c>
      <c r="T870" s="5">
        <f t="shared" si="146"/>
        <v>0</v>
      </c>
      <c r="U870" s="5" t="str">
        <f t="shared" si="147"/>
        <v>보고서</v>
      </c>
      <c r="V870" s="18">
        <f t="shared" si="148"/>
        <v>326</v>
      </c>
      <c r="W870" s="5">
        <f t="shared" si="149"/>
        <v>265</v>
      </c>
      <c r="X870" s="5">
        <f t="shared" si="150"/>
        <v>0</v>
      </c>
      <c r="Y870" s="5">
        <f t="shared" si="151"/>
        <v>246</v>
      </c>
      <c r="Z870" s="19">
        <f t="shared" si="152"/>
        <v>36</v>
      </c>
      <c r="AA870" s="20">
        <f>ABS(S870-SUMPRODUCT(('05B_가정검정'!$A$5:$A$19=B870)*('05B_가정검정'!$B$5:$B$19=C870)*'05B_가정검정'!$E$5:$E$19))</f>
        <v>6.5099353348120337E-3</v>
      </c>
      <c r="AB870" s="20">
        <f t="shared" si="153"/>
        <v>2.1937154289290661E-2</v>
      </c>
    </row>
    <row r="871" spans="1:28">
      <c r="A871" s="15" t="s">
        <v>180</v>
      </c>
      <c r="B871" s="15" t="s">
        <v>123</v>
      </c>
      <c r="C871" s="15" t="s">
        <v>119</v>
      </c>
      <c r="D871" s="16">
        <v>0.28297362110311802</v>
      </c>
      <c r="E871" s="16">
        <v>0.46052631578947401</v>
      </c>
      <c r="F871" s="16">
        <v>0.211920529801325</v>
      </c>
      <c r="G871" s="16">
        <v>0.34868421052631599</v>
      </c>
      <c r="H871" s="16">
        <v>0.366927139191975</v>
      </c>
      <c r="I871" s="16">
        <v>0.33293178214034902</v>
      </c>
      <c r="J871" s="16">
        <v>0.72218103530636901</v>
      </c>
      <c r="K871" s="16">
        <v>0.70396940483650505</v>
      </c>
      <c r="L871" s="16">
        <v>0.86928303680485897</v>
      </c>
      <c r="M871" s="16">
        <v>0.70289855072463803</v>
      </c>
      <c r="N871" s="16">
        <v>0.67901234567901203</v>
      </c>
      <c r="O871" s="16">
        <v>1</v>
      </c>
      <c r="P871" s="17">
        <f t="shared" si="143"/>
        <v>0.33399393309209291</v>
      </c>
      <c r="Q871" s="17">
        <f t="shared" si="144"/>
        <v>0.76514449231591097</v>
      </c>
      <c r="R871" s="17">
        <f t="shared" si="145"/>
        <v>0.79397029880121661</v>
      </c>
      <c r="S871" s="17">
        <f>'02_지표정의'!$C$22*P871+'02_지표정의'!$C$23*Q871+'02_지표정의'!$C$24*R871</f>
        <v>0.6890034127410043</v>
      </c>
      <c r="T871" s="5">
        <f t="shared" si="146"/>
        <v>1</v>
      </c>
      <c r="U871" s="5" t="str">
        <f t="shared" si="147"/>
        <v>보고서</v>
      </c>
      <c r="V871" s="18">
        <f t="shared" si="148"/>
        <v>783</v>
      </c>
      <c r="W871" s="5">
        <f t="shared" si="149"/>
        <v>0</v>
      </c>
      <c r="X871" s="5">
        <f t="shared" si="150"/>
        <v>459</v>
      </c>
      <c r="Y871" s="5">
        <f t="shared" si="151"/>
        <v>565</v>
      </c>
      <c r="Z871" s="19">
        <f t="shared" si="152"/>
        <v>36</v>
      </c>
      <c r="AA871" s="20">
        <f>ABS(S871-SUMPRODUCT(('05B_가정검정'!$A$5:$A$19=B871)*('05B_가정검정'!$B$5:$B$19=C871)*'05B_가정검정'!$E$5:$E$19))</f>
        <v>3.3736154167769428E-3</v>
      </c>
      <c r="AB871" s="20">
        <f t="shared" si="153"/>
        <v>6.5846796960025156E-3</v>
      </c>
    </row>
    <row r="872" spans="1:28">
      <c r="A872" s="15" t="s">
        <v>181</v>
      </c>
      <c r="B872" s="15" t="s">
        <v>116</v>
      </c>
      <c r="C872" s="15" t="s">
        <v>117</v>
      </c>
      <c r="D872" s="16">
        <v>0.23767383059418501</v>
      </c>
      <c r="E872" s="16">
        <v>0.32388663967611298</v>
      </c>
      <c r="F872" s="16">
        <v>0.122448979591837</v>
      </c>
      <c r="G872" s="16">
        <v>0.25910931174089102</v>
      </c>
      <c r="H872" s="16">
        <v>0.23636963277374801</v>
      </c>
      <c r="I872" s="16">
        <v>0.19850837196839999</v>
      </c>
      <c r="J872" s="16">
        <v>0.63391384239391202</v>
      </c>
      <c r="K872" s="16">
        <v>0.57310414508512897</v>
      </c>
      <c r="L872" s="16">
        <v>0.73104170564864401</v>
      </c>
      <c r="M872" s="16">
        <v>0.51515151515151503</v>
      </c>
      <c r="N872" s="16">
        <v>0.213483146067416</v>
      </c>
      <c r="O872" s="16">
        <v>1</v>
      </c>
      <c r="P872" s="17">
        <f t="shared" si="143"/>
        <v>0.22966612772419567</v>
      </c>
      <c r="Q872" s="17">
        <f t="shared" si="144"/>
        <v>0.6460198977092283</v>
      </c>
      <c r="R872" s="17">
        <f t="shared" si="145"/>
        <v>0.57621155373964372</v>
      </c>
      <c r="S872" s="17">
        <f>'02_지표정의'!$C$22*P872+'02_지표정의'!$C$23*Q872+'02_지표정의'!$C$24*R872</f>
        <v>0.53831622332286722</v>
      </c>
      <c r="T872" s="5">
        <f t="shared" si="146"/>
        <v>0</v>
      </c>
      <c r="U872" s="5" t="str">
        <f t="shared" si="147"/>
        <v>보고서</v>
      </c>
      <c r="V872" s="18">
        <f t="shared" si="148"/>
        <v>162</v>
      </c>
      <c r="W872" s="5">
        <f t="shared" si="149"/>
        <v>142</v>
      </c>
      <c r="X872" s="5">
        <f t="shared" si="150"/>
        <v>36</v>
      </c>
      <c r="Y872" s="5">
        <f t="shared" si="151"/>
        <v>0</v>
      </c>
      <c r="Z872" s="19">
        <f t="shared" si="152"/>
        <v>15</v>
      </c>
      <c r="AA872" s="20">
        <f>ABS(S872-SUMPRODUCT(('05B_가정검정'!$A$5:$A$19=B872)*('05B_가정검정'!$B$5:$B$19=C872)*'05B_가정검정'!$E$5:$E$19))</f>
        <v>1.9087481662100059E-2</v>
      </c>
      <c r="AB872" s="20">
        <f t="shared" si="153"/>
        <v>-1.4234942089756175E-2</v>
      </c>
    </row>
    <row r="873" spans="1:28">
      <c r="A873" s="15" t="s">
        <v>181</v>
      </c>
      <c r="B873" s="15" t="s">
        <v>116</v>
      </c>
      <c r="C873" s="15" t="s">
        <v>118</v>
      </c>
      <c r="D873" s="16">
        <v>0.25057471264367798</v>
      </c>
      <c r="E873" s="16">
        <v>0.31023102310230999</v>
      </c>
      <c r="F873" s="16">
        <v>0.112956810631229</v>
      </c>
      <c r="G873" s="16">
        <v>0.21782178217821799</v>
      </c>
      <c r="H873" s="16">
        <v>0.14283827608430699</v>
      </c>
      <c r="I873" s="16">
        <v>0.23839825837883899</v>
      </c>
      <c r="J873" s="16">
        <v>0.63400223434922398</v>
      </c>
      <c r="K873" s="16">
        <v>0.67242094267939101</v>
      </c>
      <c r="L873" s="16">
        <v>0.78486719021262097</v>
      </c>
      <c r="M873" s="16">
        <v>0.44664031620553402</v>
      </c>
      <c r="N873" s="16">
        <v>7.2463768115942403E-3</v>
      </c>
      <c r="O873" s="16">
        <v>1</v>
      </c>
      <c r="P873" s="17">
        <f t="shared" si="143"/>
        <v>0.21213681050309682</v>
      </c>
      <c r="Q873" s="17">
        <f t="shared" si="144"/>
        <v>0.69709678908041195</v>
      </c>
      <c r="R873" s="17">
        <f t="shared" si="145"/>
        <v>0.4846288976723761</v>
      </c>
      <c r="S873" s="17">
        <f>'02_지표정의'!$C$22*P873+'02_지표정의'!$C$23*Q873+'02_지표정의'!$C$24*R873</f>
        <v>0.52574103137213646</v>
      </c>
      <c r="T873" s="5">
        <f t="shared" si="146"/>
        <v>0</v>
      </c>
      <c r="U873" s="5" t="str">
        <f t="shared" si="147"/>
        <v>보고서</v>
      </c>
      <c r="V873" s="18">
        <f t="shared" si="148"/>
        <v>119</v>
      </c>
      <c r="W873" s="5">
        <f t="shared" si="149"/>
        <v>108</v>
      </c>
      <c r="X873" s="5">
        <f t="shared" si="150"/>
        <v>0</v>
      </c>
      <c r="Y873" s="5">
        <f t="shared" si="151"/>
        <v>107</v>
      </c>
      <c r="Z873" s="19">
        <f t="shared" si="152"/>
        <v>31</v>
      </c>
      <c r="AA873" s="20">
        <f>ABS(S873-SUMPRODUCT(('05B_가정검정'!$A$5:$A$19=B873)*('05B_가정검정'!$B$5:$B$19=C873)*'05B_가정검정'!$E$5:$E$19))</f>
        <v>5.5513903295851819E-3</v>
      </c>
      <c r="AB873" s="20">
        <f t="shared" si="153"/>
        <v>-1.8080010064498442E-3</v>
      </c>
    </row>
    <row r="874" spans="1:28">
      <c r="A874" s="15" t="s">
        <v>181</v>
      </c>
      <c r="B874" s="15" t="s">
        <v>116</v>
      </c>
      <c r="C874" s="15" t="s">
        <v>119</v>
      </c>
      <c r="D874" s="16">
        <v>0.32478632478632502</v>
      </c>
      <c r="E874" s="16">
        <v>0.41295546558704499</v>
      </c>
      <c r="F874" s="16">
        <v>0.19591836734693899</v>
      </c>
      <c r="G874" s="16">
        <v>0.31578947368421101</v>
      </c>
      <c r="H874" s="16">
        <v>0.27528730910146598</v>
      </c>
      <c r="I874" s="16">
        <v>0.23622208746713499</v>
      </c>
      <c r="J874" s="16">
        <v>0.69176474265306498</v>
      </c>
      <c r="K874" s="16">
        <v>0.64242587564356601</v>
      </c>
      <c r="L874" s="16">
        <v>0.80142730915218496</v>
      </c>
      <c r="M874" s="16">
        <v>0.51515151515151503</v>
      </c>
      <c r="N874" s="16">
        <v>0</v>
      </c>
      <c r="O874" s="16">
        <v>1</v>
      </c>
      <c r="P874" s="17">
        <f t="shared" si="143"/>
        <v>0.2934931713288535</v>
      </c>
      <c r="Q874" s="17">
        <f t="shared" si="144"/>
        <v>0.71187264248293858</v>
      </c>
      <c r="R874" s="17">
        <f t="shared" si="145"/>
        <v>0.50505050505050508</v>
      </c>
      <c r="S874" s="17">
        <f>'02_지표정의'!$C$22*P874+'02_지표정의'!$C$23*Q874+'02_지표정의'!$C$24*R874</f>
        <v>0.55580900015076984</v>
      </c>
      <c r="T874" s="5">
        <f t="shared" si="146"/>
        <v>0</v>
      </c>
      <c r="U874" s="5" t="str">
        <f t="shared" si="147"/>
        <v>보고서</v>
      </c>
      <c r="V874" s="18">
        <f t="shared" si="148"/>
        <v>235</v>
      </c>
      <c r="W874" s="5">
        <f t="shared" si="149"/>
        <v>0</v>
      </c>
      <c r="X874" s="5">
        <f t="shared" si="150"/>
        <v>82</v>
      </c>
      <c r="Y874" s="5">
        <f t="shared" si="151"/>
        <v>196</v>
      </c>
      <c r="Z874" s="19">
        <f t="shared" si="152"/>
        <v>35</v>
      </c>
      <c r="AA874" s="20">
        <f>ABS(S874-SUMPRODUCT(('05B_가정검정'!$A$5:$A$19=B874)*('05B_가정검정'!$B$5:$B$19=C874)*'05B_가정검정'!$E$5:$E$19))</f>
        <v>2.7854834079872326E-3</v>
      </c>
      <c r="AB874" s="20">
        <f t="shared" si="153"/>
        <v>-6.4348352541021558E-4</v>
      </c>
    </row>
    <row r="875" spans="1:28">
      <c r="A875" s="15" t="s">
        <v>181</v>
      </c>
      <c r="B875" s="15" t="s">
        <v>120</v>
      </c>
      <c r="C875" s="15" t="s">
        <v>117</v>
      </c>
      <c r="D875" s="16">
        <v>0.26223091976516599</v>
      </c>
      <c r="E875" s="16">
        <v>0.35158501440922202</v>
      </c>
      <c r="F875" s="16">
        <v>9.8550724637681206E-2</v>
      </c>
      <c r="G875" s="16">
        <v>0.19596541786743499</v>
      </c>
      <c r="H875" s="16">
        <v>0.313722430065005</v>
      </c>
      <c r="I875" s="16">
        <v>0.22468215927663801</v>
      </c>
      <c r="J875" s="16">
        <v>0.69924717933043201</v>
      </c>
      <c r="K875" s="16">
        <v>0.667605616562985</v>
      </c>
      <c r="L875" s="16">
        <v>0.86190942444984997</v>
      </c>
      <c r="M875" s="16">
        <v>0.76576576576576605</v>
      </c>
      <c r="N875" s="16">
        <v>0.79032258064516103</v>
      </c>
      <c r="O875" s="16">
        <v>1</v>
      </c>
      <c r="P875" s="17">
        <f t="shared" si="143"/>
        <v>0.24112277767019119</v>
      </c>
      <c r="Q875" s="17">
        <f t="shared" si="144"/>
        <v>0.74292074011442233</v>
      </c>
      <c r="R875" s="17">
        <f t="shared" si="145"/>
        <v>0.85202944880364229</v>
      </c>
      <c r="S875" s="17">
        <f>'02_지표정의'!$C$22*P875+'02_지표정의'!$C$23*Q875+'02_지표정의'!$C$24*R875</f>
        <v>0.68074919566680303</v>
      </c>
      <c r="T875" s="5">
        <f t="shared" si="146"/>
        <v>0</v>
      </c>
      <c r="U875" s="5" t="str">
        <f t="shared" si="147"/>
        <v>보고서</v>
      </c>
      <c r="V875" s="18">
        <f t="shared" si="148"/>
        <v>761</v>
      </c>
      <c r="W875" s="5">
        <f t="shared" si="149"/>
        <v>534</v>
      </c>
      <c r="X875" s="5">
        <f t="shared" si="150"/>
        <v>437</v>
      </c>
      <c r="Y875" s="5">
        <f t="shared" si="151"/>
        <v>0</v>
      </c>
      <c r="Z875" s="19">
        <f t="shared" si="152"/>
        <v>62</v>
      </c>
      <c r="AA875" s="20">
        <f>ABS(S875-SUMPRODUCT(('05B_가정검정'!$A$5:$A$19=B875)*('05B_가정검정'!$B$5:$B$19=C875)*'05B_가정검정'!$E$5:$E$19))</f>
        <v>5.2700235609681956E-2</v>
      </c>
      <c r="AB875" s="20">
        <f t="shared" si="153"/>
        <v>4.9446492242045892E-2</v>
      </c>
    </row>
    <row r="876" spans="1:28">
      <c r="A876" s="15" t="s">
        <v>181</v>
      </c>
      <c r="B876" s="15" t="s">
        <v>120</v>
      </c>
      <c r="C876" s="15" t="s">
        <v>118</v>
      </c>
      <c r="D876" s="16">
        <v>0.268846503178928</v>
      </c>
      <c r="E876" s="16">
        <v>0.29776674937965297</v>
      </c>
      <c r="F876" s="16">
        <v>0.119700748129676</v>
      </c>
      <c r="G876" s="16">
        <v>0.22332506203474001</v>
      </c>
      <c r="H876" s="16">
        <v>0.19911539735738301</v>
      </c>
      <c r="I876" s="16">
        <v>0.267080378608471</v>
      </c>
      <c r="J876" s="16">
        <v>0.70805477121400295</v>
      </c>
      <c r="K876" s="16">
        <v>0.71376205103615198</v>
      </c>
      <c r="L876" s="16">
        <v>0.84186594025083095</v>
      </c>
      <c r="M876" s="16">
        <v>0.42292490118577097</v>
      </c>
      <c r="N876" s="16">
        <v>0.42753623188405798</v>
      </c>
      <c r="O876" s="16">
        <v>1</v>
      </c>
      <c r="P876" s="17">
        <f t="shared" si="143"/>
        <v>0.22930580644814183</v>
      </c>
      <c r="Q876" s="17">
        <f t="shared" si="144"/>
        <v>0.75456092083366189</v>
      </c>
      <c r="R876" s="17">
        <f t="shared" si="145"/>
        <v>0.61682037768994302</v>
      </c>
      <c r="S876" s="17">
        <f>'02_지표정의'!$C$22*P876+'02_지표정의'!$C$23*Q876+'02_지표정의'!$C$24*R876</f>
        <v>0.60130070785625622</v>
      </c>
      <c r="T876" s="5">
        <f t="shared" si="146"/>
        <v>0</v>
      </c>
      <c r="U876" s="5" t="str">
        <f t="shared" si="147"/>
        <v>보고서</v>
      </c>
      <c r="V876" s="18">
        <f t="shared" si="148"/>
        <v>396</v>
      </c>
      <c r="W876" s="5">
        <f t="shared" si="149"/>
        <v>321</v>
      </c>
      <c r="X876" s="5">
        <f t="shared" si="150"/>
        <v>0</v>
      </c>
      <c r="Y876" s="5">
        <f t="shared" si="151"/>
        <v>303</v>
      </c>
      <c r="Z876" s="19">
        <f t="shared" si="152"/>
        <v>38</v>
      </c>
      <c r="AA876" s="20">
        <f>ABS(S876-SUMPRODUCT(('05B_가정검정'!$A$5:$A$19=B876)*('05B_가정검정'!$B$5:$B$19=C876)*'05B_가정검정'!$E$5:$E$19))</f>
        <v>1.0471859274628237E-2</v>
      </c>
      <c r="AB876" s="20">
        <f t="shared" si="153"/>
        <v>2.6409931894145422E-2</v>
      </c>
    </row>
    <row r="877" spans="1:28">
      <c r="A877" s="15" t="s">
        <v>181</v>
      </c>
      <c r="B877" s="15" t="s">
        <v>120</v>
      </c>
      <c r="C877" s="15" t="s">
        <v>119</v>
      </c>
      <c r="D877" s="16">
        <v>0.33654876741693501</v>
      </c>
      <c r="E877" s="16">
        <v>0.42651296829971203</v>
      </c>
      <c r="F877" s="16">
        <v>0.19130434782608699</v>
      </c>
      <c r="G877" s="16">
        <v>0.29971181556196003</v>
      </c>
      <c r="H877" s="16">
        <v>0.36071720766296</v>
      </c>
      <c r="I877" s="16">
        <v>0.23277085940573</v>
      </c>
      <c r="J877" s="16">
        <v>0.72351388078833601</v>
      </c>
      <c r="K877" s="16">
        <v>0.67968522515673901</v>
      </c>
      <c r="L877" s="16">
        <v>0.85751060040235305</v>
      </c>
      <c r="M877" s="16">
        <v>0.67391304347826098</v>
      </c>
      <c r="N877" s="16">
        <v>0.58024691358024705</v>
      </c>
      <c r="O877" s="16">
        <v>1</v>
      </c>
      <c r="P877" s="17">
        <f t="shared" si="143"/>
        <v>0.30792766102889729</v>
      </c>
      <c r="Q877" s="17">
        <f t="shared" si="144"/>
        <v>0.75356990211580932</v>
      </c>
      <c r="R877" s="17">
        <f t="shared" si="145"/>
        <v>0.75138665235283597</v>
      </c>
      <c r="S877" s="17">
        <f>'02_지표정의'!$C$22*P877+'02_지표정의'!$C$23*Q877+'02_지표정의'!$C$24*R877</f>
        <v>0.66367731648138628</v>
      </c>
      <c r="T877" s="5">
        <f t="shared" si="146"/>
        <v>0</v>
      </c>
      <c r="U877" s="5" t="str">
        <f t="shared" si="147"/>
        <v>보고서</v>
      </c>
      <c r="V877" s="18">
        <f t="shared" si="148"/>
        <v>689</v>
      </c>
      <c r="W877" s="5">
        <f t="shared" si="149"/>
        <v>0</v>
      </c>
      <c r="X877" s="5">
        <f t="shared" si="150"/>
        <v>370</v>
      </c>
      <c r="Y877" s="5">
        <f t="shared" si="151"/>
        <v>508</v>
      </c>
      <c r="Z877" s="19">
        <f t="shared" si="152"/>
        <v>33</v>
      </c>
      <c r="AA877" s="20">
        <f>ABS(S877-SUMPRODUCT(('05B_가정검정'!$A$5:$A$19=B877)*('05B_가정검정'!$B$5:$B$19=C877)*'05B_가정검정'!$E$5:$E$19))</f>
        <v>0</v>
      </c>
      <c r="AB877" s="20">
        <f t="shared" si="153"/>
        <v>5.2543089705706647E-3</v>
      </c>
    </row>
    <row r="878" spans="1:28">
      <c r="A878" s="15" t="s">
        <v>181</v>
      </c>
      <c r="B878" s="15" t="s">
        <v>121</v>
      </c>
      <c r="C878" s="15" t="s">
        <v>117</v>
      </c>
      <c r="D878" s="16">
        <v>0.235705950991832</v>
      </c>
      <c r="E878" s="16">
        <v>0.34615384615384598</v>
      </c>
      <c r="F878" s="16">
        <v>0.124031007751938</v>
      </c>
      <c r="G878" s="16">
        <v>0.253846153846154</v>
      </c>
      <c r="H878" s="16">
        <v>0.30049800524084402</v>
      </c>
      <c r="I878" s="16">
        <v>0.18203375620280701</v>
      </c>
      <c r="J878" s="16">
        <v>0.73872583824140703</v>
      </c>
      <c r="K878" s="16">
        <v>0.68199037930585305</v>
      </c>
      <c r="L878" s="16">
        <v>0.83759774360178896</v>
      </c>
      <c r="M878" s="16">
        <v>0.90654205607476601</v>
      </c>
      <c r="N878" s="16">
        <v>0.91666666666666696</v>
      </c>
      <c r="O878" s="16">
        <v>1</v>
      </c>
      <c r="P878" s="17">
        <f t="shared" si="143"/>
        <v>0.24037812003123682</v>
      </c>
      <c r="Q878" s="17">
        <f t="shared" si="144"/>
        <v>0.75277132038301631</v>
      </c>
      <c r="R878" s="17">
        <f t="shared" si="145"/>
        <v>0.94106957424714432</v>
      </c>
      <c r="S878" s="17">
        <f>'02_지표정의'!$C$22*P878+'02_지표정의'!$C$23*Q878+'02_지표정의'!$C$24*R878</f>
        <v>0.71619706916510517</v>
      </c>
      <c r="T878" s="5">
        <f t="shared" si="146"/>
        <v>1</v>
      </c>
      <c r="U878" s="5" t="str">
        <f t="shared" si="147"/>
        <v>보고서</v>
      </c>
      <c r="V878" s="18">
        <f t="shared" si="148"/>
        <v>863</v>
      </c>
      <c r="W878" s="5">
        <f t="shared" si="149"/>
        <v>574</v>
      </c>
      <c r="X878" s="5">
        <f t="shared" si="150"/>
        <v>538</v>
      </c>
      <c r="Y878" s="5">
        <f t="shared" si="151"/>
        <v>0</v>
      </c>
      <c r="Z878" s="19">
        <f t="shared" si="152"/>
        <v>20</v>
      </c>
      <c r="AA878" s="20">
        <f>ABS(S878-SUMPRODUCT(('05B_가정검정'!$A$5:$A$19=B878)*('05B_가정검정'!$B$5:$B$19=C878)*'05B_가정검정'!$E$5:$E$19))</f>
        <v>1.3235002216775982E-2</v>
      </c>
      <c r="AB878" s="20">
        <f t="shared" si="153"/>
        <v>-1.4547239077757901E-3</v>
      </c>
    </row>
    <row r="879" spans="1:28">
      <c r="A879" s="15" t="s">
        <v>181</v>
      </c>
      <c r="B879" s="15" t="s">
        <v>121</v>
      </c>
      <c r="C879" s="15" t="s">
        <v>118</v>
      </c>
      <c r="D879" s="16">
        <v>0.25854700854700902</v>
      </c>
      <c r="E879" s="16">
        <v>0.246835443037975</v>
      </c>
      <c r="F879" s="16">
        <v>0.10828025477707</v>
      </c>
      <c r="G879" s="16">
        <v>0.240506329113924</v>
      </c>
      <c r="H879" s="16">
        <v>0.17354495678721801</v>
      </c>
      <c r="I879" s="16">
        <v>0.224464153343676</v>
      </c>
      <c r="J879" s="16">
        <v>0.74544176855023403</v>
      </c>
      <c r="K879" s="16">
        <v>0.746411853506734</v>
      </c>
      <c r="L879" s="16">
        <v>0.87768361260776695</v>
      </c>
      <c r="M879" s="16">
        <v>0.38339920948616601</v>
      </c>
      <c r="N879" s="16">
        <v>0.39855072463768099</v>
      </c>
      <c r="O879" s="16">
        <v>1</v>
      </c>
      <c r="P879" s="17">
        <f t="shared" si="143"/>
        <v>0.20869635760114535</v>
      </c>
      <c r="Q879" s="17">
        <f t="shared" si="144"/>
        <v>0.78984574488824499</v>
      </c>
      <c r="R879" s="17">
        <f t="shared" si="145"/>
        <v>0.59398331137461569</v>
      </c>
      <c r="S879" s="17">
        <f>'02_지표정의'!$C$22*P879+'02_지표정의'!$C$23*Q879+'02_지표정의'!$C$24*R879</f>
        <v>0.60506401570105484</v>
      </c>
      <c r="T879" s="5">
        <f t="shared" si="146"/>
        <v>0</v>
      </c>
      <c r="U879" s="5" t="str">
        <f t="shared" si="147"/>
        <v>보고서</v>
      </c>
      <c r="V879" s="18">
        <f t="shared" si="148"/>
        <v>412</v>
      </c>
      <c r="W879" s="5">
        <f t="shared" si="149"/>
        <v>333</v>
      </c>
      <c r="X879" s="5">
        <f t="shared" si="150"/>
        <v>0</v>
      </c>
      <c r="Y879" s="5">
        <f t="shared" si="151"/>
        <v>313</v>
      </c>
      <c r="Z879" s="19">
        <f t="shared" si="152"/>
        <v>36</v>
      </c>
      <c r="AA879" s="20">
        <f>ABS(S879-SUMPRODUCT(('05B_가정검정'!$A$5:$A$19=B879)*('05B_가정검정'!$B$5:$B$19=C879)*'05B_가정검정'!$E$5:$E$19))</f>
        <v>6.484525534086405E-3</v>
      </c>
      <c r="AB879" s="20">
        <f t="shared" si="153"/>
        <v>2.5664941174241562E-2</v>
      </c>
    </row>
    <row r="880" spans="1:28">
      <c r="A880" s="15" t="s">
        <v>181</v>
      </c>
      <c r="B880" s="15" t="s">
        <v>121</v>
      </c>
      <c r="C880" s="15" t="s">
        <v>119</v>
      </c>
      <c r="D880" s="16">
        <v>0.359375</v>
      </c>
      <c r="E880" s="16">
        <v>0.43846153846153901</v>
      </c>
      <c r="F880" s="16">
        <v>0.209302325581395</v>
      </c>
      <c r="G880" s="16">
        <v>0.30769230769230799</v>
      </c>
      <c r="H880" s="16">
        <v>0.36282468220192798</v>
      </c>
      <c r="I880" s="16">
        <v>0.237859425794993</v>
      </c>
      <c r="J880" s="16">
        <v>0.78639993196581304</v>
      </c>
      <c r="K880" s="16">
        <v>0.74203933608123396</v>
      </c>
      <c r="L880" s="16">
        <v>0.879165050760915</v>
      </c>
      <c r="M880" s="16">
        <v>0.70289855072463803</v>
      </c>
      <c r="N880" s="16">
        <v>0.67901234567901203</v>
      </c>
      <c r="O880" s="16">
        <v>1</v>
      </c>
      <c r="P880" s="17">
        <f t="shared" si="143"/>
        <v>0.31925254662202718</v>
      </c>
      <c r="Q880" s="17">
        <f t="shared" si="144"/>
        <v>0.8025347729359873</v>
      </c>
      <c r="R880" s="17">
        <f t="shared" si="145"/>
        <v>0.79397029880121661</v>
      </c>
      <c r="S880" s="17">
        <f>'02_지표정의'!$C$22*P880+'02_지표정의'!$C$23*Q880+'02_지표정의'!$C$24*R880</f>
        <v>0.70288076172602554</v>
      </c>
      <c r="T880" s="5">
        <f t="shared" si="146"/>
        <v>0</v>
      </c>
      <c r="U880" s="5" t="str">
        <f t="shared" si="147"/>
        <v>보고서</v>
      </c>
      <c r="V880" s="18">
        <f t="shared" si="148"/>
        <v>830</v>
      </c>
      <c r="W880" s="5">
        <f t="shared" si="149"/>
        <v>0</v>
      </c>
      <c r="X880" s="5">
        <f t="shared" si="150"/>
        <v>505</v>
      </c>
      <c r="Y880" s="5">
        <f t="shared" si="151"/>
        <v>599</v>
      </c>
      <c r="Z880" s="19">
        <f t="shared" si="152"/>
        <v>42</v>
      </c>
      <c r="AA880" s="20">
        <f>ABS(S880-SUMPRODUCT(('05B_가정검정'!$A$5:$A$19=B880)*('05B_가정검정'!$B$5:$B$19=C880)*'05B_가정검정'!$E$5:$E$19))</f>
        <v>1.0560918930171859E-2</v>
      </c>
      <c r="AB880" s="20">
        <f t="shared" si="153"/>
        <v>1.4643786306414497E-2</v>
      </c>
    </row>
    <row r="881" spans="1:28">
      <c r="A881" s="15" t="s">
        <v>181</v>
      </c>
      <c r="B881" s="15" t="s">
        <v>122</v>
      </c>
      <c r="C881" s="15" t="s">
        <v>117</v>
      </c>
      <c r="D881" s="16">
        <v>0.248837209302326</v>
      </c>
      <c r="E881" s="16">
        <v>0.29757785467128001</v>
      </c>
      <c r="F881" s="16">
        <v>6.9686411149825794E-2</v>
      </c>
      <c r="G881" s="16">
        <v>0.207612456747405</v>
      </c>
      <c r="H881" s="16">
        <v>0.277498371355132</v>
      </c>
      <c r="I881" s="16">
        <v>0.17395988964731901</v>
      </c>
      <c r="J881" s="16">
        <v>0.72279908866924303</v>
      </c>
      <c r="K881" s="16">
        <v>0.64450712821554901</v>
      </c>
      <c r="L881" s="16">
        <v>0.84542767592149104</v>
      </c>
      <c r="M881" s="16">
        <v>0.747899159663866</v>
      </c>
      <c r="N881" s="16">
        <v>0.74242424242424199</v>
      </c>
      <c r="O881" s="16">
        <v>1</v>
      </c>
      <c r="P881" s="17">
        <f t="shared" si="143"/>
        <v>0.21252869881221467</v>
      </c>
      <c r="Q881" s="17">
        <f t="shared" si="144"/>
        <v>0.7375779642687611</v>
      </c>
      <c r="R881" s="17">
        <f t="shared" si="145"/>
        <v>0.83010780069603596</v>
      </c>
      <c r="S881" s="17">
        <f>'02_지표정의'!$C$22*P881+'02_지표정의'!$C$23*Q881+'02_지표정의'!$C$24*R881</f>
        <v>0.66495355392699795</v>
      </c>
      <c r="T881" s="5">
        <f t="shared" si="146"/>
        <v>0</v>
      </c>
      <c r="U881" s="5" t="str">
        <f t="shared" si="147"/>
        <v>보고서</v>
      </c>
      <c r="V881" s="18">
        <f t="shared" si="148"/>
        <v>691</v>
      </c>
      <c r="W881" s="5">
        <f t="shared" si="149"/>
        <v>502</v>
      </c>
      <c r="X881" s="5">
        <f t="shared" si="150"/>
        <v>372</v>
      </c>
      <c r="Y881" s="5">
        <f t="shared" si="151"/>
        <v>0</v>
      </c>
      <c r="Z881" s="19">
        <f t="shared" si="152"/>
        <v>57</v>
      </c>
      <c r="AA881" s="20">
        <f>ABS(S881-SUMPRODUCT(('05B_가정검정'!$A$5:$A$19=B881)*('05B_가정검정'!$B$5:$B$19=C881)*'05B_가정검정'!$E$5:$E$19))</f>
        <v>2.5600599218319475E-2</v>
      </c>
      <c r="AB881" s="20">
        <f t="shared" si="153"/>
        <v>4.2071931737351798E-2</v>
      </c>
    </row>
    <row r="882" spans="1:28">
      <c r="A882" s="15" t="s">
        <v>181</v>
      </c>
      <c r="B882" s="15" t="s">
        <v>122</v>
      </c>
      <c r="C882" s="15" t="s">
        <v>118</v>
      </c>
      <c r="D882" s="16">
        <v>0.30244941427050098</v>
      </c>
      <c r="E882" s="16">
        <v>0.30144927536231902</v>
      </c>
      <c r="F882" s="16">
        <v>0.122448979591837</v>
      </c>
      <c r="G882" s="16">
        <v>0.24347826086956501</v>
      </c>
      <c r="H882" s="16">
        <v>0.17923205709530099</v>
      </c>
      <c r="I882" s="16">
        <v>0.26415348012336998</v>
      </c>
      <c r="J882" s="16">
        <v>0.72136000593426897</v>
      </c>
      <c r="K882" s="16">
        <v>0.71383708760401299</v>
      </c>
      <c r="L882" s="16">
        <v>0.84625399424408998</v>
      </c>
      <c r="M882" s="16">
        <v>0.41501976284585002</v>
      </c>
      <c r="N882" s="16">
        <v>0.34782608695652201</v>
      </c>
      <c r="O882" s="16">
        <v>1</v>
      </c>
      <c r="P882" s="17">
        <f t="shared" si="143"/>
        <v>0.23553524455214883</v>
      </c>
      <c r="Q882" s="17">
        <f t="shared" si="144"/>
        <v>0.76048369592745735</v>
      </c>
      <c r="R882" s="17">
        <f t="shared" si="145"/>
        <v>0.58761528326745738</v>
      </c>
      <c r="S882" s="17">
        <f>'02_지표정의'!$C$22*P882+'02_지표정의'!$C$23*Q882+'02_지표정의'!$C$24*R882</f>
        <v>0.59499006122139564</v>
      </c>
      <c r="T882" s="5">
        <f t="shared" si="146"/>
        <v>1</v>
      </c>
      <c r="U882" s="5" t="str">
        <f t="shared" si="147"/>
        <v>보고서</v>
      </c>
      <c r="V882" s="18">
        <f t="shared" si="148"/>
        <v>368</v>
      </c>
      <c r="W882" s="5">
        <f t="shared" si="149"/>
        <v>297</v>
      </c>
      <c r="X882" s="5">
        <f t="shared" si="150"/>
        <v>0</v>
      </c>
      <c r="Y882" s="5">
        <f t="shared" si="151"/>
        <v>283</v>
      </c>
      <c r="Z882" s="19">
        <f t="shared" si="152"/>
        <v>39</v>
      </c>
      <c r="AA882" s="20">
        <f>ABS(S882-SUMPRODUCT(('05B_가정검정'!$A$5:$A$19=B882)*('05B_가정검정'!$B$5:$B$19=C882)*'05B_가정검정'!$E$5:$E$19))</f>
        <v>8.068125224237388E-3</v>
      </c>
      <c r="AB882" s="20">
        <f t="shared" si="153"/>
        <v>1.3766785003711868E-2</v>
      </c>
    </row>
    <row r="883" spans="1:28">
      <c r="A883" s="15" t="s">
        <v>181</v>
      </c>
      <c r="B883" s="15" t="s">
        <v>122</v>
      </c>
      <c r="C883" s="15" t="s">
        <v>119</v>
      </c>
      <c r="D883" s="16">
        <v>0.337224383916991</v>
      </c>
      <c r="E883" s="16">
        <v>0.40138408304498302</v>
      </c>
      <c r="F883" s="16">
        <v>0.15331010452961699</v>
      </c>
      <c r="G883" s="16">
        <v>0.28373702422145303</v>
      </c>
      <c r="H883" s="16">
        <v>0.32700472924979401</v>
      </c>
      <c r="I883" s="16">
        <v>0.214163221963486</v>
      </c>
      <c r="J883" s="16">
        <v>0.72341498394312298</v>
      </c>
      <c r="K883" s="16">
        <v>0.69621076018897299</v>
      </c>
      <c r="L883" s="16">
        <v>0.87608273461599695</v>
      </c>
      <c r="M883" s="16">
        <v>0.57246376811594202</v>
      </c>
      <c r="N883" s="16">
        <v>0.530864197530864</v>
      </c>
      <c r="O883" s="16">
        <v>1</v>
      </c>
      <c r="P883" s="17">
        <f t="shared" si="143"/>
        <v>0.28613725782105398</v>
      </c>
      <c r="Q883" s="17">
        <f t="shared" si="144"/>
        <v>0.76523615958269764</v>
      </c>
      <c r="R883" s="17">
        <f t="shared" si="145"/>
        <v>0.70110932188226871</v>
      </c>
      <c r="S883" s="17">
        <f>'02_지표정의'!$C$22*P883+'02_지표정의'!$C$23*Q883+'02_지표정의'!$C$24*R883</f>
        <v>0.64697198603521877</v>
      </c>
      <c r="T883" s="5">
        <f t="shared" si="146"/>
        <v>0</v>
      </c>
      <c r="U883" s="5" t="str">
        <f t="shared" si="147"/>
        <v>보고서</v>
      </c>
      <c r="V883" s="18">
        <f t="shared" si="148"/>
        <v>605</v>
      </c>
      <c r="W883" s="5">
        <f t="shared" si="149"/>
        <v>0</v>
      </c>
      <c r="X883" s="5">
        <f t="shared" si="150"/>
        <v>294</v>
      </c>
      <c r="Y883" s="5">
        <f t="shared" si="151"/>
        <v>452</v>
      </c>
      <c r="Z883" s="19">
        <f t="shared" si="152"/>
        <v>38</v>
      </c>
      <c r="AA883" s="20">
        <f>ABS(S883-SUMPRODUCT(('05B_가정검정'!$A$5:$A$19=B883)*('05B_가정검정'!$B$5:$B$19=C883)*'05B_가정검정'!$E$5:$E$19))</f>
        <v>1.1365798133767369E-2</v>
      </c>
      <c r="AB883" s="20">
        <f t="shared" si="153"/>
        <v>1.5583119720332772E-2</v>
      </c>
    </row>
    <row r="884" spans="1:28">
      <c r="A884" s="15" t="s">
        <v>181</v>
      </c>
      <c r="B884" s="15" t="s">
        <v>123</v>
      </c>
      <c r="C884" s="15" t="s">
        <v>117</v>
      </c>
      <c r="D884" s="16">
        <v>0.245502645502646</v>
      </c>
      <c r="E884" s="16">
        <v>0.316455696202532</v>
      </c>
      <c r="F884" s="16">
        <v>0.101910828025478</v>
      </c>
      <c r="G884" s="16">
        <v>0.183544303797468</v>
      </c>
      <c r="H884" s="16">
        <v>0.36879656476476202</v>
      </c>
      <c r="I884" s="16">
        <v>0.22480900764786599</v>
      </c>
      <c r="J884" s="16">
        <v>0.72142742924437697</v>
      </c>
      <c r="K884" s="16">
        <v>0.68023662660626905</v>
      </c>
      <c r="L884" s="16">
        <v>0.867363173891466</v>
      </c>
      <c r="M884" s="16">
        <v>0.90654205607476601</v>
      </c>
      <c r="N884" s="16">
        <v>0.91666666666666696</v>
      </c>
      <c r="O884" s="16">
        <v>1</v>
      </c>
      <c r="P884" s="17">
        <f t="shared" si="143"/>
        <v>0.24016984099012531</v>
      </c>
      <c r="Q884" s="17">
        <f t="shared" si="144"/>
        <v>0.75634240991403734</v>
      </c>
      <c r="R884" s="17">
        <f t="shared" si="145"/>
        <v>0.94106957424714432</v>
      </c>
      <c r="S884" s="17">
        <f>'02_지표정의'!$C$22*P884+'02_지표정의'!$C$23*Q884+'02_지표정의'!$C$24*R884</f>
        <v>0.71776240364584232</v>
      </c>
      <c r="T884" s="5">
        <f t="shared" si="146"/>
        <v>0</v>
      </c>
      <c r="U884" s="5" t="str">
        <f t="shared" si="147"/>
        <v>보고서</v>
      </c>
      <c r="V884" s="18">
        <f t="shared" si="148"/>
        <v>869</v>
      </c>
      <c r="W884" s="5">
        <f t="shared" si="149"/>
        <v>578</v>
      </c>
      <c r="X884" s="5">
        <f t="shared" si="150"/>
        <v>544</v>
      </c>
      <c r="Y884" s="5">
        <f t="shared" si="151"/>
        <v>0</v>
      </c>
      <c r="Z884" s="19">
        <f t="shared" si="152"/>
        <v>36</v>
      </c>
      <c r="AA884" s="20">
        <f>ABS(S884-SUMPRODUCT(('05B_가정검정'!$A$5:$A$19=B884)*('05B_가정검정'!$B$5:$B$19=C884)*'05B_가정검정'!$E$5:$E$19))</f>
        <v>2.8395208696185836E-3</v>
      </c>
      <c r="AB884" s="20">
        <f t="shared" si="153"/>
        <v>9.7769518345991457E-3</v>
      </c>
    </row>
    <row r="885" spans="1:28">
      <c r="A885" s="15" t="s">
        <v>181</v>
      </c>
      <c r="B885" s="15" t="s">
        <v>123</v>
      </c>
      <c r="C885" s="15" t="s">
        <v>118</v>
      </c>
      <c r="D885" s="16">
        <v>0.23828125</v>
      </c>
      <c r="E885" s="16">
        <v>0.31182795698924698</v>
      </c>
      <c r="F885" s="16">
        <v>0.14054054054054099</v>
      </c>
      <c r="G885" s="16">
        <v>0.236559139784946</v>
      </c>
      <c r="H885" s="16">
        <v>0.21227010142570199</v>
      </c>
      <c r="I885" s="16">
        <v>0.22245983291480101</v>
      </c>
      <c r="J885" s="16">
        <v>0.712959429621422</v>
      </c>
      <c r="K885" s="16">
        <v>0.70983928535398699</v>
      </c>
      <c r="L885" s="16">
        <v>0.85971321906292297</v>
      </c>
      <c r="M885" s="16">
        <v>0.38339920948616601</v>
      </c>
      <c r="N885" s="16">
        <v>0.39855072463768099</v>
      </c>
      <c r="O885" s="16">
        <v>1</v>
      </c>
      <c r="P885" s="17">
        <f t="shared" si="143"/>
        <v>0.22698980360920618</v>
      </c>
      <c r="Q885" s="17">
        <f t="shared" si="144"/>
        <v>0.76083731134611066</v>
      </c>
      <c r="R885" s="17">
        <f t="shared" si="145"/>
        <v>0.59398331137461569</v>
      </c>
      <c r="S885" s="17">
        <f>'02_지표정의'!$C$22*P885+'02_지표정의'!$C$23*Q885+'02_지표정의'!$C$24*R885</f>
        <v>0.59566890980870657</v>
      </c>
      <c r="T885" s="5">
        <f t="shared" si="146"/>
        <v>0</v>
      </c>
      <c r="U885" s="5" t="str">
        <f t="shared" si="147"/>
        <v>보고서</v>
      </c>
      <c r="V885" s="18">
        <f t="shared" si="148"/>
        <v>371</v>
      </c>
      <c r="W885" s="5">
        <f t="shared" si="149"/>
        <v>300</v>
      </c>
      <c r="X885" s="5">
        <f t="shared" si="150"/>
        <v>0</v>
      </c>
      <c r="Y885" s="5">
        <f t="shared" si="151"/>
        <v>286</v>
      </c>
      <c r="Z885" s="19">
        <f t="shared" si="152"/>
        <v>45</v>
      </c>
      <c r="AA885" s="20">
        <f>ABS(S885-SUMPRODUCT(('05B_가정검정'!$A$5:$A$19=B885)*('05B_가정검정'!$B$5:$B$19=C885)*'05B_가정검정'!$E$5:$E$19))</f>
        <v>2.0370082929736855E-2</v>
      </c>
      <c r="AB885" s="20">
        <f t="shared" si="153"/>
        <v>3.5797301884215482E-2</v>
      </c>
    </row>
    <row r="886" spans="1:28">
      <c r="A886" s="15" t="s">
        <v>181</v>
      </c>
      <c r="B886" s="15" t="s">
        <v>123</v>
      </c>
      <c r="C886" s="15" t="s">
        <v>119</v>
      </c>
      <c r="D886" s="16">
        <v>0.35981308411215002</v>
      </c>
      <c r="E886" s="16">
        <v>0.474683544303798</v>
      </c>
      <c r="F886" s="16">
        <v>0.28025477707006402</v>
      </c>
      <c r="G886" s="16">
        <v>0.348101265822785</v>
      </c>
      <c r="H886" s="16">
        <v>0.436083370730868</v>
      </c>
      <c r="I886" s="16">
        <v>0.27882203389621601</v>
      </c>
      <c r="J886" s="16">
        <v>0.73734257975316997</v>
      </c>
      <c r="K886" s="16">
        <v>0.71571943331569898</v>
      </c>
      <c r="L886" s="16">
        <v>0.89134329543891899</v>
      </c>
      <c r="M886" s="16">
        <v>0.70289855072463803</v>
      </c>
      <c r="N886" s="16">
        <v>0.67901234567901203</v>
      </c>
      <c r="O886" s="16">
        <v>1</v>
      </c>
      <c r="P886" s="17">
        <f t="shared" si="143"/>
        <v>0.36295967932264689</v>
      </c>
      <c r="Q886" s="17">
        <f t="shared" si="144"/>
        <v>0.78146843616926265</v>
      </c>
      <c r="R886" s="17">
        <f t="shared" si="145"/>
        <v>0.79397029880121661</v>
      </c>
      <c r="S886" s="17">
        <f>'02_지표정의'!$C$22*P886+'02_지표정의'!$C$23*Q886+'02_지표정의'!$C$24*R886</f>
        <v>0.70214233672112336</v>
      </c>
      <c r="T886" s="5">
        <f t="shared" si="146"/>
        <v>1</v>
      </c>
      <c r="U886" s="5" t="str">
        <f t="shared" si="147"/>
        <v>보고서</v>
      </c>
      <c r="V886" s="18">
        <f t="shared" si="148"/>
        <v>827</v>
      </c>
      <c r="W886" s="5">
        <f t="shared" si="149"/>
        <v>0</v>
      </c>
      <c r="X886" s="5">
        <f t="shared" si="150"/>
        <v>502</v>
      </c>
      <c r="Y886" s="5">
        <f t="shared" si="151"/>
        <v>596</v>
      </c>
      <c r="Z886" s="19">
        <f t="shared" si="152"/>
        <v>44</v>
      </c>
      <c r="AA886" s="20">
        <f>ABS(S886-SUMPRODUCT(('05B_가정검정'!$A$5:$A$19=B886)*('05B_가정검정'!$B$5:$B$19=C886)*'05B_가정검정'!$E$5:$E$19))</f>
        <v>1.6512539396896009E-2</v>
      </c>
      <c r="AB886" s="20">
        <f t="shared" si="153"/>
        <v>1.9723603676121582E-2</v>
      </c>
    </row>
    <row r="887" spans="1:28">
      <c r="A887" s="15" t="s">
        <v>182</v>
      </c>
      <c r="B887" s="15" t="s">
        <v>116</v>
      </c>
      <c r="C887" s="15" t="s">
        <v>117</v>
      </c>
      <c r="D887" s="16">
        <v>0.24557522123893799</v>
      </c>
      <c r="E887" s="16">
        <v>0.28975265017667901</v>
      </c>
      <c r="F887" s="16">
        <v>9.2526690391459096E-2</v>
      </c>
      <c r="G887" s="16">
        <v>0.22614840989399301</v>
      </c>
      <c r="H887" s="16">
        <v>0.28806209522126902</v>
      </c>
      <c r="I887" s="16">
        <v>0.20529870387229901</v>
      </c>
      <c r="J887" s="16">
        <v>0.67368349957026497</v>
      </c>
      <c r="K887" s="16">
        <v>0.59930732329790604</v>
      </c>
      <c r="L887" s="16">
        <v>0.78568608958024699</v>
      </c>
      <c r="M887" s="16">
        <v>0.392405063291139</v>
      </c>
      <c r="N887" s="16">
        <v>0.13970588235294101</v>
      </c>
      <c r="O887" s="16">
        <v>1</v>
      </c>
      <c r="P887" s="17">
        <f t="shared" si="143"/>
        <v>0.22456062846577285</v>
      </c>
      <c r="Q887" s="17">
        <f t="shared" si="144"/>
        <v>0.68622563748280596</v>
      </c>
      <c r="R887" s="17">
        <f t="shared" si="145"/>
        <v>0.51070364854802663</v>
      </c>
      <c r="S887" s="17">
        <f>'02_지표정의'!$C$22*P887+'02_지표정의'!$C$23*Q887+'02_지표정의'!$C$24*R887</f>
        <v>0.53245993955222659</v>
      </c>
      <c r="T887" s="5">
        <f t="shared" si="146"/>
        <v>0</v>
      </c>
      <c r="U887" s="5" t="str">
        <f t="shared" si="147"/>
        <v>보고서</v>
      </c>
      <c r="V887" s="18">
        <f t="shared" si="148"/>
        <v>140</v>
      </c>
      <c r="W887" s="5">
        <f t="shared" si="149"/>
        <v>126</v>
      </c>
      <c r="X887" s="5">
        <f t="shared" si="150"/>
        <v>28</v>
      </c>
      <c r="Y887" s="5">
        <f t="shared" si="151"/>
        <v>0</v>
      </c>
      <c r="Z887" s="19">
        <f t="shared" si="152"/>
        <v>13</v>
      </c>
      <c r="AA887" s="20">
        <f>ABS(S887-SUMPRODUCT(('05B_가정검정'!$A$5:$A$19=B887)*('05B_가정검정'!$B$5:$B$19=C887)*'05B_가정검정'!$E$5:$E$19))</f>
        <v>2.4943765432740683E-2</v>
      </c>
      <c r="AB887" s="20">
        <f t="shared" si="153"/>
        <v>-2.00912258603968E-2</v>
      </c>
    </row>
    <row r="888" spans="1:28">
      <c r="A888" s="15" t="s">
        <v>182</v>
      </c>
      <c r="B888" s="15" t="s">
        <v>116</v>
      </c>
      <c r="C888" s="15" t="s">
        <v>118</v>
      </c>
      <c r="D888" s="16">
        <v>0.28710462287104599</v>
      </c>
      <c r="E888" s="16">
        <v>0.28132992327365702</v>
      </c>
      <c r="F888" s="16">
        <v>9.7686375321336796E-2</v>
      </c>
      <c r="G888" s="16">
        <v>0.23529411764705899</v>
      </c>
      <c r="H888" s="16">
        <v>0.21192425155484601</v>
      </c>
      <c r="I888" s="16">
        <v>0.21577620108520601</v>
      </c>
      <c r="J888" s="16">
        <v>0.72079542903146998</v>
      </c>
      <c r="K888" s="16">
        <v>0.68363613616415797</v>
      </c>
      <c r="L888" s="16">
        <v>0.82290524106752205</v>
      </c>
      <c r="M888" s="16">
        <v>0.63736263736263699</v>
      </c>
      <c r="N888" s="16">
        <v>0.25170068027210901</v>
      </c>
      <c r="O888" s="16">
        <v>1</v>
      </c>
      <c r="P888" s="17">
        <f t="shared" si="143"/>
        <v>0.22151924862552516</v>
      </c>
      <c r="Q888" s="17">
        <f t="shared" si="144"/>
        <v>0.74244560208771659</v>
      </c>
      <c r="R888" s="17">
        <f t="shared" si="145"/>
        <v>0.62968777254491537</v>
      </c>
      <c r="S888" s="17">
        <f>'02_지표정의'!$C$22*P888+'02_지표정의'!$C$23*Q888+'02_지표정의'!$C$24*R888</f>
        <v>0.59879509105529782</v>
      </c>
      <c r="T888" s="5">
        <f t="shared" si="146"/>
        <v>0</v>
      </c>
      <c r="U888" s="5" t="str">
        <f t="shared" si="147"/>
        <v>보고서</v>
      </c>
      <c r="V888" s="18">
        <f t="shared" si="148"/>
        <v>388</v>
      </c>
      <c r="W888" s="5">
        <f t="shared" si="149"/>
        <v>314</v>
      </c>
      <c r="X888" s="5">
        <f t="shared" si="150"/>
        <v>0</v>
      </c>
      <c r="Y888" s="5">
        <f t="shared" si="151"/>
        <v>297</v>
      </c>
      <c r="Z888" s="19">
        <f t="shared" si="152"/>
        <v>62</v>
      </c>
      <c r="AA888" s="20">
        <f>ABS(S888-SUMPRODUCT(('05B_가정검정'!$A$5:$A$19=B888)*('05B_가정검정'!$B$5:$B$19=C888)*'05B_가정검정'!$E$5:$E$19))</f>
        <v>6.7502669353576183E-2</v>
      </c>
      <c r="AB888" s="20">
        <f t="shared" si="153"/>
        <v>7.1246058676711521E-2</v>
      </c>
    </row>
    <row r="889" spans="1:28">
      <c r="A889" s="15" t="s">
        <v>182</v>
      </c>
      <c r="B889" s="15" t="s">
        <v>116</v>
      </c>
      <c r="C889" s="15" t="s">
        <v>119</v>
      </c>
      <c r="D889" s="16">
        <v>0.29938650306748499</v>
      </c>
      <c r="E889" s="16">
        <v>0.390070921985816</v>
      </c>
      <c r="F889" s="16">
        <v>0.114285714285714</v>
      </c>
      <c r="G889" s="16">
        <v>0.28368794326241098</v>
      </c>
      <c r="H889" s="16">
        <v>0.31496713667793602</v>
      </c>
      <c r="I889" s="16">
        <v>0.23659662657556199</v>
      </c>
      <c r="J889" s="16">
        <v>0.72648591092213</v>
      </c>
      <c r="K889" s="16">
        <v>0.60305242514178603</v>
      </c>
      <c r="L889" s="16">
        <v>0.81149454885702599</v>
      </c>
      <c r="M889" s="16">
        <v>0.66244725738396604</v>
      </c>
      <c r="N889" s="16">
        <v>0.35294117647058798</v>
      </c>
      <c r="O889" s="16">
        <v>1</v>
      </c>
      <c r="P889" s="17">
        <f t="shared" si="143"/>
        <v>0.27316580764248732</v>
      </c>
      <c r="Q889" s="17">
        <f t="shared" si="144"/>
        <v>0.71367762830698067</v>
      </c>
      <c r="R889" s="17">
        <f t="shared" si="145"/>
        <v>0.6717961446181846</v>
      </c>
      <c r="S889" s="17">
        <f>'02_지표정의'!$C$22*P889+'02_지표정의'!$C$23*Q889+'02_지표정의'!$C$24*R889</f>
        <v>0.6109167448830034</v>
      </c>
      <c r="T889" s="5">
        <f t="shared" si="146"/>
        <v>0</v>
      </c>
      <c r="U889" s="5" t="str">
        <f t="shared" si="147"/>
        <v>보고서</v>
      </c>
      <c r="V889" s="18">
        <f t="shared" si="148"/>
        <v>434</v>
      </c>
      <c r="W889" s="5">
        <f t="shared" si="149"/>
        <v>0</v>
      </c>
      <c r="X889" s="5">
        <f t="shared" si="150"/>
        <v>184</v>
      </c>
      <c r="Y889" s="5">
        <f t="shared" si="151"/>
        <v>332</v>
      </c>
      <c r="Z889" s="19">
        <f t="shared" si="152"/>
        <v>59</v>
      </c>
      <c r="AA889" s="20">
        <f>ABS(S889-SUMPRODUCT(('05B_가정검정'!$A$5:$A$19=B889)*('05B_가정검정'!$B$5:$B$19=C889)*'05B_가정검정'!$E$5:$E$19))</f>
        <v>5.7893228140220798E-2</v>
      </c>
      <c r="AB889" s="20">
        <f t="shared" si="153"/>
        <v>5.446426120682335E-2</v>
      </c>
    </row>
    <row r="890" spans="1:28">
      <c r="A890" s="15" t="s">
        <v>182</v>
      </c>
      <c r="B890" s="15" t="s">
        <v>120</v>
      </c>
      <c r="C890" s="15" t="s">
        <v>117</v>
      </c>
      <c r="D890" s="16">
        <v>0.24140969162995601</v>
      </c>
      <c r="E890" s="16">
        <v>0.26763990267639898</v>
      </c>
      <c r="F890" s="16">
        <v>7.3349633251833801E-2</v>
      </c>
      <c r="G890" s="16">
        <v>0.160583941605839</v>
      </c>
      <c r="H890" s="16">
        <v>0.31555575145836801</v>
      </c>
      <c r="I890" s="16">
        <v>0.164156511462693</v>
      </c>
      <c r="J890" s="16">
        <v>0.665969742433556</v>
      </c>
      <c r="K890" s="16">
        <v>0.65673530623404697</v>
      </c>
      <c r="L890" s="16">
        <v>0.82190432025877902</v>
      </c>
      <c r="M890" s="16">
        <v>0.416243654822335</v>
      </c>
      <c r="N890" s="16">
        <v>0.42241379310344801</v>
      </c>
      <c r="O890" s="16">
        <v>1</v>
      </c>
      <c r="P890" s="17">
        <f t="shared" si="143"/>
        <v>0.20378257201418148</v>
      </c>
      <c r="Q890" s="17">
        <f t="shared" si="144"/>
        <v>0.71486978964212733</v>
      </c>
      <c r="R890" s="17">
        <f t="shared" si="145"/>
        <v>0.61288581597526104</v>
      </c>
      <c r="S890" s="17">
        <f>'02_지표정의'!$C$22*P890+'02_지표정의'!$C$23*Q890+'02_지표정의'!$C$24*R890</f>
        <v>0.57695795533313499</v>
      </c>
      <c r="T890" s="5">
        <f t="shared" si="146"/>
        <v>0</v>
      </c>
      <c r="U890" s="5" t="str">
        <f t="shared" si="147"/>
        <v>보고서</v>
      </c>
      <c r="V890" s="18">
        <f t="shared" si="148"/>
        <v>311</v>
      </c>
      <c r="W890" s="5">
        <f t="shared" si="149"/>
        <v>252</v>
      </c>
      <c r="X890" s="5">
        <f t="shared" si="150"/>
        <v>132</v>
      </c>
      <c r="Y890" s="5">
        <f t="shared" si="151"/>
        <v>0</v>
      </c>
      <c r="Z890" s="19">
        <f t="shared" si="152"/>
        <v>1</v>
      </c>
      <c r="AA890" s="20">
        <f>ABS(S890-SUMPRODUCT(('05B_가정검정'!$A$5:$A$19=B890)*('05B_가정검정'!$B$5:$B$19=C890)*'05B_가정검정'!$E$5:$E$19))</f>
        <v>5.1091004723986089E-2</v>
      </c>
      <c r="AB890" s="20">
        <f t="shared" si="153"/>
        <v>-5.4344748091622153E-2</v>
      </c>
    </row>
    <row r="891" spans="1:28">
      <c r="A891" s="15" t="s">
        <v>182</v>
      </c>
      <c r="B891" s="15" t="s">
        <v>120</v>
      </c>
      <c r="C891" s="15" t="s">
        <v>118</v>
      </c>
      <c r="D891" s="16">
        <v>0.25071225071225101</v>
      </c>
      <c r="E891" s="16">
        <v>0.25818882466281301</v>
      </c>
      <c r="F891" s="16">
        <v>8.1237911025145104E-2</v>
      </c>
      <c r="G891" s="16">
        <v>0.19267822736030801</v>
      </c>
      <c r="H891" s="16">
        <v>0.25106303273594099</v>
      </c>
      <c r="I891" s="16">
        <v>0.16136524277765599</v>
      </c>
      <c r="J891" s="16">
        <v>0.70761851637551398</v>
      </c>
      <c r="K891" s="16">
        <v>0.64077130931183601</v>
      </c>
      <c r="L891" s="16">
        <v>0.81296927071175895</v>
      </c>
      <c r="M891" s="16">
        <v>0.63003663003663002</v>
      </c>
      <c r="N891" s="16">
        <v>0.59183673469387799</v>
      </c>
      <c r="O891" s="16">
        <v>1</v>
      </c>
      <c r="P891" s="17">
        <f t="shared" si="143"/>
        <v>0.19920758154568571</v>
      </c>
      <c r="Q891" s="17">
        <f t="shared" si="144"/>
        <v>0.72045303213303635</v>
      </c>
      <c r="R891" s="17">
        <f t="shared" si="145"/>
        <v>0.74062445491016937</v>
      </c>
      <c r="S891" s="17">
        <f>'02_지표정의'!$C$22*P891+'02_지표정의'!$C$23*Q891+'02_지표정의'!$C$24*R891</f>
        <v>0.6232639399875628</v>
      </c>
      <c r="T891" s="5">
        <f t="shared" si="146"/>
        <v>0</v>
      </c>
      <c r="U891" s="5" t="str">
        <f t="shared" si="147"/>
        <v>보고서</v>
      </c>
      <c r="V891" s="18">
        <f t="shared" si="148"/>
        <v>504</v>
      </c>
      <c r="W891" s="5">
        <f t="shared" si="149"/>
        <v>406</v>
      </c>
      <c r="X891" s="5">
        <f t="shared" si="150"/>
        <v>0</v>
      </c>
      <c r="Y891" s="5">
        <f t="shared" si="151"/>
        <v>382</v>
      </c>
      <c r="Z891" s="19">
        <f t="shared" si="152"/>
        <v>53</v>
      </c>
      <c r="AA891" s="20">
        <f>ABS(S891-SUMPRODUCT(('05B_가정검정'!$A$5:$A$19=B891)*('05B_가정검정'!$B$5:$B$19=C891)*'05B_가정검정'!$E$5:$E$19))</f>
        <v>3.2435091405934813E-2</v>
      </c>
      <c r="AB891" s="20">
        <f t="shared" si="153"/>
        <v>4.8373164025451998E-2</v>
      </c>
    </row>
    <row r="892" spans="1:28">
      <c r="A892" s="15" t="s">
        <v>182</v>
      </c>
      <c r="B892" s="15" t="s">
        <v>120</v>
      </c>
      <c r="C892" s="15" t="s">
        <v>119</v>
      </c>
      <c r="D892" s="16">
        <v>0.27151051625238998</v>
      </c>
      <c r="E892" s="16">
        <v>0.48780487804878098</v>
      </c>
      <c r="F892" s="16">
        <v>0.17647058823529399</v>
      </c>
      <c r="G892" s="16">
        <v>0.326829268292683</v>
      </c>
      <c r="H892" s="16">
        <v>0.35814183261526999</v>
      </c>
      <c r="I892" s="16">
        <v>0.38436368735415599</v>
      </c>
      <c r="J892" s="16">
        <v>0.72733312283099405</v>
      </c>
      <c r="K892" s="16">
        <v>0.63845624202858797</v>
      </c>
      <c r="L892" s="16">
        <v>0.83002857949004805</v>
      </c>
      <c r="M892" s="16">
        <v>0.74407582938388594</v>
      </c>
      <c r="N892" s="16">
        <v>0.67241379310344795</v>
      </c>
      <c r="O892" s="16">
        <v>1</v>
      </c>
      <c r="P892" s="17">
        <f t="shared" si="143"/>
        <v>0.33418679513309563</v>
      </c>
      <c r="Q892" s="17">
        <f t="shared" si="144"/>
        <v>0.73193931478320995</v>
      </c>
      <c r="R892" s="17">
        <f t="shared" si="145"/>
        <v>0.80549654082911137</v>
      </c>
      <c r="S892" s="17">
        <f>'02_지표정의'!$C$22*P892+'02_지표정의'!$C$23*Q892+'02_지표정의'!$C$24*R892</f>
        <v>0.67813383996925258</v>
      </c>
      <c r="T892" s="5">
        <f t="shared" si="146"/>
        <v>0</v>
      </c>
      <c r="U892" s="5" t="str">
        <f t="shared" si="147"/>
        <v>보고서</v>
      </c>
      <c r="V892" s="18">
        <f t="shared" si="148"/>
        <v>750</v>
      </c>
      <c r="W892" s="5">
        <f t="shared" si="149"/>
        <v>0</v>
      </c>
      <c r="X892" s="5">
        <f t="shared" si="150"/>
        <v>428</v>
      </c>
      <c r="Y892" s="5">
        <f t="shared" si="151"/>
        <v>544</v>
      </c>
      <c r="Z892" s="19">
        <f t="shared" si="152"/>
        <v>45</v>
      </c>
      <c r="AA892" s="20">
        <f>ABS(S892-SUMPRODUCT(('05B_가정검정'!$A$5:$A$19=B892)*('05B_가정검정'!$B$5:$B$19=C892)*'05B_가정검정'!$E$5:$E$19))</f>
        <v>1.4456523487866302E-2</v>
      </c>
      <c r="AB892" s="20">
        <f t="shared" si="153"/>
        <v>1.9710832458436967E-2</v>
      </c>
    </row>
    <row r="893" spans="1:28">
      <c r="A893" s="15" t="s">
        <v>182</v>
      </c>
      <c r="B893" s="15" t="s">
        <v>121</v>
      </c>
      <c r="C893" s="15" t="s">
        <v>117</v>
      </c>
      <c r="D893" s="16">
        <v>0.24324324324324301</v>
      </c>
      <c r="E893" s="16">
        <v>0.26515151515151503</v>
      </c>
      <c r="F893" s="16">
        <v>9.1603053435114504E-2</v>
      </c>
      <c r="G893" s="16">
        <v>0.16666666666666699</v>
      </c>
      <c r="H893" s="16">
        <v>0.27434410863062297</v>
      </c>
      <c r="I893" s="16">
        <v>0.17479080963502</v>
      </c>
      <c r="J893" s="16">
        <v>0.72020227599985098</v>
      </c>
      <c r="K893" s="16">
        <v>0.76829457130562695</v>
      </c>
      <c r="L893" s="16">
        <v>0.89746045009353503</v>
      </c>
      <c r="M893" s="16">
        <v>0.61783439490445902</v>
      </c>
      <c r="N893" s="16">
        <v>0.73333333333333295</v>
      </c>
      <c r="O893" s="16">
        <v>1</v>
      </c>
      <c r="P893" s="17">
        <f t="shared" si="143"/>
        <v>0.20263323279369708</v>
      </c>
      <c r="Q893" s="17">
        <f t="shared" si="144"/>
        <v>0.79531909913300425</v>
      </c>
      <c r="R893" s="17">
        <f t="shared" si="145"/>
        <v>0.78372257607926399</v>
      </c>
      <c r="S893" s="17">
        <f>'02_지표정의'!$C$22*P893+'02_지표정의'!$C$23*Q893+'02_지표정의'!$C$24*R893</f>
        <v>0.67272314279633372</v>
      </c>
      <c r="T893" s="5">
        <f t="shared" si="146"/>
        <v>1</v>
      </c>
      <c r="U893" s="5" t="str">
        <f t="shared" si="147"/>
        <v>보고서</v>
      </c>
      <c r="V893" s="18">
        <f t="shared" si="148"/>
        <v>728</v>
      </c>
      <c r="W893" s="5">
        <f t="shared" si="149"/>
        <v>519</v>
      </c>
      <c r="X893" s="5">
        <f t="shared" si="150"/>
        <v>407</v>
      </c>
      <c r="Y893" s="5">
        <f t="shared" si="151"/>
        <v>0</v>
      </c>
      <c r="Z893" s="19">
        <f t="shared" si="152"/>
        <v>3</v>
      </c>
      <c r="AA893" s="20">
        <f>ABS(S893-SUMPRODUCT(('05B_가정검정'!$A$5:$A$19=B893)*('05B_가정검정'!$B$5:$B$19=C893)*'05B_가정검정'!$E$5:$E$19))</f>
        <v>5.6708928585547436E-2</v>
      </c>
      <c r="AB893" s="20">
        <f t="shared" si="153"/>
        <v>-4.4928650276547244E-2</v>
      </c>
    </row>
    <row r="894" spans="1:28">
      <c r="A894" s="15" t="s">
        <v>182</v>
      </c>
      <c r="B894" s="15" t="s">
        <v>121</v>
      </c>
      <c r="C894" s="15" t="s">
        <v>118</v>
      </c>
      <c r="D894" s="16">
        <v>0.218362282878412</v>
      </c>
      <c r="E894" s="16">
        <v>0.16666666666666699</v>
      </c>
      <c r="F894" s="16">
        <v>6.4864864864864896E-2</v>
      </c>
      <c r="G894" s="16">
        <v>0.123655913978495</v>
      </c>
      <c r="H894" s="16">
        <v>0.14944262592108201</v>
      </c>
      <c r="I894" s="16">
        <v>0.13414672581826301</v>
      </c>
      <c r="J894" s="16">
        <v>0.73556900636935896</v>
      </c>
      <c r="K894" s="16">
        <v>0.73645250758674596</v>
      </c>
      <c r="L894" s="16">
        <v>0.87567426739589205</v>
      </c>
      <c r="M894" s="16">
        <v>0.35531135531135499</v>
      </c>
      <c r="N894" s="16">
        <v>0.37414965986394599</v>
      </c>
      <c r="O894" s="16">
        <v>1</v>
      </c>
      <c r="P894" s="17">
        <f t="shared" si="143"/>
        <v>0.14285651335463065</v>
      </c>
      <c r="Q894" s="17">
        <f t="shared" si="144"/>
        <v>0.78256526045066577</v>
      </c>
      <c r="R894" s="17">
        <f t="shared" si="145"/>
        <v>0.57648700505843364</v>
      </c>
      <c r="S894" s="17">
        <f>'02_지표정의'!$C$22*P894+'02_지표정의'!$C$23*Q894+'02_지표정의'!$C$24*R894</f>
        <v>0.58249612164417752</v>
      </c>
      <c r="T894" s="5">
        <f t="shared" si="146"/>
        <v>0</v>
      </c>
      <c r="U894" s="5" t="str">
        <f t="shared" si="147"/>
        <v>보고서</v>
      </c>
      <c r="V894" s="18">
        <f t="shared" si="148"/>
        <v>329</v>
      </c>
      <c r="W894" s="5">
        <f t="shared" si="149"/>
        <v>268</v>
      </c>
      <c r="X894" s="5">
        <f t="shared" si="150"/>
        <v>0</v>
      </c>
      <c r="Y894" s="5">
        <f t="shared" si="151"/>
        <v>248</v>
      </c>
      <c r="Z894" s="19">
        <f t="shared" si="152"/>
        <v>30</v>
      </c>
      <c r="AA894" s="20">
        <f>ABS(S894-SUMPRODUCT(('05B_가정검정'!$A$5:$A$19=B894)*('05B_가정검정'!$B$5:$B$19=C894)*'05B_가정검정'!$E$5:$E$19))</f>
        <v>1.6083368522790908E-2</v>
      </c>
      <c r="AB894" s="20">
        <f t="shared" si="153"/>
        <v>3.0970471173642489E-3</v>
      </c>
    </row>
    <row r="895" spans="1:28">
      <c r="A895" s="15" t="s">
        <v>182</v>
      </c>
      <c r="B895" s="15" t="s">
        <v>121</v>
      </c>
      <c r="C895" s="15" t="s">
        <v>119</v>
      </c>
      <c r="D895" s="16">
        <v>0.28285356695869801</v>
      </c>
      <c r="E895" s="16">
        <v>0.28136882129277602</v>
      </c>
      <c r="F895" s="16">
        <v>9.9616858237547901E-2</v>
      </c>
      <c r="G895" s="16">
        <v>0.22813688212927799</v>
      </c>
      <c r="H895" s="16">
        <v>0.25728141711991498</v>
      </c>
      <c r="I895" s="16">
        <v>0.24462302142798101</v>
      </c>
      <c r="J895" s="16">
        <v>0.76377980083728603</v>
      </c>
      <c r="K895" s="16">
        <v>0.78032580429701404</v>
      </c>
      <c r="L895" s="16">
        <v>0.89865426078513699</v>
      </c>
      <c r="M895" s="16">
        <v>0.45971563981042701</v>
      </c>
      <c r="N895" s="16">
        <v>0.48672566371681403</v>
      </c>
      <c r="O895" s="16">
        <v>1</v>
      </c>
      <c r="P895" s="17">
        <f t="shared" si="143"/>
        <v>0.23231342786103262</v>
      </c>
      <c r="Q895" s="17">
        <f t="shared" si="144"/>
        <v>0.81425328863981239</v>
      </c>
      <c r="R895" s="17">
        <f t="shared" si="145"/>
        <v>0.64881376784241362</v>
      </c>
      <c r="S895" s="17">
        <f>'02_지표정의'!$C$22*P895+'02_지표정의'!$C$23*Q895+'02_지표정의'!$C$24*R895</f>
        <v>0.63996148420496679</v>
      </c>
      <c r="T895" s="5">
        <f t="shared" si="146"/>
        <v>0</v>
      </c>
      <c r="U895" s="5" t="str">
        <f t="shared" si="147"/>
        <v>보고서</v>
      </c>
      <c r="V895" s="18">
        <f t="shared" si="148"/>
        <v>573</v>
      </c>
      <c r="W895" s="5">
        <f t="shared" si="149"/>
        <v>0</v>
      </c>
      <c r="X895" s="5">
        <f t="shared" si="150"/>
        <v>269</v>
      </c>
      <c r="Y895" s="5">
        <f t="shared" si="151"/>
        <v>431</v>
      </c>
      <c r="Z895" s="19">
        <f t="shared" si="152"/>
        <v>5</v>
      </c>
      <c r="AA895" s="20">
        <f>ABS(S895-SUMPRODUCT(('05B_가정검정'!$A$5:$A$19=B895)*('05B_가정검정'!$B$5:$B$19=C895)*'05B_가정검정'!$E$5:$E$19))</f>
        <v>5.2358358590886889E-2</v>
      </c>
      <c r="AB895" s="20">
        <f t="shared" si="153"/>
        <v>-4.8275491214644251E-2</v>
      </c>
    </row>
    <row r="896" spans="1:28">
      <c r="A896" s="15" t="s">
        <v>182</v>
      </c>
      <c r="B896" s="15" t="s">
        <v>122</v>
      </c>
      <c r="C896" s="15" t="s">
        <v>117</v>
      </c>
      <c r="D896" s="16">
        <v>0.259685863874346</v>
      </c>
      <c r="E896" s="16">
        <v>0.34482758620689702</v>
      </c>
      <c r="F896" s="16">
        <v>0.104046242774567</v>
      </c>
      <c r="G896" s="16">
        <v>0.229885057471264</v>
      </c>
      <c r="H896" s="16">
        <v>0.29937097271470298</v>
      </c>
      <c r="I896" s="16">
        <v>0.194667566141868</v>
      </c>
      <c r="J896" s="16">
        <v>0.65839466791599999</v>
      </c>
      <c r="K896" s="16">
        <v>0.62567462401294804</v>
      </c>
      <c r="L896" s="16">
        <v>0.79408192832031699</v>
      </c>
      <c r="M896" s="16">
        <v>0.40796019900497499</v>
      </c>
      <c r="N896" s="16">
        <v>0.41525423728813599</v>
      </c>
      <c r="O896" s="16">
        <v>1</v>
      </c>
      <c r="P896" s="17">
        <f t="shared" si="143"/>
        <v>0.23874721486394082</v>
      </c>
      <c r="Q896" s="17">
        <f t="shared" si="144"/>
        <v>0.69271707341642175</v>
      </c>
      <c r="R896" s="17">
        <f t="shared" si="145"/>
        <v>0.60773814543103699</v>
      </c>
      <c r="S896" s="17">
        <f>'02_지표정의'!$C$22*P896+'02_지표정의'!$C$23*Q896+'02_지표정의'!$C$24*R896</f>
        <v>0.5721804769110409</v>
      </c>
      <c r="T896" s="5">
        <f t="shared" si="146"/>
        <v>0</v>
      </c>
      <c r="U896" s="5" t="str">
        <f t="shared" si="147"/>
        <v>보고서</v>
      </c>
      <c r="V896" s="18">
        <f t="shared" si="148"/>
        <v>297</v>
      </c>
      <c r="W896" s="5">
        <f t="shared" si="149"/>
        <v>240</v>
      </c>
      <c r="X896" s="5">
        <f t="shared" si="150"/>
        <v>124</v>
      </c>
      <c r="Y896" s="5">
        <f t="shared" si="151"/>
        <v>0</v>
      </c>
      <c r="Z896" s="19">
        <f t="shared" si="152"/>
        <v>12</v>
      </c>
      <c r="AA896" s="20">
        <f>ABS(S896-SUMPRODUCT(('05B_가정검정'!$A$5:$A$19=B896)*('05B_가정검정'!$B$5:$B$19=C896)*'05B_가정검정'!$E$5:$E$19))</f>
        <v>6.7172477797637575E-2</v>
      </c>
      <c r="AB896" s="20">
        <f t="shared" si="153"/>
        <v>-5.0701145278605253E-2</v>
      </c>
    </row>
    <row r="897" spans="1:28">
      <c r="A897" s="15" t="s">
        <v>182</v>
      </c>
      <c r="B897" s="15" t="s">
        <v>122</v>
      </c>
      <c r="C897" s="15" t="s">
        <v>118</v>
      </c>
      <c r="D897" s="16">
        <v>0.33676975945017201</v>
      </c>
      <c r="E897" s="16">
        <v>0.36842105263157898</v>
      </c>
      <c r="F897" s="16">
        <v>0.11894273127753301</v>
      </c>
      <c r="G897" s="16">
        <v>0.22807017543859701</v>
      </c>
      <c r="H897" s="16">
        <v>0.288736749129269</v>
      </c>
      <c r="I897" s="16">
        <v>0.25240337544508301</v>
      </c>
      <c r="J897" s="16">
        <v>0.73467830969202996</v>
      </c>
      <c r="K897" s="16">
        <v>0.67823293153300701</v>
      </c>
      <c r="L897" s="16">
        <v>0.81986664135465404</v>
      </c>
      <c r="M897" s="16">
        <v>0.63003663003663002</v>
      </c>
      <c r="N897" s="16">
        <v>0.58503401360544205</v>
      </c>
      <c r="O897" s="16">
        <v>1</v>
      </c>
      <c r="P897" s="17">
        <f t="shared" si="143"/>
        <v>0.26555730722870546</v>
      </c>
      <c r="Q897" s="17">
        <f t="shared" si="144"/>
        <v>0.74425929419323034</v>
      </c>
      <c r="R897" s="17">
        <f t="shared" si="145"/>
        <v>0.73835688121402399</v>
      </c>
      <c r="S897" s="17">
        <f>'02_지표정의'!$C$22*P897+'02_지표정의'!$C$23*Q897+'02_지표정의'!$C$24*R897</f>
        <v>0.64645305225760308</v>
      </c>
      <c r="T897" s="5">
        <f t="shared" si="146"/>
        <v>1</v>
      </c>
      <c r="U897" s="5" t="str">
        <f t="shared" si="147"/>
        <v>보고서</v>
      </c>
      <c r="V897" s="18">
        <f t="shared" si="148"/>
        <v>601</v>
      </c>
      <c r="W897" s="5">
        <f t="shared" si="149"/>
        <v>462</v>
      </c>
      <c r="X897" s="5">
        <f t="shared" si="150"/>
        <v>0</v>
      </c>
      <c r="Y897" s="5">
        <f t="shared" si="151"/>
        <v>450</v>
      </c>
      <c r="Z897" s="19">
        <f t="shared" si="152"/>
        <v>57</v>
      </c>
      <c r="AA897" s="20">
        <f>ABS(S897-SUMPRODUCT(('05B_가정검정'!$A$5:$A$19=B897)*('05B_가정검정'!$B$5:$B$19=C897)*'05B_가정검정'!$E$5:$E$19))</f>
        <v>5.9531116260444827E-2</v>
      </c>
      <c r="AB897" s="20">
        <f t="shared" si="153"/>
        <v>6.5229776039919307E-2</v>
      </c>
    </row>
    <row r="898" spans="1:28">
      <c r="A898" s="15" t="s">
        <v>182</v>
      </c>
      <c r="B898" s="15" t="s">
        <v>122</v>
      </c>
      <c r="C898" s="15" t="s">
        <v>119</v>
      </c>
      <c r="D898" s="16">
        <v>0.32332563510392598</v>
      </c>
      <c r="E898" s="16">
        <v>0.53025936599423595</v>
      </c>
      <c r="F898" s="16">
        <v>0.173913043478261</v>
      </c>
      <c r="G898" s="16">
        <v>0.363112391930836</v>
      </c>
      <c r="H898" s="16">
        <v>0.36921477903129901</v>
      </c>
      <c r="I898" s="16">
        <v>0.32684836401548301</v>
      </c>
      <c r="J898" s="16">
        <v>0.71942544039274603</v>
      </c>
      <c r="K898" s="16">
        <v>0.62687381017456001</v>
      </c>
      <c r="L898" s="16">
        <v>0.80923623165152003</v>
      </c>
      <c r="M898" s="16">
        <v>0.74407582938388594</v>
      </c>
      <c r="N898" s="16">
        <v>0.66101694915254205</v>
      </c>
      <c r="O898" s="16">
        <v>1</v>
      </c>
      <c r="P898" s="17">
        <f t="shared" ref="P898:P961" si="154">AVERAGE(D898:I898)</f>
        <v>0.3477789299256735</v>
      </c>
      <c r="Q898" s="17">
        <f t="shared" ref="Q898:Q961" si="155">AVERAGE(J898:L898)</f>
        <v>0.71851182740627539</v>
      </c>
      <c r="R898" s="17">
        <f t="shared" ref="R898:R961" si="156">AVERAGE(M898:O898)</f>
        <v>0.80169759284547604</v>
      </c>
      <c r="S898" s="17">
        <f>'02_지표정의'!$C$22*P898+'02_지표정의'!$C$23*Q898+'02_지표정의'!$C$24*R898</f>
        <v>0.67348026581387521</v>
      </c>
      <c r="T898" s="5">
        <f t="shared" ref="T898:T961" si="157">IF(OR(AND(B898="gemini",C898="gemma"),AND(B898="qwen3_6",C898="qwen"),AND(B898="mistral",C898="ministral")),1,0)</f>
        <v>0</v>
      </c>
      <c r="U898" s="5" t="str">
        <f t="shared" ref="U898:U961" si="158">IF(LEFT(A898,3)="PAT","특허","보고서")</f>
        <v>보고서</v>
      </c>
      <c r="V898" s="18">
        <f t="shared" ref="V898:V961" si="159">COUNTIF($S$2:$S$976,"&lt;"&amp;S898)+(COUNTIF($S$2:$S$976,"="&amp;S898)+1)/2</f>
        <v>731</v>
      </c>
      <c r="W898" s="5">
        <f t="shared" ref="W898:W961" si="160">IF(C898="qwen",0,COUNTIFS($C$2:$C$976,"&lt;&gt;qwen",$S$2:$S$976,"&lt;"&amp;S898)+1)</f>
        <v>0</v>
      </c>
      <c r="X898" s="5">
        <f t="shared" ref="X898:X961" si="161">IF(C898="ministral",0,COUNTIFS($C$2:$C$976,"&lt;&gt;ministral",$S$2:$S$976,"&lt;"&amp;S898)+1)</f>
        <v>410</v>
      </c>
      <c r="Y898" s="5">
        <f t="shared" ref="Y898:Y961" si="162">IF(C898="gemma",0,COUNTIFS($C$2:$C$976,"&lt;&gt;gemma",$S$2:$S$976,"&lt;"&amp;S898)+1)</f>
        <v>533</v>
      </c>
      <c r="Z898" s="19">
        <f t="shared" ref="Z898:Z961" si="163">COUNTIFS($B$2:$B$976,B898,$C$2:$C$976,C898,$S$2:$S$976,"&lt;"&amp;S898)+1</f>
        <v>53</v>
      </c>
      <c r="AA898" s="20">
        <f>ABS(S898-SUMPRODUCT(('05B_가정검정'!$A$5:$A$19=B898)*('05B_가정검정'!$B$5:$B$19=C898)*'05B_가정검정'!$E$5:$E$19))</f>
        <v>3.7874077912423809E-2</v>
      </c>
      <c r="AB898" s="20">
        <f t="shared" ref="AB898:AB961" si="164">S898-AVERAGEIFS($S$2:$S$976,$B$2:$B$976,B898,$C$2:$C$976,C898)</f>
        <v>4.2091399498989213E-2</v>
      </c>
    </row>
    <row r="899" spans="1:28">
      <c r="A899" s="15" t="s">
        <v>182</v>
      </c>
      <c r="B899" s="15" t="s">
        <v>123</v>
      </c>
      <c r="C899" s="15" t="s">
        <v>117</v>
      </c>
      <c r="D899" s="16">
        <v>0.27564766839378202</v>
      </c>
      <c r="E899" s="16">
        <v>0.330532212885154</v>
      </c>
      <c r="F899" s="16">
        <v>9.0140845070422498E-2</v>
      </c>
      <c r="G899" s="16">
        <v>0.19047619047619099</v>
      </c>
      <c r="H899" s="16">
        <v>0.36415261059139598</v>
      </c>
      <c r="I899" s="16">
        <v>0.214104665823731</v>
      </c>
      <c r="J899" s="16">
        <v>0.72674634362511603</v>
      </c>
      <c r="K899" s="16">
        <v>0.71228150555167402</v>
      </c>
      <c r="L899" s="16">
        <v>0.84348588533292002</v>
      </c>
      <c r="M899" s="16">
        <v>0.61783439490445902</v>
      </c>
      <c r="N899" s="16">
        <v>0.73333333333333295</v>
      </c>
      <c r="O899" s="16">
        <v>1</v>
      </c>
      <c r="P899" s="17">
        <f t="shared" si="154"/>
        <v>0.24417569887344612</v>
      </c>
      <c r="Q899" s="17">
        <f t="shared" si="155"/>
        <v>0.76083791150323676</v>
      </c>
      <c r="R899" s="17">
        <f t="shared" si="156"/>
        <v>0.78372257607926399</v>
      </c>
      <c r="S899" s="17">
        <f>'02_지표정의'!$C$22*P899+'02_지표정의'!$C$23*Q899+'02_지표정의'!$C$24*R899</f>
        <v>0.66551510157888816</v>
      </c>
      <c r="T899" s="5">
        <f t="shared" si="157"/>
        <v>0</v>
      </c>
      <c r="U899" s="5" t="str">
        <f t="shared" si="158"/>
        <v>보고서</v>
      </c>
      <c r="V899" s="18">
        <f t="shared" si="159"/>
        <v>696</v>
      </c>
      <c r="W899" s="5">
        <f t="shared" si="160"/>
        <v>505</v>
      </c>
      <c r="X899" s="5">
        <f t="shared" si="161"/>
        <v>376</v>
      </c>
      <c r="Y899" s="5">
        <f t="shared" si="162"/>
        <v>0</v>
      </c>
      <c r="Z899" s="19">
        <f t="shared" si="163"/>
        <v>5</v>
      </c>
      <c r="AA899" s="20">
        <f>ABS(S899-SUMPRODUCT(('05B_가정검정'!$A$5:$A$19=B899)*('05B_가정검정'!$B$5:$B$19=C899)*'05B_가정검정'!$E$5:$E$19))</f>
        <v>4.9407781197335576E-2</v>
      </c>
      <c r="AB899" s="20">
        <f t="shared" si="164"/>
        <v>-4.2470350232355014E-2</v>
      </c>
    </row>
    <row r="900" spans="1:28">
      <c r="A900" s="15" t="s">
        <v>182</v>
      </c>
      <c r="B900" s="15" t="s">
        <v>123</v>
      </c>
      <c r="C900" s="15" t="s">
        <v>118</v>
      </c>
      <c r="D900" s="16">
        <v>0.22423556058890201</v>
      </c>
      <c r="E900" s="16">
        <v>0.18064516129032299</v>
      </c>
      <c r="F900" s="16">
        <v>7.3434125269978404E-2</v>
      </c>
      <c r="G900" s="16">
        <v>0.13763440860215101</v>
      </c>
      <c r="H900" s="16">
        <v>0.201806429582682</v>
      </c>
      <c r="I900" s="16">
        <v>0.144346466798532</v>
      </c>
      <c r="J900" s="16">
        <v>0.71528388866716996</v>
      </c>
      <c r="K900" s="16">
        <v>0.69692721345522601</v>
      </c>
      <c r="L900" s="16">
        <v>0.84756624333355901</v>
      </c>
      <c r="M900" s="16">
        <v>0.35531135531135499</v>
      </c>
      <c r="N900" s="16">
        <v>0.37414965986394599</v>
      </c>
      <c r="O900" s="16">
        <v>1</v>
      </c>
      <c r="P900" s="17">
        <f t="shared" si="154"/>
        <v>0.16035035868876141</v>
      </c>
      <c r="Q900" s="17">
        <f t="shared" si="155"/>
        <v>0.75325911515198507</v>
      </c>
      <c r="R900" s="17">
        <f t="shared" si="156"/>
        <v>0.57648700505843364</v>
      </c>
      <c r="S900" s="17">
        <f>'02_지표정의'!$C$22*P900+'02_지표정의'!$C$23*Q900+'02_지표정의'!$C$24*R900</f>
        <v>0.57280712532659739</v>
      </c>
      <c r="T900" s="5">
        <f t="shared" si="157"/>
        <v>0</v>
      </c>
      <c r="U900" s="5" t="str">
        <f t="shared" si="158"/>
        <v>보고서</v>
      </c>
      <c r="V900" s="18">
        <f t="shared" si="159"/>
        <v>299</v>
      </c>
      <c r="W900" s="5">
        <f t="shared" si="160"/>
        <v>242</v>
      </c>
      <c r="X900" s="5">
        <f t="shared" si="161"/>
        <v>0</v>
      </c>
      <c r="Y900" s="5">
        <f t="shared" si="162"/>
        <v>231</v>
      </c>
      <c r="Z900" s="19">
        <f t="shared" si="163"/>
        <v>31</v>
      </c>
      <c r="AA900" s="20">
        <f>ABS(S900-SUMPRODUCT(('05B_가정검정'!$A$5:$A$19=B900)*('05B_가정검정'!$B$5:$B$19=C900)*'05B_가정검정'!$E$5:$E$19))</f>
        <v>2.4917015523723274E-3</v>
      </c>
      <c r="AB900" s="20">
        <f t="shared" si="164"/>
        <v>1.29355174021063E-2</v>
      </c>
    </row>
    <row r="901" spans="1:28">
      <c r="A901" s="15" t="s">
        <v>182</v>
      </c>
      <c r="B901" s="15" t="s">
        <v>123</v>
      </c>
      <c r="C901" s="15" t="s">
        <v>119</v>
      </c>
      <c r="D901" s="16">
        <v>0.31050228310502298</v>
      </c>
      <c r="E901" s="16">
        <v>0.44382022471910099</v>
      </c>
      <c r="F901" s="16">
        <v>0.17514124293785299</v>
      </c>
      <c r="G901" s="16">
        <v>0.26966292134831499</v>
      </c>
      <c r="H901" s="16">
        <v>0.34890428703716803</v>
      </c>
      <c r="I901" s="16">
        <v>0.44682600137266298</v>
      </c>
      <c r="J901" s="16">
        <v>0.73723588144664898</v>
      </c>
      <c r="K901" s="16">
        <v>0.69928393629941499</v>
      </c>
      <c r="L901" s="16">
        <v>0.84531338800818401</v>
      </c>
      <c r="M901" s="16">
        <v>0.45971563981042701</v>
      </c>
      <c r="N901" s="16">
        <v>0.48672566371681403</v>
      </c>
      <c r="O901" s="16">
        <v>1</v>
      </c>
      <c r="P901" s="17">
        <f t="shared" si="154"/>
        <v>0.33247616008668718</v>
      </c>
      <c r="Q901" s="17">
        <f t="shared" si="155"/>
        <v>0.76061106858474936</v>
      </c>
      <c r="R901" s="17">
        <f t="shared" si="156"/>
        <v>0.64881376784241362</v>
      </c>
      <c r="S901" s="17">
        <f>'02_지표정의'!$C$22*P901+'02_지표정의'!$C$23*Q901+'02_지표정의'!$C$24*R901</f>
        <v>0.63585503162531942</v>
      </c>
      <c r="T901" s="5">
        <f t="shared" si="157"/>
        <v>1</v>
      </c>
      <c r="U901" s="5" t="str">
        <f t="shared" si="158"/>
        <v>보고서</v>
      </c>
      <c r="V901" s="18">
        <f t="shared" si="159"/>
        <v>564</v>
      </c>
      <c r="W901" s="5">
        <f t="shared" si="160"/>
        <v>0</v>
      </c>
      <c r="X901" s="5">
        <f t="shared" si="161"/>
        <v>263</v>
      </c>
      <c r="Y901" s="5">
        <f t="shared" si="162"/>
        <v>426</v>
      </c>
      <c r="Z901" s="19">
        <f t="shared" si="163"/>
        <v>9</v>
      </c>
      <c r="AA901" s="20">
        <f>ABS(S901-SUMPRODUCT(('05B_가정검정'!$A$5:$A$19=B901)*('05B_가정검정'!$B$5:$B$19=C901)*'05B_가정검정'!$E$5:$E$19))</f>
        <v>4.977476569890793E-2</v>
      </c>
      <c r="AB901" s="20">
        <f t="shared" si="164"/>
        <v>-4.6563701419682357E-2</v>
      </c>
    </row>
    <row r="902" spans="1:28">
      <c r="A902" s="15" t="s">
        <v>183</v>
      </c>
      <c r="B902" s="15" t="s">
        <v>116</v>
      </c>
      <c r="C902" s="15" t="s">
        <v>117</v>
      </c>
      <c r="D902" s="16">
        <v>0.214965986394558</v>
      </c>
      <c r="E902" s="16">
        <v>0.29245283018867901</v>
      </c>
      <c r="F902" s="16">
        <v>9.5238095238095205E-2</v>
      </c>
      <c r="G902" s="16">
        <v>0.245283018867925</v>
      </c>
      <c r="H902" s="16">
        <v>0.19217494741616201</v>
      </c>
      <c r="I902" s="16">
        <v>0.19081929171597201</v>
      </c>
      <c r="J902" s="16">
        <v>0.660043741095378</v>
      </c>
      <c r="K902" s="16">
        <v>0.61442646723246797</v>
      </c>
      <c r="L902" s="16">
        <v>0.80959145120119302</v>
      </c>
      <c r="M902" s="16">
        <v>0.51515151515151503</v>
      </c>
      <c r="N902" s="16">
        <v>0.213483146067416</v>
      </c>
      <c r="O902" s="16">
        <v>1</v>
      </c>
      <c r="P902" s="17">
        <f t="shared" si="154"/>
        <v>0.20515569497023187</v>
      </c>
      <c r="Q902" s="17">
        <f t="shared" si="155"/>
        <v>0.69468721984301307</v>
      </c>
      <c r="R902" s="17">
        <f t="shared" si="156"/>
        <v>0.57621155373964372</v>
      </c>
      <c r="S902" s="17">
        <f>'02_지표정의'!$C$22*P902+'02_지표정의'!$C$23*Q902+'02_지표정의'!$C$24*R902</f>
        <v>0.55531443173227757</v>
      </c>
      <c r="T902" s="5">
        <f t="shared" si="157"/>
        <v>0</v>
      </c>
      <c r="U902" s="5" t="str">
        <f t="shared" si="158"/>
        <v>보고서</v>
      </c>
      <c r="V902" s="18">
        <f t="shared" si="159"/>
        <v>232</v>
      </c>
      <c r="W902" s="5">
        <f t="shared" si="160"/>
        <v>190</v>
      </c>
      <c r="X902" s="5">
        <f t="shared" si="161"/>
        <v>79</v>
      </c>
      <c r="Y902" s="5">
        <f t="shared" si="162"/>
        <v>0</v>
      </c>
      <c r="Z902" s="19">
        <f t="shared" si="163"/>
        <v>30</v>
      </c>
      <c r="AA902" s="20">
        <f>ABS(S902-SUMPRODUCT(('05B_가정검정'!$A$5:$A$19=B902)*('05B_가정검정'!$B$5:$B$19=C902)*'05B_가정검정'!$E$5:$E$19))</f>
        <v>2.0892732526897051E-3</v>
      </c>
      <c r="AB902" s="20">
        <f t="shared" si="164"/>
        <v>2.7632663196541785E-3</v>
      </c>
    </row>
    <row r="903" spans="1:28">
      <c r="A903" s="15" t="s">
        <v>183</v>
      </c>
      <c r="B903" s="15" t="s">
        <v>116</v>
      </c>
      <c r="C903" s="15" t="s">
        <v>118</v>
      </c>
      <c r="D903" s="16">
        <v>0.29537366548042698</v>
      </c>
      <c r="E903" s="16">
        <v>0.30888030888030898</v>
      </c>
      <c r="F903" s="16">
        <v>0.13229571984435801</v>
      </c>
      <c r="G903" s="16">
        <v>0.25482625482625498</v>
      </c>
      <c r="H903" s="16">
        <v>0.163298325451944</v>
      </c>
      <c r="I903" s="16">
        <v>0.31868045682278701</v>
      </c>
      <c r="J903" s="16">
        <v>0.73190070424653297</v>
      </c>
      <c r="K903" s="16">
        <v>0.64933261817703902</v>
      </c>
      <c r="L903" s="16">
        <v>0.83204979551987202</v>
      </c>
      <c r="M903" s="16">
        <v>0.388732394366197</v>
      </c>
      <c r="N903" s="16">
        <v>0</v>
      </c>
      <c r="O903" s="16">
        <v>0.52631578947368396</v>
      </c>
      <c r="P903" s="17">
        <f t="shared" si="154"/>
        <v>0.24555912188434667</v>
      </c>
      <c r="Q903" s="17">
        <f t="shared" si="155"/>
        <v>0.73776103931448134</v>
      </c>
      <c r="R903" s="17">
        <f t="shared" si="156"/>
        <v>0.30501606127996034</v>
      </c>
      <c r="S903" s="17">
        <f>'02_지표정의'!$C$22*P903+'02_지표정의'!$C$23*Q903+'02_지표정의'!$C$24*R903</f>
        <v>0.48785991351637209</v>
      </c>
      <c r="T903" s="5">
        <f t="shared" si="157"/>
        <v>0</v>
      </c>
      <c r="U903" s="5" t="str">
        <f t="shared" si="158"/>
        <v>보고서</v>
      </c>
      <c r="V903" s="18">
        <f t="shared" si="159"/>
        <v>25</v>
      </c>
      <c r="W903" s="5">
        <f t="shared" si="160"/>
        <v>19</v>
      </c>
      <c r="X903" s="5">
        <f t="shared" si="161"/>
        <v>0</v>
      </c>
      <c r="Y903" s="5">
        <f t="shared" si="162"/>
        <v>23</v>
      </c>
      <c r="Z903" s="19">
        <f t="shared" si="163"/>
        <v>12</v>
      </c>
      <c r="AA903" s="20">
        <f>ABS(S903-SUMPRODUCT(('05B_가정검정'!$A$5:$A$19=B903)*('05B_가정검정'!$B$5:$B$19=C903)*'05B_가정검정'!$E$5:$E$19))</f>
        <v>4.343250818534955E-2</v>
      </c>
      <c r="AB903" s="20">
        <f t="shared" si="164"/>
        <v>-3.9689118862214212E-2</v>
      </c>
    </row>
    <row r="904" spans="1:28">
      <c r="A904" s="15" t="s">
        <v>183</v>
      </c>
      <c r="B904" s="15" t="s">
        <v>116</v>
      </c>
      <c r="C904" s="15" t="s">
        <v>119</v>
      </c>
      <c r="D904" s="16">
        <v>0.29213483146067398</v>
      </c>
      <c r="E904" s="16">
        <v>0.430379746835443</v>
      </c>
      <c r="F904" s="16">
        <v>0.19230769230769201</v>
      </c>
      <c r="G904" s="16">
        <v>0.341772151898734</v>
      </c>
      <c r="H904" s="16">
        <v>0.23984459446062101</v>
      </c>
      <c r="I904" s="16">
        <v>0.292660889771651</v>
      </c>
      <c r="J904" s="16">
        <v>0.749383483800801</v>
      </c>
      <c r="K904" s="16">
        <v>0.602468849211377</v>
      </c>
      <c r="L904" s="16">
        <v>0.80569646005290996</v>
      </c>
      <c r="M904" s="16">
        <v>0.39393939393939398</v>
      </c>
      <c r="N904" s="16">
        <v>0</v>
      </c>
      <c r="O904" s="16">
        <v>1</v>
      </c>
      <c r="P904" s="17">
        <f t="shared" si="154"/>
        <v>0.29818331778913582</v>
      </c>
      <c r="Q904" s="17">
        <f t="shared" si="155"/>
        <v>0.71918293102169584</v>
      </c>
      <c r="R904" s="17">
        <f t="shared" si="156"/>
        <v>0.4646464646464647</v>
      </c>
      <c r="S904" s="17">
        <f>'02_지표정의'!$C$22*P904+'02_지표정의'!$C$23*Q904+'02_지표정의'!$C$24*R904</f>
        <v>0.5458952451438529</v>
      </c>
      <c r="T904" s="5">
        <f t="shared" si="157"/>
        <v>0</v>
      </c>
      <c r="U904" s="5" t="str">
        <f t="shared" si="158"/>
        <v>보고서</v>
      </c>
      <c r="V904" s="18">
        <f t="shared" si="159"/>
        <v>188</v>
      </c>
      <c r="W904" s="5">
        <f t="shared" si="160"/>
        <v>0</v>
      </c>
      <c r="X904" s="5">
        <f t="shared" si="161"/>
        <v>53</v>
      </c>
      <c r="Y904" s="5">
        <f t="shared" si="162"/>
        <v>165</v>
      </c>
      <c r="Z904" s="19">
        <f t="shared" si="163"/>
        <v>25</v>
      </c>
      <c r="AA904" s="20">
        <f>ABS(S904-SUMPRODUCT(('05B_가정검정'!$A$5:$A$19=B904)*('05B_가정검정'!$B$5:$B$19=C904)*'05B_가정검정'!$E$5:$E$19))</f>
        <v>7.128271598929703E-3</v>
      </c>
      <c r="AB904" s="20">
        <f t="shared" si="164"/>
        <v>-1.0557238532327151E-2</v>
      </c>
    </row>
    <row r="905" spans="1:28">
      <c r="A905" s="15" t="s">
        <v>183</v>
      </c>
      <c r="B905" s="15" t="s">
        <v>120</v>
      </c>
      <c r="C905" s="15" t="s">
        <v>117</v>
      </c>
      <c r="D905" s="16">
        <v>0.223695111847556</v>
      </c>
      <c r="E905" s="16">
        <v>0.30363036303630397</v>
      </c>
      <c r="F905" s="16">
        <v>6.6445182724252497E-2</v>
      </c>
      <c r="G905" s="16">
        <v>0.19141914191419099</v>
      </c>
      <c r="H905" s="16">
        <v>0.30248090831715801</v>
      </c>
      <c r="I905" s="16">
        <v>0.172859373219339</v>
      </c>
      <c r="J905" s="16">
        <v>0.64531559030206498</v>
      </c>
      <c r="K905" s="16">
        <v>0.64159673872420697</v>
      </c>
      <c r="L905" s="16">
        <v>0.83190750554019999</v>
      </c>
      <c r="M905" s="16">
        <v>0.55029585798816605</v>
      </c>
      <c r="N905" s="16">
        <v>0.480392156862745</v>
      </c>
      <c r="O905" s="16">
        <v>1</v>
      </c>
      <c r="P905" s="17">
        <f t="shared" si="154"/>
        <v>0.21008834684313341</v>
      </c>
      <c r="Q905" s="17">
        <f t="shared" si="155"/>
        <v>0.70627327818882402</v>
      </c>
      <c r="R905" s="17">
        <f t="shared" si="156"/>
        <v>0.67689600495030378</v>
      </c>
      <c r="S905" s="17">
        <f>'02_지표정의'!$C$22*P905+'02_지표정의'!$C$23*Q905+'02_지표정의'!$C$24*R905</f>
        <v>0.59675424628620377</v>
      </c>
      <c r="T905" s="5">
        <f t="shared" si="157"/>
        <v>0</v>
      </c>
      <c r="U905" s="5" t="str">
        <f t="shared" si="158"/>
        <v>보고서</v>
      </c>
      <c r="V905" s="18">
        <f t="shared" si="159"/>
        <v>380</v>
      </c>
      <c r="W905" s="5">
        <f t="shared" si="160"/>
        <v>307</v>
      </c>
      <c r="X905" s="5">
        <f t="shared" si="161"/>
        <v>163</v>
      </c>
      <c r="Y905" s="5">
        <f t="shared" si="162"/>
        <v>0</v>
      </c>
      <c r="Z905" s="19">
        <f t="shared" si="163"/>
        <v>4</v>
      </c>
      <c r="AA905" s="20">
        <f>ABS(S905-SUMPRODUCT(('05B_가정검정'!$A$5:$A$19=B905)*('05B_가정검정'!$B$5:$B$19=C905)*'05B_가정검정'!$E$5:$E$19))</f>
        <v>3.1294713770917304E-2</v>
      </c>
      <c r="AB905" s="20">
        <f t="shared" si="164"/>
        <v>-3.4548457138553368E-2</v>
      </c>
    </row>
    <row r="906" spans="1:28">
      <c r="A906" s="15" t="s">
        <v>183</v>
      </c>
      <c r="B906" s="15" t="s">
        <v>120</v>
      </c>
      <c r="C906" s="15" t="s">
        <v>118</v>
      </c>
      <c r="D906" s="16">
        <v>0.24758220502901401</v>
      </c>
      <c r="E906" s="16">
        <v>0.36571428571428599</v>
      </c>
      <c r="F906" s="16">
        <v>9.7701149425287404E-2</v>
      </c>
      <c r="G906" s="16">
        <v>0.26857142857142902</v>
      </c>
      <c r="H906" s="16">
        <v>0.28056454106917</v>
      </c>
      <c r="I906" s="16">
        <v>0.24372019961966199</v>
      </c>
      <c r="J906" s="16">
        <v>0.67712459825166205</v>
      </c>
      <c r="K906" s="16">
        <v>0.63956016613572197</v>
      </c>
      <c r="L906" s="16">
        <v>0.82049603713070296</v>
      </c>
      <c r="M906" s="16">
        <v>0.47605633802816899</v>
      </c>
      <c r="N906" s="16">
        <v>0.32653061224489799</v>
      </c>
      <c r="O906" s="16">
        <v>0.52631578947368396</v>
      </c>
      <c r="P906" s="17">
        <f t="shared" si="154"/>
        <v>0.25064230157147477</v>
      </c>
      <c r="Q906" s="17">
        <f t="shared" si="155"/>
        <v>0.71239360050602896</v>
      </c>
      <c r="R906" s="17">
        <f t="shared" si="156"/>
        <v>0.44296757991558361</v>
      </c>
      <c r="S906" s="17">
        <f>'02_지표정의'!$C$22*P906+'02_지표정의'!$C$23*Q906+'02_지표정의'!$C$24*R906</f>
        <v>0.52574423351246224</v>
      </c>
      <c r="T906" s="5">
        <f t="shared" si="157"/>
        <v>0</v>
      </c>
      <c r="U906" s="5" t="str">
        <f t="shared" si="158"/>
        <v>보고서</v>
      </c>
      <c r="V906" s="18">
        <f t="shared" si="159"/>
        <v>120</v>
      </c>
      <c r="W906" s="5">
        <f t="shared" si="160"/>
        <v>109</v>
      </c>
      <c r="X906" s="5">
        <f t="shared" si="161"/>
        <v>0</v>
      </c>
      <c r="Y906" s="5">
        <f t="shared" si="162"/>
        <v>108</v>
      </c>
      <c r="Z906" s="19">
        <f t="shared" si="163"/>
        <v>18</v>
      </c>
      <c r="AA906" s="20">
        <f>ABS(S906-SUMPRODUCT(('05B_가정검정'!$A$5:$A$19=B906)*('05B_가정검정'!$B$5:$B$19=C906)*'05B_가정검정'!$E$5:$E$19))</f>
        <v>6.5084615069165741E-2</v>
      </c>
      <c r="AB906" s="20">
        <f t="shared" si="164"/>
        <v>-4.9146542449648556E-2</v>
      </c>
    </row>
    <row r="907" spans="1:28">
      <c r="A907" s="15" t="s">
        <v>183</v>
      </c>
      <c r="B907" s="15" t="s">
        <v>120</v>
      </c>
      <c r="C907" s="15" t="s">
        <v>119</v>
      </c>
      <c r="D907" s="16">
        <v>0.26484018264840198</v>
      </c>
      <c r="E907" s="16">
        <v>0.473895582329317</v>
      </c>
      <c r="F907" s="16">
        <v>0.15384615384615399</v>
      </c>
      <c r="G907" s="16">
        <v>0.33734939759036198</v>
      </c>
      <c r="H907" s="16">
        <v>0.31910018416876401</v>
      </c>
      <c r="I907" s="16">
        <v>0.29892619308664298</v>
      </c>
      <c r="J907" s="16">
        <v>0.72071964979548497</v>
      </c>
      <c r="K907" s="16">
        <v>0.641728898648387</v>
      </c>
      <c r="L907" s="16">
        <v>0.84816262148267496</v>
      </c>
      <c r="M907" s="16">
        <v>0.84615384615384603</v>
      </c>
      <c r="N907" s="16">
        <v>0.87254901960784303</v>
      </c>
      <c r="O907" s="16">
        <v>1</v>
      </c>
      <c r="P907" s="17">
        <f t="shared" si="154"/>
        <v>0.30799294894494028</v>
      </c>
      <c r="Q907" s="17">
        <f t="shared" si="155"/>
        <v>0.73687038997551557</v>
      </c>
      <c r="R907" s="17">
        <f t="shared" si="156"/>
        <v>0.90623428858722965</v>
      </c>
      <c r="S907" s="17">
        <f>'02_지표정의'!$C$22*P907+'02_지표정의'!$C$23*Q907+'02_지표정의'!$C$24*R907</f>
        <v>0.71037226628350036</v>
      </c>
      <c r="T907" s="5">
        <f t="shared" si="157"/>
        <v>0</v>
      </c>
      <c r="U907" s="5" t="str">
        <f t="shared" si="158"/>
        <v>보고서</v>
      </c>
      <c r="V907" s="18">
        <f t="shared" si="159"/>
        <v>846</v>
      </c>
      <c r="W907" s="5">
        <f t="shared" si="160"/>
        <v>0</v>
      </c>
      <c r="X907" s="5">
        <f t="shared" si="161"/>
        <v>521</v>
      </c>
      <c r="Y907" s="5">
        <f t="shared" si="162"/>
        <v>608</v>
      </c>
      <c r="Z907" s="19">
        <f t="shared" si="163"/>
        <v>62</v>
      </c>
      <c r="AA907" s="20">
        <f>ABS(S907-SUMPRODUCT(('05B_가정검정'!$A$5:$A$19=B907)*('05B_가정검정'!$B$5:$B$19=C907)*'05B_가정검정'!$E$5:$E$19))</f>
        <v>4.6694949802114083E-2</v>
      </c>
      <c r="AB907" s="20">
        <f t="shared" si="164"/>
        <v>5.1949258772684748E-2</v>
      </c>
    </row>
    <row r="908" spans="1:28">
      <c r="A908" s="15" t="s">
        <v>183</v>
      </c>
      <c r="B908" s="15" t="s">
        <v>121</v>
      </c>
      <c r="C908" s="15" t="s">
        <v>117</v>
      </c>
      <c r="D908" s="16">
        <v>0.20938628158844799</v>
      </c>
      <c r="E908" s="16">
        <v>0.27488151658767801</v>
      </c>
      <c r="F908" s="16">
        <v>7.6555023923445001E-2</v>
      </c>
      <c r="G908" s="16">
        <v>0.21800947867298601</v>
      </c>
      <c r="H908" s="16">
        <v>0.23309210077123199</v>
      </c>
      <c r="I908" s="16">
        <v>0.150692173832362</v>
      </c>
      <c r="J908" s="16">
        <v>0.71954284314914096</v>
      </c>
      <c r="K908" s="16">
        <v>0.73196094520970001</v>
      </c>
      <c r="L908" s="16">
        <v>0.87223627570503803</v>
      </c>
      <c r="M908" s="16">
        <v>0.90654205607476601</v>
      </c>
      <c r="N908" s="16">
        <v>0.91666666666666696</v>
      </c>
      <c r="O908" s="16">
        <v>1</v>
      </c>
      <c r="P908" s="17">
        <f t="shared" si="154"/>
        <v>0.1937694292293585</v>
      </c>
      <c r="Q908" s="17">
        <f t="shared" si="155"/>
        <v>0.77458002135462634</v>
      </c>
      <c r="R908" s="17">
        <f t="shared" si="156"/>
        <v>0.94106957424714432</v>
      </c>
      <c r="S908" s="17">
        <f>'02_지표정의'!$C$22*P908+'02_지표정의'!$C$23*Q908+'02_지표정의'!$C$24*R908</f>
        <v>0.71668924644195409</v>
      </c>
      <c r="T908" s="5">
        <f t="shared" si="157"/>
        <v>1</v>
      </c>
      <c r="U908" s="5" t="str">
        <f t="shared" si="158"/>
        <v>보고서</v>
      </c>
      <c r="V908" s="18">
        <f t="shared" si="159"/>
        <v>865</v>
      </c>
      <c r="W908" s="5">
        <f t="shared" si="160"/>
        <v>575</v>
      </c>
      <c r="X908" s="5">
        <f t="shared" si="161"/>
        <v>540</v>
      </c>
      <c r="Y908" s="5">
        <f t="shared" si="162"/>
        <v>0</v>
      </c>
      <c r="Z908" s="19">
        <f t="shared" si="163"/>
        <v>21</v>
      </c>
      <c r="AA908" s="20">
        <f>ABS(S908-SUMPRODUCT(('05B_가정검정'!$A$5:$A$19=B908)*('05B_가정검정'!$B$5:$B$19=C908)*'05B_가정검정'!$E$5:$E$19))</f>
        <v>1.2742824939927067E-2</v>
      </c>
      <c r="AB908" s="20">
        <f t="shared" si="164"/>
        <v>-9.6254663092687487E-4</v>
      </c>
    </row>
    <row r="909" spans="1:28">
      <c r="A909" s="15" t="s">
        <v>183</v>
      </c>
      <c r="B909" s="15" t="s">
        <v>121</v>
      </c>
      <c r="C909" s="15" t="s">
        <v>118</v>
      </c>
      <c r="D909" s="16">
        <v>0.26139817629179302</v>
      </c>
      <c r="E909" s="16">
        <v>0.27906976744186102</v>
      </c>
      <c r="F909" s="16">
        <v>9.375E-2</v>
      </c>
      <c r="G909" s="16">
        <v>0.209302325581395</v>
      </c>
      <c r="H909" s="16">
        <v>0.178618140084669</v>
      </c>
      <c r="I909" s="16">
        <v>0.228255028372742</v>
      </c>
      <c r="J909" s="16">
        <v>0.72243420441471895</v>
      </c>
      <c r="K909" s="16">
        <v>0.751458551989448</v>
      </c>
      <c r="L909" s="16">
        <v>0.85722540556179705</v>
      </c>
      <c r="M909" s="16">
        <v>0.273239436619718</v>
      </c>
      <c r="N909" s="16">
        <v>0.25170068027210901</v>
      </c>
      <c r="O909" s="16">
        <v>0.52631578947368396</v>
      </c>
      <c r="P909" s="17">
        <f t="shared" si="154"/>
        <v>0.20839890629541</v>
      </c>
      <c r="Q909" s="17">
        <f t="shared" si="155"/>
        <v>0.77703938732198807</v>
      </c>
      <c r="R909" s="17">
        <f t="shared" si="156"/>
        <v>0.35041863545517032</v>
      </c>
      <c r="S909" s="17">
        <f>'02_지표정의'!$C$22*P909+'02_지표정의'!$C$23*Q909+'02_지표정의'!$C$24*R909</f>
        <v>0.51399402796328619</v>
      </c>
      <c r="T909" s="5">
        <f t="shared" si="157"/>
        <v>0</v>
      </c>
      <c r="U909" s="5" t="str">
        <f t="shared" si="158"/>
        <v>보고서</v>
      </c>
      <c r="V909" s="18">
        <f t="shared" si="159"/>
        <v>78</v>
      </c>
      <c r="W909" s="5">
        <f t="shared" si="160"/>
        <v>70</v>
      </c>
      <c r="X909" s="5">
        <f t="shared" si="161"/>
        <v>0</v>
      </c>
      <c r="Y909" s="5">
        <f t="shared" si="162"/>
        <v>71</v>
      </c>
      <c r="Z909" s="19">
        <f t="shared" si="163"/>
        <v>3</v>
      </c>
      <c r="AA909" s="20">
        <f>ABS(S909-SUMPRODUCT(('05B_가정검정'!$A$5:$A$19=B909)*('05B_가정검정'!$B$5:$B$19=C909)*'05B_가정검정'!$E$5:$E$19))</f>
        <v>8.4585462203682238E-2</v>
      </c>
      <c r="AB909" s="20">
        <f t="shared" si="164"/>
        <v>-6.5405046563527081E-2</v>
      </c>
    </row>
    <row r="910" spans="1:28">
      <c r="A910" s="15" t="s">
        <v>183</v>
      </c>
      <c r="B910" s="15" t="s">
        <v>121</v>
      </c>
      <c r="C910" s="15" t="s">
        <v>119</v>
      </c>
      <c r="D910" s="16">
        <v>0.31154381084840099</v>
      </c>
      <c r="E910" s="16">
        <v>0.39490445859872603</v>
      </c>
      <c r="F910" s="16">
        <v>0.14193548387096799</v>
      </c>
      <c r="G910" s="16">
        <v>0.305732484076433</v>
      </c>
      <c r="H910" s="16">
        <v>0.29142756817057602</v>
      </c>
      <c r="I910" s="16">
        <v>0.28165860303198798</v>
      </c>
      <c r="J910" s="16">
        <v>0.767609341370739</v>
      </c>
      <c r="K910" s="16">
        <v>0.759883332986653</v>
      </c>
      <c r="L910" s="16">
        <v>0.88069240378054903</v>
      </c>
      <c r="M910" s="16">
        <v>0.587878787878788</v>
      </c>
      <c r="N910" s="16">
        <v>0.55000000000000004</v>
      </c>
      <c r="O910" s="16">
        <v>1</v>
      </c>
      <c r="P910" s="17">
        <f t="shared" si="154"/>
        <v>0.28786706809951529</v>
      </c>
      <c r="Q910" s="17">
        <f t="shared" si="155"/>
        <v>0.80272835937931364</v>
      </c>
      <c r="R910" s="17">
        <f t="shared" si="156"/>
        <v>0.71262626262626272</v>
      </c>
      <c r="S910" s="17">
        <f>'02_지표정의'!$C$22*P910+'02_지표정의'!$C$23*Q910+'02_지표정의'!$C$24*R910</f>
        <v>0.66822036725978617</v>
      </c>
      <c r="T910" s="5">
        <f t="shared" si="157"/>
        <v>0</v>
      </c>
      <c r="U910" s="5" t="str">
        <f t="shared" si="158"/>
        <v>보고서</v>
      </c>
      <c r="V910" s="18">
        <f t="shared" si="159"/>
        <v>708</v>
      </c>
      <c r="W910" s="5">
        <f t="shared" si="160"/>
        <v>0</v>
      </c>
      <c r="X910" s="5">
        <f t="shared" si="161"/>
        <v>388</v>
      </c>
      <c r="Y910" s="5">
        <f t="shared" si="162"/>
        <v>521</v>
      </c>
      <c r="Z910" s="19">
        <f t="shared" si="163"/>
        <v>23</v>
      </c>
      <c r="AA910" s="20">
        <f>ABS(S910-SUMPRODUCT(('05B_가정검정'!$A$5:$A$19=B910)*('05B_가정검정'!$B$5:$B$19=C910)*'05B_가정검정'!$E$5:$E$19))</f>
        <v>2.4099475536067505E-2</v>
      </c>
      <c r="AB910" s="20">
        <f t="shared" si="164"/>
        <v>-2.0016608159824867E-2</v>
      </c>
    </row>
    <row r="911" spans="1:28">
      <c r="A911" s="15" t="s">
        <v>183</v>
      </c>
      <c r="B911" s="15" t="s">
        <v>122</v>
      </c>
      <c r="C911" s="15" t="s">
        <v>117</v>
      </c>
      <c r="D911" s="16">
        <v>0.24110218140068901</v>
      </c>
      <c r="E911" s="16">
        <v>0.29184549356223199</v>
      </c>
      <c r="F911" s="16">
        <v>9.5238095238095205E-2</v>
      </c>
      <c r="G911" s="16">
        <v>0.24034334763948501</v>
      </c>
      <c r="H911" s="16">
        <v>0.27441661382104399</v>
      </c>
      <c r="I911" s="16">
        <v>0.16684691923643599</v>
      </c>
      <c r="J911" s="16">
        <v>0.69394607606161496</v>
      </c>
      <c r="K911" s="16">
        <v>0.65747113277843405</v>
      </c>
      <c r="L911" s="16">
        <v>0.82177224316544395</v>
      </c>
      <c r="M911" s="16">
        <v>0.65925925925925899</v>
      </c>
      <c r="N911" s="16">
        <v>0.66216216216216195</v>
      </c>
      <c r="O911" s="16">
        <v>1</v>
      </c>
      <c r="P911" s="17">
        <f t="shared" si="154"/>
        <v>0.21829877514966353</v>
      </c>
      <c r="Q911" s="17">
        <f t="shared" si="155"/>
        <v>0.72439648400183099</v>
      </c>
      <c r="R911" s="17">
        <f t="shared" si="156"/>
        <v>0.77380714047380694</v>
      </c>
      <c r="S911" s="17">
        <f>'02_지표정의'!$C$22*P911+'02_지표정의'!$C$23*Q911+'02_지표정의'!$C$24*R911</f>
        <v>0.64047067199658902</v>
      </c>
      <c r="T911" s="5">
        <f t="shared" si="157"/>
        <v>0</v>
      </c>
      <c r="U911" s="5" t="str">
        <f t="shared" si="158"/>
        <v>보고서</v>
      </c>
      <c r="V911" s="18">
        <f t="shared" si="159"/>
        <v>579</v>
      </c>
      <c r="W911" s="5">
        <f t="shared" si="160"/>
        <v>450</v>
      </c>
      <c r="X911" s="5">
        <f t="shared" si="161"/>
        <v>274</v>
      </c>
      <c r="Y911" s="5">
        <f t="shared" si="162"/>
        <v>0</v>
      </c>
      <c r="Z911" s="19">
        <f t="shared" si="163"/>
        <v>34</v>
      </c>
      <c r="AA911" s="20">
        <f>ABS(S911-SUMPRODUCT(('05B_가정검정'!$A$5:$A$19=B911)*('05B_가정검정'!$B$5:$B$19=C911)*'05B_가정검정'!$E$5:$E$19))</f>
        <v>1.1177172879105468E-3</v>
      </c>
      <c r="AB911" s="20">
        <f t="shared" si="164"/>
        <v>1.7589049806942869E-2</v>
      </c>
    </row>
    <row r="912" spans="1:28">
      <c r="A912" s="15" t="s">
        <v>183</v>
      </c>
      <c r="B912" s="15" t="s">
        <v>122</v>
      </c>
      <c r="C912" s="15" t="s">
        <v>118</v>
      </c>
      <c r="D912" s="16">
        <v>0.32951289398280798</v>
      </c>
      <c r="E912" s="16">
        <v>0.25</v>
      </c>
      <c r="F912" s="16">
        <v>7.9136690647481994E-2</v>
      </c>
      <c r="G912" s="16">
        <v>0.2</v>
      </c>
      <c r="H912" s="16">
        <v>0.21984985372447499</v>
      </c>
      <c r="I912" s="16">
        <v>0.17429341884828201</v>
      </c>
      <c r="J912" s="16">
        <v>0.70857334914785397</v>
      </c>
      <c r="K912" s="16">
        <v>0.64711364916187197</v>
      </c>
      <c r="L912" s="16">
        <v>0.82329609213816102</v>
      </c>
      <c r="M912" s="16">
        <v>0.35774647887323902</v>
      </c>
      <c r="N912" s="16">
        <v>0.23129251700680301</v>
      </c>
      <c r="O912" s="16">
        <v>0.52631578947368396</v>
      </c>
      <c r="P912" s="17">
        <f t="shared" si="154"/>
        <v>0.2087988095338412</v>
      </c>
      <c r="Q912" s="17">
        <f t="shared" si="155"/>
        <v>0.72632769681596232</v>
      </c>
      <c r="R912" s="17">
        <f t="shared" si="156"/>
        <v>0.371784928451242</v>
      </c>
      <c r="S912" s="17">
        <f>'02_지표정의'!$C$22*P912+'02_지표정의'!$C$23*Q912+'02_지표정의'!$C$24*R912</f>
        <v>0.49873195043188595</v>
      </c>
      <c r="T912" s="5">
        <f t="shared" si="157"/>
        <v>1</v>
      </c>
      <c r="U912" s="5" t="str">
        <f t="shared" si="158"/>
        <v>보고서</v>
      </c>
      <c r="V912" s="18">
        <f t="shared" si="159"/>
        <v>44</v>
      </c>
      <c r="W912" s="5">
        <f t="shared" si="160"/>
        <v>38</v>
      </c>
      <c r="X912" s="5">
        <f t="shared" si="161"/>
        <v>0</v>
      </c>
      <c r="Y912" s="5">
        <f t="shared" si="162"/>
        <v>39</v>
      </c>
      <c r="Z912" s="19">
        <f t="shared" si="163"/>
        <v>3</v>
      </c>
      <c r="AA912" s="20">
        <f>ABS(S912-SUMPRODUCT(('05B_가정검정'!$A$5:$A$19=B912)*('05B_가정검정'!$B$5:$B$19=C912)*'05B_가정검정'!$E$5:$E$19))</f>
        <v>8.81899855652723E-2</v>
      </c>
      <c r="AB912" s="20">
        <f t="shared" si="164"/>
        <v>-8.249132578579782E-2</v>
      </c>
    </row>
    <row r="913" spans="1:28">
      <c r="A913" s="15" t="s">
        <v>183</v>
      </c>
      <c r="B913" s="15" t="s">
        <v>122</v>
      </c>
      <c r="C913" s="15" t="s">
        <v>119</v>
      </c>
      <c r="D913" s="16">
        <v>0.32147562582345202</v>
      </c>
      <c r="E913" s="16">
        <v>0.40223463687150801</v>
      </c>
      <c r="F913" s="16">
        <v>0.13559322033898299</v>
      </c>
      <c r="G913" s="16">
        <v>0.30167597765363102</v>
      </c>
      <c r="H913" s="16">
        <v>0.32260293228440901</v>
      </c>
      <c r="I913" s="16">
        <v>0.20936332297485399</v>
      </c>
      <c r="J913" s="16">
        <v>0.71293561533522698</v>
      </c>
      <c r="K913" s="16">
        <v>0.64263768315795899</v>
      </c>
      <c r="L913" s="16">
        <v>0.84587127638814297</v>
      </c>
      <c r="M913" s="16">
        <v>0.47878787878787898</v>
      </c>
      <c r="N913" s="16">
        <v>0.35</v>
      </c>
      <c r="O913" s="16">
        <v>1</v>
      </c>
      <c r="P913" s="17">
        <f t="shared" si="154"/>
        <v>0.28215761932447286</v>
      </c>
      <c r="Q913" s="17">
        <f t="shared" si="155"/>
        <v>0.73381485829377624</v>
      </c>
      <c r="R913" s="17">
        <f t="shared" si="156"/>
        <v>0.60959595959595969</v>
      </c>
      <c r="S913" s="17">
        <f>'02_지표정의'!$C$22*P913+'02_지표정의'!$C$23*Q913+'02_지표정의'!$C$24*R913</f>
        <v>0.60000679595567974</v>
      </c>
      <c r="T913" s="5">
        <f t="shared" si="157"/>
        <v>0</v>
      </c>
      <c r="U913" s="5" t="str">
        <f t="shared" si="158"/>
        <v>보고서</v>
      </c>
      <c r="V913" s="18">
        <f t="shared" si="159"/>
        <v>390</v>
      </c>
      <c r="W913" s="5">
        <f t="shared" si="160"/>
        <v>0</v>
      </c>
      <c r="X913" s="5">
        <f t="shared" si="161"/>
        <v>167</v>
      </c>
      <c r="Y913" s="5">
        <f t="shared" si="162"/>
        <v>298</v>
      </c>
      <c r="Z913" s="19">
        <f t="shared" si="163"/>
        <v>15</v>
      </c>
      <c r="AA913" s="20">
        <f>ABS(S913-SUMPRODUCT(('05B_가정검정'!$A$5:$A$19=B913)*('05B_가정검정'!$B$5:$B$19=C913)*'05B_가정검정'!$E$5:$E$19))</f>
        <v>3.5599391945771663E-2</v>
      </c>
      <c r="AB913" s="20">
        <f t="shared" si="164"/>
        <v>-3.138207035920626E-2</v>
      </c>
    </row>
    <row r="914" spans="1:28">
      <c r="A914" s="15" t="s">
        <v>183</v>
      </c>
      <c r="B914" s="15" t="s">
        <v>123</v>
      </c>
      <c r="C914" s="15" t="s">
        <v>117</v>
      </c>
      <c r="D914" s="16">
        <v>0.27556512378901998</v>
      </c>
      <c r="E914" s="16">
        <v>0.36585365853658502</v>
      </c>
      <c r="F914" s="16">
        <v>0.12295081967213101</v>
      </c>
      <c r="G914" s="16">
        <v>0.26829268292682901</v>
      </c>
      <c r="H914" s="16">
        <v>0.35979092000116297</v>
      </c>
      <c r="I914" s="16">
        <v>0.20738590280747801</v>
      </c>
      <c r="J914" s="16">
        <v>0.75123381373642295</v>
      </c>
      <c r="K914" s="16">
        <v>0.69927422157674801</v>
      </c>
      <c r="L914" s="16">
        <v>0.86120897556533604</v>
      </c>
      <c r="M914" s="16">
        <v>0.90654205607476601</v>
      </c>
      <c r="N914" s="16">
        <v>0.91666666666666696</v>
      </c>
      <c r="O914" s="16">
        <v>1</v>
      </c>
      <c r="P914" s="17">
        <f t="shared" si="154"/>
        <v>0.26663985128886769</v>
      </c>
      <c r="Q914" s="17">
        <f t="shared" si="155"/>
        <v>0.77057233695950222</v>
      </c>
      <c r="R914" s="17">
        <f t="shared" si="156"/>
        <v>0.94106957424714432</v>
      </c>
      <c r="S914" s="17">
        <f>'02_지표정의'!$C$22*P914+'02_지표정의'!$C$23*Q914+'02_지표정의'!$C$24*R914</f>
        <v>0.72945987287604996</v>
      </c>
      <c r="T914" s="5">
        <f t="shared" si="157"/>
        <v>0</v>
      </c>
      <c r="U914" s="5" t="str">
        <f t="shared" si="158"/>
        <v>보고서</v>
      </c>
      <c r="V914" s="18">
        <f t="shared" si="159"/>
        <v>902</v>
      </c>
      <c r="W914" s="5">
        <f t="shared" si="160"/>
        <v>607</v>
      </c>
      <c r="X914" s="5">
        <f t="shared" si="161"/>
        <v>577</v>
      </c>
      <c r="Y914" s="5">
        <f t="shared" si="162"/>
        <v>0</v>
      </c>
      <c r="Z914" s="19">
        <f t="shared" si="163"/>
        <v>54</v>
      </c>
      <c r="AA914" s="20">
        <f>ABS(S914-SUMPRODUCT(('05B_가정검정'!$A$5:$A$19=B914)*('05B_가정검정'!$B$5:$B$19=C914)*'05B_가정검정'!$E$5:$E$19))</f>
        <v>1.453699009982623E-2</v>
      </c>
      <c r="AB914" s="20">
        <f t="shared" si="164"/>
        <v>2.1474421064806792E-2</v>
      </c>
    </row>
    <row r="915" spans="1:28">
      <c r="A915" s="15" t="s">
        <v>183</v>
      </c>
      <c r="B915" s="15" t="s">
        <v>123</v>
      </c>
      <c r="C915" s="15" t="s">
        <v>118</v>
      </c>
      <c r="D915" s="16">
        <v>0.26455026455026498</v>
      </c>
      <c r="E915" s="16">
        <v>0.293515358361775</v>
      </c>
      <c r="F915" s="16">
        <v>0.109965635738832</v>
      </c>
      <c r="G915" s="16">
        <v>0.204778156996587</v>
      </c>
      <c r="H915" s="16">
        <v>0.24690367554067699</v>
      </c>
      <c r="I915" s="16">
        <v>0.26235116985274298</v>
      </c>
      <c r="J915" s="16">
        <v>0.71526352733158305</v>
      </c>
      <c r="K915" s="16">
        <v>0.65997638423368998</v>
      </c>
      <c r="L915" s="16">
        <v>0.84093099017800799</v>
      </c>
      <c r="M915" s="16">
        <v>0.273239436619718</v>
      </c>
      <c r="N915" s="16">
        <v>0.25170068027210901</v>
      </c>
      <c r="O915" s="16">
        <v>0.52631578947368396</v>
      </c>
      <c r="P915" s="17">
        <f t="shared" si="154"/>
        <v>0.23034404350681315</v>
      </c>
      <c r="Q915" s="17">
        <f t="shared" si="155"/>
        <v>0.73872363391442697</v>
      </c>
      <c r="R915" s="17">
        <f t="shared" si="156"/>
        <v>0.35041863545517032</v>
      </c>
      <c r="S915" s="17">
        <f>'02_지표정의'!$C$22*P915+'02_지표정의'!$C$23*Q915+'02_지표정의'!$C$24*R915</f>
        <v>0.50114096637216443</v>
      </c>
      <c r="T915" s="5">
        <f t="shared" si="157"/>
        <v>0</v>
      </c>
      <c r="U915" s="5" t="str">
        <f t="shared" si="158"/>
        <v>보고서</v>
      </c>
      <c r="V915" s="18">
        <f t="shared" si="159"/>
        <v>46</v>
      </c>
      <c r="W915" s="5">
        <f t="shared" si="160"/>
        <v>40</v>
      </c>
      <c r="X915" s="5">
        <f t="shared" si="161"/>
        <v>0</v>
      </c>
      <c r="Y915" s="5">
        <f t="shared" si="162"/>
        <v>41</v>
      </c>
      <c r="Z915" s="19">
        <f t="shared" si="163"/>
        <v>9</v>
      </c>
      <c r="AA915" s="20">
        <f>ABS(S915-SUMPRODUCT(('05B_가정검정'!$A$5:$A$19=B915)*('05B_가정검정'!$B$5:$B$19=C915)*'05B_가정검정'!$E$5:$E$19))</f>
        <v>7.4157860506805284E-2</v>
      </c>
      <c r="AB915" s="20">
        <f t="shared" si="164"/>
        <v>-5.8730641552326657E-2</v>
      </c>
    </row>
    <row r="916" spans="1:28">
      <c r="A916" s="15" t="s">
        <v>183</v>
      </c>
      <c r="B916" s="15" t="s">
        <v>123</v>
      </c>
      <c r="C916" s="15" t="s">
        <v>119</v>
      </c>
      <c r="D916" s="16">
        <v>0.323133414932681</v>
      </c>
      <c r="E916" s="16">
        <v>0.38541666666666702</v>
      </c>
      <c r="F916" s="16">
        <v>0.14736842105263201</v>
      </c>
      <c r="G916" s="16">
        <v>0.3125</v>
      </c>
      <c r="H916" s="16">
        <v>0.417776519595776</v>
      </c>
      <c r="I916" s="16">
        <v>0.306399172990237</v>
      </c>
      <c r="J916" s="16">
        <v>0.71652647370782896</v>
      </c>
      <c r="K916" s="16">
        <v>0.69627078092079697</v>
      </c>
      <c r="L916" s="16">
        <v>0.87877834925932996</v>
      </c>
      <c r="M916" s="16">
        <v>0.587878787878788</v>
      </c>
      <c r="N916" s="16">
        <v>0.55000000000000004</v>
      </c>
      <c r="O916" s="16">
        <v>1</v>
      </c>
      <c r="P916" s="17">
        <f t="shared" si="154"/>
        <v>0.31543236587299889</v>
      </c>
      <c r="Q916" s="17">
        <f t="shared" si="155"/>
        <v>0.76385853462931863</v>
      </c>
      <c r="R916" s="17">
        <f t="shared" si="156"/>
        <v>0.71262626262626272</v>
      </c>
      <c r="S916" s="17">
        <f>'02_지표정의'!$C$22*P916+'02_지표정의'!$C$23*Q916+'02_지표정의'!$C$24*R916</f>
        <v>0.6562420056769851</v>
      </c>
      <c r="T916" s="5">
        <f t="shared" si="157"/>
        <v>1</v>
      </c>
      <c r="U916" s="5" t="str">
        <f t="shared" si="158"/>
        <v>보고서</v>
      </c>
      <c r="V916" s="18">
        <f t="shared" si="159"/>
        <v>649</v>
      </c>
      <c r="W916" s="5">
        <f t="shared" si="160"/>
        <v>0</v>
      </c>
      <c r="X916" s="5">
        <f t="shared" si="161"/>
        <v>330</v>
      </c>
      <c r="Y916" s="5">
        <f t="shared" si="162"/>
        <v>481</v>
      </c>
      <c r="Z916" s="19">
        <f t="shared" si="163"/>
        <v>19</v>
      </c>
      <c r="AA916" s="20">
        <f>ABS(S916-SUMPRODUCT(('05B_가정검정'!$A$5:$A$19=B916)*('05B_가정검정'!$B$5:$B$19=C916)*'05B_가정검정'!$E$5:$E$19))</f>
        <v>2.9387791647242256E-2</v>
      </c>
      <c r="AB916" s="20">
        <f t="shared" si="164"/>
        <v>-2.6176727368016683E-2</v>
      </c>
    </row>
    <row r="917" spans="1:28">
      <c r="A917" s="15" t="s">
        <v>184</v>
      </c>
      <c r="B917" s="15" t="s">
        <v>116</v>
      </c>
      <c r="C917" s="15" t="s">
        <v>117</v>
      </c>
      <c r="D917" s="16">
        <v>0.20641562064156199</v>
      </c>
      <c r="E917" s="16">
        <v>0.29599999999999999</v>
      </c>
      <c r="F917" s="16">
        <v>0.120967741935484</v>
      </c>
      <c r="G917" s="16">
        <v>0.25600000000000001</v>
      </c>
      <c r="H917" s="16">
        <v>0.234842312331734</v>
      </c>
      <c r="I917" s="16">
        <v>0.18757206139042501</v>
      </c>
      <c r="J917" s="16">
        <v>0.69403731497254995</v>
      </c>
      <c r="K917" s="16">
        <v>0.66889090992928402</v>
      </c>
      <c r="L917" s="16">
        <v>0.811714577898203</v>
      </c>
      <c r="M917" s="16">
        <v>0.51515151515151503</v>
      </c>
      <c r="N917" s="16">
        <v>0.213483146067416</v>
      </c>
      <c r="O917" s="16">
        <v>1</v>
      </c>
      <c r="P917" s="17">
        <f t="shared" si="154"/>
        <v>0.21696628938320084</v>
      </c>
      <c r="Q917" s="17">
        <f t="shared" si="155"/>
        <v>0.72488093426667899</v>
      </c>
      <c r="R917" s="17">
        <f t="shared" si="156"/>
        <v>0.57621155373964372</v>
      </c>
      <c r="S917" s="17">
        <f>'02_지표정의'!$C$22*P917+'02_지표정의'!$C$23*Q917+'02_지표정의'!$C$24*R917</f>
        <v>0.57126372210552101</v>
      </c>
      <c r="T917" s="5">
        <f t="shared" si="157"/>
        <v>0</v>
      </c>
      <c r="U917" s="5" t="str">
        <f t="shared" si="158"/>
        <v>보고서</v>
      </c>
      <c r="V917" s="18">
        <f t="shared" si="159"/>
        <v>289</v>
      </c>
      <c r="W917" s="5">
        <f t="shared" si="160"/>
        <v>236</v>
      </c>
      <c r="X917" s="5">
        <f t="shared" si="161"/>
        <v>117</v>
      </c>
      <c r="Y917" s="5">
        <f t="shared" si="162"/>
        <v>0</v>
      </c>
      <c r="Z917" s="19">
        <f t="shared" si="163"/>
        <v>52</v>
      </c>
      <c r="AA917" s="20">
        <f>ABS(S917-SUMPRODUCT(('05B_가정검정'!$A$5:$A$19=B917)*('05B_가정검정'!$B$5:$B$19=C917)*'05B_가정검정'!$E$5:$E$19))</f>
        <v>1.3860017120553736E-2</v>
      </c>
      <c r="AB917" s="20">
        <f t="shared" si="164"/>
        <v>1.8712556692897619E-2</v>
      </c>
    </row>
    <row r="918" spans="1:28">
      <c r="A918" s="15" t="s">
        <v>184</v>
      </c>
      <c r="B918" s="15" t="s">
        <v>116</v>
      </c>
      <c r="C918" s="15" t="s">
        <v>118</v>
      </c>
      <c r="D918" s="16">
        <v>0.37398373983739802</v>
      </c>
      <c r="E918" s="16">
        <v>0.38818565400843902</v>
      </c>
      <c r="F918" s="16">
        <v>0.25531914893617003</v>
      </c>
      <c r="G918" s="16">
        <v>0.34599156118143498</v>
      </c>
      <c r="H918" s="16">
        <v>0.24363426229565599</v>
      </c>
      <c r="I918" s="16">
        <v>0.47110980668122898</v>
      </c>
      <c r="J918" s="16">
        <v>0.72808989563844995</v>
      </c>
      <c r="K918" s="16">
        <v>0.69688474675246204</v>
      </c>
      <c r="L918" s="16">
        <v>0.87312295769912796</v>
      </c>
      <c r="M918" s="16">
        <v>0.422222222222222</v>
      </c>
      <c r="N918" s="16">
        <v>0</v>
      </c>
      <c r="O918" s="16">
        <v>1</v>
      </c>
      <c r="P918" s="17">
        <f t="shared" si="154"/>
        <v>0.3463706954900545</v>
      </c>
      <c r="Q918" s="17">
        <f t="shared" si="155"/>
        <v>0.76603253336334676</v>
      </c>
      <c r="R918" s="17">
        <f t="shared" si="156"/>
        <v>0.47407407407407404</v>
      </c>
      <c r="S918" s="17">
        <f>'02_지표정의'!$C$22*P918+'02_지표정의'!$C$23*Q918+'02_지표정의'!$C$24*R918</f>
        <v>0.5799147050374428</v>
      </c>
      <c r="T918" s="5">
        <f t="shared" si="157"/>
        <v>0</v>
      </c>
      <c r="U918" s="5" t="str">
        <f t="shared" si="158"/>
        <v>보고서</v>
      </c>
      <c r="V918" s="18">
        <f t="shared" si="159"/>
        <v>321</v>
      </c>
      <c r="W918" s="5">
        <f t="shared" si="160"/>
        <v>260</v>
      </c>
      <c r="X918" s="5">
        <f t="shared" si="161"/>
        <v>0</v>
      </c>
      <c r="Y918" s="5">
        <f t="shared" si="162"/>
        <v>244</v>
      </c>
      <c r="Z918" s="19">
        <f t="shared" si="163"/>
        <v>59</v>
      </c>
      <c r="AA918" s="20">
        <f>ABS(S918-SUMPRODUCT(('05B_가정검정'!$A$5:$A$19=B918)*('05B_가정검정'!$B$5:$B$19=C918)*'05B_가정검정'!$E$5:$E$19))</f>
        <v>4.8622283335721161E-2</v>
      </c>
      <c r="AB918" s="20">
        <f t="shared" si="164"/>
        <v>5.2365672658856499E-2</v>
      </c>
    </row>
    <row r="919" spans="1:28">
      <c r="A919" s="15" t="s">
        <v>184</v>
      </c>
      <c r="B919" s="15" t="s">
        <v>116</v>
      </c>
      <c r="C919" s="15" t="s">
        <v>119</v>
      </c>
      <c r="D919" s="16">
        <v>0.29275808936825898</v>
      </c>
      <c r="E919" s="16">
        <v>0.31578947368421101</v>
      </c>
      <c r="F919" s="16">
        <v>0.14569536423841101</v>
      </c>
      <c r="G919" s="16">
        <v>0.27631578947368401</v>
      </c>
      <c r="H919" s="16">
        <v>0.21931977480909501</v>
      </c>
      <c r="I919" s="16">
        <v>0.33871280181407698</v>
      </c>
      <c r="J919" s="16">
        <v>0.66273395989087702</v>
      </c>
      <c r="K919" s="16">
        <v>0.67386713605492099</v>
      </c>
      <c r="L919" s="16">
        <v>0.82884529584234801</v>
      </c>
      <c r="M919" s="16">
        <v>0.51515151515151503</v>
      </c>
      <c r="N919" s="16">
        <v>0</v>
      </c>
      <c r="O919" s="16">
        <v>1</v>
      </c>
      <c r="P919" s="17">
        <f t="shared" si="154"/>
        <v>0.26476521556462279</v>
      </c>
      <c r="Q919" s="17">
        <f t="shared" si="155"/>
        <v>0.72181546392938201</v>
      </c>
      <c r="R919" s="17">
        <f t="shared" si="156"/>
        <v>0.50505050505050508</v>
      </c>
      <c r="S919" s="17">
        <f>'02_지표정의'!$C$22*P919+'02_지표정의'!$C$23*Q919+'02_지표정의'!$C$24*R919</f>
        <v>0.55453767864882331</v>
      </c>
      <c r="T919" s="5">
        <f t="shared" si="157"/>
        <v>0</v>
      </c>
      <c r="U919" s="5" t="str">
        <f t="shared" si="158"/>
        <v>보고서</v>
      </c>
      <c r="V919" s="18">
        <f t="shared" si="159"/>
        <v>226</v>
      </c>
      <c r="W919" s="5">
        <f t="shared" si="160"/>
        <v>0</v>
      </c>
      <c r="X919" s="5">
        <f t="shared" si="161"/>
        <v>75</v>
      </c>
      <c r="Y919" s="5">
        <f t="shared" si="162"/>
        <v>193</v>
      </c>
      <c r="Z919" s="19">
        <f t="shared" si="163"/>
        <v>34</v>
      </c>
      <c r="AA919" s="20">
        <f>ABS(S919-SUMPRODUCT(('05B_가정검정'!$A$5:$A$19=B919)*('05B_가정검정'!$B$5:$B$19=C919)*'05B_가정검정'!$E$5:$E$19))</f>
        <v>1.5141619060407008E-3</v>
      </c>
      <c r="AB919" s="20">
        <f t="shared" si="164"/>
        <v>-1.9148050273567474E-3</v>
      </c>
    </row>
    <row r="920" spans="1:28">
      <c r="A920" s="15" t="s">
        <v>184</v>
      </c>
      <c r="B920" s="15" t="s">
        <v>120</v>
      </c>
      <c r="C920" s="15" t="s">
        <v>117</v>
      </c>
      <c r="D920" s="16">
        <v>0.21595330739299601</v>
      </c>
      <c r="E920" s="16">
        <v>0.35751295336787597</v>
      </c>
      <c r="F920" s="16">
        <v>0.19270833333333301</v>
      </c>
      <c r="G920" s="16">
        <v>0.25388601036269398</v>
      </c>
      <c r="H920" s="16">
        <v>0.311316340432292</v>
      </c>
      <c r="I920" s="16">
        <v>0.22483133507689201</v>
      </c>
      <c r="J920" s="16">
        <v>0.68105635693023303</v>
      </c>
      <c r="K920" s="16">
        <v>0.66626114256369695</v>
      </c>
      <c r="L920" s="16">
        <v>0.84738015058555805</v>
      </c>
      <c r="M920" s="16">
        <v>0.56707317073170704</v>
      </c>
      <c r="N920" s="16">
        <v>0.52127659574468099</v>
      </c>
      <c r="O920" s="16">
        <v>1</v>
      </c>
      <c r="P920" s="17">
        <f t="shared" si="154"/>
        <v>0.25936804666101387</v>
      </c>
      <c r="Q920" s="17">
        <f t="shared" si="155"/>
        <v>0.73156588335982942</v>
      </c>
      <c r="R920" s="17">
        <f t="shared" si="156"/>
        <v>0.69611658882546268</v>
      </c>
      <c r="S920" s="17">
        <f>'02_지표정의'!$C$22*P920+'02_지표정의'!$C$23*Q920+'02_지표정의'!$C$24*R920</f>
        <v>0.62471906293303792</v>
      </c>
      <c r="T920" s="5">
        <f t="shared" si="157"/>
        <v>0</v>
      </c>
      <c r="U920" s="5" t="str">
        <f t="shared" si="158"/>
        <v>보고서</v>
      </c>
      <c r="V920" s="18">
        <f t="shared" si="159"/>
        <v>508</v>
      </c>
      <c r="W920" s="5">
        <f t="shared" si="160"/>
        <v>410</v>
      </c>
      <c r="X920" s="5">
        <f t="shared" si="161"/>
        <v>223</v>
      </c>
      <c r="Y920" s="5">
        <f t="shared" si="162"/>
        <v>0</v>
      </c>
      <c r="Z920" s="19">
        <f t="shared" si="163"/>
        <v>30</v>
      </c>
      <c r="AA920" s="20">
        <f>ABS(S920-SUMPRODUCT(('05B_가정검정'!$A$5:$A$19=B920)*('05B_가정검정'!$B$5:$B$19=C920)*'05B_가정검정'!$E$5:$E$19))</f>
        <v>3.3298971240831587E-3</v>
      </c>
      <c r="AB920" s="20">
        <f t="shared" si="164"/>
        <v>-6.5836404917192226E-3</v>
      </c>
    </row>
    <row r="921" spans="1:28">
      <c r="A921" s="15" t="s">
        <v>184</v>
      </c>
      <c r="B921" s="15" t="s">
        <v>120</v>
      </c>
      <c r="C921" s="15" t="s">
        <v>118</v>
      </c>
      <c r="D921" s="16">
        <v>0.27895392278953901</v>
      </c>
      <c r="E921" s="16">
        <v>0.35924932975871299</v>
      </c>
      <c r="F921" s="16">
        <v>0.18328840970350399</v>
      </c>
      <c r="G921" s="16">
        <v>0.284182305630027</v>
      </c>
      <c r="H921" s="16">
        <v>0.226038928289375</v>
      </c>
      <c r="I921" s="16">
        <v>0.34655733721479698</v>
      </c>
      <c r="J921" s="16">
        <v>0.71865321244110503</v>
      </c>
      <c r="K921" s="16">
        <v>0.66090486080456201</v>
      </c>
      <c r="L921" s="16">
        <v>0.84689285548681303</v>
      </c>
      <c r="M921" s="16">
        <v>0.51555555555555599</v>
      </c>
      <c r="N921" s="16">
        <v>0.51818181818181797</v>
      </c>
      <c r="O921" s="16">
        <v>1</v>
      </c>
      <c r="P921" s="17">
        <f t="shared" si="154"/>
        <v>0.27971170556432584</v>
      </c>
      <c r="Q921" s="17">
        <f t="shared" si="155"/>
        <v>0.74215030957749339</v>
      </c>
      <c r="R921" s="17">
        <f t="shared" si="156"/>
        <v>0.67791245791245791</v>
      </c>
      <c r="S921" s="17">
        <f>'02_지표정의'!$C$22*P921+'02_지표정의'!$C$23*Q921+'02_지표정의'!$C$24*R921</f>
        <v>0.62717934069209746</v>
      </c>
      <c r="T921" s="5">
        <f t="shared" si="157"/>
        <v>0</v>
      </c>
      <c r="U921" s="5" t="str">
        <f t="shared" si="158"/>
        <v>보고서</v>
      </c>
      <c r="V921" s="18">
        <f t="shared" si="159"/>
        <v>516</v>
      </c>
      <c r="W921" s="5">
        <f t="shared" si="160"/>
        <v>417</v>
      </c>
      <c r="X921" s="5">
        <f t="shared" si="161"/>
        <v>0</v>
      </c>
      <c r="Y921" s="5">
        <f t="shared" si="162"/>
        <v>389</v>
      </c>
      <c r="Z921" s="19">
        <f t="shared" si="163"/>
        <v>56</v>
      </c>
      <c r="AA921" s="20">
        <f>ABS(S921-SUMPRODUCT(('05B_가정검정'!$A$5:$A$19=B921)*('05B_가정검정'!$B$5:$B$19=C921)*'05B_가정검정'!$E$5:$E$19))</f>
        <v>3.6350492110469479E-2</v>
      </c>
      <c r="AB921" s="20">
        <f t="shared" si="164"/>
        <v>5.2288564729986664E-2</v>
      </c>
    </row>
    <row r="922" spans="1:28">
      <c r="A922" s="15" t="s">
        <v>184</v>
      </c>
      <c r="B922" s="15" t="s">
        <v>120</v>
      </c>
      <c r="C922" s="15" t="s">
        <v>119</v>
      </c>
      <c r="D922" s="16">
        <v>0.24791666666666701</v>
      </c>
      <c r="E922" s="16">
        <v>0.52272727272727304</v>
      </c>
      <c r="F922" s="16">
        <v>0.32876712328767099</v>
      </c>
      <c r="G922" s="16">
        <v>0.32727272727272699</v>
      </c>
      <c r="H922" s="16">
        <v>0.355623979769776</v>
      </c>
      <c r="I922" s="16">
        <v>0.41775642917150302</v>
      </c>
      <c r="J922" s="16">
        <v>0.69018019844820899</v>
      </c>
      <c r="K922" s="16">
        <v>0.67382263352210703</v>
      </c>
      <c r="L922" s="16">
        <v>0.84636226548677196</v>
      </c>
      <c r="M922" s="16">
        <v>0.69512195121951204</v>
      </c>
      <c r="N922" s="16">
        <v>0.73404255319148903</v>
      </c>
      <c r="O922" s="16">
        <v>1</v>
      </c>
      <c r="P922" s="17">
        <f t="shared" si="154"/>
        <v>0.3666773664826028</v>
      </c>
      <c r="Q922" s="17">
        <f t="shared" si="155"/>
        <v>0.7367883658190294</v>
      </c>
      <c r="R922" s="17">
        <f t="shared" si="156"/>
        <v>0.80972150147033373</v>
      </c>
      <c r="S922" s="17">
        <f>'02_지표정의'!$C$22*P922+'02_지표정의'!$C$23*Q922+'02_지표정의'!$C$24*R922</f>
        <v>0.68829276342970069</v>
      </c>
      <c r="T922" s="5">
        <f t="shared" si="157"/>
        <v>0</v>
      </c>
      <c r="U922" s="5" t="str">
        <f t="shared" si="158"/>
        <v>보고서</v>
      </c>
      <c r="V922" s="18">
        <f t="shared" si="159"/>
        <v>780</v>
      </c>
      <c r="W922" s="5">
        <f t="shared" si="160"/>
        <v>0</v>
      </c>
      <c r="X922" s="5">
        <f t="shared" si="161"/>
        <v>456</v>
      </c>
      <c r="Y922" s="5">
        <f t="shared" si="162"/>
        <v>563</v>
      </c>
      <c r="Z922" s="19">
        <f t="shared" si="163"/>
        <v>49</v>
      </c>
      <c r="AA922" s="20">
        <f>ABS(S922-SUMPRODUCT(('05B_가정검정'!$A$5:$A$19=B922)*('05B_가정검정'!$B$5:$B$19=C922)*'05B_가정검정'!$E$5:$E$19))</f>
        <v>2.4615446948314412E-2</v>
      </c>
      <c r="AB922" s="20">
        <f t="shared" si="164"/>
        <v>2.9869755918885077E-2</v>
      </c>
    </row>
    <row r="923" spans="1:28">
      <c r="A923" s="15" t="s">
        <v>184</v>
      </c>
      <c r="B923" s="15" t="s">
        <v>121</v>
      </c>
      <c r="C923" s="15" t="s">
        <v>117</v>
      </c>
      <c r="D923" s="16">
        <v>0.226650062266501</v>
      </c>
      <c r="E923" s="16">
        <v>0.36764705882352899</v>
      </c>
      <c r="F923" s="16">
        <v>0.18518518518518501</v>
      </c>
      <c r="G923" s="16">
        <v>0.27941176470588203</v>
      </c>
      <c r="H923" s="16">
        <v>0.29087381609183</v>
      </c>
      <c r="I923" s="16">
        <v>0.20359110733334199</v>
      </c>
      <c r="J923" s="16">
        <v>0.73569081914712997</v>
      </c>
      <c r="K923" s="16">
        <v>0.744961965031947</v>
      </c>
      <c r="L923" s="16">
        <v>0.87273770967116004</v>
      </c>
      <c r="M923" s="16">
        <v>0.90654205607476601</v>
      </c>
      <c r="N923" s="16">
        <v>0.91666666666666696</v>
      </c>
      <c r="O923" s="16">
        <v>1</v>
      </c>
      <c r="P923" s="17">
        <f t="shared" si="154"/>
        <v>0.25889316573437821</v>
      </c>
      <c r="Q923" s="17">
        <f t="shared" si="155"/>
        <v>0.78446349795007897</v>
      </c>
      <c r="R923" s="17">
        <f t="shared" si="156"/>
        <v>0.94106957424714432</v>
      </c>
      <c r="S923" s="17">
        <f>'02_지표정의'!$C$22*P923+'02_지표정의'!$C$23*Q923+'02_지표정의'!$C$24*R923</f>
        <v>0.73416155821091167</v>
      </c>
      <c r="T923" s="5">
        <f t="shared" si="157"/>
        <v>1</v>
      </c>
      <c r="U923" s="5" t="str">
        <f t="shared" si="158"/>
        <v>보고서</v>
      </c>
      <c r="V923" s="18">
        <f t="shared" si="159"/>
        <v>913</v>
      </c>
      <c r="W923" s="5">
        <f t="shared" si="160"/>
        <v>618</v>
      </c>
      <c r="X923" s="5">
        <f t="shared" si="161"/>
        <v>588</v>
      </c>
      <c r="Y923" s="5">
        <f t="shared" si="162"/>
        <v>0</v>
      </c>
      <c r="Z923" s="19">
        <f t="shared" si="163"/>
        <v>41</v>
      </c>
      <c r="AA923" s="20">
        <f>ABS(S923-SUMPRODUCT(('05B_가정검정'!$A$5:$A$19=B923)*('05B_가정검정'!$B$5:$B$19=C923)*'05B_가정검정'!$E$5:$E$19))</f>
        <v>4.7294868290305159E-3</v>
      </c>
      <c r="AB923" s="20">
        <f t="shared" si="164"/>
        <v>1.6509765138030708E-2</v>
      </c>
    </row>
    <row r="924" spans="1:28">
      <c r="A924" s="15" t="s">
        <v>184</v>
      </c>
      <c r="B924" s="15" t="s">
        <v>121</v>
      </c>
      <c r="C924" s="15" t="s">
        <v>118</v>
      </c>
      <c r="D924" s="16">
        <v>0.31487889273356401</v>
      </c>
      <c r="E924" s="16">
        <v>0.38610038610038599</v>
      </c>
      <c r="F924" s="16">
        <v>0.18677042801556401</v>
      </c>
      <c r="G924" s="16">
        <v>0.28571428571428598</v>
      </c>
      <c r="H924" s="16">
        <v>0.24603571631372501</v>
      </c>
      <c r="I924" s="16">
        <v>0.30028532859655499</v>
      </c>
      <c r="J924" s="16">
        <v>0.76277285597365796</v>
      </c>
      <c r="K924" s="16">
        <v>0.737414586012624</v>
      </c>
      <c r="L924" s="16">
        <v>0.86939035252806196</v>
      </c>
      <c r="M924" s="16">
        <v>0.431111111111111</v>
      </c>
      <c r="N924" s="16">
        <v>0.5</v>
      </c>
      <c r="O924" s="16">
        <v>1</v>
      </c>
      <c r="P924" s="17">
        <f t="shared" si="154"/>
        <v>0.28663083957901331</v>
      </c>
      <c r="Q924" s="17">
        <f t="shared" si="155"/>
        <v>0.78985926483811453</v>
      </c>
      <c r="R924" s="17">
        <f t="shared" si="156"/>
        <v>0.64370370370370367</v>
      </c>
      <c r="S924" s="17">
        <f>'02_지표정의'!$C$22*P924+'02_지표정의'!$C$23*Q924+'02_지표정의'!$C$24*R924</f>
        <v>0.63805913338925047</v>
      </c>
      <c r="T924" s="5">
        <f t="shared" si="157"/>
        <v>0</v>
      </c>
      <c r="U924" s="5" t="str">
        <f t="shared" si="158"/>
        <v>보고서</v>
      </c>
      <c r="V924" s="18">
        <f t="shared" si="159"/>
        <v>570</v>
      </c>
      <c r="W924" s="5">
        <f t="shared" si="160"/>
        <v>444</v>
      </c>
      <c r="X924" s="5">
        <f t="shared" si="161"/>
        <v>0</v>
      </c>
      <c r="Y924" s="5">
        <f t="shared" si="162"/>
        <v>430</v>
      </c>
      <c r="Z924" s="19">
        <f t="shared" si="163"/>
        <v>60</v>
      </c>
      <c r="AA924" s="20">
        <f>ABS(S924-SUMPRODUCT(('05B_가정검정'!$A$5:$A$19=B924)*('05B_가정검정'!$B$5:$B$19=C924)*'05B_가정검정'!$E$5:$E$19))</f>
        <v>3.9479643222282035E-2</v>
      </c>
      <c r="AB924" s="20">
        <f t="shared" si="164"/>
        <v>5.8660058862437192E-2</v>
      </c>
    </row>
    <row r="925" spans="1:28">
      <c r="A925" s="15" t="s">
        <v>184</v>
      </c>
      <c r="B925" s="15" t="s">
        <v>121</v>
      </c>
      <c r="C925" s="15" t="s">
        <v>119</v>
      </c>
      <c r="D925" s="16">
        <v>0.27755102040816299</v>
      </c>
      <c r="E925" s="16">
        <v>0.40490797546012303</v>
      </c>
      <c r="F925" s="16">
        <v>0.25308641975308599</v>
      </c>
      <c r="G925" s="16">
        <v>0.30061349693251499</v>
      </c>
      <c r="H925" s="16">
        <v>0.26953497971213802</v>
      </c>
      <c r="I925" s="16">
        <v>0.33734177824373102</v>
      </c>
      <c r="J925" s="16">
        <v>0.73006160083479699</v>
      </c>
      <c r="K925" s="16">
        <v>0.73714138316291999</v>
      </c>
      <c r="L925" s="16">
        <v>0.88282444128834603</v>
      </c>
      <c r="M925" s="16">
        <v>0.71323529411764697</v>
      </c>
      <c r="N925" s="16">
        <v>0.6875</v>
      </c>
      <c r="O925" s="16">
        <v>1</v>
      </c>
      <c r="P925" s="17">
        <f t="shared" si="154"/>
        <v>0.30717261175162602</v>
      </c>
      <c r="Q925" s="17">
        <f t="shared" si="155"/>
        <v>0.78334247509535437</v>
      </c>
      <c r="R925" s="17">
        <f t="shared" si="156"/>
        <v>0.80024509803921562</v>
      </c>
      <c r="S925" s="17">
        <f>'02_지표정의'!$C$22*P925+'02_지표정의'!$C$23*Q925+'02_지표정의'!$C$24*R925</f>
        <v>0.69402442045696011</v>
      </c>
      <c r="T925" s="5">
        <f t="shared" si="157"/>
        <v>0</v>
      </c>
      <c r="U925" s="5" t="str">
        <f t="shared" si="158"/>
        <v>보고서</v>
      </c>
      <c r="V925" s="18">
        <f t="shared" si="159"/>
        <v>800</v>
      </c>
      <c r="W925" s="5">
        <f t="shared" si="160"/>
        <v>0</v>
      </c>
      <c r="X925" s="5">
        <f t="shared" si="161"/>
        <v>475</v>
      </c>
      <c r="Y925" s="5">
        <f t="shared" si="162"/>
        <v>576</v>
      </c>
      <c r="Z925" s="19">
        <f t="shared" si="163"/>
        <v>35</v>
      </c>
      <c r="AA925" s="20">
        <f>ABS(S925-SUMPRODUCT(('05B_가정검정'!$A$5:$A$19=B925)*('05B_가정검정'!$B$5:$B$19=C925)*'05B_가정검정'!$E$5:$E$19))</f>
        <v>1.7045776611064323E-3</v>
      </c>
      <c r="AB925" s="20">
        <f t="shared" si="164"/>
        <v>5.7874450373490705E-3</v>
      </c>
    </row>
    <row r="926" spans="1:28">
      <c r="A926" s="15" t="s">
        <v>184</v>
      </c>
      <c r="B926" s="15" t="s">
        <v>122</v>
      </c>
      <c r="C926" s="15" t="s">
        <v>117</v>
      </c>
      <c r="D926" s="16">
        <v>0.247058823529412</v>
      </c>
      <c r="E926" s="16">
        <v>0.31333333333333302</v>
      </c>
      <c r="F926" s="16">
        <v>0.14093959731543601</v>
      </c>
      <c r="G926" s="16">
        <v>0.22</v>
      </c>
      <c r="H926" s="16">
        <v>0.34949558639327499</v>
      </c>
      <c r="I926" s="16">
        <v>0.19196974472957701</v>
      </c>
      <c r="J926" s="16">
        <v>0.65173762570303395</v>
      </c>
      <c r="K926" s="16">
        <v>0.60594098737684399</v>
      </c>
      <c r="L926" s="16">
        <v>0.77751057470803797</v>
      </c>
      <c r="M926" s="16">
        <v>0.50270270270270301</v>
      </c>
      <c r="N926" s="16">
        <v>0.44545454545454499</v>
      </c>
      <c r="O926" s="16">
        <v>1</v>
      </c>
      <c r="P926" s="17">
        <f t="shared" si="154"/>
        <v>0.24379951421683885</v>
      </c>
      <c r="Q926" s="17">
        <f t="shared" si="155"/>
        <v>0.67839639592930523</v>
      </c>
      <c r="R926" s="17">
        <f t="shared" si="156"/>
        <v>0.64938574938574933</v>
      </c>
      <c r="S926" s="17">
        <f>'02_지표정의'!$C$22*P926+'02_지표정의'!$C$23*Q926+'02_지표정의'!$C$24*R926</f>
        <v>0.5813232932965674</v>
      </c>
      <c r="T926" s="5">
        <f t="shared" si="157"/>
        <v>0</v>
      </c>
      <c r="U926" s="5" t="str">
        <f t="shared" si="158"/>
        <v>보고서</v>
      </c>
      <c r="V926" s="18">
        <f t="shared" si="159"/>
        <v>324</v>
      </c>
      <c r="W926" s="5">
        <f t="shared" si="160"/>
        <v>263</v>
      </c>
      <c r="X926" s="5">
        <f t="shared" si="161"/>
        <v>140</v>
      </c>
      <c r="Y926" s="5">
        <f t="shared" si="162"/>
        <v>0</v>
      </c>
      <c r="Z926" s="19">
        <f t="shared" si="163"/>
        <v>18</v>
      </c>
      <c r="AA926" s="20">
        <f>ABS(S926-SUMPRODUCT(('05B_가정검정'!$A$5:$A$19=B926)*('05B_가정검정'!$B$5:$B$19=C926)*'05B_가정검정'!$E$5:$E$19))</f>
        <v>5.8029661412111078E-2</v>
      </c>
      <c r="AB926" s="20">
        <f t="shared" si="164"/>
        <v>-4.1558328893078755E-2</v>
      </c>
    </row>
    <row r="927" spans="1:28">
      <c r="A927" s="15" t="s">
        <v>184</v>
      </c>
      <c r="B927" s="15" t="s">
        <v>122</v>
      </c>
      <c r="C927" s="15" t="s">
        <v>118</v>
      </c>
      <c r="D927" s="16">
        <v>0.3488</v>
      </c>
      <c r="E927" s="16">
        <v>0.494773519163763</v>
      </c>
      <c r="F927" s="16">
        <v>0.27368421052631597</v>
      </c>
      <c r="G927" s="16">
        <v>0.37630662020905897</v>
      </c>
      <c r="H927" s="16">
        <v>0.34840565555138697</v>
      </c>
      <c r="I927" s="16">
        <v>0.36031146451925899</v>
      </c>
      <c r="J927" s="16">
        <v>0.70109297068005905</v>
      </c>
      <c r="K927" s="16">
        <v>0.63767807681005195</v>
      </c>
      <c r="L927" s="16">
        <v>0.83783130792810601</v>
      </c>
      <c r="M927" s="16">
        <v>0.63555555555555598</v>
      </c>
      <c r="N927" s="16">
        <v>0.74545454545454604</v>
      </c>
      <c r="O927" s="16">
        <v>1</v>
      </c>
      <c r="P927" s="17">
        <f t="shared" si="154"/>
        <v>0.36704691166163067</v>
      </c>
      <c r="Q927" s="17">
        <f t="shared" si="155"/>
        <v>0.72553411847273896</v>
      </c>
      <c r="R927" s="17">
        <f t="shared" si="156"/>
        <v>0.79367003367003397</v>
      </c>
      <c r="S927" s="17">
        <f>'02_지표정의'!$C$22*P927+'02_지표정의'!$C$23*Q927+'02_지표정의'!$C$24*R927</f>
        <v>0.67768424742957056</v>
      </c>
      <c r="T927" s="5">
        <f t="shared" si="157"/>
        <v>1</v>
      </c>
      <c r="U927" s="5" t="str">
        <f t="shared" si="158"/>
        <v>보고서</v>
      </c>
      <c r="V927" s="18">
        <f t="shared" si="159"/>
        <v>748</v>
      </c>
      <c r="W927" s="5">
        <f t="shared" si="160"/>
        <v>528</v>
      </c>
      <c r="X927" s="5">
        <f t="shared" si="161"/>
        <v>0</v>
      </c>
      <c r="Y927" s="5">
        <f t="shared" si="162"/>
        <v>542</v>
      </c>
      <c r="Z927" s="19">
        <f t="shared" si="163"/>
        <v>62</v>
      </c>
      <c r="AA927" s="20">
        <f>ABS(S927-SUMPRODUCT(('05B_가정검정'!$A$5:$A$19=B927)*('05B_가정검정'!$B$5:$B$19=C927)*'05B_가정검정'!$E$5:$E$19))</f>
        <v>9.0762311432412313E-2</v>
      </c>
      <c r="AB927" s="20">
        <f t="shared" si="164"/>
        <v>9.6460971211886792E-2</v>
      </c>
    </row>
    <row r="928" spans="1:28">
      <c r="A928" s="15" t="s">
        <v>184</v>
      </c>
      <c r="B928" s="15" t="s">
        <v>122</v>
      </c>
      <c r="C928" s="15" t="s">
        <v>119</v>
      </c>
      <c r="D928" s="16">
        <v>0.286445012787724</v>
      </c>
      <c r="E928" s="16">
        <v>0.40677966101694901</v>
      </c>
      <c r="F928" s="16">
        <v>0.19886363636363599</v>
      </c>
      <c r="G928" s="16">
        <v>0.322033898305085</v>
      </c>
      <c r="H928" s="16">
        <v>0.36635246095391799</v>
      </c>
      <c r="I928" s="16">
        <v>0.33560526488633002</v>
      </c>
      <c r="J928" s="16">
        <v>0.646349289899951</v>
      </c>
      <c r="K928" s="16">
        <v>0.61334926068249895</v>
      </c>
      <c r="L928" s="16">
        <v>0.77372668425586799</v>
      </c>
      <c r="M928" s="16">
        <v>0.65945945945945905</v>
      </c>
      <c r="N928" s="16">
        <v>0.62727272727272698</v>
      </c>
      <c r="O928" s="16">
        <v>1</v>
      </c>
      <c r="P928" s="17">
        <f t="shared" si="154"/>
        <v>0.31934665571894033</v>
      </c>
      <c r="Q928" s="17">
        <f t="shared" si="155"/>
        <v>0.67780841161277261</v>
      </c>
      <c r="R928" s="17">
        <f t="shared" si="156"/>
        <v>0.76224406224406194</v>
      </c>
      <c r="S928" s="17">
        <f>'02_지표정의'!$C$22*P928+'02_지표정의'!$C$23*Q928+'02_지표정의'!$C$24*R928</f>
        <v>0.63566853815495739</v>
      </c>
      <c r="T928" s="5">
        <f t="shared" si="157"/>
        <v>0</v>
      </c>
      <c r="U928" s="5" t="str">
        <f t="shared" si="158"/>
        <v>보고서</v>
      </c>
      <c r="V928" s="18">
        <f t="shared" si="159"/>
        <v>563</v>
      </c>
      <c r="W928" s="5">
        <f t="shared" si="160"/>
        <v>0</v>
      </c>
      <c r="X928" s="5">
        <f t="shared" si="161"/>
        <v>262</v>
      </c>
      <c r="Y928" s="5">
        <f t="shared" si="162"/>
        <v>425</v>
      </c>
      <c r="Z928" s="19">
        <f t="shared" si="163"/>
        <v>34</v>
      </c>
      <c r="AA928" s="20">
        <f>ABS(S928-SUMPRODUCT(('05B_가정검정'!$A$5:$A$19=B928)*('05B_가정검정'!$B$5:$B$19=C928)*'05B_가정검정'!$E$5:$E$19))</f>
        <v>6.2350253505982778E-5</v>
      </c>
      <c r="AB928" s="20">
        <f t="shared" si="164"/>
        <v>4.2796718400713862E-3</v>
      </c>
    </row>
    <row r="929" spans="1:28">
      <c r="A929" s="15" t="s">
        <v>184</v>
      </c>
      <c r="B929" s="15" t="s">
        <v>123</v>
      </c>
      <c r="C929" s="15" t="s">
        <v>117</v>
      </c>
      <c r="D929" s="16">
        <v>0.23781212841854901</v>
      </c>
      <c r="E929" s="16">
        <v>0.38509316770186303</v>
      </c>
      <c r="F929" s="16">
        <v>0.21875</v>
      </c>
      <c r="G929" s="16">
        <v>0.27329192546583903</v>
      </c>
      <c r="H929" s="16">
        <v>0.38996059752045398</v>
      </c>
      <c r="I929" s="16">
        <v>0.22118370621016401</v>
      </c>
      <c r="J929" s="16">
        <v>0.71198003427604994</v>
      </c>
      <c r="K929" s="16">
        <v>0.66873873711676601</v>
      </c>
      <c r="L929" s="16">
        <v>0.86877372828868904</v>
      </c>
      <c r="M929" s="16">
        <v>0.90654205607476601</v>
      </c>
      <c r="N929" s="16">
        <v>0.91666666666666696</v>
      </c>
      <c r="O929" s="16">
        <v>1</v>
      </c>
      <c r="P929" s="17">
        <f t="shared" si="154"/>
        <v>0.2876819208861448</v>
      </c>
      <c r="Q929" s="17">
        <f t="shared" si="155"/>
        <v>0.74983083322716837</v>
      </c>
      <c r="R929" s="17">
        <f t="shared" si="156"/>
        <v>0.94106957424714432</v>
      </c>
      <c r="S929" s="17">
        <f>'02_지표정의'!$C$22*P929+'02_지표정의'!$C$23*Q929+'02_지표정의'!$C$24*R929</f>
        <v>0.72433461011595512</v>
      </c>
      <c r="T929" s="5">
        <f t="shared" si="157"/>
        <v>0</v>
      </c>
      <c r="U929" s="5" t="str">
        <f t="shared" si="158"/>
        <v>보고서</v>
      </c>
      <c r="V929" s="18">
        <f t="shared" si="159"/>
        <v>893</v>
      </c>
      <c r="W929" s="5">
        <f t="shared" si="160"/>
        <v>599</v>
      </c>
      <c r="X929" s="5">
        <f t="shared" si="161"/>
        <v>568</v>
      </c>
      <c r="Y929" s="5">
        <f t="shared" si="162"/>
        <v>0</v>
      </c>
      <c r="Z929" s="19">
        <f t="shared" si="163"/>
        <v>50</v>
      </c>
      <c r="AA929" s="20">
        <f>ABS(S929-SUMPRODUCT(('05B_가정검정'!$A$5:$A$19=B929)*('05B_가정검정'!$B$5:$B$19=C929)*'05B_가정검정'!$E$5:$E$19))</f>
        <v>9.4117273397313905E-3</v>
      </c>
      <c r="AB929" s="20">
        <f t="shared" si="164"/>
        <v>1.6349158304711953E-2</v>
      </c>
    </row>
    <row r="930" spans="1:28">
      <c r="A930" s="15" t="s">
        <v>184</v>
      </c>
      <c r="B930" s="15" t="s">
        <v>123</v>
      </c>
      <c r="C930" s="15" t="s">
        <v>118</v>
      </c>
      <c r="D930" s="16">
        <v>0.27922077922077898</v>
      </c>
      <c r="E930" s="16">
        <v>0.36893203883495201</v>
      </c>
      <c r="F930" s="16">
        <v>0.20195439739413701</v>
      </c>
      <c r="G930" s="16">
        <v>0.31067961165048502</v>
      </c>
      <c r="H930" s="16">
        <v>0.309303241340524</v>
      </c>
      <c r="I930" s="16">
        <v>0.39590514594522802</v>
      </c>
      <c r="J930" s="16">
        <v>0.72069077689697703</v>
      </c>
      <c r="K930" s="16">
        <v>0.687121659700897</v>
      </c>
      <c r="L930" s="16">
        <v>0.87363187752550797</v>
      </c>
      <c r="M930" s="16">
        <v>0.431111111111111</v>
      </c>
      <c r="N930" s="16">
        <v>0.5</v>
      </c>
      <c r="O930" s="16">
        <v>1</v>
      </c>
      <c r="P930" s="17">
        <f t="shared" si="154"/>
        <v>0.31099920239768414</v>
      </c>
      <c r="Q930" s="17">
        <f t="shared" si="155"/>
        <v>0.76048143804112733</v>
      </c>
      <c r="R930" s="17">
        <f t="shared" si="156"/>
        <v>0.64370370370370367</v>
      </c>
      <c r="S930" s="17">
        <f>'02_지표정의'!$C$22*P930+'02_지표정의'!$C$23*Q930+'02_지표정의'!$C$24*R930</f>
        <v>0.62971278389434038</v>
      </c>
      <c r="T930" s="5">
        <f t="shared" si="157"/>
        <v>0</v>
      </c>
      <c r="U930" s="5" t="str">
        <f t="shared" si="158"/>
        <v>보고서</v>
      </c>
      <c r="V930" s="18">
        <f t="shared" si="159"/>
        <v>526</v>
      </c>
      <c r="W930" s="5">
        <f t="shared" si="160"/>
        <v>422</v>
      </c>
      <c r="X930" s="5">
        <f t="shared" si="161"/>
        <v>0</v>
      </c>
      <c r="Y930" s="5">
        <f t="shared" si="162"/>
        <v>397</v>
      </c>
      <c r="Z930" s="19">
        <f t="shared" si="163"/>
        <v>64</v>
      </c>
      <c r="AA930" s="20">
        <f>ABS(S930-SUMPRODUCT(('05B_가정검정'!$A$5:$A$19=B930)*('05B_가정검정'!$B$5:$B$19=C930)*'05B_가정검정'!$E$5:$E$19))</f>
        <v>5.4413957015370662E-2</v>
      </c>
      <c r="AB930" s="20">
        <f t="shared" si="164"/>
        <v>6.984117596984929E-2</v>
      </c>
    </row>
    <row r="931" spans="1:28">
      <c r="A931" s="15" t="s">
        <v>184</v>
      </c>
      <c r="B931" s="15" t="s">
        <v>123</v>
      </c>
      <c r="C931" s="15" t="s">
        <v>119</v>
      </c>
      <c r="D931" s="16">
        <v>0.266494178525226</v>
      </c>
      <c r="E931" s="16">
        <v>0.46276595744680898</v>
      </c>
      <c r="F931" s="16">
        <v>0.31016042780748698</v>
      </c>
      <c r="G931" s="16">
        <v>0.35106382978723399</v>
      </c>
      <c r="H931" s="16">
        <v>0.37667585732511999</v>
      </c>
      <c r="I931" s="16">
        <v>0.49730435612588703</v>
      </c>
      <c r="J931" s="16">
        <v>0.73291747237360805</v>
      </c>
      <c r="K931" s="16">
        <v>0.704843841523907</v>
      </c>
      <c r="L931" s="16">
        <v>0.85788984906351595</v>
      </c>
      <c r="M931" s="16">
        <v>0.71323529411764697</v>
      </c>
      <c r="N931" s="16">
        <v>0.6875</v>
      </c>
      <c r="O931" s="16">
        <v>1</v>
      </c>
      <c r="P931" s="17">
        <f t="shared" si="154"/>
        <v>0.37741076783629385</v>
      </c>
      <c r="Q931" s="17">
        <f t="shared" si="155"/>
        <v>0.7652170543203437</v>
      </c>
      <c r="R931" s="17">
        <f t="shared" si="156"/>
        <v>0.80024509803921562</v>
      </c>
      <c r="S931" s="17">
        <f>'02_지표정의'!$C$22*P931+'02_지표정의'!$C$23*Q931+'02_지표정의'!$C$24*R931</f>
        <v>0.69991561232513888</v>
      </c>
      <c r="T931" s="5">
        <f t="shared" si="157"/>
        <v>1</v>
      </c>
      <c r="U931" s="5" t="str">
        <f t="shared" si="158"/>
        <v>보고서</v>
      </c>
      <c r="V931" s="18">
        <f t="shared" si="159"/>
        <v>822</v>
      </c>
      <c r="W931" s="5">
        <f t="shared" si="160"/>
        <v>0</v>
      </c>
      <c r="X931" s="5">
        <f t="shared" si="161"/>
        <v>497</v>
      </c>
      <c r="Y931" s="5">
        <f t="shared" si="162"/>
        <v>593</v>
      </c>
      <c r="Z931" s="19">
        <f t="shared" si="163"/>
        <v>43</v>
      </c>
      <c r="AA931" s="20">
        <f>ABS(S931-SUMPRODUCT(('05B_가정검정'!$A$5:$A$19=B931)*('05B_가정검정'!$B$5:$B$19=C931)*'05B_가정검정'!$E$5:$E$19))</f>
        <v>1.4285815000911528E-2</v>
      </c>
      <c r="AB931" s="20">
        <f t="shared" si="164"/>
        <v>1.7496879280137101E-2</v>
      </c>
    </row>
    <row r="932" spans="1:28">
      <c r="A932" s="15" t="s">
        <v>185</v>
      </c>
      <c r="B932" s="15" t="s">
        <v>116</v>
      </c>
      <c r="C932" s="15" t="s">
        <v>117</v>
      </c>
      <c r="D932" s="16">
        <v>0.29055007052186199</v>
      </c>
      <c r="E932" s="16">
        <v>0.36274509803921601</v>
      </c>
      <c r="F932" s="16">
        <v>0.14851485148514901</v>
      </c>
      <c r="G932" s="16">
        <v>0.30392156862745101</v>
      </c>
      <c r="H932" s="16">
        <v>0.269147087813629</v>
      </c>
      <c r="I932" s="16">
        <v>0.28528292605424099</v>
      </c>
      <c r="J932" s="16">
        <v>0.69700464653855498</v>
      </c>
      <c r="K932" s="16">
        <v>0.58988277061665295</v>
      </c>
      <c r="L932" s="16">
        <v>0.81659710943930297</v>
      </c>
      <c r="M932" s="16">
        <v>0.51515151515151503</v>
      </c>
      <c r="N932" s="16">
        <v>0.213483146067416</v>
      </c>
      <c r="O932" s="16">
        <v>1</v>
      </c>
      <c r="P932" s="17">
        <f t="shared" si="154"/>
        <v>0.27669360042359131</v>
      </c>
      <c r="Q932" s="17">
        <f t="shared" si="155"/>
        <v>0.70116150886483697</v>
      </c>
      <c r="R932" s="17">
        <f t="shared" si="156"/>
        <v>0.57621155373964372</v>
      </c>
      <c r="S932" s="17">
        <f>'02_지표정의'!$C$22*P932+'02_지표정의'!$C$23*Q932+'02_지표정의'!$C$24*R932</f>
        <v>0.57253544288277025</v>
      </c>
      <c r="T932" s="5">
        <f t="shared" si="157"/>
        <v>0</v>
      </c>
      <c r="U932" s="5" t="str">
        <f t="shared" si="158"/>
        <v>보고서</v>
      </c>
      <c r="V932" s="18">
        <f t="shared" si="159"/>
        <v>298</v>
      </c>
      <c r="W932" s="5">
        <f t="shared" si="160"/>
        <v>241</v>
      </c>
      <c r="X932" s="5">
        <f t="shared" si="161"/>
        <v>125</v>
      </c>
      <c r="Y932" s="5">
        <f t="shared" si="162"/>
        <v>0</v>
      </c>
      <c r="Z932" s="19">
        <f t="shared" si="163"/>
        <v>55</v>
      </c>
      <c r="AA932" s="20">
        <f>ABS(S932-SUMPRODUCT(('05B_가정검정'!$A$5:$A$19=B932)*('05B_가정검정'!$B$5:$B$19=C932)*'05B_가정검정'!$E$5:$E$19))</f>
        <v>1.5131737897802977E-2</v>
      </c>
      <c r="AB932" s="20">
        <f t="shared" si="164"/>
        <v>1.9984277470146861E-2</v>
      </c>
    </row>
    <row r="933" spans="1:28">
      <c r="A933" s="15" t="s">
        <v>185</v>
      </c>
      <c r="B933" s="15" t="s">
        <v>116</v>
      </c>
      <c r="C933" s="15" t="s">
        <v>118</v>
      </c>
      <c r="D933" s="16">
        <v>0.279891304347826</v>
      </c>
      <c r="E933" s="16">
        <v>0.37065637065637103</v>
      </c>
      <c r="F933" s="16">
        <v>0.124513618677043</v>
      </c>
      <c r="G933" s="16">
        <v>0.27027027027027001</v>
      </c>
      <c r="H933" s="16">
        <v>0.16360748576199999</v>
      </c>
      <c r="I933" s="16">
        <v>0.41462904109159798</v>
      </c>
      <c r="J933" s="16">
        <v>0.67290367823220198</v>
      </c>
      <c r="K933" s="16">
        <v>0.68912120748590899</v>
      </c>
      <c r="L933" s="16">
        <v>0.81817268095108897</v>
      </c>
      <c r="M933" s="16">
        <v>0.47717842323651499</v>
      </c>
      <c r="N933" s="16">
        <v>1.51515151515151E-2</v>
      </c>
      <c r="O933" s="16">
        <v>1</v>
      </c>
      <c r="P933" s="17">
        <f t="shared" si="154"/>
        <v>0.27059468180085133</v>
      </c>
      <c r="Q933" s="17">
        <f t="shared" si="155"/>
        <v>0.72673252222306672</v>
      </c>
      <c r="R933" s="17">
        <f t="shared" si="156"/>
        <v>0.49744331279601006</v>
      </c>
      <c r="S933" s="17">
        <f>'02_지표정의'!$C$22*P933+'02_지표정의'!$C$23*Q933+'02_지표정의'!$C$24*R933</f>
        <v>0.55525373083915386</v>
      </c>
      <c r="T933" s="5">
        <f t="shared" si="157"/>
        <v>0</v>
      </c>
      <c r="U933" s="5" t="str">
        <f t="shared" si="158"/>
        <v>보고서</v>
      </c>
      <c r="V933" s="18">
        <f t="shared" si="159"/>
        <v>229</v>
      </c>
      <c r="W933" s="5">
        <f t="shared" si="160"/>
        <v>187</v>
      </c>
      <c r="X933" s="5">
        <f t="shared" si="161"/>
        <v>0</v>
      </c>
      <c r="Y933" s="5">
        <f t="shared" si="162"/>
        <v>195</v>
      </c>
      <c r="Z933" s="19">
        <f t="shared" si="163"/>
        <v>50</v>
      </c>
      <c r="AA933" s="20">
        <f>ABS(S933-SUMPRODUCT(('05B_가정검정'!$A$5:$A$19=B933)*('05B_가정검정'!$B$5:$B$19=C933)*'05B_가정검정'!$E$5:$E$19))</f>
        <v>2.3961309137432218E-2</v>
      </c>
      <c r="AB933" s="20">
        <f t="shared" si="164"/>
        <v>2.7704698460567556E-2</v>
      </c>
    </row>
    <row r="934" spans="1:28">
      <c r="A934" s="15" t="s">
        <v>185</v>
      </c>
      <c r="B934" s="15" t="s">
        <v>116</v>
      </c>
      <c r="C934" s="15" t="s">
        <v>119</v>
      </c>
      <c r="D934" s="16">
        <v>0.29480737018425501</v>
      </c>
      <c r="E934" s="16">
        <v>0.39344262295082</v>
      </c>
      <c r="F934" s="16">
        <v>0.17679558011049701</v>
      </c>
      <c r="G934" s="16">
        <v>0.29508196721311503</v>
      </c>
      <c r="H934" s="16">
        <v>0.31498899728285701</v>
      </c>
      <c r="I934" s="16">
        <v>0.38810217737139302</v>
      </c>
      <c r="J934" s="16">
        <v>0.70114984639397004</v>
      </c>
      <c r="K934" s="16">
        <v>0.631509428543507</v>
      </c>
      <c r="L934" s="16">
        <v>0.81122812898349295</v>
      </c>
      <c r="M934" s="16">
        <v>0.59393939393939399</v>
      </c>
      <c r="N934" s="16">
        <v>4.49438202247191E-2</v>
      </c>
      <c r="O934" s="16">
        <v>1</v>
      </c>
      <c r="P934" s="17">
        <f t="shared" si="154"/>
        <v>0.31053645251882284</v>
      </c>
      <c r="Q934" s="17">
        <f t="shared" si="155"/>
        <v>0.71462913464032329</v>
      </c>
      <c r="R934" s="17">
        <f t="shared" si="156"/>
        <v>0.54629440472137103</v>
      </c>
      <c r="S934" s="17">
        <f>'02_지표정의'!$C$22*P934+'02_지표정의'!$C$23*Q934+'02_지표정의'!$C$24*R934</f>
        <v>0.57489344274438992</v>
      </c>
      <c r="T934" s="5">
        <f t="shared" si="157"/>
        <v>0</v>
      </c>
      <c r="U934" s="5" t="str">
        <f t="shared" si="158"/>
        <v>보고서</v>
      </c>
      <c r="V934" s="18">
        <f t="shared" si="159"/>
        <v>305</v>
      </c>
      <c r="W934" s="5">
        <f t="shared" si="160"/>
        <v>0</v>
      </c>
      <c r="X934" s="5">
        <f t="shared" si="161"/>
        <v>129</v>
      </c>
      <c r="Y934" s="5">
        <f t="shared" si="162"/>
        <v>235</v>
      </c>
      <c r="Z934" s="19">
        <f t="shared" si="163"/>
        <v>50</v>
      </c>
      <c r="AA934" s="20">
        <f>ABS(S934-SUMPRODUCT(('05B_가정검정'!$A$5:$A$19=B934)*('05B_가정검정'!$B$5:$B$19=C934)*'05B_가정검정'!$E$5:$E$19))</f>
        <v>2.1869926001607309E-2</v>
      </c>
      <c r="AB934" s="20">
        <f t="shared" si="164"/>
        <v>1.8440959068209861E-2</v>
      </c>
    </row>
    <row r="935" spans="1:28">
      <c r="A935" s="15" t="s">
        <v>185</v>
      </c>
      <c r="B935" s="15" t="s">
        <v>120</v>
      </c>
      <c r="C935" s="15" t="s">
        <v>117</v>
      </c>
      <c r="D935" s="16">
        <v>0.233062330623306</v>
      </c>
      <c r="E935" s="16">
        <v>0.26558265582655799</v>
      </c>
      <c r="F935" s="16">
        <v>7.0844686648501395E-2</v>
      </c>
      <c r="G935" s="16">
        <v>0.17886178861788599</v>
      </c>
      <c r="H935" s="16">
        <v>0.29325000925889499</v>
      </c>
      <c r="I935" s="16">
        <v>0.20253241904731401</v>
      </c>
      <c r="J935" s="16">
        <v>0.69972144716442697</v>
      </c>
      <c r="K935" s="16">
        <v>0.58454484832311004</v>
      </c>
      <c r="L935" s="16">
        <v>0.81931236966739096</v>
      </c>
      <c r="M935" s="16">
        <v>0.53448275862068995</v>
      </c>
      <c r="N935" s="16">
        <v>0.49494949494949497</v>
      </c>
      <c r="O935" s="16">
        <v>1</v>
      </c>
      <c r="P935" s="17">
        <f t="shared" si="154"/>
        <v>0.20735564833707673</v>
      </c>
      <c r="Q935" s="17">
        <f t="shared" si="155"/>
        <v>0.70119288838497607</v>
      </c>
      <c r="R935" s="17">
        <f t="shared" si="156"/>
        <v>0.67647741785672844</v>
      </c>
      <c r="S935" s="17">
        <f>'02_지표정의'!$C$22*P935+'02_지표정의'!$C$23*Q935+'02_지표정의'!$C$24*R935</f>
        <v>0.59377502569050944</v>
      </c>
      <c r="T935" s="5">
        <f t="shared" si="157"/>
        <v>0</v>
      </c>
      <c r="U935" s="5" t="str">
        <f t="shared" si="158"/>
        <v>보고서</v>
      </c>
      <c r="V935" s="18">
        <f t="shared" si="159"/>
        <v>358</v>
      </c>
      <c r="W935" s="5">
        <f t="shared" si="160"/>
        <v>289</v>
      </c>
      <c r="X935" s="5">
        <f t="shared" si="161"/>
        <v>153</v>
      </c>
      <c r="Y935" s="5">
        <f t="shared" si="162"/>
        <v>0</v>
      </c>
      <c r="Z935" s="19">
        <f t="shared" si="163"/>
        <v>2</v>
      </c>
      <c r="AA935" s="20">
        <f>ABS(S935-SUMPRODUCT(('05B_가정검정'!$A$5:$A$19=B935)*('05B_가정검정'!$B$5:$B$19=C935)*'05B_가정검정'!$E$5:$E$19))</f>
        <v>3.4273934366611636E-2</v>
      </c>
      <c r="AB935" s="20">
        <f t="shared" si="164"/>
        <v>-3.75276777342477E-2</v>
      </c>
    </row>
    <row r="936" spans="1:28">
      <c r="A936" s="15" t="s">
        <v>185</v>
      </c>
      <c r="B936" s="15" t="s">
        <v>120</v>
      </c>
      <c r="C936" s="15" t="s">
        <v>118</v>
      </c>
      <c r="D936" s="16">
        <v>0.24691358024691401</v>
      </c>
      <c r="E936" s="16">
        <v>0.35849056603773599</v>
      </c>
      <c r="F936" s="16">
        <v>0.14218009478672999</v>
      </c>
      <c r="G936" s="16">
        <v>0.26415094339622602</v>
      </c>
      <c r="H936" s="16">
        <v>0.28012318979223499</v>
      </c>
      <c r="I936" s="16">
        <v>0.30694384910029998</v>
      </c>
      <c r="J936" s="16">
        <v>0.70570741013073401</v>
      </c>
      <c r="K936" s="16">
        <v>0.65674173302592798</v>
      </c>
      <c r="L936" s="16">
        <v>0.82985419243397496</v>
      </c>
      <c r="M936" s="16">
        <v>0.61825726141078796</v>
      </c>
      <c r="N936" s="16">
        <v>0.47727272727272702</v>
      </c>
      <c r="O936" s="16">
        <v>1</v>
      </c>
      <c r="P936" s="17">
        <f t="shared" si="154"/>
        <v>0.26646703722669013</v>
      </c>
      <c r="Q936" s="17">
        <f t="shared" si="155"/>
        <v>0.73076777853021235</v>
      </c>
      <c r="R936" s="17">
        <f t="shared" si="156"/>
        <v>0.69850999622783838</v>
      </c>
      <c r="S936" s="17">
        <f>'02_지표정의'!$C$22*P936+'02_지표정의'!$C$23*Q936+'02_지표정의'!$C$24*R936</f>
        <v>0.62661740646367692</v>
      </c>
      <c r="T936" s="5">
        <f t="shared" si="157"/>
        <v>0</v>
      </c>
      <c r="U936" s="5" t="str">
        <f t="shared" si="158"/>
        <v>보고서</v>
      </c>
      <c r="V936" s="18">
        <f t="shared" si="159"/>
        <v>515</v>
      </c>
      <c r="W936" s="5">
        <f t="shared" si="160"/>
        <v>416</v>
      </c>
      <c r="X936" s="5">
        <f t="shared" si="161"/>
        <v>0</v>
      </c>
      <c r="Y936" s="5">
        <f t="shared" si="162"/>
        <v>388</v>
      </c>
      <c r="Z936" s="19">
        <f t="shared" si="163"/>
        <v>55</v>
      </c>
      <c r="AA936" s="20">
        <f>ABS(S936-SUMPRODUCT(('05B_가정검정'!$A$5:$A$19=B936)*('05B_가정검정'!$B$5:$B$19=C936)*'05B_가정검정'!$E$5:$E$19))</f>
        <v>3.5788557882048933E-2</v>
      </c>
      <c r="AB936" s="20">
        <f t="shared" si="164"/>
        <v>5.1726630501566118E-2</v>
      </c>
    </row>
    <row r="937" spans="1:28">
      <c r="A937" s="15" t="s">
        <v>185</v>
      </c>
      <c r="B937" s="15" t="s">
        <v>120</v>
      </c>
      <c r="C937" s="15" t="s">
        <v>119</v>
      </c>
      <c r="D937" s="16">
        <v>0.24924623115577901</v>
      </c>
      <c r="E937" s="16">
        <v>0.287356321839081</v>
      </c>
      <c r="F937" s="16">
        <v>0.109826589595376</v>
      </c>
      <c r="G937" s="16">
        <v>0.20114942528735599</v>
      </c>
      <c r="H937" s="16">
        <v>0.23030221649007901</v>
      </c>
      <c r="I937" s="16">
        <v>0.284127995880946</v>
      </c>
      <c r="J937" s="16">
        <v>0.68866295338454098</v>
      </c>
      <c r="K937" s="16">
        <v>0.63610664316154597</v>
      </c>
      <c r="L937" s="16">
        <v>0.84565896563467702</v>
      </c>
      <c r="M937" s="16">
        <v>0.55747126436781602</v>
      </c>
      <c r="N937" s="16">
        <v>0.34343434343434298</v>
      </c>
      <c r="O937" s="16">
        <v>1</v>
      </c>
      <c r="P937" s="17">
        <f t="shared" si="154"/>
        <v>0.22700146337476948</v>
      </c>
      <c r="Q937" s="17">
        <f t="shared" si="155"/>
        <v>0.72347618739358799</v>
      </c>
      <c r="R937" s="17">
        <f t="shared" si="156"/>
        <v>0.6336352026007197</v>
      </c>
      <c r="S937" s="17">
        <f>'02_지표정의'!$C$22*P937+'02_지표정의'!$C$23*Q937+'02_지표정의'!$C$24*R937</f>
        <v>0.59273689791232032</v>
      </c>
      <c r="T937" s="5">
        <f t="shared" si="157"/>
        <v>0</v>
      </c>
      <c r="U937" s="5" t="str">
        <f t="shared" si="158"/>
        <v>보고서</v>
      </c>
      <c r="V937" s="18">
        <f t="shared" si="159"/>
        <v>355</v>
      </c>
      <c r="W937" s="5">
        <f t="shared" si="160"/>
        <v>0</v>
      </c>
      <c r="X937" s="5">
        <f t="shared" si="161"/>
        <v>151</v>
      </c>
      <c r="Y937" s="5">
        <f t="shared" si="162"/>
        <v>272</v>
      </c>
      <c r="Z937" s="19">
        <f t="shared" si="163"/>
        <v>2</v>
      </c>
      <c r="AA937" s="20">
        <f>ABS(S937-SUMPRODUCT(('05B_가정검정'!$A$5:$A$19=B937)*('05B_가정검정'!$B$5:$B$19=C937)*'05B_가정검정'!$E$5:$E$19))</f>
        <v>7.0940418569065966E-2</v>
      </c>
      <c r="AB937" s="20">
        <f t="shared" si="164"/>
        <v>-6.5686109598495301E-2</v>
      </c>
    </row>
    <row r="938" spans="1:28">
      <c r="A938" s="15" t="s">
        <v>185</v>
      </c>
      <c r="B938" s="15" t="s">
        <v>121</v>
      </c>
      <c r="C938" s="15" t="s">
        <v>117</v>
      </c>
      <c r="D938" s="16">
        <v>0.25621890547263698</v>
      </c>
      <c r="E938" s="16">
        <v>0.33628318584070799</v>
      </c>
      <c r="F938" s="16">
        <v>0.125</v>
      </c>
      <c r="G938" s="16">
        <v>0.265486725663717</v>
      </c>
      <c r="H938" s="16">
        <v>0.31499825257244202</v>
      </c>
      <c r="I938" s="16">
        <v>0.17325390406596899</v>
      </c>
      <c r="J938" s="16">
        <v>0.74444674765444097</v>
      </c>
      <c r="K938" s="16">
        <v>0.69578826557678097</v>
      </c>
      <c r="L938" s="16">
        <v>0.85503409026792898</v>
      </c>
      <c r="M938" s="16">
        <v>0.88990825688073405</v>
      </c>
      <c r="N938" s="16">
        <v>0.90163934426229497</v>
      </c>
      <c r="O938" s="16">
        <v>1</v>
      </c>
      <c r="P938" s="17">
        <f t="shared" si="154"/>
        <v>0.24520682893591217</v>
      </c>
      <c r="Q938" s="17">
        <f t="shared" si="155"/>
        <v>0.76508970116638364</v>
      </c>
      <c r="R938" s="17">
        <f t="shared" si="156"/>
        <v>0.93051586704767641</v>
      </c>
      <c r="S938" s="17">
        <f>'02_지표정의'!$C$22*P938+'02_지표정의'!$C$23*Q938+'02_지표정의'!$C$24*R938</f>
        <v>0.71901228477874179</v>
      </c>
      <c r="T938" s="5">
        <f t="shared" si="157"/>
        <v>1</v>
      </c>
      <c r="U938" s="5" t="str">
        <f t="shared" si="158"/>
        <v>보고서</v>
      </c>
      <c r="V938" s="18">
        <f t="shared" si="159"/>
        <v>873</v>
      </c>
      <c r="W938" s="5">
        <f t="shared" si="160"/>
        <v>581</v>
      </c>
      <c r="X938" s="5">
        <f t="shared" si="161"/>
        <v>548</v>
      </c>
      <c r="Y938" s="5">
        <f t="shared" si="162"/>
        <v>0</v>
      </c>
      <c r="Z938" s="19">
        <f t="shared" si="163"/>
        <v>23</v>
      </c>
      <c r="AA938" s="20">
        <f>ABS(S938-SUMPRODUCT(('05B_가정검정'!$A$5:$A$19=B938)*('05B_가정검정'!$B$5:$B$19=C938)*'05B_가정검정'!$E$5:$E$19))</f>
        <v>1.0419786603139358E-2</v>
      </c>
      <c r="AB938" s="20">
        <f t="shared" si="164"/>
        <v>1.3604917058608335E-3</v>
      </c>
    </row>
    <row r="939" spans="1:28">
      <c r="A939" s="15" t="s">
        <v>185</v>
      </c>
      <c r="B939" s="15" t="s">
        <v>121</v>
      </c>
      <c r="C939" s="15" t="s">
        <v>118</v>
      </c>
      <c r="D939" s="16">
        <v>0.24067388688327301</v>
      </c>
      <c r="E939" s="16">
        <v>0.33451957295373702</v>
      </c>
      <c r="F939" s="16">
        <v>0.10752688172043</v>
      </c>
      <c r="G939" s="16">
        <v>0.24911032028469801</v>
      </c>
      <c r="H939" s="16">
        <v>0.190371714373644</v>
      </c>
      <c r="I939" s="16">
        <v>0.21008400458232099</v>
      </c>
      <c r="J939" s="16">
        <v>0.75193264802158499</v>
      </c>
      <c r="K939" s="16">
        <v>0.77039633027124399</v>
      </c>
      <c r="L939" s="16">
        <v>0.89296159714769996</v>
      </c>
      <c r="M939" s="16">
        <v>0.402489626556017</v>
      </c>
      <c r="N939" s="16">
        <v>0.41666666666666702</v>
      </c>
      <c r="O939" s="16">
        <v>1</v>
      </c>
      <c r="P939" s="17">
        <f t="shared" si="154"/>
        <v>0.22204773013301718</v>
      </c>
      <c r="Q939" s="17">
        <f t="shared" si="155"/>
        <v>0.8050968584801762</v>
      </c>
      <c r="R939" s="17">
        <f t="shared" si="156"/>
        <v>0.60638543107422793</v>
      </c>
      <c r="S939" s="17">
        <f>'02_지표정의'!$C$22*P939+'02_지표정의'!$C$23*Q939+'02_지표정의'!$C$24*R939</f>
        <v>0.61893803321866248</v>
      </c>
      <c r="T939" s="5">
        <f t="shared" si="157"/>
        <v>0</v>
      </c>
      <c r="U939" s="5" t="str">
        <f t="shared" si="158"/>
        <v>보고서</v>
      </c>
      <c r="V939" s="18">
        <f t="shared" si="159"/>
        <v>484</v>
      </c>
      <c r="W939" s="5">
        <f t="shared" si="160"/>
        <v>391</v>
      </c>
      <c r="X939" s="5">
        <f t="shared" si="161"/>
        <v>0</v>
      </c>
      <c r="Y939" s="5">
        <f t="shared" si="162"/>
        <v>364</v>
      </c>
      <c r="Z939" s="19">
        <f t="shared" si="163"/>
        <v>48</v>
      </c>
      <c r="AA939" s="20">
        <f>ABS(S939-SUMPRODUCT(('05B_가정검정'!$A$5:$A$19=B939)*('05B_가정검정'!$B$5:$B$19=C939)*'05B_가정검정'!$E$5:$E$19))</f>
        <v>2.0358543051694045E-2</v>
      </c>
      <c r="AB939" s="20">
        <f t="shared" si="164"/>
        <v>3.9538958691849202E-2</v>
      </c>
    </row>
    <row r="940" spans="1:28">
      <c r="A940" s="15" t="s">
        <v>185</v>
      </c>
      <c r="B940" s="15" t="s">
        <v>121</v>
      </c>
      <c r="C940" s="15" t="s">
        <v>119</v>
      </c>
      <c r="D940" s="16">
        <v>0.280346820809249</v>
      </c>
      <c r="E940" s="16">
        <v>0.35121951219512199</v>
      </c>
      <c r="F940" s="16">
        <v>0.118226600985222</v>
      </c>
      <c r="G940" s="16">
        <v>0.28292682926829299</v>
      </c>
      <c r="H940" s="16">
        <v>0.37777451250003602</v>
      </c>
      <c r="I940" s="16">
        <v>0.234989596596934</v>
      </c>
      <c r="J940" s="16">
        <v>0.74389999376296401</v>
      </c>
      <c r="K940" s="16">
        <v>0.764550958442336</v>
      </c>
      <c r="L940" s="16">
        <v>0.88579250367793105</v>
      </c>
      <c r="M940" s="16">
        <v>0.65986394557823103</v>
      </c>
      <c r="N940" s="16">
        <v>0.73333333333333295</v>
      </c>
      <c r="O940" s="16">
        <v>1</v>
      </c>
      <c r="P940" s="17">
        <f t="shared" si="154"/>
        <v>0.27424731205914266</v>
      </c>
      <c r="Q940" s="17">
        <f t="shared" si="155"/>
        <v>0.79808115196107698</v>
      </c>
      <c r="R940" s="17">
        <f t="shared" si="156"/>
        <v>0.79773242630385466</v>
      </c>
      <c r="S940" s="17">
        <f>'02_지표정의'!$C$22*P940+'02_지표정의'!$C$23*Q940+'02_지표정의'!$C$24*R940</f>
        <v>0.69319233000066238</v>
      </c>
      <c r="T940" s="5">
        <f t="shared" si="157"/>
        <v>0</v>
      </c>
      <c r="U940" s="5" t="str">
        <f t="shared" si="158"/>
        <v>보고서</v>
      </c>
      <c r="V940" s="18">
        <f t="shared" si="159"/>
        <v>797</v>
      </c>
      <c r="W940" s="5">
        <f t="shared" si="160"/>
        <v>0</v>
      </c>
      <c r="X940" s="5">
        <f t="shared" si="161"/>
        <v>472</v>
      </c>
      <c r="Y940" s="5">
        <f t="shared" si="162"/>
        <v>575</v>
      </c>
      <c r="Z940" s="19">
        <f t="shared" si="163"/>
        <v>34</v>
      </c>
      <c r="AA940" s="20">
        <f>ABS(S940-SUMPRODUCT(('05B_가정검정'!$A$5:$A$19=B940)*('05B_가정검정'!$B$5:$B$19=C940)*'05B_가정검정'!$E$5:$E$19))</f>
        <v>8.724872048087029E-4</v>
      </c>
      <c r="AB940" s="20">
        <f t="shared" si="164"/>
        <v>4.9553545810513411E-3</v>
      </c>
    </row>
    <row r="941" spans="1:28">
      <c r="A941" s="15" t="s">
        <v>185</v>
      </c>
      <c r="B941" s="15" t="s">
        <v>122</v>
      </c>
      <c r="C941" s="15" t="s">
        <v>117</v>
      </c>
      <c r="D941" s="16">
        <v>0.23953488372092999</v>
      </c>
      <c r="E941" s="16">
        <v>0.40723981900452499</v>
      </c>
      <c r="F941" s="16">
        <v>0.14611872146118701</v>
      </c>
      <c r="G941" s="16">
        <v>0.289592760180996</v>
      </c>
      <c r="H941" s="16">
        <v>0.36568508555874701</v>
      </c>
      <c r="I941" s="16">
        <v>0.20611039334317499</v>
      </c>
      <c r="J941" s="16">
        <v>0.67106096859489195</v>
      </c>
      <c r="K941" s="16">
        <v>0.558537564246114</v>
      </c>
      <c r="L941" s="16">
        <v>0.81319985998233202</v>
      </c>
      <c r="M941" s="16">
        <v>0.45177664974619303</v>
      </c>
      <c r="N941" s="16">
        <v>0.40659340659340698</v>
      </c>
      <c r="O941" s="16">
        <v>0.68421052631579005</v>
      </c>
      <c r="P941" s="17">
        <f t="shared" si="154"/>
        <v>0.27571361054492666</v>
      </c>
      <c r="Q941" s="17">
        <f t="shared" si="155"/>
        <v>0.68093279760777925</v>
      </c>
      <c r="R941" s="17">
        <f t="shared" si="156"/>
        <v>0.5141935275517967</v>
      </c>
      <c r="S941" s="17">
        <f>'02_지표정의'!$C$22*P941+'02_지표정의'!$C$23*Q941+'02_지표정의'!$C$24*R941</f>
        <v>0.54153021567561488</v>
      </c>
      <c r="T941" s="5">
        <f t="shared" si="157"/>
        <v>0</v>
      </c>
      <c r="U941" s="5" t="str">
        <f t="shared" si="158"/>
        <v>보고서</v>
      </c>
      <c r="V941" s="18">
        <f t="shared" si="159"/>
        <v>176</v>
      </c>
      <c r="W941" s="5">
        <f t="shared" si="160"/>
        <v>152</v>
      </c>
      <c r="X941" s="5">
        <f t="shared" si="161"/>
        <v>44</v>
      </c>
      <c r="Y941" s="5">
        <f t="shared" si="162"/>
        <v>0</v>
      </c>
      <c r="Z941" s="19">
        <f t="shared" si="163"/>
        <v>2</v>
      </c>
      <c r="AA941" s="20">
        <f>ABS(S941-SUMPRODUCT(('05B_가정검정'!$A$5:$A$19=B941)*('05B_가정검정'!$B$5:$B$19=C941)*'05B_가정검정'!$E$5:$E$19))</f>
        <v>9.7822739033063599E-2</v>
      </c>
      <c r="AB941" s="20">
        <f t="shared" si="164"/>
        <v>-8.1351406514031277E-2</v>
      </c>
    </row>
    <row r="942" spans="1:28">
      <c r="A942" s="15" t="s">
        <v>185</v>
      </c>
      <c r="B942" s="15" t="s">
        <v>122</v>
      </c>
      <c r="C942" s="15" t="s">
        <v>118</v>
      </c>
      <c r="D942" s="16">
        <v>0.28635851183765498</v>
      </c>
      <c r="E942" s="16">
        <v>0.39130434782608697</v>
      </c>
      <c r="F942" s="16">
        <v>0.153284671532847</v>
      </c>
      <c r="G942" s="16">
        <v>0.28985507246376802</v>
      </c>
      <c r="H942" s="16">
        <v>0.26609848721729901</v>
      </c>
      <c r="I942" s="16">
        <v>0.29943822460168901</v>
      </c>
      <c r="J942" s="16">
        <v>0.66827325697268603</v>
      </c>
      <c r="K942" s="16">
        <v>0.66369568918288502</v>
      </c>
      <c r="L942" s="16">
        <v>0.78260310531883204</v>
      </c>
      <c r="M942" s="16">
        <v>0.57261410788381695</v>
      </c>
      <c r="N942" s="16">
        <v>0.34090909090909099</v>
      </c>
      <c r="O942" s="16">
        <v>0.68421052631579005</v>
      </c>
      <c r="P942" s="17">
        <f t="shared" si="154"/>
        <v>0.28105655257989087</v>
      </c>
      <c r="Q942" s="17">
        <f t="shared" si="155"/>
        <v>0.7048573504914678</v>
      </c>
      <c r="R942" s="17">
        <f t="shared" si="156"/>
        <v>0.53257790836956598</v>
      </c>
      <c r="S942" s="17">
        <f>'02_지표정의'!$C$22*P942+'02_지표정의'!$C$23*Q942+'02_지표정의'!$C$24*R942</f>
        <v>0.55979938616648672</v>
      </c>
      <c r="T942" s="5">
        <f t="shared" si="157"/>
        <v>1</v>
      </c>
      <c r="U942" s="5" t="str">
        <f t="shared" si="158"/>
        <v>보고서</v>
      </c>
      <c r="V942" s="18">
        <f t="shared" si="159"/>
        <v>248</v>
      </c>
      <c r="W942" s="5">
        <f t="shared" si="160"/>
        <v>202</v>
      </c>
      <c r="X942" s="5">
        <f t="shared" si="161"/>
        <v>0</v>
      </c>
      <c r="Y942" s="5">
        <f t="shared" si="162"/>
        <v>205</v>
      </c>
      <c r="Z942" s="19">
        <f t="shared" si="163"/>
        <v>25</v>
      </c>
      <c r="AA942" s="20">
        <f>ABS(S942-SUMPRODUCT(('05B_가정검정'!$A$5:$A$19=B942)*('05B_가정검정'!$B$5:$B$19=C942)*'05B_가정검정'!$E$5:$E$19))</f>
        <v>2.7122549830671527E-2</v>
      </c>
      <c r="AB942" s="20">
        <f t="shared" si="164"/>
        <v>-2.1423890051197048E-2</v>
      </c>
    </row>
    <row r="943" spans="1:28">
      <c r="A943" s="15" t="s">
        <v>185</v>
      </c>
      <c r="B943" s="15" t="s">
        <v>122</v>
      </c>
      <c r="C943" s="15" t="s">
        <v>119</v>
      </c>
      <c r="D943" s="16">
        <v>0.28609625668449201</v>
      </c>
      <c r="E943" s="16">
        <v>0.42</v>
      </c>
      <c r="F943" s="16">
        <v>0.18181818181818199</v>
      </c>
      <c r="G943" s="16">
        <v>0.32</v>
      </c>
      <c r="H943" s="16">
        <v>0.32181357826731999</v>
      </c>
      <c r="I943" s="16">
        <v>0.28726570276205399</v>
      </c>
      <c r="J943" s="16">
        <v>0.67450528039324598</v>
      </c>
      <c r="K943" s="16">
        <v>0.60871826752324998</v>
      </c>
      <c r="L943" s="16">
        <v>0.83535635952368104</v>
      </c>
      <c r="M943" s="16">
        <v>0.62436548223350297</v>
      </c>
      <c r="N943" s="16">
        <v>0.48351648351648402</v>
      </c>
      <c r="O943" s="16">
        <v>0.68421052631579005</v>
      </c>
      <c r="P943" s="17">
        <f t="shared" si="154"/>
        <v>0.30283228658867462</v>
      </c>
      <c r="Q943" s="17">
        <f t="shared" si="155"/>
        <v>0.70619330248005896</v>
      </c>
      <c r="R943" s="17">
        <f t="shared" si="156"/>
        <v>0.59736416402192571</v>
      </c>
      <c r="S943" s="17">
        <f>'02_지표정의'!$C$22*P943+'02_지표정의'!$C$23*Q943+'02_지표정의'!$C$24*R943</f>
        <v>0.58743090084143545</v>
      </c>
      <c r="T943" s="5">
        <f t="shared" si="157"/>
        <v>0</v>
      </c>
      <c r="U943" s="5" t="str">
        <f t="shared" si="158"/>
        <v>보고서</v>
      </c>
      <c r="V943" s="18">
        <f t="shared" si="159"/>
        <v>342</v>
      </c>
      <c r="W943" s="5">
        <f t="shared" si="160"/>
        <v>0</v>
      </c>
      <c r="X943" s="5">
        <f t="shared" si="161"/>
        <v>146</v>
      </c>
      <c r="Y943" s="5">
        <f t="shared" si="162"/>
        <v>259</v>
      </c>
      <c r="Z943" s="19">
        <f t="shared" si="163"/>
        <v>7</v>
      </c>
      <c r="AA943" s="20">
        <f>ABS(S943-SUMPRODUCT(('05B_가정검정'!$A$5:$A$19=B943)*('05B_가정검정'!$B$5:$B$19=C943)*'05B_가정검정'!$E$5:$E$19))</f>
        <v>4.8175287060015948E-2</v>
      </c>
      <c r="AB943" s="20">
        <f t="shared" si="164"/>
        <v>-4.3957965473450544E-2</v>
      </c>
    </row>
    <row r="944" spans="1:28">
      <c r="A944" s="15" t="s">
        <v>185</v>
      </c>
      <c r="B944" s="15" t="s">
        <v>123</v>
      </c>
      <c r="C944" s="15" t="s">
        <v>117</v>
      </c>
      <c r="D944" s="16">
        <v>0.24216216216216199</v>
      </c>
      <c r="E944" s="16">
        <v>0.32867132867132898</v>
      </c>
      <c r="F944" s="16">
        <v>9.85915492957746E-2</v>
      </c>
      <c r="G944" s="16">
        <v>0.20979020979021001</v>
      </c>
      <c r="H944" s="16">
        <v>0.40994051920417701</v>
      </c>
      <c r="I944" s="16">
        <v>0.17318332619237101</v>
      </c>
      <c r="J944" s="16">
        <v>0.72395372769536004</v>
      </c>
      <c r="K944" s="16">
        <v>0.64125361007581105</v>
      </c>
      <c r="L944" s="16">
        <v>0.85996390585777105</v>
      </c>
      <c r="M944" s="16">
        <v>0.88990825688073405</v>
      </c>
      <c r="N944" s="16">
        <v>0.90163934426229497</v>
      </c>
      <c r="O944" s="16">
        <v>1</v>
      </c>
      <c r="P944" s="17">
        <f t="shared" si="154"/>
        <v>0.24372318255267059</v>
      </c>
      <c r="Q944" s="17">
        <f t="shared" si="155"/>
        <v>0.74172374787631412</v>
      </c>
      <c r="R944" s="17">
        <f t="shared" si="156"/>
        <v>0.93051586704767641</v>
      </c>
      <c r="S944" s="17">
        <f>'02_지표정의'!$C$22*P944+'02_지표정의'!$C$23*Q944+'02_지표정의'!$C$24*R944</f>
        <v>0.70820087652156216</v>
      </c>
      <c r="T944" s="5">
        <f t="shared" si="157"/>
        <v>0</v>
      </c>
      <c r="U944" s="5" t="str">
        <f t="shared" si="158"/>
        <v>보고서</v>
      </c>
      <c r="V944" s="18">
        <f t="shared" si="159"/>
        <v>840</v>
      </c>
      <c r="W944" s="5">
        <f t="shared" si="160"/>
        <v>562</v>
      </c>
      <c r="X944" s="5">
        <f t="shared" si="161"/>
        <v>515</v>
      </c>
      <c r="Y944" s="5">
        <f t="shared" si="162"/>
        <v>0</v>
      </c>
      <c r="Z944" s="19">
        <f t="shared" si="163"/>
        <v>24</v>
      </c>
      <c r="AA944" s="20">
        <f>ABS(S944-SUMPRODUCT(('05B_가정검정'!$A$5:$A$19=B944)*('05B_가정검정'!$B$5:$B$19=C944)*'05B_가정검정'!$E$5:$E$19))</f>
        <v>6.7220062546615722E-3</v>
      </c>
      <c r="AB944" s="20">
        <f t="shared" si="164"/>
        <v>2.1542471031898991E-4</v>
      </c>
    </row>
    <row r="945" spans="1:28">
      <c r="A945" s="15" t="s">
        <v>185</v>
      </c>
      <c r="B945" s="15" t="s">
        <v>123</v>
      </c>
      <c r="C945" s="15" t="s">
        <v>118</v>
      </c>
      <c r="D945" s="16">
        <v>0.22478991596638701</v>
      </c>
      <c r="E945" s="16">
        <v>0.351906158357771</v>
      </c>
      <c r="F945" s="16">
        <v>0.15339233038348099</v>
      </c>
      <c r="G945" s="16">
        <v>0.24046920821114401</v>
      </c>
      <c r="H945" s="16">
        <v>0.25870130013586501</v>
      </c>
      <c r="I945" s="16">
        <v>0.25053675258285502</v>
      </c>
      <c r="J945" s="16">
        <v>0.71381127221230201</v>
      </c>
      <c r="K945" s="16">
        <v>0.71012554823843299</v>
      </c>
      <c r="L945" s="16">
        <v>0.84838310941365702</v>
      </c>
      <c r="M945" s="16">
        <v>0.402489626556017</v>
      </c>
      <c r="N945" s="16">
        <v>0.41666666666666702</v>
      </c>
      <c r="O945" s="16">
        <v>1</v>
      </c>
      <c r="P945" s="17">
        <f t="shared" si="154"/>
        <v>0.24663261093958386</v>
      </c>
      <c r="Q945" s="17">
        <f t="shared" si="155"/>
        <v>0.75743997662146401</v>
      </c>
      <c r="R945" s="17">
        <f t="shared" si="156"/>
        <v>0.60638543107422793</v>
      </c>
      <c r="S945" s="17">
        <f>'02_지표정의'!$C$22*P945+'02_지표정의'!$C$23*Q945+'02_지표정의'!$C$24*R945</f>
        <v>0.6024094125435554</v>
      </c>
      <c r="T945" s="5">
        <f t="shared" si="157"/>
        <v>0</v>
      </c>
      <c r="U945" s="5" t="str">
        <f t="shared" si="158"/>
        <v>보고서</v>
      </c>
      <c r="V945" s="18">
        <f t="shared" si="159"/>
        <v>400</v>
      </c>
      <c r="W945" s="5">
        <f t="shared" si="160"/>
        <v>324</v>
      </c>
      <c r="X945" s="5">
        <f t="shared" si="161"/>
        <v>0</v>
      </c>
      <c r="Y945" s="5">
        <f t="shared" si="162"/>
        <v>305</v>
      </c>
      <c r="Z945" s="19">
        <f t="shared" si="163"/>
        <v>49</v>
      </c>
      <c r="AA945" s="20">
        <f>ABS(S945-SUMPRODUCT(('05B_가정검정'!$A$5:$A$19=B945)*('05B_가정검정'!$B$5:$B$19=C945)*'05B_가정검정'!$E$5:$E$19))</f>
        <v>2.7110585664585685E-2</v>
      </c>
      <c r="AB945" s="20">
        <f t="shared" si="164"/>
        <v>4.2537804619064312E-2</v>
      </c>
    </row>
    <row r="946" spans="1:28">
      <c r="A946" s="15" t="s">
        <v>185</v>
      </c>
      <c r="B946" s="15" t="s">
        <v>123</v>
      </c>
      <c r="C946" s="15" t="s">
        <v>119</v>
      </c>
      <c r="D946" s="16">
        <v>0.25092250922509202</v>
      </c>
      <c r="E946" s="16">
        <v>0.407547169811321</v>
      </c>
      <c r="F946" s="16">
        <v>0.159695817490494</v>
      </c>
      <c r="G946" s="16">
        <v>0.24150943396226399</v>
      </c>
      <c r="H946" s="16">
        <v>0.39160213980122799</v>
      </c>
      <c r="I946" s="16">
        <v>0.27140396991239102</v>
      </c>
      <c r="J946" s="16">
        <v>0.72160322638323704</v>
      </c>
      <c r="K946" s="16">
        <v>0.68489781758879198</v>
      </c>
      <c r="L946" s="16">
        <v>0.881264275622335</v>
      </c>
      <c r="M946" s="16">
        <v>0.65986394557823103</v>
      </c>
      <c r="N946" s="16">
        <v>0.73333333333333295</v>
      </c>
      <c r="O946" s="16">
        <v>1</v>
      </c>
      <c r="P946" s="17">
        <f t="shared" si="154"/>
        <v>0.28711350670046504</v>
      </c>
      <c r="Q946" s="17">
        <f t="shared" si="155"/>
        <v>0.76258843986478808</v>
      </c>
      <c r="R946" s="17">
        <f t="shared" si="156"/>
        <v>0.79773242630385466</v>
      </c>
      <c r="S946" s="17">
        <f>'02_지표정의'!$C$22*P946+'02_지표정의'!$C$23*Q946+'02_지표정의'!$C$24*R946</f>
        <v>0.67979384848559676</v>
      </c>
      <c r="T946" s="5">
        <f t="shared" si="157"/>
        <v>1</v>
      </c>
      <c r="U946" s="5" t="str">
        <f t="shared" si="158"/>
        <v>보고서</v>
      </c>
      <c r="V946" s="18">
        <f t="shared" si="159"/>
        <v>757</v>
      </c>
      <c r="W946" s="5">
        <f t="shared" si="160"/>
        <v>0</v>
      </c>
      <c r="X946" s="5">
        <f t="shared" si="161"/>
        <v>433</v>
      </c>
      <c r="Y946" s="5">
        <f t="shared" si="162"/>
        <v>549</v>
      </c>
      <c r="Z946" s="19">
        <f t="shared" si="163"/>
        <v>29</v>
      </c>
      <c r="AA946" s="20">
        <f>ABS(S946-SUMPRODUCT(('05B_가정검정'!$A$5:$A$19=B946)*('05B_가정검정'!$B$5:$B$19=C946)*'05B_가정검정'!$E$5:$E$19))</f>
        <v>5.8359488386305891E-3</v>
      </c>
      <c r="AB946" s="20">
        <f t="shared" si="164"/>
        <v>-2.6248845594050163E-3</v>
      </c>
    </row>
    <row r="947" spans="1:28">
      <c r="A947" s="15" t="s">
        <v>186</v>
      </c>
      <c r="B947" s="15" t="s">
        <v>116</v>
      </c>
      <c r="C947" s="15" t="s">
        <v>117</v>
      </c>
      <c r="D947" s="16">
        <v>0.22072678331090201</v>
      </c>
      <c r="E947" s="16">
        <v>0.351515151515152</v>
      </c>
      <c r="F947" s="16">
        <v>0.122699386503068</v>
      </c>
      <c r="G947" s="16">
        <v>0.29090909090909101</v>
      </c>
      <c r="H947" s="16">
        <v>0.244482602413441</v>
      </c>
      <c r="I947" s="16">
        <v>0.140868043822195</v>
      </c>
      <c r="J947" s="16">
        <v>0.70875269926682205</v>
      </c>
      <c r="K947" s="16">
        <v>0.62293328668015402</v>
      </c>
      <c r="L947" s="16">
        <v>0.79313398523732004</v>
      </c>
      <c r="M947" s="16">
        <v>0.55757575757575795</v>
      </c>
      <c r="N947" s="16">
        <v>0.101123595505618</v>
      </c>
      <c r="O947" s="16">
        <v>1</v>
      </c>
      <c r="P947" s="17">
        <f t="shared" si="154"/>
        <v>0.22853350974564149</v>
      </c>
      <c r="Q947" s="17">
        <f t="shared" si="155"/>
        <v>0.7082733237280987</v>
      </c>
      <c r="R947" s="17">
        <f t="shared" si="156"/>
        <v>0.55289978436045872</v>
      </c>
      <c r="S947" s="17">
        <f>'02_지표정의'!$C$22*P947+'02_지표정의'!$C$23*Q947+'02_지표정의'!$C$24*R947</f>
        <v>0.55794462215293328</v>
      </c>
      <c r="T947" s="5">
        <f t="shared" si="157"/>
        <v>0</v>
      </c>
      <c r="U947" s="5" t="str">
        <f t="shared" si="158"/>
        <v>보고서</v>
      </c>
      <c r="V947" s="18">
        <f t="shared" si="159"/>
        <v>243</v>
      </c>
      <c r="W947" s="5">
        <f t="shared" si="160"/>
        <v>198</v>
      </c>
      <c r="X947" s="5">
        <f t="shared" si="161"/>
        <v>88</v>
      </c>
      <c r="Y947" s="5">
        <f t="shared" si="162"/>
        <v>0</v>
      </c>
      <c r="Z947" s="19">
        <f t="shared" si="163"/>
        <v>35</v>
      </c>
      <c r="AA947" s="20">
        <f>ABS(S947-SUMPRODUCT(('05B_가정검정'!$A$5:$A$19=B947)*('05B_가정검정'!$B$5:$B$19=C947)*'05B_가정검정'!$E$5:$E$19))</f>
        <v>5.4091716796600409E-4</v>
      </c>
      <c r="AB947" s="20">
        <f t="shared" si="164"/>
        <v>5.3934567403098876E-3</v>
      </c>
    </row>
    <row r="948" spans="1:28">
      <c r="A948" s="15" t="s">
        <v>186</v>
      </c>
      <c r="B948" s="15" t="s">
        <v>116</v>
      </c>
      <c r="C948" s="15" t="s">
        <v>118</v>
      </c>
      <c r="D948" s="16">
        <v>0.29663608562691102</v>
      </c>
      <c r="E948" s="16">
        <v>0.41791044776119401</v>
      </c>
      <c r="F948" s="16">
        <v>0.231155778894472</v>
      </c>
      <c r="G948" s="16">
        <v>0.34825870646766199</v>
      </c>
      <c r="H948" s="16">
        <v>0.201996044381478</v>
      </c>
      <c r="I948" s="16">
        <v>0.53589885950719995</v>
      </c>
      <c r="J948" s="16">
        <v>0.67273842329343603</v>
      </c>
      <c r="K948" s="16">
        <v>0.643137545386402</v>
      </c>
      <c r="L948" s="16">
        <v>0.79679216347184301</v>
      </c>
      <c r="M948" s="16">
        <v>0.42574257425742601</v>
      </c>
      <c r="N948" s="16">
        <v>0</v>
      </c>
      <c r="O948" s="16">
        <v>0.60526315789473695</v>
      </c>
      <c r="P948" s="17">
        <f t="shared" si="154"/>
        <v>0.33864265377315284</v>
      </c>
      <c r="Q948" s="17">
        <f t="shared" si="155"/>
        <v>0.70422271071722697</v>
      </c>
      <c r="R948" s="17">
        <f t="shared" si="156"/>
        <v>0.34366857738405426</v>
      </c>
      <c r="S948" s="17">
        <f>'02_지표정의'!$C$22*P948+'02_지표정의'!$C$23*Q948+'02_지표정의'!$C$24*R948</f>
        <v>0.50491275266180169</v>
      </c>
      <c r="T948" s="5">
        <f t="shared" si="157"/>
        <v>0</v>
      </c>
      <c r="U948" s="5" t="str">
        <f t="shared" si="158"/>
        <v>보고서</v>
      </c>
      <c r="V948" s="18">
        <f t="shared" si="159"/>
        <v>53</v>
      </c>
      <c r="W948" s="5">
        <f t="shared" si="160"/>
        <v>47</v>
      </c>
      <c r="X948" s="5">
        <f t="shared" si="161"/>
        <v>0</v>
      </c>
      <c r="Y948" s="5">
        <f t="shared" si="162"/>
        <v>47</v>
      </c>
      <c r="Z948" s="19">
        <f t="shared" si="163"/>
        <v>23</v>
      </c>
      <c r="AA948" s="20">
        <f>ABS(S948-SUMPRODUCT(('05B_가정검정'!$A$5:$A$19=B948)*('05B_가정검정'!$B$5:$B$19=C948)*'05B_가정검정'!$E$5:$E$19))</f>
        <v>2.6379669039919951E-2</v>
      </c>
      <c r="AB948" s="20">
        <f t="shared" si="164"/>
        <v>-2.2636279716784613E-2</v>
      </c>
    </row>
    <row r="949" spans="1:28">
      <c r="A949" s="15" t="s">
        <v>186</v>
      </c>
      <c r="B949" s="15" t="s">
        <v>116</v>
      </c>
      <c r="C949" s="15" t="s">
        <v>119</v>
      </c>
      <c r="D949" s="16">
        <v>0.31884057971014501</v>
      </c>
      <c r="E949" s="16">
        <v>0.51190476190476197</v>
      </c>
      <c r="F949" s="16">
        <v>0.265060240963855</v>
      </c>
      <c r="G949" s="16">
        <v>0.40476190476190499</v>
      </c>
      <c r="H949" s="16">
        <v>0.28515511287685202</v>
      </c>
      <c r="I949" s="16">
        <v>0.27000047995934101</v>
      </c>
      <c r="J949" s="16">
        <v>0.716911901203656</v>
      </c>
      <c r="K949" s="16">
        <v>0.61307869014907801</v>
      </c>
      <c r="L949" s="16">
        <v>0.795878194653446</v>
      </c>
      <c r="M949" s="16">
        <v>0.51515151515151503</v>
      </c>
      <c r="N949" s="16">
        <v>0</v>
      </c>
      <c r="O949" s="16">
        <v>1</v>
      </c>
      <c r="P949" s="17">
        <f t="shared" si="154"/>
        <v>0.34262051336281002</v>
      </c>
      <c r="Q949" s="17">
        <f t="shared" si="155"/>
        <v>0.70862292866872656</v>
      </c>
      <c r="R949" s="17">
        <f t="shared" si="156"/>
        <v>0.50505050505050508</v>
      </c>
      <c r="S949" s="17">
        <f>'02_지표정의'!$C$22*P949+'02_지표정의'!$C$23*Q949+'02_지표정의'!$C$24*R949</f>
        <v>0.5641720973411658</v>
      </c>
      <c r="T949" s="5">
        <f t="shared" si="157"/>
        <v>0</v>
      </c>
      <c r="U949" s="5" t="str">
        <f t="shared" si="158"/>
        <v>보고서</v>
      </c>
      <c r="V949" s="18">
        <f t="shared" si="159"/>
        <v>265</v>
      </c>
      <c r="W949" s="5">
        <f t="shared" si="160"/>
        <v>0</v>
      </c>
      <c r="X949" s="5">
        <f t="shared" si="161"/>
        <v>100</v>
      </c>
      <c r="Y949" s="5">
        <f t="shared" si="162"/>
        <v>215</v>
      </c>
      <c r="Z949" s="19">
        <f t="shared" si="163"/>
        <v>41</v>
      </c>
      <c r="AA949" s="20">
        <f>ABS(S949-SUMPRODUCT(('05B_가정검정'!$A$5:$A$19=B949)*('05B_가정검정'!$B$5:$B$19=C949)*'05B_가정검정'!$E$5:$E$19))</f>
        <v>1.1148580598383195E-2</v>
      </c>
      <c r="AB949" s="20">
        <f t="shared" si="164"/>
        <v>7.7196136649857472E-3</v>
      </c>
    </row>
    <row r="950" spans="1:28">
      <c r="A950" s="15" t="s">
        <v>186</v>
      </c>
      <c r="B950" s="15" t="s">
        <v>120</v>
      </c>
      <c r="C950" s="15" t="s">
        <v>117</v>
      </c>
      <c r="D950" s="16">
        <v>0.22072936660268699</v>
      </c>
      <c r="E950" s="16">
        <v>0.32067510548523198</v>
      </c>
      <c r="F950" s="16">
        <v>0.11063829787234</v>
      </c>
      <c r="G950" s="16">
        <v>0.24472573839662501</v>
      </c>
      <c r="H950" s="16">
        <v>0.30697286669347101</v>
      </c>
      <c r="I950" s="16">
        <v>0.12999325305749601</v>
      </c>
      <c r="J950" s="16">
        <v>0.68870276247984097</v>
      </c>
      <c r="K950" s="16">
        <v>0.63557518640852195</v>
      </c>
      <c r="L950" s="16">
        <v>0.84417130893763304</v>
      </c>
      <c r="M950" s="16">
        <v>0.530612244897959</v>
      </c>
      <c r="N950" s="16">
        <v>0.47560975609756101</v>
      </c>
      <c r="O950" s="16">
        <v>1</v>
      </c>
      <c r="P950" s="17">
        <f t="shared" si="154"/>
        <v>0.22228910468464189</v>
      </c>
      <c r="Q950" s="17">
        <f t="shared" si="155"/>
        <v>0.72281641927533202</v>
      </c>
      <c r="R950" s="17">
        <f t="shared" si="156"/>
        <v>0.66874066699850676</v>
      </c>
      <c r="S950" s="17">
        <f>'02_지표정의'!$C$22*P950+'02_지표정의'!$C$23*Q950+'02_지표정의'!$C$24*R950</f>
        <v>0.6037844430603051</v>
      </c>
      <c r="T950" s="5">
        <f t="shared" si="157"/>
        <v>0</v>
      </c>
      <c r="U950" s="5" t="str">
        <f t="shared" si="158"/>
        <v>보고서</v>
      </c>
      <c r="V950" s="18">
        <f t="shared" si="159"/>
        <v>405</v>
      </c>
      <c r="W950" s="5">
        <f t="shared" si="160"/>
        <v>327</v>
      </c>
      <c r="X950" s="5">
        <f t="shared" si="161"/>
        <v>175</v>
      </c>
      <c r="Y950" s="5">
        <f t="shared" si="162"/>
        <v>0</v>
      </c>
      <c r="Z950" s="19">
        <f t="shared" si="163"/>
        <v>10</v>
      </c>
      <c r="AA950" s="20">
        <f>ABS(S950-SUMPRODUCT(('05B_가정검정'!$A$5:$A$19=B950)*('05B_가정검정'!$B$5:$B$19=C950)*'05B_가정검정'!$E$5:$E$19))</f>
        <v>2.4264516996815977E-2</v>
      </c>
      <c r="AB950" s="20">
        <f t="shared" si="164"/>
        <v>-2.7518260364452041E-2</v>
      </c>
    </row>
    <row r="951" spans="1:28">
      <c r="A951" s="15" t="s">
        <v>186</v>
      </c>
      <c r="B951" s="15" t="s">
        <v>120</v>
      </c>
      <c r="C951" s="15" t="s">
        <v>118</v>
      </c>
      <c r="D951" s="16">
        <v>0.25813221406086101</v>
      </c>
      <c r="E951" s="16">
        <v>0.476190476190476</v>
      </c>
      <c r="F951" s="16">
        <v>0.243542435424354</v>
      </c>
      <c r="G951" s="16">
        <v>0.34432234432234399</v>
      </c>
      <c r="H951" s="16">
        <v>0.300529386120169</v>
      </c>
      <c r="I951" s="16">
        <v>0.51977915221627902</v>
      </c>
      <c r="J951" s="16">
        <v>0.73071833438752598</v>
      </c>
      <c r="K951" s="16">
        <v>0.63857927931673197</v>
      </c>
      <c r="L951" s="16">
        <v>0.82634440288236399</v>
      </c>
      <c r="M951" s="16">
        <v>0.46204620462046198</v>
      </c>
      <c r="N951" s="16">
        <v>0.37410071942445999</v>
      </c>
      <c r="O951" s="16">
        <v>0.62105263157894697</v>
      </c>
      <c r="P951" s="17">
        <f t="shared" si="154"/>
        <v>0.35708266805574712</v>
      </c>
      <c r="Q951" s="17">
        <f t="shared" si="155"/>
        <v>0.73188067219554076</v>
      </c>
      <c r="R951" s="17">
        <f t="shared" si="156"/>
        <v>0.48573318520795628</v>
      </c>
      <c r="S951" s="17">
        <f>'02_지표정의'!$C$22*P951+'02_지표정의'!$C$23*Q951+'02_지표정의'!$C$24*R951</f>
        <v>0.57076945092192743</v>
      </c>
      <c r="T951" s="5">
        <f t="shared" si="157"/>
        <v>0</v>
      </c>
      <c r="U951" s="5" t="str">
        <f t="shared" si="158"/>
        <v>보고서</v>
      </c>
      <c r="V951" s="18">
        <f t="shared" si="159"/>
        <v>285</v>
      </c>
      <c r="W951" s="5">
        <f t="shared" si="160"/>
        <v>233</v>
      </c>
      <c r="X951" s="5">
        <f t="shared" si="161"/>
        <v>0</v>
      </c>
      <c r="Y951" s="5">
        <f t="shared" si="162"/>
        <v>223</v>
      </c>
      <c r="Z951" s="19">
        <f t="shared" si="163"/>
        <v>29</v>
      </c>
      <c r="AA951" s="20">
        <f>ABS(S951-SUMPRODUCT(('05B_가정검정'!$A$5:$A$19=B951)*('05B_가정검정'!$B$5:$B$19=C951)*'05B_가정검정'!$E$5:$E$19))</f>
        <v>2.0059397659700551E-2</v>
      </c>
      <c r="AB951" s="20">
        <f t="shared" si="164"/>
        <v>-4.1213250401833657E-3</v>
      </c>
    </row>
    <row r="952" spans="1:28">
      <c r="A952" s="15" t="s">
        <v>186</v>
      </c>
      <c r="B952" s="15" t="s">
        <v>120</v>
      </c>
      <c r="C952" s="15" t="s">
        <v>119</v>
      </c>
      <c r="D952" s="16">
        <v>0.27704752275025302</v>
      </c>
      <c r="E952" s="16">
        <v>0.45</v>
      </c>
      <c r="F952" s="16">
        <v>0.19327731092437</v>
      </c>
      <c r="G952" s="16">
        <v>0.33333333333333298</v>
      </c>
      <c r="H952" s="16">
        <v>0.33194586848704999</v>
      </c>
      <c r="I952" s="16">
        <v>0.241892446534753</v>
      </c>
      <c r="J952" s="16">
        <v>0.72878911690730597</v>
      </c>
      <c r="K952" s="16">
        <v>0.61109807908443503</v>
      </c>
      <c r="L952" s="16">
        <v>0.82134716584357703</v>
      </c>
      <c r="M952" s="16">
        <v>0.8</v>
      </c>
      <c r="N952" s="16">
        <v>0.82926829268292701</v>
      </c>
      <c r="O952" s="16">
        <v>1</v>
      </c>
      <c r="P952" s="17">
        <f t="shared" si="154"/>
        <v>0.30458274700495985</v>
      </c>
      <c r="Q952" s="17">
        <f t="shared" si="155"/>
        <v>0.72041145394510597</v>
      </c>
      <c r="R952" s="17">
        <f t="shared" si="156"/>
        <v>0.87642276422764231</v>
      </c>
      <c r="S952" s="17">
        <f>'02_지표정의'!$C$22*P952+'02_지표정의'!$C$23*Q952+'02_지표정의'!$C$24*R952</f>
        <v>0.69184967115596452</v>
      </c>
      <c r="T952" s="5">
        <f t="shared" si="157"/>
        <v>0</v>
      </c>
      <c r="U952" s="5" t="str">
        <f t="shared" si="158"/>
        <v>보고서</v>
      </c>
      <c r="V952" s="18">
        <f t="shared" si="159"/>
        <v>792</v>
      </c>
      <c r="W952" s="5">
        <f t="shared" si="160"/>
        <v>0</v>
      </c>
      <c r="X952" s="5">
        <f t="shared" si="161"/>
        <v>467</v>
      </c>
      <c r="Y952" s="5">
        <f t="shared" si="162"/>
        <v>572</v>
      </c>
      <c r="Z952" s="19">
        <f t="shared" si="163"/>
        <v>50</v>
      </c>
      <c r="AA952" s="20">
        <f>ABS(S952-SUMPRODUCT(('05B_가정검정'!$A$5:$A$19=B952)*('05B_가정검정'!$B$5:$B$19=C952)*'05B_가정검정'!$E$5:$E$19))</f>
        <v>2.8172354674578237E-2</v>
      </c>
      <c r="AB952" s="20">
        <f t="shared" si="164"/>
        <v>3.3426663645148902E-2</v>
      </c>
    </row>
    <row r="953" spans="1:28">
      <c r="A953" s="15" t="s">
        <v>186</v>
      </c>
      <c r="B953" s="15" t="s">
        <v>121</v>
      </c>
      <c r="C953" s="15" t="s">
        <v>117</v>
      </c>
      <c r="D953" s="16">
        <v>0.19924337957124799</v>
      </c>
      <c r="E953" s="16">
        <v>0.376470588235294</v>
      </c>
      <c r="F953" s="16">
        <v>0.119047619047619</v>
      </c>
      <c r="G953" s="16">
        <v>0.29411764705882398</v>
      </c>
      <c r="H953" s="16">
        <v>0.27958078512593199</v>
      </c>
      <c r="I953" s="16">
        <v>0.11149387110857099</v>
      </c>
      <c r="J953" s="16">
        <v>0.73961935092278097</v>
      </c>
      <c r="K953" s="16">
        <v>0.76830012203754805</v>
      </c>
      <c r="L953" s="16">
        <v>0.88791164264821998</v>
      </c>
      <c r="M953" s="16">
        <v>0.65986394557823103</v>
      </c>
      <c r="N953" s="16">
        <v>0.78571428571428603</v>
      </c>
      <c r="O953" s="16">
        <v>1</v>
      </c>
      <c r="P953" s="17">
        <f t="shared" si="154"/>
        <v>0.22999231502458128</v>
      </c>
      <c r="Q953" s="17">
        <f t="shared" si="155"/>
        <v>0.79861037186951622</v>
      </c>
      <c r="R953" s="17">
        <f t="shared" si="156"/>
        <v>0.81519274376417228</v>
      </c>
      <c r="S953" s="17">
        <f>'02_지표정의'!$C$22*P953+'02_지표정의'!$C$23*Q953+'02_지표정의'!$C$24*R953</f>
        <v>0.6906905906636589</v>
      </c>
      <c r="T953" s="5">
        <f t="shared" si="157"/>
        <v>1</v>
      </c>
      <c r="U953" s="5" t="str">
        <f t="shared" si="158"/>
        <v>보고서</v>
      </c>
      <c r="V953" s="18">
        <f t="shared" si="159"/>
        <v>789</v>
      </c>
      <c r="W953" s="5">
        <f t="shared" si="160"/>
        <v>544</v>
      </c>
      <c r="X953" s="5">
        <f t="shared" si="161"/>
        <v>464</v>
      </c>
      <c r="Y953" s="5">
        <f t="shared" si="162"/>
        <v>0</v>
      </c>
      <c r="Z953" s="19">
        <f t="shared" si="163"/>
        <v>12</v>
      </c>
      <c r="AA953" s="20">
        <f>ABS(S953-SUMPRODUCT(('05B_가정검정'!$A$5:$A$19=B953)*('05B_가정검정'!$B$5:$B$19=C953)*'05B_가정검정'!$E$5:$E$19))</f>
        <v>3.8741480718222254E-2</v>
      </c>
      <c r="AB953" s="20">
        <f t="shared" si="164"/>
        <v>-2.6961202409222063E-2</v>
      </c>
    </row>
    <row r="954" spans="1:28">
      <c r="A954" s="15" t="s">
        <v>186</v>
      </c>
      <c r="B954" s="15" t="s">
        <v>121</v>
      </c>
      <c r="C954" s="15" t="s">
        <v>118</v>
      </c>
      <c r="D954" s="16">
        <v>0.23863636363636401</v>
      </c>
      <c r="E954" s="16">
        <v>0.38834951456310701</v>
      </c>
      <c r="F954" s="16">
        <v>0.20588235294117699</v>
      </c>
      <c r="G954" s="16">
        <v>0.33980582524271902</v>
      </c>
      <c r="H954" s="16">
        <v>0.21445590537973899</v>
      </c>
      <c r="I954" s="16">
        <v>0.19773907876316299</v>
      </c>
      <c r="J954" s="16">
        <v>0.75337070532095896</v>
      </c>
      <c r="K954" s="16">
        <v>0.76677110745138</v>
      </c>
      <c r="L954" s="16">
        <v>0.89250500843617397</v>
      </c>
      <c r="M954" s="16">
        <v>0.32013201320132001</v>
      </c>
      <c r="N954" s="16">
        <v>0.30935251798561197</v>
      </c>
      <c r="O954" s="16">
        <v>0.60526315789473695</v>
      </c>
      <c r="P954" s="17">
        <f t="shared" si="154"/>
        <v>0.2641448400877115</v>
      </c>
      <c r="Q954" s="17">
        <f t="shared" si="155"/>
        <v>0.80421560706950423</v>
      </c>
      <c r="R954" s="17">
        <f t="shared" si="156"/>
        <v>0.41158256302722296</v>
      </c>
      <c r="S954" s="17">
        <f>'02_지표정의'!$C$22*P954+'02_지표정의'!$C$23*Q954+'02_지표정의'!$C$24*R954</f>
        <v>0.55877988825834723</v>
      </c>
      <c r="T954" s="5">
        <f t="shared" si="157"/>
        <v>0</v>
      </c>
      <c r="U954" s="5" t="str">
        <f t="shared" si="158"/>
        <v>보고서</v>
      </c>
      <c r="V954" s="18">
        <f t="shared" si="159"/>
        <v>246</v>
      </c>
      <c r="W954" s="5">
        <f t="shared" si="160"/>
        <v>200</v>
      </c>
      <c r="X954" s="5">
        <f t="shared" si="161"/>
        <v>0</v>
      </c>
      <c r="Y954" s="5">
        <f t="shared" si="162"/>
        <v>203</v>
      </c>
      <c r="Z954" s="19">
        <f t="shared" si="163"/>
        <v>27</v>
      </c>
      <c r="AA954" s="20">
        <f>ABS(S954-SUMPRODUCT(('05B_가정검정'!$A$5:$A$19=B954)*('05B_가정검정'!$B$5:$B$19=C954)*'05B_가정검정'!$E$5:$E$19))</f>
        <v>3.9799601908621196E-2</v>
      </c>
      <c r="AB954" s="20">
        <f t="shared" si="164"/>
        <v>-2.0619186268466039E-2</v>
      </c>
    </row>
    <row r="955" spans="1:28">
      <c r="A955" s="15" t="s">
        <v>186</v>
      </c>
      <c r="B955" s="15" t="s">
        <v>121</v>
      </c>
      <c r="C955" s="15" t="s">
        <v>119</v>
      </c>
      <c r="D955" s="16">
        <v>0.26486486486486499</v>
      </c>
      <c r="E955" s="16">
        <v>0.49710982658959502</v>
      </c>
      <c r="F955" s="16">
        <v>0.21052631578947401</v>
      </c>
      <c r="G955" s="16">
        <v>0.35838150289017301</v>
      </c>
      <c r="H955" s="16">
        <v>0.32393947679794999</v>
      </c>
      <c r="I955" s="16">
        <v>0.35168862521174199</v>
      </c>
      <c r="J955" s="16">
        <v>0.78233961498596905</v>
      </c>
      <c r="K955" s="16">
        <v>0.72691195038286704</v>
      </c>
      <c r="L955" s="16">
        <v>0.86231302356857698</v>
      </c>
      <c r="M955" s="16">
        <v>0.70289855072463803</v>
      </c>
      <c r="N955" s="16">
        <v>0.67901234567901203</v>
      </c>
      <c r="O955" s="16">
        <v>1</v>
      </c>
      <c r="P955" s="17">
        <f t="shared" si="154"/>
        <v>0.33441843535729987</v>
      </c>
      <c r="Q955" s="17">
        <f t="shared" si="155"/>
        <v>0.79052152964580424</v>
      </c>
      <c r="R955" s="17">
        <f t="shared" si="156"/>
        <v>0.79397029880121661</v>
      </c>
      <c r="S955" s="17">
        <f>'02_지표정의'!$C$22*P955+'02_지표정의'!$C$23*Q955+'02_지표정의'!$C$24*R955</f>
        <v>0.70050797999249759</v>
      </c>
      <c r="T955" s="5">
        <f t="shared" si="157"/>
        <v>0</v>
      </c>
      <c r="U955" s="5" t="str">
        <f t="shared" si="158"/>
        <v>보고서</v>
      </c>
      <c r="V955" s="18">
        <f t="shared" si="159"/>
        <v>824</v>
      </c>
      <c r="W955" s="5">
        <f t="shared" si="160"/>
        <v>0</v>
      </c>
      <c r="X955" s="5">
        <f t="shared" si="161"/>
        <v>499</v>
      </c>
      <c r="Y955" s="5">
        <f t="shared" si="162"/>
        <v>595</v>
      </c>
      <c r="Z955" s="19">
        <f t="shared" si="163"/>
        <v>40</v>
      </c>
      <c r="AA955" s="20">
        <f>ABS(S955-SUMPRODUCT(('05B_가정검정'!$A$5:$A$19=B955)*('05B_가정검정'!$B$5:$B$19=C955)*'05B_가정검정'!$E$5:$E$19))</f>
        <v>8.1881371966439076E-3</v>
      </c>
      <c r="AB955" s="20">
        <f t="shared" si="164"/>
        <v>1.2271004572886546E-2</v>
      </c>
    </row>
    <row r="956" spans="1:28">
      <c r="A956" s="15" t="s">
        <v>186</v>
      </c>
      <c r="B956" s="15" t="s">
        <v>122</v>
      </c>
      <c r="C956" s="15" t="s">
        <v>117</v>
      </c>
      <c r="D956" s="16">
        <v>0.236744759556104</v>
      </c>
      <c r="E956" s="16">
        <v>0.32432432432432401</v>
      </c>
      <c r="F956" s="16">
        <v>0.109289617486339</v>
      </c>
      <c r="G956" s="16">
        <v>0.25945945945945897</v>
      </c>
      <c r="H956" s="16">
        <v>0.30291387959130101</v>
      </c>
      <c r="I956" s="16">
        <v>9.4144964973192302E-2</v>
      </c>
      <c r="J956" s="16">
        <v>0.652781079445787</v>
      </c>
      <c r="K956" s="16">
        <v>0.64682969750920005</v>
      </c>
      <c r="L956" s="16">
        <v>0.81934132197618303</v>
      </c>
      <c r="M956" s="16">
        <v>0.748466257668712</v>
      </c>
      <c r="N956" s="16">
        <v>0.71084337349397597</v>
      </c>
      <c r="O956" s="16">
        <v>1</v>
      </c>
      <c r="P956" s="17">
        <f t="shared" si="154"/>
        <v>0.22114616756511987</v>
      </c>
      <c r="Q956" s="17">
        <f t="shared" si="155"/>
        <v>0.70631736631038999</v>
      </c>
      <c r="R956" s="17">
        <f t="shared" si="156"/>
        <v>0.81976987705422932</v>
      </c>
      <c r="S956" s="17">
        <f>'02_지표정의'!$C$22*P956+'02_지표정의'!$C$23*Q956+'02_지표정의'!$C$24*R956</f>
        <v>0.64899150532167971</v>
      </c>
      <c r="T956" s="5">
        <f t="shared" si="157"/>
        <v>0</v>
      </c>
      <c r="U956" s="5" t="str">
        <f t="shared" si="158"/>
        <v>보고서</v>
      </c>
      <c r="V956" s="18">
        <f t="shared" si="159"/>
        <v>613</v>
      </c>
      <c r="W956" s="5">
        <f t="shared" si="160"/>
        <v>467</v>
      </c>
      <c r="X956" s="5">
        <f t="shared" si="161"/>
        <v>300</v>
      </c>
      <c r="Y956" s="5">
        <f t="shared" si="162"/>
        <v>0</v>
      </c>
      <c r="Z956" s="19">
        <f t="shared" si="163"/>
        <v>37</v>
      </c>
      <c r="AA956" s="20">
        <f>ABS(S956-SUMPRODUCT(('05B_가정검정'!$A$5:$A$19=B956)*('05B_가정검정'!$B$5:$B$19=C956)*'05B_가정검정'!$E$5:$E$19))</f>
        <v>9.6385506130012288E-3</v>
      </c>
      <c r="AB956" s="20">
        <f t="shared" si="164"/>
        <v>2.6109883132033551E-2</v>
      </c>
    </row>
    <row r="957" spans="1:28">
      <c r="A957" s="15" t="s">
        <v>186</v>
      </c>
      <c r="B957" s="15" t="s">
        <v>122</v>
      </c>
      <c r="C957" s="15" t="s">
        <v>118</v>
      </c>
      <c r="D957" s="16">
        <v>0.36565096952908599</v>
      </c>
      <c r="E957" s="16">
        <v>0.41628959276018102</v>
      </c>
      <c r="F957" s="16">
        <v>0.28310502283104999</v>
      </c>
      <c r="G957" s="16">
        <v>0.38914027149321301</v>
      </c>
      <c r="H957" s="16">
        <v>0.27995188198625298</v>
      </c>
      <c r="I957" s="16">
        <v>0.45099682211366798</v>
      </c>
      <c r="J957" s="16">
        <v>0.68827927923425003</v>
      </c>
      <c r="K957" s="16">
        <v>0.66484697254895198</v>
      </c>
      <c r="L957" s="16">
        <v>0.77016731131611404</v>
      </c>
      <c r="M957" s="16">
        <v>0.46864686468646899</v>
      </c>
      <c r="N957" s="16">
        <v>0.35971223021582699</v>
      </c>
      <c r="O957" s="16">
        <v>0.60526315789473695</v>
      </c>
      <c r="P957" s="17">
        <f t="shared" si="154"/>
        <v>0.36418909345224187</v>
      </c>
      <c r="Q957" s="17">
        <f t="shared" si="155"/>
        <v>0.70776452103310528</v>
      </c>
      <c r="R957" s="17">
        <f t="shared" si="156"/>
        <v>0.47787408426567762</v>
      </c>
      <c r="S957" s="17">
        <f>'02_지표정의'!$C$22*P957+'02_지표정의'!$C$23*Q957+'02_지표정의'!$C$24*R957</f>
        <v>0.55858778264833286</v>
      </c>
      <c r="T957" s="5">
        <f t="shared" si="157"/>
        <v>1</v>
      </c>
      <c r="U957" s="5" t="str">
        <f t="shared" si="158"/>
        <v>보고서</v>
      </c>
      <c r="V957" s="18">
        <f t="shared" si="159"/>
        <v>245</v>
      </c>
      <c r="W957" s="5">
        <f t="shared" si="160"/>
        <v>199</v>
      </c>
      <c r="X957" s="5">
        <f t="shared" si="161"/>
        <v>0</v>
      </c>
      <c r="Y957" s="5">
        <f t="shared" si="162"/>
        <v>202</v>
      </c>
      <c r="Z957" s="19">
        <f t="shared" si="163"/>
        <v>24</v>
      </c>
      <c r="AA957" s="20">
        <f>ABS(S957-SUMPRODUCT(('05B_가정검정'!$A$5:$A$19=B957)*('05B_가정검정'!$B$5:$B$19=C957)*'05B_가정검정'!$E$5:$E$19))</f>
        <v>2.8334153348825386E-2</v>
      </c>
      <c r="AB957" s="20">
        <f t="shared" si="164"/>
        <v>-2.2635493569350906E-2</v>
      </c>
    </row>
    <row r="958" spans="1:28">
      <c r="A958" s="15" t="s">
        <v>186</v>
      </c>
      <c r="B958" s="15" t="s">
        <v>122</v>
      </c>
      <c r="C958" s="15" t="s">
        <v>119</v>
      </c>
      <c r="D958" s="16">
        <v>0.32717678100263903</v>
      </c>
      <c r="E958" s="16">
        <v>0.42553191489361702</v>
      </c>
      <c r="F958" s="16">
        <v>0.17204301075268799</v>
      </c>
      <c r="G958" s="16">
        <v>0.37234042553191499</v>
      </c>
      <c r="H958" s="16">
        <v>0.35341026096755301</v>
      </c>
      <c r="I958" s="16">
        <v>0.151426432054763</v>
      </c>
      <c r="J958" s="16">
        <v>0.68083644157712297</v>
      </c>
      <c r="K958" s="16">
        <v>0.62351799077873804</v>
      </c>
      <c r="L958" s="16">
        <v>0.82489702379284502</v>
      </c>
      <c r="M958" s="16">
        <v>0.496932515337423</v>
      </c>
      <c r="N958" s="16">
        <v>0.33734939759036098</v>
      </c>
      <c r="O958" s="16">
        <v>1</v>
      </c>
      <c r="P958" s="17">
        <f t="shared" si="154"/>
        <v>0.30032147086719579</v>
      </c>
      <c r="Q958" s="17">
        <f t="shared" si="155"/>
        <v>0.70975048538290197</v>
      </c>
      <c r="R958" s="17">
        <f t="shared" si="156"/>
        <v>0.61142730430926129</v>
      </c>
      <c r="S958" s="17">
        <f>'02_지표정의'!$C$22*P958+'02_지표정의'!$C$23*Q958+'02_지표정의'!$C$24*R958</f>
        <v>0.59345156910398655</v>
      </c>
      <c r="T958" s="5">
        <f t="shared" si="157"/>
        <v>0</v>
      </c>
      <c r="U958" s="5" t="str">
        <f t="shared" si="158"/>
        <v>보고서</v>
      </c>
      <c r="V958" s="18">
        <f t="shared" si="159"/>
        <v>357</v>
      </c>
      <c r="W958" s="5">
        <f t="shared" si="160"/>
        <v>0</v>
      </c>
      <c r="X958" s="5">
        <f t="shared" si="161"/>
        <v>152</v>
      </c>
      <c r="Y958" s="5">
        <f t="shared" si="162"/>
        <v>274</v>
      </c>
      <c r="Z958" s="19">
        <f t="shared" si="163"/>
        <v>10</v>
      </c>
      <c r="AA958" s="20">
        <f>ABS(S958-SUMPRODUCT(('05B_가정검정'!$A$5:$A$19=B958)*('05B_가정검정'!$B$5:$B$19=C958)*'05B_가정검정'!$E$5:$E$19))</f>
        <v>4.2154618797464849E-2</v>
      </c>
      <c r="AB958" s="20">
        <f t="shared" si="164"/>
        <v>-3.7937297210899446E-2</v>
      </c>
    </row>
    <row r="959" spans="1:28">
      <c r="A959" s="15" t="s">
        <v>186</v>
      </c>
      <c r="B959" s="15" t="s">
        <v>123</v>
      </c>
      <c r="C959" s="15" t="s">
        <v>117</v>
      </c>
      <c r="D959" s="16">
        <v>0.20232558139534901</v>
      </c>
      <c r="E959" s="16">
        <v>0.34693877551020402</v>
      </c>
      <c r="F959" s="16">
        <v>0.10309278350515499</v>
      </c>
      <c r="G959" s="16">
        <v>0.25510204081632698</v>
      </c>
      <c r="H959" s="16">
        <v>0.356139612131667</v>
      </c>
      <c r="I959" s="16">
        <v>0.12112117156395499</v>
      </c>
      <c r="J959" s="16">
        <v>0.75574641428345102</v>
      </c>
      <c r="K959" s="16">
        <v>0.68156295148691304</v>
      </c>
      <c r="L959" s="16">
        <v>0.85478885570467</v>
      </c>
      <c r="M959" s="16">
        <v>0.65986394557823103</v>
      </c>
      <c r="N959" s="16">
        <v>0.78571428571428603</v>
      </c>
      <c r="O959" s="16">
        <v>1</v>
      </c>
      <c r="P959" s="17">
        <f t="shared" si="154"/>
        <v>0.23078666082044283</v>
      </c>
      <c r="Q959" s="17">
        <f t="shared" si="155"/>
        <v>0.76403274049167802</v>
      </c>
      <c r="R959" s="17">
        <f t="shared" si="156"/>
        <v>0.81519274376417228</v>
      </c>
      <c r="S959" s="17">
        <f>'02_지표정의'!$C$22*P959+'02_지표정의'!$C$23*Q959+'02_지표정의'!$C$24*R959</f>
        <v>0.67528952570280398</v>
      </c>
      <c r="T959" s="5">
        <f t="shared" si="157"/>
        <v>0</v>
      </c>
      <c r="U959" s="5" t="str">
        <f t="shared" si="158"/>
        <v>보고서</v>
      </c>
      <c r="V959" s="18">
        <f t="shared" si="159"/>
        <v>738</v>
      </c>
      <c r="W959" s="5">
        <f t="shared" si="160"/>
        <v>523</v>
      </c>
      <c r="X959" s="5">
        <f t="shared" si="161"/>
        <v>417</v>
      </c>
      <c r="Y959" s="5">
        <f t="shared" si="162"/>
        <v>0</v>
      </c>
      <c r="Z959" s="19">
        <f t="shared" si="163"/>
        <v>12</v>
      </c>
      <c r="AA959" s="20">
        <f>ABS(S959-SUMPRODUCT(('05B_가정검정'!$A$5:$A$19=B959)*('05B_가정검정'!$B$5:$B$19=C959)*'05B_가정검정'!$E$5:$E$19))</f>
        <v>3.963335707341975E-2</v>
      </c>
      <c r="AB959" s="20">
        <f t="shared" si="164"/>
        <v>-3.2695926108439188E-2</v>
      </c>
    </row>
    <row r="960" spans="1:28">
      <c r="A960" s="15" t="s">
        <v>186</v>
      </c>
      <c r="B960" s="15" t="s">
        <v>123</v>
      </c>
      <c r="C960" s="15" t="s">
        <v>118</v>
      </c>
      <c r="D960" s="16">
        <v>0.223086900129702</v>
      </c>
      <c r="E960" s="16">
        <v>0.37068965517241398</v>
      </c>
      <c r="F960" s="16">
        <v>0.19130434782608699</v>
      </c>
      <c r="G960" s="16">
        <v>0.30172413793103497</v>
      </c>
      <c r="H960" s="16">
        <v>0.24896407012816901</v>
      </c>
      <c r="I960" s="16">
        <v>0.23830317569444801</v>
      </c>
      <c r="J960" s="16">
        <v>0.72087365200462705</v>
      </c>
      <c r="K960" s="16">
        <v>0.65914617010051801</v>
      </c>
      <c r="L960" s="16">
        <v>0.83032474371926002</v>
      </c>
      <c r="M960" s="16">
        <v>0.32013201320132001</v>
      </c>
      <c r="N960" s="16">
        <v>0.30935251798561197</v>
      </c>
      <c r="O960" s="16">
        <v>0.60526315789473695</v>
      </c>
      <c r="P960" s="17">
        <f t="shared" si="154"/>
        <v>0.26234538114697581</v>
      </c>
      <c r="Q960" s="17">
        <f t="shared" si="155"/>
        <v>0.7367815219414684</v>
      </c>
      <c r="R960" s="17">
        <f t="shared" si="156"/>
        <v>0.41158256302722296</v>
      </c>
      <c r="S960" s="17">
        <f>'02_지표정의'!$C$22*P960+'02_지표정의'!$C$23*Q960+'02_지표정의'!$C$24*R960</f>
        <v>0.52807465816258392</v>
      </c>
      <c r="T960" s="5">
        <f t="shared" si="157"/>
        <v>0</v>
      </c>
      <c r="U960" s="5" t="str">
        <f t="shared" si="158"/>
        <v>보고서</v>
      </c>
      <c r="V960" s="18">
        <f t="shared" si="159"/>
        <v>125</v>
      </c>
      <c r="W960" s="5">
        <f t="shared" si="160"/>
        <v>112</v>
      </c>
      <c r="X960" s="5">
        <f t="shared" si="161"/>
        <v>0</v>
      </c>
      <c r="Y960" s="5">
        <f t="shared" si="162"/>
        <v>113</v>
      </c>
      <c r="Z960" s="19">
        <f t="shared" si="163"/>
        <v>26</v>
      </c>
      <c r="AA960" s="20">
        <f>ABS(S960-SUMPRODUCT(('05B_가정검정'!$A$5:$A$19=B960)*('05B_가정검정'!$B$5:$B$19=C960)*'05B_가정검정'!$E$5:$E$19))</f>
        <v>4.7224168716385795E-2</v>
      </c>
      <c r="AB960" s="20">
        <f t="shared" si="164"/>
        <v>-3.1796949761907167E-2</v>
      </c>
    </row>
    <row r="961" spans="1:28">
      <c r="A961" s="15" t="s">
        <v>186</v>
      </c>
      <c r="B961" s="15" t="s">
        <v>123</v>
      </c>
      <c r="C961" s="15" t="s">
        <v>119</v>
      </c>
      <c r="D961" s="16">
        <v>0.27509293680297398</v>
      </c>
      <c r="E961" s="16">
        <v>0.48241206030150802</v>
      </c>
      <c r="F961" s="16">
        <v>0.22335025380710699</v>
      </c>
      <c r="G961" s="16">
        <v>0.37185929648241201</v>
      </c>
      <c r="H961" s="16">
        <v>0.37789903804375202</v>
      </c>
      <c r="I961" s="16">
        <v>0.38676280325393197</v>
      </c>
      <c r="J961" s="16">
        <v>0.73341003852820197</v>
      </c>
      <c r="K961" s="16">
        <v>0.66178123690799995</v>
      </c>
      <c r="L961" s="16">
        <v>0.85254858981321202</v>
      </c>
      <c r="M961" s="16">
        <v>0.70289855072463803</v>
      </c>
      <c r="N961" s="16">
        <v>0.67901234567901203</v>
      </c>
      <c r="O961" s="16">
        <v>1</v>
      </c>
      <c r="P961" s="17">
        <f t="shared" si="154"/>
        <v>0.35289606478194746</v>
      </c>
      <c r="Q961" s="17">
        <f t="shared" si="155"/>
        <v>0.74924662174980472</v>
      </c>
      <c r="R961" s="17">
        <f t="shared" si="156"/>
        <v>0.79397029880121661</v>
      </c>
      <c r="S961" s="17">
        <f>'02_지표정의'!$C$22*P961+'02_지표정의'!$C$23*Q961+'02_지표정의'!$C$24*R961</f>
        <v>0.68562979732422735</v>
      </c>
      <c r="T961" s="5">
        <f t="shared" si="157"/>
        <v>1</v>
      </c>
      <c r="U961" s="5" t="str">
        <f t="shared" si="158"/>
        <v>보고서</v>
      </c>
      <c r="V961" s="18">
        <f t="shared" si="159"/>
        <v>772</v>
      </c>
      <c r="W961" s="5">
        <f t="shared" si="160"/>
        <v>0</v>
      </c>
      <c r="X961" s="5">
        <f t="shared" si="161"/>
        <v>448</v>
      </c>
      <c r="Y961" s="5">
        <f t="shared" si="162"/>
        <v>557</v>
      </c>
      <c r="Z961" s="19">
        <f t="shared" si="163"/>
        <v>33</v>
      </c>
      <c r="AA961" s="20">
        <f>ABS(S961-SUMPRODUCT(('05B_가정검정'!$A$5:$A$19=B961)*('05B_가정검정'!$B$5:$B$19=C961)*'05B_가정검정'!$E$5:$E$19))</f>
        <v>0</v>
      </c>
      <c r="AB961" s="20">
        <f t="shared" si="164"/>
        <v>3.2110642792255728E-3</v>
      </c>
    </row>
    <row r="962" spans="1:28">
      <c r="A962" s="15" t="s">
        <v>187</v>
      </c>
      <c r="B962" s="15" t="s">
        <v>116</v>
      </c>
      <c r="C962" s="15" t="s">
        <v>117</v>
      </c>
      <c r="D962" s="16">
        <v>0.27615062761506298</v>
      </c>
      <c r="E962" s="16">
        <v>0.39846743295019199</v>
      </c>
      <c r="F962" s="16">
        <v>0.138996138996139</v>
      </c>
      <c r="G962" s="16">
        <v>0.26819923371647503</v>
      </c>
      <c r="H962" s="16">
        <v>0.25868142034167302</v>
      </c>
      <c r="I962" s="16">
        <v>0.230044114805911</v>
      </c>
      <c r="J962" s="16">
        <v>0.70695124895497596</v>
      </c>
      <c r="K962" s="16">
        <v>0.58542308389998199</v>
      </c>
      <c r="L962" s="16">
        <v>0.75888909621353295</v>
      </c>
      <c r="M962" s="16">
        <v>0.51515151515151503</v>
      </c>
      <c r="N962" s="16">
        <v>0.213483146067416</v>
      </c>
      <c r="O962" s="16">
        <v>1</v>
      </c>
      <c r="P962" s="17">
        <f t="shared" ref="P962:P976" si="165">AVERAGE(D962:I962)</f>
        <v>0.26175649473757551</v>
      </c>
      <c r="Q962" s="17">
        <f t="shared" ref="Q962:Q976" si="166">AVERAGE(J962:L962)</f>
        <v>0.68375447635616371</v>
      </c>
      <c r="R962" s="17">
        <f t="shared" ref="R962:R976" si="167">AVERAGE(M962:O962)</f>
        <v>0.57621155373964372</v>
      </c>
      <c r="S962" s="17">
        <f>'02_지표정의'!$C$22*P962+'02_지표정의'!$C$23*Q962+'02_지표정의'!$C$24*R962</f>
        <v>0.56171485711666413</v>
      </c>
      <c r="T962" s="5">
        <f t="shared" ref="T962:T976" si="168">IF(OR(AND(B962="gemini",C962="gemma"),AND(B962="qwen3_6",C962="qwen"),AND(B962="mistral",C962="ministral")),1,0)</f>
        <v>0</v>
      </c>
      <c r="U962" s="5" t="str">
        <f t="shared" ref="U962:U976" si="169">IF(LEFT(A962,3)="PAT","특허","보고서")</f>
        <v>보고서</v>
      </c>
      <c r="V962" s="18">
        <f t="shared" ref="V962:V976" si="170">COUNTIF($S$2:$S$976,"&lt;"&amp;S962)+(COUNTIF($S$2:$S$976,"="&amp;S962)+1)/2</f>
        <v>256</v>
      </c>
      <c r="W962" s="5">
        <f t="shared" ref="W962:W976" si="171">IF(C962="qwen",0,COUNTIFS($C$2:$C$976,"&lt;&gt;qwen",$S$2:$S$976,"&lt;"&amp;S962)+1)</f>
        <v>210</v>
      </c>
      <c r="X962" s="5">
        <f t="shared" ref="X962:X976" si="172">IF(C962="ministral",0,COUNTIFS($C$2:$C$976,"&lt;&gt;ministral",$S$2:$S$976,"&lt;"&amp;S962)+1)</f>
        <v>94</v>
      </c>
      <c r="Y962" s="5">
        <f t="shared" ref="Y962:Y976" si="173">IF(C962="gemma",0,COUNTIFS($C$2:$C$976,"&lt;&gt;gemma",$S$2:$S$976,"&lt;"&amp;S962)+1)</f>
        <v>0</v>
      </c>
      <c r="Z962" s="19">
        <f t="shared" ref="Z962:Z976" si="174">COUNTIFS($B$2:$B$976,B962,$C$2:$C$976,C962,$S$2:$S$976,"&lt;"&amp;S962)+1</f>
        <v>39</v>
      </c>
      <c r="AA962" s="20">
        <f>ABS(S962-SUMPRODUCT(('05B_가정검정'!$A$5:$A$19=B962)*('05B_가정검정'!$B$5:$B$19=C962)*'05B_가정검정'!$E$5:$E$19))</f>
        <v>4.3111521316968604E-3</v>
      </c>
      <c r="AB962" s="20">
        <f t="shared" ref="AB962:AB976" si="175">S962-AVERAGEIFS($S$2:$S$976,$B$2:$B$976,B962,$C$2:$C$976,C962)</f>
        <v>9.163691704040744E-3</v>
      </c>
    </row>
    <row r="963" spans="1:28">
      <c r="A963" s="15" t="s">
        <v>187</v>
      </c>
      <c r="B963" s="15" t="s">
        <v>116</v>
      </c>
      <c r="C963" s="15" t="s">
        <v>118</v>
      </c>
      <c r="D963" s="16">
        <v>0.33222591362126302</v>
      </c>
      <c r="E963" s="16">
        <v>0.34862385321100903</v>
      </c>
      <c r="F963" s="16">
        <v>0.16615384615384601</v>
      </c>
      <c r="G963" s="16">
        <v>0.27522935779816499</v>
      </c>
      <c r="H963" s="16">
        <v>0.153462236017232</v>
      </c>
      <c r="I963" s="16">
        <v>0.33592911974607498</v>
      </c>
      <c r="J963" s="16">
        <v>0.64599991435933402</v>
      </c>
      <c r="K963" s="16">
        <v>0.72344372101839804</v>
      </c>
      <c r="L963" s="16">
        <v>0.79999264485261801</v>
      </c>
      <c r="M963" s="16">
        <v>0.40978593272171299</v>
      </c>
      <c r="N963" s="16">
        <v>0</v>
      </c>
      <c r="O963" s="16">
        <v>0.52631578947368396</v>
      </c>
      <c r="P963" s="17">
        <f t="shared" si="165"/>
        <v>0.26860405442459834</v>
      </c>
      <c r="Q963" s="17">
        <f t="shared" si="166"/>
        <v>0.72314542674345006</v>
      </c>
      <c r="R963" s="17">
        <f t="shared" si="167"/>
        <v>0.31203390739846565</v>
      </c>
      <c r="S963" s="17">
        <f>'02_지표정의'!$C$22*P963+'02_지표정의'!$C$23*Q963+'02_지표정의'!$C$24*R963</f>
        <v>0.48834812050893517</v>
      </c>
      <c r="T963" s="5">
        <f t="shared" si="168"/>
        <v>0</v>
      </c>
      <c r="U963" s="5" t="str">
        <f t="shared" si="169"/>
        <v>보고서</v>
      </c>
      <c r="V963" s="18">
        <f t="shared" si="170"/>
        <v>28</v>
      </c>
      <c r="W963" s="5">
        <f t="shared" si="171"/>
        <v>22</v>
      </c>
      <c r="X963" s="5">
        <f t="shared" si="172"/>
        <v>0</v>
      </c>
      <c r="Y963" s="5">
        <f t="shared" si="173"/>
        <v>26</v>
      </c>
      <c r="Z963" s="19">
        <f t="shared" si="174"/>
        <v>14</v>
      </c>
      <c r="AA963" s="20">
        <f>ABS(S963-SUMPRODUCT(('05B_가정검정'!$A$5:$A$19=B963)*('05B_가정검정'!$B$5:$B$19=C963)*'05B_가정검정'!$E$5:$E$19))</f>
        <v>4.2944301192786472E-2</v>
      </c>
      <c r="AB963" s="20">
        <f t="shared" si="175"/>
        <v>-3.9200911869651134E-2</v>
      </c>
    </row>
    <row r="964" spans="1:28">
      <c r="A964" s="15" t="s">
        <v>187</v>
      </c>
      <c r="B964" s="15" t="s">
        <v>116</v>
      </c>
      <c r="C964" s="15" t="s">
        <v>119</v>
      </c>
      <c r="D964" s="16">
        <v>0.35228848821081798</v>
      </c>
      <c r="E964" s="16">
        <v>0.25089605734767001</v>
      </c>
      <c r="F964" s="16">
        <v>0.12230215827338101</v>
      </c>
      <c r="G964" s="16">
        <v>0.17921146953405001</v>
      </c>
      <c r="H964" s="16">
        <v>0.18474820626447</v>
      </c>
      <c r="I964" s="16">
        <v>0.30299624790895402</v>
      </c>
      <c r="J964" s="16">
        <v>0.61138758029435003</v>
      </c>
      <c r="K964" s="16">
        <v>0.61391586649504704</v>
      </c>
      <c r="L964" s="16">
        <v>0.77158041251887999</v>
      </c>
      <c r="M964" s="16">
        <v>0.51515151515151503</v>
      </c>
      <c r="N964" s="16">
        <v>0.213483146067416</v>
      </c>
      <c r="O964" s="16">
        <v>1</v>
      </c>
      <c r="P964" s="17">
        <f t="shared" si="165"/>
        <v>0.23207377125655718</v>
      </c>
      <c r="Q964" s="17">
        <f t="shared" si="166"/>
        <v>0.66562795310275902</v>
      </c>
      <c r="R964" s="17">
        <f t="shared" si="167"/>
        <v>0.57621155373964372</v>
      </c>
      <c r="S964" s="17">
        <f>'02_지표정의'!$C$22*P964+'02_지표정의'!$C$23*Q964+'02_지표정의'!$C$24*R964</f>
        <v>0.54762137695642832</v>
      </c>
      <c r="T964" s="5">
        <f t="shared" si="168"/>
        <v>0</v>
      </c>
      <c r="U964" s="5" t="str">
        <f t="shared" si="169"/>
        <v>보고서</v>
      </c>
      <c r="V964" s="18">
        <f t="shared" si="170"/>
        <v>193</v>
      </c>
      <c r="W964" s="5">
        <f t="shared" si="171"/>
        <v>0</v>
      </c>
      <c r="X964" s="5">
        <f t="shared" si="172"/>
        <v>58</v>
      </c>
      <c r="Y964" s="5">
        <f t="shared" si="173"/>
        <v>168</v>
      </c>
      <c r="Z964" s="19">
        <f t="shared" si="174"/>
        <v>27</v>
      </c>
      <c r="AA964" s="20">
        <f>ABS(S964-SUMPRODUCT(('05B_가정검정'!$A$5:$A$19=B964)*('05B_가정검정'!$B$5:$B$19=C964)*'05B_가정검정'!$E$5:$E$19))</f>
        <v>5.4021397863542875E-3</v>
      </c>
      <c r="AB964" s="20">
        <f t="shared" si="175"/>
        <v>-8.8311067197517357E-3</v>
      </c>
    </row>
    <row r="965" spans="1:28">
      <c r="A965" s="15" t="s">
        <v>187</v>
      </c>
      <c r="B965" s="15" t="s">
        <v>120</v>
      </c>
      <c r="C965" s="15" t="s">
        <v>117</v>
      </c>
      <c r="D965" s="16">
        <v>0.25703564727954997</v>
      </c>
      <c r="E965" s="16">
        <v>0.38423645320197097</v>
      </c>
      <c r="F965" s="16">
        <v>0.14851485148514901</v>
      </c>
      <c r="G965" s="16">
        <v>0.231527093596059</v>
      </c>
      <c r="H965" s="16">
        <v>0.30508252670205199</v>
      </c>
      <c r="I965" s="16">
        <v>0.223412005649016</v>
      </c>
      <c r="J965" s="16">
        <v>0.68137579427953798</v>
      </c>
      <c r="K965" s="16">
        <v>0.60117875245938701</v>
      </c>
      <c r="L965" s="16">
        <v>0.82624031780918705</v>
      </c>
      <c r="M965" s="16">
        <v>0.64583333333333304</v>
      </c>
      <c r="N965" s="16">
        <v>0.58333333333333304</v>
      </c>
      <c r="O965" s="16">
        <v>1</v>
      </c>
      <c r="P965" s="17">
        <f t="shared" si="165"/>
        <v>0.25830142965229952</v>
      </c>
      <c r="Q965" s="17">
        <f t="shared" si="166"/>
        <v>0.70293162151603727</v>
      </c>
      <c r="R965" s="17">
        <f t="shared" si="167"/>
        <v>0.74305555555555536</v>
      </c>
      <c r="S965" s="17">
        <f>'02_지표정의'!$C$22*P965+'02_지표정의'!$C$23*Q965+'02_지표정의'!$C$24*R965</f>
        <v>0.62804896005712108</v>
      </c>
      <c r="T965" s="5">
        <f t="shared" si="168"/>
        <v>0</v>
      </c>
      <c r="U965" s="5" t="str">
        <f t="shared" si="169"/>
        <v>보고서</v>
      </c>
      <c r="V965" s="18">
        <f t="shared" si="170"/>
        <v>522</v>
      </c>
      <c r="W965" s="5">
        <f t="shared" si="171"/>
        <v>419</v>
      </c>
      <c r="X965" s="5">
        <f t="shared" si="172"/>
        <v>231</v>
      </c>
      <c r="Y965" s="5">
        <f t="shared" si="173"/>
        <v>0</v>
      </c>
      <c r="Z965" s="19">
        <f t="shared" si="174"/>
        <v>33</v>
      </c>
      <c r="AA965" s="20">
        <f>ABS(S965-SUMPRODUCT(('05B_가정검정'!$A$5:$A$19=B965)*('05B_가정검정'!$B$5:$B$19=C965)*'05B_가정검정'!$E$5:$E$19))</f>
        <v>0</v>
      </c>
      <c r="AB965" s="20">
        <f t="shared" si="175"/>
        <v>-3.2537433676360639E-3</v>
      </c>
    </row>
    <row r="966" spans="1:28">
      <c r="A966" s="15" t="s">
        <v>187</v>
      </c>
      <c r="B966" s="15" t="s">
        <v>120</v>
      </c>
      <c r="C966" s="15" t="s">
        <v>118</v>
      </c>
      <c r="D966" s="16">
        <v>0.264984227129338</v>
      </c>
      <c r="E966" s="16">
        <v>0.38559322033898302</v>
      </c>
      <c r="F966" s="16">
        <v>0.14468085106383</v>
      </c>
      <c r="G966" s="16">
        <v>0.22881355932203401</v>
      </c>
      <c r="H966" s="16">
        <v>0.24641205723787299</v>
      </c>
      <c r="I966" s="16">
        <v>0.23900847608006701</v>
      </c>
      <c r="J966" s="16">
        <v>0.67949961085295896</v>
      </c>
      <c r="K966" s="16">
        <v>0.66103561591006099</v>
      </c>
      <c r="L966" s="16">
        <v>0.82180774099867504</v>
      </c>
      <c r="M966" s="16">
        <v>0.43425076452599398</v>
      </c>
      <c r="N966" s="16">
        <v>0.24324324324324301</v>
      </c>
      <c r="O966" s="16">
        <v>0.52631578947368396</v>
      </c>
      <c r="P966" s="17">
        <f t="shared" si="165"/>
        <v>0.25158206519535414</v>
      </c>
      <c r="Q966" s="17">
        <f t="shared" si="166"/>
        <v>0.72078098925389833</v>
      </c>
      <c r="R966" s="17">
        <f t="shared" si="167"/>
        <v>0.40126993241430697</v>
      </c>
      <c r="S966" s="17">
        <f>'02_지표정의'!$C$22*P966+'02_지표정의'!$C$23*Q966+'02_지표정의'!$C$24*R966</f>
        <v>0.5151123345483325</v>
      </c>
      <c r="T966" s="5">
        <f t="shared" si="168"/>
        <v>0</v>
      </c>
      <c r="U966" s="5" t="str">
        <f t="shared" si="169"/>
        <v>보고서</v>
      </c>
      <c r="V966" s="18">
        <f t="shared" si="170"/>
        <v>79</v>
      </c>
      <c r="W966" s="5">
        <f t="shared" si="171"/>
        <v>71</v>
      </c>
      <c r="X966" s="5">
        <f t="shared" si="172"/>
        <v>0</v>
      </c>
      <c r="Y966" s="5">
        <f t="shared" si="173"/>
        <v>72</v>
      </c>
      <c r="Z966" s="19">
        <f t="shared" si="174"/>
        <v>9</v>
      </c>
      <c r="AA966" s="20">
        <f>ABS(S966-SUMPRODUCT(('05B_가정검정'!$A$5:$A$19=B966)*('05B_가정검정'!$B$5:$B$19=C966)*'05B_가정검정'!$E$5:$E$19))</f>
        <v>7.571651403329549E-2</v>
      </c>
      <c r="AB966" s="20">
        <f t="shared" si="175"/>
        <v>-5.9778441413778305E-2</v>
      </c>
    </row>
    <row r="967" spans="1:28">
      <c r="A967" s="15" t="s">
        <v>187</v>
      </c>
      <c r="B967" s="15" t="s">
        <v>120</v>
      </c>
      <c r="C967" s="15" t="s">
        <v>119</v>
      </c>
      <c r="D967" s="16">
        <v>0.28411214953271002</v>
      </c>
      <c r="E967" s="16">
        <v>0.32716927453769601</v>
      </c>
      <c r="F967" s="16">
        <v>0.119828815977176</v>
      </c>
      <c r="G967" s="16">
        <v>0.18492176386913201</v>
      </c>
      <c r="H967" s="16">
        <v>0.26795390090819099</v>
      </c>
      <c r="I967" s="16">
        <v>0.255425810760818</v>
      </c>
      <c r="J967" s="16">
        <v>0.67821781283176297</v>
      </c>
      <c r="K967" s="16">
        <v>0.61136038024960204</v>
      </c>
      <c r="L967" s="16">
        <v>0.79502280527368097</v>
      </c>
      <c r="M967" s="16">
        <v>0.64583333333333304</v>
      </c>
      <c r="N967" s="16">
        <v>0.58333333333333304</v>
      </c>
      <c r="O967" s="16">
        <v>1</v>
      </c>
      <c r="P967" s="17">
        <f t="shared" si="165"/>
        <v>0.23990195259762051</v>
      </c>
      <c r="Q967" s="17">
        <f t="shared" si="166"/>
        <v>0.69486699945168195</v>
      </c>
      <c r="R967" s="17">
        <f t="shared" si="167"/>
        <v>0.74305555555555536</v>
      </c>
      <c r="S967" s="17">
        <f>'02_지표정의'!$C$22*P967+'02_지표정의'!$C$23*Q967+'02_지표정의'!$C$24*R967</f>
        <v>0.62073998471722536</v>
      </c>
      <c r="T967" s="5">
        <f t="shared" si="168"/>
        <v>0</v>
      </c>
      <c r="U967" s="5" t="str">
        <f t="shared" si="169"/>
        <v>보고서</v>
      </c>
      <c r="V967" s="18">
        <f t="shared" si="170"/>
        <v>492</v>
      </c>
      <c r="W967" s="5">
        <f t="shared" si="171"/>
        <v>0</v>
      </c>
      <c r="X967" s="5">
        <f t="shared" si="172"/>
        <v>217</v>
      </c>
      <c r="Y967" s="5">
        <f t="shared" si="173"/>
        <v>371</v>
      </c>
      <c r="Z967" s="19">
        <f t="shared" si="174"/>
        <v>8</v>
      </c>
      <c r="AA967" s="20">
        <f>ABS(S967-SUMPRODUCT(('05B_가정검정'!$A$5:$A$19=B967)*('05B_가정검정'!$B$5:$B$19=C967)*'05B_가정검정'!$E$5:$E$19))</f>
        <v>4.2937331764160924E-2</v>
      </c>
      <c r="AB967" s="20">
        <f t="shared" si="175"/>
        <v>-3.768302279359026E-2</v>
      </c>
    </row>
    <row r="968" spans="1:28">
      <c r="A968" s="15" t="s">
        <v>187</v>
      </c>
      <c r="B968" s="15" t="s">
        <v>121</v>
      </c>
      <c r="C968" s="15" t="s">
        <v>117</v>
      </c>
      <c r="D968" s="16">
        <v>0.28136882129277602</v>
      </c>
      <c r="E968" s="16">
        <v>0.4</v>
      </c>
      <c r="F968" s="16">
        <v>0.13688212927756699</v>
      </c>
      <c r="G968" s="16">
        <v>0.24905660377358499</v>
      </c>
      <c r="H968" s="16">
        <v>0.30853565604210598</v>
      </c>
      <c r="I968" s="16">
        <v>0.20572888398399899</v>
      </c>
      <c r="J968" s="16">
        <v>0.75013368221429699</v>
      </c>
      <c r="K968" s="16">
        <v>0.71457321948352004</v>
      </c>
      <c r="L968" s="16">
        <v>0.86316820024725205</v>
      </c>
      <c r="M968" s="16">
        <v>0.90654205607476601</v>
      </c>
      <c r="N968" s="16">
        <v>0.91666666666666696</v>
      </c>
      <c r="O968" s="16">
        <v>1</v>
      </c>
      <c r="P968" s="17">
        <f t="shared" si="165"/>
        <v>0.2635953490616722</v>
      </c>
      <c r="Q968" s="17">
        <f t="shared" si="166"/>
        <v>0.77595836731502299</v>
      </c>
      <c r="R968" s="17">
        <f t="shared" si="167"/>
        <v>0.94106957424714432</v>
      </c>
      <c r="S968" s="17">
        <f>'02_지표정의'!$C$22*P968+'02_지표정의'!$C$23*Q968+'02_지표정의'!$C$24*R968</f>
        <v>0.73127468609059521</v>
      </c>
      <c r="T968" s="5">
        <f t="shared" si="168"/>
        <v>1</v>
      </c>
      <c r="U968" s="5" t="str">
        <f t="shared" si="169"/>
        <v>보고서</v>
      </c>
      <c r="V968" s="18">
        <f t="shared" si="170"/>
        <v>904</v>
      </c>
      <c r="W968" s="5">
        <f t="shared" si="171"/>
        <v>609</v>
      </c>
      <c r="X968" s="5">
        <f t="shared" si="172"/>
        <v>579</v>
      </c>
      <c r="Y968" s="5">
        <f t="shared" si="173"/>
        <v>0</v>
      </c>
      <c r="Z968" s="19">
        <f t="shared" si="174"/>
        <v>34</v>
      </c>
      <c r="AA968" s="20">
        <f>ABS(S968-SUMPRODUCT(('05B_가정검정'!$A$5:$A$19=B968)*('05B_가정검정'!$B$5:$B$19=C968)*'05B_가정검정'!$E$5:$E$19))</f>
        <v>1.8426147087140521E-3</v>
      </c>
      <c r="AB968" s="20">
        <f t="shared" si="175"/>
        <v>1.3622893017714244E-2</v>
      </c>
    </row>
    <row r="969" spans="1:28">
      <c r="A969" s="15" t="s">
        <v>187</v>
      </c>
      <c r="B969" s="15" t="s">
        <v>121</v>
      </c>
      <c r="C969" s="15" t="s">
        <v>118</v>
      </c>
      <c r="D969" s="16">
        <v>0.25816023738872401</v>
      </c>
      <c r="E969" s="16">
        <v>0.31419939577039302</v>
      </c>
      <c r="F969" s="16">
        <v>0.12765957446808501</v>
      </c>
      <c r="G969" s="16">
        <v>0.22960725075528701</v>
      </c>
      <c r="H969" s="16">
        <v>0.161567402780605</v>
      </c>
      <c r="I969" s="16">
        <v>0.169846212786428</v>
      </c>
      <c r="J969" s="16">
        <v>0.72334231003205895</v>
      </c>
      <c r="K969" s="16">
        <v>0.73275269361093598</v>
      </c>
      <c r="L969" s="16">
        <v>0.87124706696459298</v>
      </c>
      <c r="M969" s="16">
        <v>0.29663608562691102</v>
      </c>
      <c r="N969" s="16">
        <v>0.25</v>
      </c>
      <c r="O969" s="16">
        <v>0.52631578947368396</v>
      </c>
      <c r="P969" s="17">
        <f t="shared" si="165"/>
        <v>0.21017334565825366</v>
      </c>
      <c r="Q969" s="17">
        <f t="shared" si="166"/>
        <v>0.77578069020252938</v>
      </c>
      <c r="R969" s="17">
        <f t="shared" si="167"/>
        <v>0.35765062503353162</v>
      </c>
      <c r="S969" s="17">
        <f>'02_지표정의'!$C$22*P969+'02_지표정의'!$C$23*Q969+'02_지표정의'!$C$24*R969</f>
        <v>0.51631369848452502</v>
      </c>
      <c r="T969" s="5">
        <f t="shared" si="168"/>
        <v>0</v>
      </c>
      <c r="U969" s="5" t="str">
        <f t="shared" si="169"/>
        <v>보고서</v>
      </c>
      <c r="V969" s="18">
        <f t="shared" si="170"/>
        <v>85</v>
      </c>
      <c r="W969" s="5">
        <f t="shared" si="171"/>
        <v>76</v>
      </c>
      <c r="X969" s="5">
        <f t="shared" si="172"/>
        <v>0</v>
      </c>
      <c r="Y969" s="5">
        <f t="shared" si="173"/>
        <v>78</v>
      </c>
      <c r="Z969" s="19">
        <f t="shared" si="174"/>
        <v>5</v>
      </c>
      <c r="AA969" s="20">
        <f>ABS(S969-SUMPRODUCT(('05B_가정검정'!$A$5:$A$19=B969)*('05B_가정검정'!$B$5:$B$19=C969)*'05B_가정검정'!$E$5:$E$19))</f>
        <v>8.2265791682443412E-2</v>
      </c>
      <c r="AB969" s="20">
        <f t="shared" si="175"/>
        <v>-6.3085376042288255E-2</v>
      </c>
    </row>
    <row r="970" spans="1:28">
      <c r="A970" s="15" t="s">
        <v>187</v>
      </c>
      <c r="B970" s="15" t="s">
        <v>121</v>
      </c>
      <c r="C970" s="15" t="s">
        <v>119</v>
      </c>
      <c r="D970" s="16">
        <v>0.29255989911727598</v>
      </c>
      <c r="E970" s="16">
        <v>0.24911032028469801</v>
      </c>
      <c r="F970" s="16">
        <v>8.9285714285714302E-2</v>
      </c>
      <c r="G970" s="16">
        <v>0.16014234875444799</v>
      </c>
      <c r="H970" s="16">
        <v>0.21344993951136601</v>
      </c>
      <c r="I970" s="16">
        <v>0.26018835164994197</v>
      </c>
      <c r="J970" s="16">
        <v>0.712404259132981</v>
      </c>
      <c r="K970" s="16">
        <v>0.72148501684662003</v>
      </c>
      <c r="L970" s="16">
        <v>0.86488418289515501</v>
      </c>
      <c r="M970" s="16">
        <v>0.90654205607476601</v>
      </c>
      <c r="N970" s="16">
        <v>0.91666666666666696</v>
      </c>
      <c r="O970" s="16">
        <v>1</v>
      </c>
      <c r="P970" s="17">
        <f t="shared" si="165"/>
        <v>0.21078942893390737</v>
      </c>
      <c r="Q970" s="17">
        <f t="shared" si="166"/>
        <v>0.76625781962491868</v>
      </c>
      <c r="R970" s="17">
        <f t="shared" si="167"/>
        <v>0.94106957424714432</v>
      </c>
      <c r="S970" s="17">
        <f>'02_지표정의'!$C$22*P970+'02_지표정의'!$C$23*Q970+'02_지표정의'!$C$24*R970</f>
        <v>0.71634825560449533</v>
      </c>
      <c r="T970" s="5">
        <f t="shared" si="168"/>
        <v>0</v>
      </c>
      <c r="U970" s="5" t="str">
        <f t="shared" si="169"/>
        <v>보고서</v>
      </c>
      <c r="V970" s="18">
        <f t="shared" si="170"/>
        <v>864</v>
      </c>
      <c r="W970" s="5">
        <f t="shared" si="171"/>
        <v>0</v>
      </c>
      <c r="X970" s="5">
        <f t="shared" si="172"/>
        <v>539</v>
      </c>
      <c r="Y970" s="5">
        <f t="shared" si="173"/>
        <v>615</v>
      </c>
      <c r="Z970" s="19">
        <f t="shared" si="174"/>
        <v>48</v>
      </c>
      <c r="AA970" s="20">
        <f>ABS(S970-SUMPRODUCT(('05B_가정검정'!$A$5:$A$19=B970)*('05B_가정검정'!$B$5:$B$19=C970)*'05B_가정검정'!$E$5:$E$19))</f>
        <v>2.4028412808641653E-2</v>
      </c>
      <c r="AB970" s="20">
        <f t="shared" si="175"/>
        <v>2.8111280184884291E-2</v>
      </c>
    </row>
    <row r="971" spans="1:28">
      <c r="A971" s="15" t="s">
        <v>187</v>
      </c>
      <c r="B971" s="15" t="s">
        <v>122</v>
      </c>
      <c r="C971" s="15" t="s">
        <v>117</v>
      </c>
      <c r="D971" s="16">
        <v>0.30120481927710901</v>
      </c>
      <c r="E971" s="16">
        <v>0.40384615384615402</v>
      </c>
      <c r="F971" s="16">
        <v>0.103225806451613</v>
      </c>
      <c r="G971" s="16">
        <v>0.256410256410256</v>
      </c>
      <c r="H971" s="16">
        <v>0.34107126150401301</v>
      </c>
      <c r="I971" s="16">
        <v>0.23747893718182</v>
      </c>
      <c r="J971" s="16">
        <v>0.71471376657656305</v>
      </c>
      <c r="K971" s="16">
        <v>0.73281513960169398</v>
      </c>
      <c r="L971" s="16">
        <v>0.848774014141505</v>
      </c>
      <c r="M971" s="16">
        <v>0.447236180904523</v>
      </c>
      <c r="N971" s="16">
        <v>0.35227272727272702</v>
      </c>
      <c r="O971" s="16">
        <v>0.52631578947368396</v>
      </c>
      <c r="P971" s="17">
        <f t="shared" si="165"/>
        <v>0.27387287244516084</v>
      </c>
      <c r="Q971" s="17">
        <f t="shared" si="166"/>
        <v>0.76543430677325397</v>
      </c>
      <c r="R971" s="17">
        <f t="shared" si="167"/>
        <v>0.44194156588364458</v>
      </c>
      <c r="S971" s="17">
        <f>'02_지표정의'!$C$22*P971+'02_지표정의'!$C$23*Q971+'02_지표정의'!$C$24*R971</f>
        <v>0.55389956059627199</v>
      </c>
      <c r="T971" s="5">
        <f t="shared" si="168"/>
        <v>0</v>
      </c>
      <c r="U971" s="5" t="str">
        <f t="shared" si="169"/>
        <v>보고서</v>
      </c>
      <c r="V971" s="18">
        <f t="shared" si="170"/>
        <v>224</v>
      </c>
      <c r="W971" s="5">
        <f t="shared" si="171"/>
        <v>184</v>
      </c>
      <c r="X971" s="5">
        <f t="shared" si="172"/>
        <v>73</v>
      </c>
      <c r="Y971" s="5">
        <f t="shared" si="173"/>
        <v>0</v>
      </c>
      <c r="Z971" s="19">
        <f t="shared" si="174"/>
        <v>6</v>
      </c>
      <c r="AA971" s="20">
        <f>ABS(S971-SUMPRODUCT(('05B_가정검정'!$A$5:$A$19=B971)*('05B_가정검정'!$B$5:$B$19=C971)*'05B_가정검정'!$E$5:$E$19))</f>
        <v>8.5453394112406489E-2</v>
      </c>
      <c r="AB971" s="20">
        <f t="shared" si="175"/>
        <v>-6.8982061593374167E-2</v>
      </c>
    </row>
    <row r="972" spans="1:28">
      <c r="A972" s="15" t="s">
        <v>187</v>
      </c>
      <c r="B972" s="15" t="s">
        <v>122</v>
      </c>
      <c r="C972" s="15" t="s">
        <v>118</v>
      </c>
      <c r="D972" s="16">
        <v>0.37762237762237799</v>
      </c>
      <c r="E972" s="16">
        <v>0.433862433862434</v>
      </c>
      <c r="F972" s="16">
        <v>0.164893617021277</v>
      </c>
      <c r="G972" s="16">
        <v>0.296296296296296</v>
      </c>
      <c r="H972" s="16">
        <v>0.241275838577</v>
      </c>
      <c r="I972" s="16">
        <v>0.40929346625435598</v>
      </c>
      <c r="J972" s="16">
        <v>0.72474654386158199</v>
      </c>
      <c r="K972" s="16">
        <v>0.78156605069052199</v>
      </c>
      <c r="L972" s="16">
        <v>0.88777005756815497</v>
      </c>
      <c r="M972" s="16">
        <v>0.51681957186544303</v>
      </c>
      <c r="N972" s="16">
        <v>0.37162162162162199</v>
      </c>
      <c r="O972" s="16">
        <v>1</v>
      </c>
      <c r="P972" s="17">
        <f t="shared" si="165"/>
        <v>0.3205406716056235</v>
      </c>
      <c r="Q972" s="17">
        <f t="shared" si="166"/>
        <v>0.79802755070675291</v>
      </c>
      <c r="R972" s="17">
        <f t="shared" si="167"/>
        <v>0.62948039782902165</v>
      </c>
      <c r="S972" s="17">
        <f>'02_지표정의'!$C$22*P972+'02_지표정의'!$C$23*Q972+'02_지표정의'!$C$24*R972</f>
        <v>0.64353867137932108</v>
      </c>
      <c r="T972" s="5">
        <f t="shared" si="168"/>
        <v>1</v>
      </c>
      <c r="U972" s="5" t="str">
        <f t="shared" si="169"/>
        <v>보고서</v>
      </c>
      <c r="V972" s="18">
        <f t="shared" si="170"/>
        <v>591</v>
      </c>
      <c r="W972" s="5">
        <f t="shared" si="171"/>
        <v>458</v>
      </c>
      <c r="X972" s="5">
        <f t="shared" si="172"/>
        <v>0</v>
      </c>
      <c r="Y972" s="5">
        <f t="shared" si="173"/>
        <v>442</v>
      </c>
      <c r="Z972" s="19">
        <f t="shared" si="174"/>
        <v>55</v>
      </c>
      <c r="AA972" s="20">
        <f>ABS(S972-SUMPRODUCT(('05B_가정검정'!$A$5:$A$19=B972)*('05B_가정검정'!$B$5:$B$19=C972)*'05B_가정검정'!$E$5:$E$19))</f>
        <v>5.6616735382162831E-2</v>
      </c>
      <c r="AB972" s="20">
        <f t="shared" si="175"/>
        <v>6.231539516163731E-2</v>
      </c>
    </row>
    <row r="973" spans="1:28">
      <c r="A973" s="15" t="s">
        <v>187</v>
      </c>
      <c r="B973" s="15" t="s">
        <v>122</v>
      </c>
      <c r="C973" s="15" t="s">
        <v>119</v>
      </c>
      <c r="D973" s="16">
        <v>0.36450839328537199</v>
      </c>
      <c r="E973" s="16">
        <v>0.29556650246305399</v>
      </c>
      <c r="F973" s="16">
        <v>0.118616144975288</v>
      </c>
      <c r="G973" s="16">
        <v>0.16420361247947499</v>
      </c>
      <c r="H973" s="16">
        <v>0.25010990454323601</v>
      </c>
      <c r="I973" s="16">
        <v>0.29420911004705802</v>
      </c>
      <c r="J973" s="16">
        <v>0.68860570446926495</v>
      </c>
      <c r="K973" s="16">
        <v>0.72617095907768703</v>
      </c>
      <c r="L973" s="16">
        <v>0.86284813052114395</v>
      </c>
      <c r="M973" s="16">
        <v>0.447236180904523</v>
      </c>
      <c r="N973" s="16">
        <v>0.35227272727272702</v>
      </c>
      <c r="O973" s="16">
        <v>0.52631578947368396</v>
      </c>
      <c r="P973" s="17">
        <f t="shared" si="165"/>
        <v>0.24786894463224718</v>
      </c>
      <c r="Q973" s="17">
        <f t="shared" si="166"/>
        <v>0.75920826468936531</v>
      </c>
      <c r="R973" s="17">
        <f t="shared" si="167"/>
        <v>0.44194156588364458</v>
      </c>
      <c r="S973" s="17">
        <f>'02_지표정의'!$C$22*P973+'02_지표정의'!$C$23*Q973+'02_지표정의'!$C$24*R973</f>
        <v>0.54589705609593941</v>
      </c>
      <c r="T973" s="5">
        <f t="shared" si="168"/>
        <v>0</v>
      </c>
      <c r="U973" s="5" t="str">
        <f t="shared" si="169"/>
        <v>보고서</v>
      </c>
      <c r="V973" s="18">
        <f t="shared" si="170"/>
        <v>189</v>
      </c>
      <c r="W973" s="5">
        <f t="shared" si="171"/>
        <v>0</v>
      </c>
      <c r="X973" s="5">
        <f t="shared" si="172"/>
        <v>54</v>
      </c>
      <c r="Y973" s="5">
        <f t="shared" si="173"/>
        <v>166</v>
      </c>
      <c r="Z973" s="19">
        <f t="shared" si="174"/>
        <v>2</v>
      </c>
      <c r="AA973" s="20">
        <f>ABS(S973-SUMPRODUCT(('05B_가정검정'!$A$5:$A$19=B973)*('05B_가정검정'!$B$5:$B$19=C973)*'05B_가정검정'!$E$5:$E$19))</f>
        <v>8.9709131805511988E-2</v>
      </c>
      <c r="AB973" s="20">
        <f t="shared" si="175"/>
        <v>-8.5491810218946584E-2</v>
      </c>
    </row>
    <row r="974" spans="1:28">
      <c r="A974" s="15" t="s">
        <v>187</v>
      </c>
      <c r="B974" s="15" t="s">
        <v>123</v>
      </c>
      <c r="C974" s="15" t="s">
        <v>117</v>
      </c>
      <c r="D974" s="16">
        <v>0.29678848283499498</v>
      </c>
      <c r="E974" s="16">
        <v>0.46067415730337102</v>
      </c>
      <c r="F974" s="16">
        <v>0.17514124293785299</v>
      </c>
      <c r="G974" s="16">
        <v>0.297752808988764</v>
      </c>
      <c r="H974" s="16">
        <v>0.43615102744241901</v>
      </c>
      <c r="I974" s="16">
        <v>0.328625121011213</v>
      </c>
      <c r="J974" s="16">
        <v>0.71828329524893397</v>
      </c>
      <c r="K974" s="16">
        <v>0.671829917949191</v>
      </c>
      <c r="L974" s="16">
        <v>0.87718925307631002</v>
      </c>
      <c r="M974" s="16">
        <v>0.90654205607476601</v>
      </c>
      <c r="N974" s="16">
        <v>0.91666666666666696</v>
      </c>
      <c r="O974" s="16">
        <v>1</v>
      </c>
      <c r="P974" s="17">
        <f t="shared" si="165"/>
        <v>0.33252214008643582</v>
      </c>
      <c r="Q974" s="17">
        <f t="shared" si="166"/>
        <v>0.75576748875814503</v>
      </c>
      <c r="R974" s="17">
        <f t="shared" si="167"/>
        <v>0.94106957424714432</v>
      </c>
      <c r="S974" s="17">
        <f>'02_지표정의'!$C$22*P974+'02_지표정의'!$C$23*Q974+'02_지표정의'!$C$24*R974</f>
        <v>0.73597414894495294</v>
      </c>
      <c r="T974" s="5">
        <f t="shared" si="168"/>
        <v>0</v>
      </c>
      <c r="U974" s="5" t="str">
        <f t="shared" si="169"/>
        <v>보고서</v>
      </c>
      <c r="V974" s="18">
        <f t="shared" si="170"/>
        <v>917</v>
      </c>
      <c r="W974" s="5">
        <f t="shared" si="171"/>
        <v>621</v>
      </c>
      <c r="X974" s="5">
        <f t="shared" si="172"/>
        <v>592</v>
      </c>
      <c r="Y974" s="5">
        <f t="shared" si="173"/>
        <v>0</v>
      </c>
      <c r="Z974" s="19">
        <f t="shared" si="174"/>
        <v>58</v>
      </c>
      <c r="AA974" s="20">
        <f>ABS(S974-SUMPRODUCT(('05B_가정검정'!$A$5:$A$19=B974)*('05B_가정검정'!$B$5:$B$19=C974)*'05B_가정검정'!$E$5:$E$19))</f>
        <v>2.105126616872921E-2</v>
      </c>
      <c r="AB974" s="20">
        <f t="shared" si="175"/>
        <v>2.7988697133709772E-2</v>
      </c>
    </row>
    <row r="975" spans="1:28">
      <c r="A975" s="15" t="s">
        <v>187</v>
      </c>
      <c r="B975" s="15" t="s">
        <v>123</v>
      </c>
      <c r="C975" s="15" t="s">
        <v>118</v>
      </c>
      <c r="D975" s="16">
        <v>0.30456852791878197</v>
      </c>
      <c r="E975" s="16">
        <v>0.36018957345971597</v>
      </c>
      <c r="F975" s="16">
        <v>0.157142857142857</v>
      </c>
      <c r="G975" s="16">
        <v>0.255924170616114</v>
      </c>
      <c r="H975" s="16">
        <v>0.23286421248046299</v>
      </c>
      <c r="I975" s="16">
        <v>0.21674236083156001</v>
      </c>
      <c r="J975" s="16">
        <v>0.67525405297432295</v>
      </c>
      <c r="K975" s="16">
        <v>0.66252753459365399</v>
      </c>
      <c r="L975" s="16">
        <v>0.83770291563172705</v>
      </c>
      <c r="M975" s="16">
        <v>0.29663608562691102</v>
      </c>
      <c r="N975" s="16">
        <v>0.25</v>
      </c>
      <c r="O975" s="16">
        <v>0.52631578947368396</v>
      </c>
      <c r="P975" s="17">
        <f t="shared" si="165"/>
        <v>0.25457195040824865</v>
      </c>
      <c r="Q975" s="17">
        <f t="shared" si="166"/>
        <v>0.72516150106656807</v>
      </c>
      <c r="R975" s="17">
        <f t="shared" si="167"/>
        <v>0.35765062503353162</v>
      </c>
      <c r="S975" s="17">
        <f>'02_지표정의'!$C$22*P975+'02_지표정의'!$C$23*Q975+'02_지표정의'!$C$24*R975</f>
        <v>0.50241478432334141</v>
      </c>
      <c r="T975" s="5">
        <f t="shared" si="168"/>
        <v>0</v>
      </c>
      <c r="U975" s="5" t="str">
        <f t="shared" si="169"/>
        <v>보고서</v>
      </c>
      <c r="V975" s="18">
        <f t="shared" si="170"/>
        <v>48</v>
      </c>
      <c r="W975" s="5">
        <f t="shared" si="171"/>
        <v>42</v>
      </c>
      <c r="X975" s="5">
        <f t="shared" si="172"/>
        <v>0</v>
      </c>
      <c r="Y975" s="5">
        <f t="shared" si="173"/>
        <v>42</v>
      </c>
      <c r="Z975" s="19">
        <f t="shared" si="174"/>
        <v>10</v>
      </c>
      <c r="AA975" s="20">
        <f>ABS(S975-SUMPRODUCT(('05B_가정검정'!$A$5:$A$19=B975)*('05B_가정검정'!$B$5:$B$19=C975)*'05B_가정검정'!$E$5:$E$19))</f>
        <v>7.2884042555628303E-2</v>
      </c>
      <c r="AB975" s="20">
        <f t="shared" si="175"/>
        <v>-5.7456823601149676E-2</v>
      </c>
    </row>
    <row r="976" spans="1:28">
      <c r="A976" s="15" t="s">
        <v>187</v>
      </c>
      <c r="B976" s="15" t="s">
        <v>123</v>
      </c>
      <c r="C976" s="15" t="s">
        <v>119</v>
      </c>
      <c r="D976" s="16">
        <v>0.33737596471885301</v>
      </c>
      <c r="E976" s="16">
        <v>0.39509954058192998</v>
      </c>
      <c r="F976" s="16">
        <v>0.14746543778801899</v>
      </c>
      <c r="G976" s="16">
        <v>0.22052067381317</v>
      </c>
      <c r="H976" s="16">
        <v>0.297467888917407</v>
      </c>
      <c r="I976" s="16">
        <v>0.38446099227333402</v>
      </c>
      <c r="J976" s="16">
        <v>0.65799376811027899</v>
      </c>
      <c r="K976" s="16">
        <v>0.694043363051569</v>
      </c>
      <c r="L976" s="16">
        <v>0.84398779271915303</v>
      </c>
      <c r="M976" s="16">
        <v>0.90654205607476601</v>
      </c>
      <c r="N976" s="16">
        <v>0.91666666666666696</v>
      </c>
      <c r="O976" s="16">
        <v>1</v>
      </c>
      <c r="P976" s="17">
        <f t="shared" si="165"/>
        <v>0.29706508301545215</v>
      </c>
      <c r="Q976" s="17">
        <f t="shared" si="166"/>
        <v>0.73200830796033367</v>
      </c>
      <c r="R976" s="17">
        <f t="shared" si="167"/>
        <v>0.94106957424714432</v>
      </c>
      <c r="S976" s="17">
        <f>'02_지표정의'!$C$22*P976+'02_지표정의'!$C$23*Q976+'02_지표정의'!$C$24*R976</f>
        <v>0.71819110617174109</v>
      </c>
      <c r="T976" s="5">
        <f t="shared" si="168"/>
        <v>1</v>
      </c>
      <c r="U976" s="5" t="str">
        <f t="shared" si="169"/>
        <v>보고서</v>
      </c>
      <c r="V976" s="18">
        <f t="shared" si="170"/>
        <v>871</v>
      </c>
      <c r="W976" s="5">
        <f t="shared" si="171"/>
        <v>0</v>
      </c>
      <c r="X976" s="5">
        <f t="shared" si="172"/>
        <v>546</v>
      </c>
      <c r="Y976" s="5">
        <f t="shared" si="173"/>
        <v>617</v>
      </c>
      <c r="Z976" s="19">
        <f t="shared" si="174"/>
        <v>50</v>
      </c>
      <c r="AA976" s="20">
        <f>ABS(S976-SUMPRODUCT(('05B_가정검정'!$A$5:$A$19=B976)*('05B_가정검정'!$B$5:$B$19=C976)*'05B_가정검정'!$E$5:$E$19))</f>
        <v>3.2561308847513737E-2</v>
      </c>
      <c r="AB976" s="20">
        <f t="shared" si="175"/>
        <v>3.577237312673931E-2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Normal="100" workbookViewId="0"/>
  </sheetViews>
  <sheetFormatPr defaultColWidth="8.6640625" defaultRowHeight="14.4"/>
  <cols>
    <col min="1" max="1" width="32" customWidth="1"/>
    <col min="2" max="2" width="10" customWidth="1"/>
    <col min="3" max="3" width="90" customWidth="1"/>
    <col min="4" max="4" width="8" customWidth="1"/>
  </cols>
  <sheetData>
    <row r="1" spans="1:5" ht="17.399999999999999">
      <c r="A1" s="21" t="s">
        <v>188</v>
      </c>
    </row>
    <row r="2" spans="1:5">
      <c r="A2" s="11" t="s">
        <v>189</v>
      </c>
    </row>
    <row r="4" spans="1:5" ht="26.4">
      <c r="A4" s="14" t="s">
        <v>190</v>
      </c>
      <c r="B4" s="10" t="s">
        <v>191</v>
      </c>
      <c r="C4" s="10" t="s">
        <v>192</v>
      </c>
      <c r="D4" s="10" t="s">
        <v>193</v>
      </c>
      <c r="E4" s="10" t="s">
        <v>194</v>
      </c>
    </row>
    <row r="5" spans="1:5" ht="145.19999999999999">
      <c r="A5" s="5">
        <v>1</v>
      </c>
      <c r="B5" s="5" t="s">
        <v>90</v>
      </c>
      <c r="C5" s="7" t="s">
        <v>195</v>
      </c>
      <c r="D5" s="22" t="s">
        <v>196</v>
      </c>
      <c r="E5" s="5" t="s">
        <v>197</v>
      </c>
    </row>
    <row r="6" spans="1:5" ht="79.2">
      <c r="A6" s="5">
        <v>2</v>
      </c>
      <c r="B6" s="5" t="s">
        <v>91</v>
      </c>
      <c r="C6" s="7" t="s">
        <v>195</v>
      </c>
      <c r="D6" s="23" t="s">
        <v>198</v>
      </c>
      <c r="E6" s="5" t="s">
        <v>197</v>
      </c>
    </row>
    <row r="7" spans="1:5" ht="52.8">
      <c r="A7" s="5">
        <v>3</v>
      </c>
      <c r="B7" s="5" t="s">
        <v>92</v>
      </c>
      <c r="C7" s="7" t="s">
        <v>195</v>
      </c>
      <c r="D7" s="23" t="s">
        <v>199</v>
      </c>
      <c r="E7" s="5" t="s">
        <v>197</v>
      </c>
    </row>
    <row r="8" spans="1:5" ht="92.4">
      <c r="A8" s="5">
        <v>4</v>
      </c>
      <c r="B8" s="5" t="s">
        <v>93</v>
      </c>
      <c r="C8" s="7" t="s">
        <v>195</v>
      </c>
      <c r="D8" s="23" t="s">
        <v>200</v>
      </c>
      <c r="E8" s="5" t="s">
        <v>197</v>
      </c>
    </row>
    <row r="9" spans="1:5" ht="92.4">
      <c r="A9" s="5">
        <v>5</v>
      </c>
      <c r="B9" s="5" t="s">
        <v>94</v>
      </c>
      <c r="C9" s="7" t="s">
        <v>195</v>
      </c>
      <c r="D9" s="23" t="s">
        <v>201</v>
      </c>
      <c r="E9" s="5" t="s">
        <v>197</v>
      </c>
    </row>
    <row r="10" spans="1:5" ht="52.8">
      <c r="A10" s="5">
        <v>6</v>
      </c>
      <c r="B10" s="5" t="s">
        <v>95</v>
      </c>
      <c r="C10" s="7" t="s">
        <v>195</v>
      </c>
      <c r="D10" s="23" t="s">
        <v>202</v>
      </c>
      <c r="E10" s="5" t="s">
        <v>197</v>
      </c>
    </row>
    <row r="11" spans="1:5" ht="79.2">
      <c r="A11" s="5">
        <v>7</v>
      </c>
      <c r="B11" s="5" t="s">
        <v>96</v>
      </c>
      <c r="C11" s="7" t="s">
        <v>203</v>
      </c>
      <c r="D11" s="23" t="s">
        <v>204</v>
      </c>
      <c r="E11" s="5" t="s">
        <v>197</v>
      </c>
    </row>
    <row r="12" spans="1:5" ht="118.8">
      <c r="A12" s="5">
        <v>8</v>
      </c>
      <c r="B12" s="5" t="s">
        <v>97</v>
      </c>
      <c r="C12" s="7" t="s">
        <v>203</v>
      </c>
      <c r="D12" s="23" t="s">
        <v>205</v>
      </c>
      <c r="E12" s="5" t="s">
        <v>197</v>
      </c>
    </row>
    <row r="13" spans="1:5" ht="66">
      <c r="A13" s="5">
        <v>9</v>
      </c>
      <c r="B13" s="5" t="s">
        <v>98</v>
      </c>
      <c r="C13" s="7" t="s">
        <v>203</v>
      </c>
      <c r="D13" s="23" t="s">
        <v>206</v>
      </c>
      <c r="E13" s="5" t="s">
        <v>197</v>
      </c>
    </row>
    <row r="14" spans="1:5" ht="198">
      <c r="A14" s="5">
        <v>10</v>
      </c>
      <c r="B14" s="5" t="s">
        <v>99</v>
      </c>
      <c r="C14" s="7" t="s">
        <v>207</v>
      </c>
      <c r="D14" s="23" t="s">
        <v>208</v>
      </c>
      <c r="E14" s="5" t="s">
        <v>197</v>
      </c>
    </row>
    <row r="15" spans="1:5" ht="290.39999999999998">
      <c r="A15" s="5">
        <v>11</v>
      </c>
      <c r="B15" s="5" t="s">
        <v>100</v>
      </c>
      <c r="C15" s="7" t="s">
        <v>207</v>
      </c>
      <c r="D15" s="23" t="s">
        <v>209</v>
      </c>
      <c r="E15" s="5" t="s">
        <v>197</v>
      </c>
    </row>
    <row r="16" spans="1:5" ht="198">
      <c r="A16" s="5">
        <v>12</v>
      </c>
      <c r="B16" s="5" t="s">
        <v>101</v>
      </c>
      <c r="C16" s="7" t="s">
        <v>207</v>
      </c>
      <c r="D16" s="23" t="s">
        <v>210</v>
      </c>
      <c r="E16" s="5" t="s">
        <v>197</v>
      </c>
    </row>
    <row r="19" spans="1:3">
      <c r="A19" s="3" t="s">
        <v>211</v>
      </c>
    </row>
    <row r="20" spans="1:3">
      <c r="A20" s="2" t="s">
        <v>212</v>
      </c>
    </row>
    <row r="21" spans="1:3">
      <c r="A21" s="10" t="s">
        <v>192</v>
      </c>
      <c r="B21" s="10" t="s">
        <v>213</v>
      </c>
      <c r="C21" s="10" t="s">
        <v>214</v>
      </c>
    </row>
    <row r="22" spans="1:3">
      <c r="A22" s="6" t="s">
        <v>215</v>
      </c>
      <c r="B22" s="5">
        <v>6</v>
      </c>
      <c r="C22" s="24">
        <v>0.2</v>
      </c>
    </row>
    <row r="23" spans="1:3">
      <c r="A23" s="6" t="s">
        <v>216</v>
      </c>
      <c r="B23" s="5">
        <v>3</v>
      </c>
      <c r="C23" s="24">
        <v>0.45</v>
      </c>
    </row>
    <row r="24" spans="1:3">
      <c r="A24" s="6" t="s">
        <v>217</v>
      </c>
      <c r="B24" s="5">
        <v>3</v>
      </c>
      <c r="C24" s="24">
        <v>0.35</v>
      </c>
    </row>
    <row r="25" spans="1:3">
      <c r="A25" s="4" t="s">
        <v>218</v>
      </c>
      <c r="C25" s="25">
        <f>SUM(C22:C24)</f>
        <v>1</v>
      </c>
    </row>
    <row r="27" spans="1:3">
      <c r="A27" s="26" t="s">
        <v>219</v>
      </c>
    </row>
    <row r="28" spans="1:3">
      <c r="A28" s="11" t="s">
        <v>220</v>
      </c>
    </row>
    <row r="29" spans="1:3">
      <c r="A29" s="11" t="s">
        <v>221</v>
      </c>
    </row>
    <row r="30" spans="1:3">
      <c r="A30" s="2" t="s">
        <v>222</v>
      </c>
    </row>
    <row r="32" spans="1:3">
      <c r="A32" s="3" t="s">
        <v>223</v>
      </c>
    </row>
    <row r="33" spans="1:1">
      <c r="A33" s="2" t="s">
        <v>224</v>
      </c>
    </row>
    <row r="34" spans="1:1">
      <c r="A34" s="11" t="s">
        <v>225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zoomScaleNormal="100" workbookViewId="0"/>
  </sheetViews>
  <sheetFormatPr defaultColWidth="8.6640625" defaultRowHeight="14.4"/>
  <cols>
    <col min="1" max="1" width="22" customWidth="1"/>
    <col min="2" max="4" width="9" customWidth="1"/>
    <col min="5" max="5" width="13" customWidth="1"/>
    <col min="6" max="6" width="15" customWidth="1"/>
    <col min="7" max="10" width="12" customWidth="1"/>
    <col min="11" max="11" width="24" customWidth="1"/>
  </cols>
  <sheetData>
    <row r="1" spans="1:11" ht="17.399999999999999">
      <c r="A1" s="21" t="s">
        <v>226</v>
      </c>
    </row>
    <row r="2" spans="1:11">
      <c r="A2" s="2" t="s">
        <v>227</v>
      </c>
    </row>
    <row r="4" spans="1:11" ht="26.4">
      <c r="A4" s="10" t="s">
        <v>228</v>
      </c>
      <c r="B4" s="14" t="s">
        <v>229</v>
      </c>
      <c r="C4" s="14" t="s">
        <v>230</v>
      </c>
      <c r="D4" s="14" t="s">
        <v>231</v>
      </c>
      <c r="E4" s="14" t="s">
        <v>232</v>
      </c>
      <c r="F4" s="14" t="s">
        <v>233</v>
      </c>
      <c r="G4" s="14" t="s">
        <v>234</v>
      </c>
      <c r="H4" s="14" t="s">
        <v>235</v>
      </c>
      <c r="I4" s="14" t="s">
        <v>236</v>
      </c>
      <c r="J4" s="14" t="s">
        <v>237</v>
      </c>
      <c r="K4" s="14" t="s">
        <v>238</v>
      </c>
    </row>
    <row r="5" spans="1:11">
      <c r="A5" s="6" t="s">
        <v>239</v>
      </c>
      <c r="B5" s="27">
        <v>0.2</v>
      </c>
      <c r="C5" s="27">
        <v>0.45</v>
      </c>
      <c r="D5" s="27">
        <v>0.35</v>
      </c>
      <c r="E5" s="28">
        <f>AVERAGEIFS('03B_시나리오점수'!$E$5:$E$979,'01_원자료'!$C$2:$C$976,"gemma")</f>
        <v>0.64647454718222985</v>
      </c>
      <c r="F5" s="28">
        <f>AVERAGEIFS('03B_시나리오점수'!$E$5:$E$979,'01_원자료'!$C$2:$C$976,"ministral")</f>
        <v>0.56458675340193687</v>
      </c>
      <c r="G5" s="28">
        <f>AVERAGEIFS('03B_시나리오점수'!$E$5:$E$979,'01_원자료'!$C$2:$C$976,"qwen")</f>
        <v>0.64338401319329941</v>
      </c>
      <c r="H5" s="5" t="str">
        <f>INDEX({"Gemma","Ministral","Qwen"},MATCH(LARGE(E5:G5,1),E5:G5,0))</f>
        <v>Gemma</v>
      </c>
      <c r="I5" s="5" t="str">
        <f>INDEX({"Gemma","Ministral","Qwen"},MATCH(LARGE(E5:G5,2),E5:G5,0))</f>
        <v>Qwen</v>
      </c>
      <c r="J5" s="5" t="str">
        <f>INDEX({"Gemma","Ministral","Qwen"},MATCH(LARGE(E5:G5,3),E5:G5,0))</f>
        <v>Ministral</v>
      </c>
      <c r="K5" s="29">
        <f>CORREL('03B_시나리오점수'!$K$5:$K$979,'03B_시나리오점수'!$K$5:$K$979)</f>
        <v>1</v>
      </c>
    </row>
    <row r="6" spans="1:11">
      <c r="A6" s="6" t="s">
        <v>240</v>
      </c>
      <c r="B6" s="27">
        <v>0.4</v>
      </c>
      <c r="C6" s="27">
        <v>0.3</v>
      </c>
      <c r="D6" s="27">
        <v>0.3</v>
      </c>
      <c r="E6" s="28">
        <f>AVERAGEIFS('03B_시나리오점수'!$F$5:$F$979,'01_원자료'!$C$2:$C$976,"gemma")</f>
        <v>0.54608746569234501</v>
      </c>
      <c r="F6" s="28">
        <f>AVERAGEIFS('03B_시나리오점수'!$F$5:$F$979,'01_원자료'!$C$2:$C$976,"ministral")</f>
        <v>0.47516188853880126</v>
      </c>
      <c r="G6" s="28">
        <f>AVERAGEIFS('03B_시나리오점수'!$F$5:$F$979,'01_원자료'!$C$2:$C$976,"qwen")</f>
        <v>0.55823780349821184</v>
      </c>
      <c r="H6" s="5" t="str">
        <f>INDEX({"Gemma","Ministral","Qwen"},MATCH(LARGE(E6:G6,1),E6:G6,0))</f>
        <v>Qwen</v>
      </c>
      <c r="I6" s="5" t="str">
        <f>INDEX({"Gemma","Ministral","Qwen"},MATCH(LARGE(E6:G6,2),E6:G6,0))</f>
        <v>Gemma</v>
      </c>
      <c r="J6" s="5" t="str">
        <f>INDEX({"Gemma","Ministral","Qwen"},MATCH(LARGE(E6:G6,3),E6:G6,0))</f>
        <v>Ministral</v>
      </c>
      <c r="K6" s="29">
        <f>CORREL('03B_시나리오점수'!$K$5:$K$979,'03B_시나리오점수'!$L$5:$L$979)</f>
        <v>0.98658158786714334</v>
      </c>
    </row>
    <row r="7" spans="1:11">
      <c r="A7" s="6" t="s">
        <v>241</v>
      </c>
      <c r="B7" s="27">
        <v>0.2</v>
      </c>
      <c r="C7" s="27">
        <v>0.5</v>
      </c>
      <c r="D7" s="27">
        <v>0.3</v>
      </c>
      <c r="E7" s="28">
        <f>AVERAGEIFS('03B_시나리오점수'!$G$5:$G$979,'01_원자료'!$C$2:$C$976,"gemma")</f>
        <v>0.64563180242910068</v>
      </c>
      <c r="F7" s="28">
        <f>AVERAGEIFS('03B_시나리오점수'!$G$5:$G$979,'01_원자료'!$C$2:$C$976,"ministral")</f>
        <v>0.57683164113124452</v>
      </c>
      <c r="G7" s="28">
        <f>AVERAGEIFS('03B_시나리오점수'!$G$5:$G$979,'01_원자료'!$C$2:$C$976,"qwen")</f>
        <v>0.64610852345513714</v>
      </c>
      <c r="H7" s="5" t="str">
        <f>INDEX({"Gemma","Ministral","Qwen"},MATCH(LARGE(E7:G7,1),E7:G7,0))</f>
        <v>Qwen</v>
      </c>
      <c r="I7" s="5" t="str">
        <f>INDEX({"Gemma","Ministral","Qwen"},MATCH(LARGE(E7:G7,2),E7:G7,0))</f>
        <v>Gemma</v>
      </c>
      <c r="J7" s="5" t="str">
        <f>INDEX({"Gemma","Ministral","Qwen"},MATCH(LARGE(E7:G7,3),E7:G7,0))</f>
        <v>Ministral</v>
      </c>
      <c r="K7" s="29">
        <f>CORREL('03B_시나리오점수'!$K$5:$K$979,'03B_시나리오점수'!$M$5:$M$979)</f>
        <v>0.99818712761302042</v>
      </c>
    </row>
    <row r="8" spans="1:11">
      <c r="A8" s="6" t="s">
        <v>242</v>
      </c>
      <c r="B8" s="27">
        <v>0.2</v>
      </c>
      <c r="C8" s="27">
        <v>0.2</v>
      </c>
      <c r="D8" s="27">
        <v>0.6</v>
      </c>
      <c r="E8" s="28">
        <f>AVERAGEIFS('03B_시나리오점수'!$H$5:$H$979,'01_원자료'!$C$2:$C$976,"gemma")</f>
        <v>0.65068827094787729</v>
      </c>
      <c r="F8" s="28">
        <f>AVERAGEIFS('03B_시나리오점수'!$H$5:$H$979,'01_원자료'!$C$2:$C$976,"ministral")</f>
        <v>0.50336231475539817</v>
      </c>
      <c r="G8" s="28">
        <f>AVERAGEIFS('03B_시나리오점수'!$H$5:$H$979,'01_원자료'!$C$2:$C$976,"qwen")</f>
        <v>0.62976146188410953</v>
      </c>
      <c r="H8" s="5" t="str">
        <f>INDEX({"Gemma","Ministral","Qwen"},MATCH(LARGE(E8:G8,1),E8:G8,0))</f>
        <v>Gemma</v>
      </c>
      <c r="I8" s="5" t="str">
        <f>INDEX({"Gemma","Ministral","Qwen"},MATCH(LARGE(E8:G8,2),E8:G8,0))</f>
        <v>Qwen</v>
      </c>
      <c r="J8" s="5" t="str">
        <f>INDEX({"Gemma","Ministral","Qwen"},MATCH(LARGE(E8:G8,3),E8:G8,0))</f>
        <v>Ministral</v>
      </c>
      <c r="K8" s="29">
        <f>CORREL('03B_시나리오점수'!$K$5:$K$979,'03B_시나리오점수'!$N$5:$N$979)</f>
        <v>0.98722101240059967</v>
      </c>
    </row>
    <row r="9" spans="1:11">
      <c r="A9" s="6" t="s">
        <v>243</v>
      </c>
      <c r="B9" s="27">
        <v>0.33333333333333298</v>
      </c>
      <c r="C9" s="27">
        <v>0.33333333333333298</v>
      </c>
      <c r="D9" s="27">
        <v>0.33333333333333298</v>
      </c>
      <c r="E9" s="28">
        <f>AVERAGEIFS('03B_시나리오점수'!$I$5:$I$979,'01_원자료'!$C$2:$C$976,"gemma")</f>
        <v>0.57983074110668309</v>
      </c>
      <c r="F9" s="28">
        <f>AVERAGEIFS('03B_시나리오점수'!$I$5:$I$979,'01_원자료'!$C$2:$C$976,"ministral")</f>
        <v>0.50088854758340984</v>
      </c>
      <c r="G9" s="28">
        <f>AVERAGEIFS('03B_시나리오점수'!$I$5:$I$979,'01_원자료'!$C$2:$C$976,"qwen")</f>
        <v>0.58571170330929445</v>
      </c>
      <c r="H9" s="5" t="str">
        <f>INDEX({"Gemma","Ministral","Qwen"},MATCH(LARGE(E9:G9,1),E9:G9,0))</f>
        <v>Qwen</v>
      </c>
      <c r="I9" s="5" t="str">
        <f>INDEX({"Gemma","Ministral","Qwen"},MATCH(LARGE(E9:G9,2),E9:G9,0))</f>
        <v>Gemma</v>
      </c>
      <c r="J9" s="5" t="str">
        <f>INDEX({"Gemma","Ministral","Qwen"},MATCH(LARGE(E9:G9,3),E9:G9,0))</f>
        <v>Ministral</v>
      </c>
      <c r="K9" s="29">
        <f>CORREL('03B_시나리오점수'!$K$5:$K$979,'03B_시나리오점수'!$O$5:$O$979)</f>
        <v>0.99476358848341873</v>
      </c>
    </row>
    <row r="10" spans="1:11">
      <c r="A10" s="6" t="s">
        <v>244</v>
      </c>
      <c r="B10" s="27">
        <v>0</v>
      </c>
      <c r="C10" s="27">
        <v>0.5</v>
      </c>
      <c r="D10" s="27">
        <v>0.5</v>
      </c>
      <c r="E10" s="28">
        <f>AVERAGEIFS('03B_시나리오점수'!$J$5:$J$979,'01_원자료'!$C$2:$C$976,"gemma")</f>
        <v>0.74854711817837249</v>
      </c>
      <c r="F10" s="28">
        <f>AVERAGEIFS('03B_시나리오점수'!$J$5:$J$979,'01_원자료'!$C$2:$C$976,"ministral")</f>
        <v>0.6295218428064574</v>
      </c>
      <c r="G10" s="28">
        <f>AVERAGEIFS('03B_시나리오점수'!$J$5:$J$979,'01_원자료'!$C$2:$C$976,"qwen")</f>
        <v>0.72308120236471052</v>
      </c>
      <c r="H10" s="5" t="str">
        <f>INDEX({"Gemma","Ministral","Qwen"},MATCH(LARGE(E10:G10,1),E10:G10,0))</f>
        <v>Gemma</v>
      </c>
      <c r="I10" s="5" t="str">
        <f>INDEX({"Gemma","Ministral","Qwen"},MATCH(LARGE(E10:G10,2),E10:G10,0))</f>
        <v>Qwen</v>
      </c>
      <c r="J10" s="5" t="str">
        <f>INDEX({"Gemma","Ministral","Qwen"},MATCH(LARGE(E10:G10,3),E10:G10,0))</f>
        <v>Ministral</v>
      </c>
      <c r="K10" s="29">
        <f>CORREL('03B_시나리오점수'!$K$5:$K$979,'03B_시나리오점수'!$P$5:$P$979)</f>
        <v>0.98969631607158115</v>
      </c>
    </row>
    <row r="12" spans="1:11">
      <c r="A12" s="6" t="s">
        <v>245</v>
      </c>
      <c r="K12" s="30" t="str">
        <f>TEXT(MIN(K5:K10),"0.000")&amp;" ~ "&amp;TEXT(MAX(K5:K10),"0.000")</f>
        <v>0.987 ~ 1.000</v>
      </c>
    </row>
    <row r="14" spans="1:11">
      <c r="A14" s="2" t="s">
        <v>246</v>
      </c>
    </row>
    <row r="15" spans="1:11">
      <c r="A15" s="2" t="s">
        <v>247</v>
      </c>
    </row>
    <row r="16" spans="1:11">
      <c r="A16" s="11" t="s">
        <v>248</v>
      </c>
    </row>
    <row r="17" spans="1:1">
      <c r="A17" s="11" t="s">
        <v>249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7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4"/>
  <cols>
    <col min="1" max="1" width="24" customWidth="1"/>
    <col min="2" max="2" width="16" customWidth="1"/>
    <col min="3" max="3" width="17" customWidth="1"/>
    <col min="4" max="4" width="2" customWidth="1"/>
    <col min="5" max="16" width="15" customWidth="1"/>
  </cols>
  <sheetData>
    <row r="1" spans="1:16" ht="17.399999999999999">
      <c r="A1" s="21" t="s">
        <v>250</v>
      </c>
    </row>
    <row r="2" spans="1:16">
      <c r="A2" s="11" t="s">
        <v>251</v>
      </c>
    </row>
    <row r="4" spans="1:16" ht="39.6">
      <c r="A4" s="14" t="s">
        <v>87</v>
      </c>
      <c r="B4" s="14" t="s">
        <v>88</v>
      </c>
      <c r="C4" s="14" t="s">
        <v>89</v>
      </c>
      <c r="D4" s="10"/>
      <c r="E4" s="10" t="s">
        <v>252</v>
      </c>
      <c r="F4" s="10" t="s">
        <v>253</v>
      </c>
      <c r="G4" s="10" t="s">
        <v>254</v>
      </c>
      <c r="H4" s="10" t="s">
        <v>255</v>
      </c>
      <c r="I4" s="10" t="s">
        <v>256</v>
      </c>
      <c r="J4" s="10" t="s">
        <v>257</v>
      </c>
      <c r="K4" s="10" t="s">
        <v>258</v>
      </c>
      <c r="L4" s="10" t="s">
        <v>259</v>
      </c>
      <c r="M4" s="10" t="s">
        <v>260</v>
      </c>
      <c r="N4" s="10" t="s">
        <v>261</v>
      </c>
      <c r="O4" s="10" t="s">
        <v>262</v>
      </c>
      <c r="P4" s="10" t="s">
        <v>263</v>
      </c>
    </row>
    <row r="5" spans="1:16">
      <c r="A5" s="2" t="str">
        <f>'01_원자료'!A2</f>
        <v>PAT-01</v>
      </c>
      <c r="B5" s="2" t="str">
        <f>'01_원자료'!B2</f>
        <v>chatgpt</v>
      </c>
      <c r="C5" s="2" t="str">
        <f>'01_원자료'!C2</f>
        <v>gemma</v>
      </c>
      <c r="E5" s="17">
        <f>'01_원자료'!P2*'03_가중치민감도'!$B$5+'01_원자료'!Q2*'03_가중치민감도'!$C$5+'01_원자료'!R2*'03_가중치민감도'!$D$5</f>
        <v>0.52338109414491307</v>
      </c>
      <c r="F5" s="17">
        <f>'01_원자료'!P2*'03_가중치민감도'!$B$6+'01_원자료'!Q2*'03_가중치민감도'!$C$6+'01_원자료'!R2*'03_가중치민감도'!$D$6</f>
        <v>0.44326375312231348</v>
      </c>
      <c r="G5" s="17">
        <f>'01_원자료'!P2*'03_가중치민감도'!$B$7+'01_원자료'!Q2*'03_가중치민감도'!$C$7+'01_원자료'!R2*'03_가중치민감도'!$D$7</f>
        <v>0.5287118041980462</v>
      </c>
      <c r="H5" s="17">
        <f>'01_원자료'!P2*'03_가중치민감도'!$B$8+'01_원자료'!Q2*'03_가중치민감도'!$C$8+'01_원자료'!R2*'03_가중치민감도'!$D$8</f>
        <v>0.49672754387924728</v>
      </c>
      <c r="I5" s="17">
        <f>'01_원자료'!P2*'03_가중치민감도'!$B$9+'01_원자료'!Q2*'03_가중치민감도'!$C$9+'01_원자료'!R2*'03_가중치민감도'!$D$9</f>
        <v>0.46819263011213508</v>
      </c>
      <c r="J5" s="17">
        <f>'01_원자료'!P2*'03_가중치민감도'!$B$10+'01_원자료'!Q2*'03_가중치민감도'!$C$10+'01_원자료'!R2*'03_가중치민감도'!$D$10</f>
        <v>0.59283701506124631</v>
      </c>
      <c r="K5" s="31">
        <f t="shared" ref="K5:K68" si="0">COUNTIF($E$5:$E$979,"&lt;"&amp;E5)+(COUNTIF($E$5:$E$979,"="&amp;E5)+1)/2</f>
        <v>113</v>
      </c>
      <c r="L5" s="31">
        <f t="shared" ref="L5:L68" si="1">COUNTIF($F$5:$F$979,"&lt;"&amp;F5)+(COUNTIF($F$5:$F$979,"="&amp;F5)+1)/2</f>
        <v>109</v>
      </c>
      <c r="M5" s="31">
        <f t="shared" ref="M5:M68" si="2">COUNTIF($G$5:$G$979,"&lt;"&amp;G5)+(COUNTIF($G$5:$G$979,"="&amp;G5)+1)/2</f>
        <v>67</v>
      </c>
      <c r="N5" s="31">
        <f t="shared" ref="N5:N68" si="3">COUNTIF($H$5:$H$979,"&lt;"&amp;H5)+(COUNTIF($H$5:$H$979,"="&amp;H5)+1)/2</f>
        <v>219</v>
      </c>
      <c r="O5" s="31">
        <f t="shared" ref="O5:O68" si="4">COUNTIF($I$5:$I$979,"&lt;"&amp;I5)+(COUNTIF($I$5:$I$979,"="&amp;I5)+1)/2</f>
        <v>123</v>
      </c>
      <c r="P5" s="31">
        <f t="shared" ref="P5:P68" si="5">COUNTIF($J$5:$J$979,"&lt;"&amp;J5)+(COUNTIF($J$5:$J$979,"="&amp;J5)+1)/2</f>
        <v>164</v>
      </c>
    </row>
    <row r="6" spans="1:16">
      <c r="A6" s="2" t="str">
        <f>'01_원자료'!A3</f>
        <v>PAT-01</v>
      </c>
      <c r="B6" s="2" t="str">
        <f>'01_원자료'!B3</f>
        <v>chatgpt</v>
      </c>
      <c r="C6" s="2" t="str">
        <f>'01_원자료'!C3</f>
        <v>ministral</v>
      </c>
      <c r="E6" s="17">
        <f>'01_원자료'!P3*'03_가중치민감도'!$B$5+'01_원자료'!Q3*'03_가중치민감도'!$C$5+'01_원자료'!R3*'03_가중치민감도'!$D$5</f>
        <v>0.53773047050920253</v>
      </c>
      <c r="F6" s="17">
        <f>'01_원자료'!P3*'03_가중치민감도'!$B$6+'01_원자료'!Q3*'03_가중치민감도'!$C$6+'01_원자료'!R3*'03_가중치민감도'!$D$6</f>
        <v>0.45705685870874341</v>
      </c>
      <c r="G6" s="17">
        <f>'01_원자료'!P3*'03_가중치민감도'!$B$7+'01_원자료'!Q3*'03_가중치민감도'!$C$7+'01_원자료'!R3*'03_가중치민감도'!$D$7</f>
        <v>0.54834419182473293</v>
      </c>
      <c r="H6" s="17">
        <f>'01_원자료'!P3*'03_가중치민감도'!$B$8+'01_원자료'!Q3*'03_가중치민감도'!$C$8+'01_원자료'!R3*'03_가중치민감도'!$D$8</f>
        <v>0.48466186393155081</v>
      </c>
      <c r="I6" s="17">
        <f>'01_원자료'!P3*'03_가중치민감도'!$B$9+'01_원자료'!Q3*'03_가중치민감도'!$C$9+'01_원자료'!R3*'03_가중치민감도'!$D$9</f>
        <v>0.48041015553705246</v>
      </c>
      <c r="J6" s="17">
        <f>'01_원자료'!P3*'03_가중치민감도'!$B$10+'01_원자료'!Q3*'03_가중치민감도'!$C$10+'01_원자료'!R3*'03_가중치민감도'!$D$10</f>
        <v>0.59717663967860102</v>
      </c>
      <c r="K6" s="31">
        <f t="shared" si="0"/>
        <v>161</v>
      </c>
      <c r="L6" s="31">
        <f t="shared" si="1"/>
        <v>166</v>
      </c>
      <c r="M6" s="31">
        <f t="shared" si="2"/>
        <v>147</v>
      </c>
      <c r="N6" s="31">
        <f t="shared" si="3"/>
        <v>187</v>
      </c>
      <c r="O6" s="31">
        <f t="shared" si="4"/>
        <v>167</v>
      </c>
      <c r="P6" s="31">
        <f t="shared" si="5"/>
        <v>176</v>
      </c>
    </row>
    <row r="7" spans="1:16">
      <c r="A7" s="2" t="str">
        <f>'01_원자료'!A4</f>
        <v>PAT-01</v>
      </c>
      <c r="B7" s="2" t="str">
        <f>'01_원자료'!B4</f>
        <v>chatgpt</v>
      </c>
      <c r="C7" s="2" t="str">
        <f>'01_원자료'!C4</f>
        <v>qwen</v>
      </c>
      <c r="E7" s="17">
        <f>'01_원자료'!P4*'03_가중치민감도'!$B$5+'01_원자료'!Q4*'03_가중치민감도'!$C$5+'01_원자료'!R4*'03_가중치민감도'!$D$5</f>
        <v>0.50723801814000025</v>
      </c>
      <c r="F7" s="17">
        <f>'01_원자료'!P4*'03_가중치민감도'!$B$6+'01_원자료'!Q4*'03_가중치민감도'!$C$6+'01_원자료'!R4*'03_가중치민감도'!$D$6</f>
        <v>0.44151576823507876</v>
      </c>
      <c r="G7" s="17">
        <f>'01_원자료'!P4*'03_가중치민감도'!$B$7+'01_원자료'!Q4*'03_가중치민감도'!$C$7+'01_원자료'!R4*'03_가중치민감도'!$D$7</f>
        <v>0.51666561882465545</v>
      </c>
      <c r="H7" s="17">
        <f>'01_원자료'!P4*'03_가중치민감도'!$B$8+'01_원자료'!Q4*'03_가중치민감도'!$C$8+'01_원자료'!R4*'03_가중치민감도'!$D$8</f>
        <v>0.46010001471672451</v>
      </c>
      <c r="I7" s="17">
        <f>'01_원자료'!P4*'03_가중치민감도'!$B$9+'01_원자료'!Q4*'03_가중치민감도'!$C$9+'01_원자료'!R4*'03_가중치민감도'!$D$9</f>
        <v>0.46028065130850038</v>
      </c>
      <c r="J7" s="17">
        <f>'01_원자료'!P4*'03_가중치민감도'!$B$10+'01_원자료'!Q4*'03_가중치민감도'!$C$10+'01_원자료'!R4*'03_가중치민감도'!$D$10</f>
        <v>0.55410506667561155</v>
      </c>
      <c r="K7" s="31">
        <f t="shared" si="0"/>
        <v>60</v>
      </c>
      <c r="L7" s="31">
        <f t="shared" si="1"/>
        <v>102</v>
      </c>
      <c r="M7" s="31">
        <f t="shared" si="2"/>
        <v>42</v>
      </c>
      <c r="N7" s="31">
        <f t="shared" si="3"/>
        <v>147</v>
      </c>
      <c r="O7" s="31">
        <f t="shared" si="4"/>
        <v>96</v>
      </c>
      <c r="P7" s="31">
        <f t="shared" si="5"/>
        <v>73</v>
      </c>
    </row>
    <row r="8" spans="1:16">
      <c r="A8" s="2" t="str">
        <f>'01_원자료'!A5</f>
        <v>PAT-01</v>
      </c>
      <c r="B8" s="2" t="str">
        <f>'01_원자료'!B5</f>
        <v>claude</v>
      </c>
      <c r="C8" s="2" t="str">
        <f>'01_원자료'!C5</f>
        <v>gemma</v>
      </c>
      <c r="E8" s="17">
        <f>'01_원자료'!P5*'03_가중치민감도'!$B$5+'01_원자료'!Q5*'03_가중치민감도'!$C$5+'01_원자료'!R5*'03_가중치민감도'!$D$5</f>
        <v>0.61235739148012147</v>
      </c>
      <c r="F8" s="17">
        <f>'01_원자료'!P5*'03_가중치민감도'!$B$6+'01_원자료'!Q5*'03_가중치민감도'!$C$6+'01_원자료'!R5*'03_가중치민감도'!$D$6</f>
        <v>0.51210679665546788</v>
      </c>
      <c r="G8" s="17">
        <f>'01_원자료'!P5*'03_가중치민감도'!$B$7+'01_원자료'!Q5*'03_가중치민감도'!$C$7+'01_원자료'!R5*'03_가중치민감도'!$D$7</f>
        <v>0.6137316746033975</v>
      </c>
      <c r="H8" s="17">
        <f>'01_원자료'!P5*'03_가중치민감도'!$B$8+'01_원자료'!Q5*'03_가중치민감도'!$C$8+'01_원자료'!R5*'03_가중치민감도'!$D$8</f>
        <v>0.60548597586374131</v>
      </c>
      <c r="I8" s="17">
        <f>'01_원자료'!P5*'03_가중치민감도'!$B$9+'01_원자료'!Q5*'03_가중치민감도'!$C$9+'01_원자료'!R5*'03_가중치민감도'!$D$9</f>
        <v>0.54506556722259314</v>
      </c>
      <c r="J8" s="17">
        <f>'01_원자료'!P5*'03_가중치민감도'!$B$10+'01_원자료'!Q5*'03_가중치민감도'!$C$10+'01_원자료'!R5*'03_가중치민감도'!$D$10</f>
        <v>0.709859420058223</v>
      </c>
      <c r="K8" s="31">
        <f t="shared" si="0"/>
        <v>448</v>
      </c>
      <c r="L8" s="31">
        <f t="shared" si="1"/>
        <v>422</v>
      </c>
      <c r="M8" s="31">
        <f t="shared" si="2"/>
        <v>426</v>
      </c>
      <c r="N8" s="31">
        <f t="shared" si="3"/>
        <v>507</v>
      </c>
      <c r="O8" s="31">
        <f t="shared" si="4"/>
        <v>436</v>
      </c>
      <c r="P8" s="31">
        <f t="shared" si="5"/>
        <v>497</v>
      </c>
    </row>
    <row r="9" spans="1:16">
      <c r="A9" s="2" t="str">
        <f>'01_원자료'!A6</f>
        <v>PAT-01</v>
      </c>
      <c r="B9" s="2" t="str">
        <f>'01_원자료'!B6</f>
        <v>claude</v>
      </c>
      <c r="C9" s="2" t="str">
        <f>'01_원자료'!C6</f>
        <v>ministral</v>
      </c>
      <c r="E9" s="17">
        <f>'01_원자료'!P6*'03_가중치민감도'!$B$5+'01_원자료'!Q6*'03_가중치민감도'!$C$5+'01_원자료'!R6*'03_가중치민감도'!$D$5</f>
        <v>0.60963525608450364</v>
      </c>
      <c r="F9" s="17">
        <f>'01_원자료'!P6*'03_가중치민감도'!$B$6+'01_원자료'!Q6*'03_가중치민감도'!$C$6+'01_원자료'!R6*'03_가중치민감도'!$D$6</f>
        <v>0.50583564814953397</v>
      </c>
      <c r="G9" s="17">
        <f>'01_원자료'!P6*'03_가중치민감도'!$B$7+'01_원자료'!Q6*'03_가중치민감도'!$C$7+'01_원자료'!R6*'03_가중치민감도'!$D$7</f>
        <v>0.61193266884261177</v>
      </c>
      <c r="H9" s="17">
        <f>'01_원자료'!P6*'03_가중치민감도'!$B$8+'01_원자료'!Q6*'03_가중치민감도'!$C$8+'01_원자료'!R6*'03_가중치민감도'!$D$8</f>
        <v>0.59814819229396277</v>
      </c>
      <c r="I9" s="17">
        <f>'01_원자료'!P6*'03_가중치민감도'!$B$9+'01_원자료'!Q6*'03_가중치민감도'!$C$9+'01_원자료'!R6*'03_가중치민감도'!$D$9</f>
        <v>0.53966971320848722</v>
      </c>
      <c r="J9" s="17">
        <f>'01_원자료'!P6*'03_가중치민감도'!$B$10+'01_원자료'!Q6*'03_가중치민감도'!$C$10+'01_원자료'!R6*'03_가중치민감도'!$D$10</f>
        <v>0.70884003850325694</v>
      </c>
      <c r="K9" s="31">
        <f t="shared" si="0"/>
        <v>428</v>
      </c>
      <c r="L9" s="31">
        <f t="shared" si="1"/>
        <v>394</v>
      </c>
      <c r="M9" s="31">
        <f t="shared" si="2"/>
        <v>419</v>
      </c>
      <c r="N9" s="31">
        <f t="shared" si="3"/>
        <v>482</v>
      </c>
      <c r="O9" s="31">
        <f t="shared" si="4"/>
        <v>412</v>
      </c>
      <c r="P9" s="31">
        <f t="shared" si="5"/>
        <v>491</v>
      </c>
    </row>
    <row r="10" spans="1:16">
      <c r="A10" s="2" t="str">
        <f>'01_원자료'!A7</f>
        <v>PAT-01</v>
      </c>
      <c r="B10" s="2" t="str">
        <f>'01_원자료'!B7</f>
        <v>claude</v>
      </c>
      <c r="C10" s="2" t="str">
        <f>'01_원자료'!C7</f>
        <v>qwen</v>
      </c>
      <c r="E10" s="17">
        <f>'01_원자료'!P7*'03_가중치민감도'!$B$5+'01_원자료'!Q7*'03_가중치민감도'!$C$5+'01_원자료'!R7*'03_가중치민감도'!$D$5</f>
        <v>0.62760021635259466</v>
      </c>
      <c r="F10" s="17">
        <f>'01_원자료'!P7*'03_가중치민감도'!$B$6+'01_원자료'!Q7*'03_가중치민감도'!$C$6+'01_원자료'!R7*'03_가중치민감도'!$D$6</f>
        <v>0.53572411851683321</v>
      </c>
      <c r="G10" s="17">
        <f>'01_원자료'!P7*'03_가중치민감도'!$B$7+'01_원자료'!Q7*'03_가중치민감도'!$C$7+'01_원자료'!R7*'03_가중치민감도'!$D$7</f>
        <v>0.62743423633418671</v>
      </c>
      <c r="H10" s="17">
        <f>'01_원자료'!P7*'03_가중치민감도'!$B$8+'01_원자료'!Q7*'03_가중치민감도'!$C$8+'01_원자료'!R7*'03_가중치민감도'!$D$8</f>
        <v>0.62843011644463409</v>
      </c>
      <c r="I10" s="17">
        <f>'01_원자료'!P7*'03_가중치민감도'!$B$9+'01_원자료'!Q7*'03_가중치민감도'!$C$9+'01_원자료'!R7*'03_가중치민감도'!$D$9</f>
        <v>0.56640481113488916</v>
      </c>
      <c r="J10" s="17">
        <f>'01_원자료'!P7*'03_가중치민감도'!$B$10+'01_원자료'!Q7*'03_가중치민감도'!$C$10+'01_원자료'!R7*'03_가중치민감도'!$D$10</f>
        <v>0.7198082742251718</v>
      </c>
      <c r="K10" s="31">
        <f t="shared" si="0"/>
        <v>519</v>
      </c>
      <c r="L10" s="31">
        <f t="shared" si="1"/>
        <v>527</v>
      </c>
      <c r="M10" s="31">
        <f t="shared" si="2"/>
        <v>502</v>
      </c>
      <c r="N10" s="31">
        <f t="shared" si="3"/>
        <v>572</v>
      </c>
      <c r="O10" s="31">
        <f t="shared" si="4"/>
        <v>532</v>
      </c>
      <c r="P10" s="31">
        <f t="shared" si="5"/>
        <v>545</v>
      </c>
    </row>
    <row r="11" spans="1:16">
      <c r="A11" s="2" t="str">
        <f>'01_원자료'!A8</f>
        <v>PAT-01</v>
      </c>
      <c r="B11" s="2" t="str">
        <f>'01_원자료'!B8</f>
        <v>gemini</v>
      </c>
      <c r="C11" s="2" t="str">
        <f>'01_원자료'!C8</f>
        <v>gemma</v>
      </c>
      <c r="E11" s="17">
        <f>'01_원자료'!P8*'03_가중치민감도'!$B$5+'01_원자료'!Q8*'03_가중치민감도'!$C$5+'01_원자료'!R8*'03_가중치민감도'!$D$5</f>
        <v>0.7197739868989641</v>
      </c>
      <c r="F11" s="17">
        <f>'01_원자료'!P8*'03_가중치민감도'!$B$6+'01_원자료'!Q8*'03_가중치민감도'!$C$6+'01_원자료'!R8*'03_가중치민감도'!$D$6</f>
        <v>0.60379482933723683</v>
      </c>
      <c r="G11" s="17">
        <f>'01_원자료'!P8*'03_가중치민감도'!$B$7+'01_원자료'!Q8*'03_가중치민감도'!$C$7+'01_원자료'!R8*'03_가중치민감도'!$D$7</f>
        <v>0.71099761775009296</v>
      </c>
      <c r="H11" s="17">
        <f>'01_원자료'!P8*'03_가중치민감도'!$B$8+'01_원자료'!Q8*'03_가중치민감도'!$C$8+'01_원자료'!R8*'03_가중치민감도'!$D$8</f>
        <v>0.76365583264331938</v>
      </c>
      <c r="I11" s="17">
        <f>'01_원자료'!P8*'03_가중치민감도'!$B$9+'01_원자료'!Q8*'03_가중치민감도'!$C$9+'01_원자료'!R8*'03_가중치민감도'!$D$9</f>
        <v>0.64538000490743563</v>
      </c>
      <c r="J11" s="17">
        <f>'01_원자료'!P8*'03_가중치민감도'!$B$10+'01_원자료'!Q8*'03_가중치민감도'!$C$10+'01_원자료'!R8*'03_가중치민감도'!$D$10</f>
        <v>0.85330588275843344</v>
      </c>
      <c r="K11" s="31">
        <f t="shared" si="0"/>
        <v>878</v>
      </c>
      <c r="L11" s="31">
        <f t="shared" si="1"/>
        <v>827</v>
      </c>
      <c r="M11" s="31">
        <f t="shared" si="2"/>
        <v>875</v>
      </c>
      <c r="N11" s="31">
        <f t="shared" si="3"/>
        <v>877</v>
      </c>
      <c r="O11" s="31">
        <f t="shared" si="4"/>
        <v>852</v>
      </c>
      <c r="P11" s="31">
        <f t="shared" si="5"/>
        <v>898</v>
      </c>
    </row>
    <row r="12" spans="1:16">
      <c r="A12" s="2" t="str">
        <f>'01_원자료'!A9</f>
        <v>PAT-01</v>
      </c>
      <c r="B12" s="2" t="str">
        <f>'01_원자료'!B9</f>
        <v>gemini</v>
      </c>
      <c r="C12" s="2" t="str">
        <f>'01_원자료'!C9</f>
        <v>ministral</v>
      </c>
      <c r="E12" s="17">
        <f>'01_원자료'!P9*'03_가중치민감도'!$B$5+'01_원자료'!Q9*'03_가중치민감도'!$C$5+'01_원자료'!R9*'03_가중치민감도'!$D$5</f>
        <v>0.60410724934778559</v>
      </c>
      <c r="F12" s="17">
        <f>'01_원자료'!P9*'03_가중치민감도'!$B$6+'01_원자료'!Q9*'03_가중치민감도'!$C$6+'01_원자료'!R9*'03_가중치민감도'!$D$6</f>
        <v>0.49570781916376994</v>
      </c>
      <c r="G12" s="17">
        <f>'01_원자료'!P9*'03_가중치민감도'!$B$7+'01_원자료'!Q9*'03_가중치민감도'!$C$7+'01_원자료'!R9*'03_가중치민감도'!$D$7</f>
        <v>0.61420428264089832</v>
      </c>
      <c r="H12" s="17">
        <f>'01_원자료'!P9*'03_가중치민감도'!$B$8+'01_원자료'!Q9*'03_가중치민감도'!$C$8+'01_원자료'!R9*'03_가중치민감도'!$D$8</f>
        <v>0.5536220828822217</v>
      </c>
      <c r="I12" s="17">
        <f>'01_원자료'!P9*'03_가중치민감도'!$B$9+'01_원자료'!Q9*'03_가중치민감도'!$C$9+'01_원자료'!R9*'03_가중치민감도'!$D$9</f>
        <v>0.52847528479407035</v>
      </c>
      <c r="J12" s="17">
        <f>'01_원자료'!P9*'03_가중치민감도'!$B$10+'01_원자료'!Q9*'03_가중치민감도'!$C$10+'01_원자료'!R9*'03_가중치민감도'!$D$10</f>
        <v>0.69231261294557567</v>
      </c>
      <c r="K12" s="31">
        <f t="shared" si="0"/>
        <v>408</v>
      </c>
      <c r="L12" s="31">
        <f t="shared" si="1"/>
        <v>338</v>
      </c>
      <c r="M12" s="31">
        <f t="shared" si="2"/>
        <v>431</v>
      </c>
      <c r="N12" s="31">
        <f t="shared" si="3"/>
        <v>350</v>
      </c>
      <c r="O12" s="31">
        <f t="shared" si="4"/>
        <v>363</v>
      </c>
      <c r="P12" s="31">
        <f t="shared" si="5"/>
        <v>431</v>
      </c>
    </row>
    <row r="13" spans="1:16">
      <c r="A13" s="2" t="str">
        <f>'01_원자료'!A10</f>
        <v>PAT-01</v>
      </c>
      <c r="B13" s="2" t="str">
        <f>'01_원자료'!B10</f>
        <v>gemini</v>
      </c>
      <c r="C13" s="2" t="str">
        <f>'01_원자료'!C10</f>
        <v>qwen</v>
      </c>
      <c r="E13" s="17">
        <f>'01_원자료'!P10*'03_가중치민감도'!$B$5+'01_원자료'!Q10*'03_가중치민감도'!$C$5+'01_원자료'!R10*'03_가중치민감도'!$D$5</f>
        <v>0.6446110366704989</v>
      </c>
      <c r="F13" s="17">
        <f>'01_원자료'!P10*'03_가중치민감도'!$B$6+'01_원자료'!Q10*'03_가중치민감도'!$C$6+'01_원자료'!R10*'03_가중치민감도'!$D$6</f>
        <v>0.54521348916232748</v>
      </c>
      <c r="G13" s="17">
        <f>'01_원자료'!P10*'03_가중치민감도'!$B$7+'01_원자료'!Q10*'03_가중치민감도'!$C$7+'01_원자료'!R10*'03_가중치민감도'!$D$7</f>
        <v>0.6479123024821678</v>
      </c>
      <c r="H13" s="17">
        <f>'01_원자료'!P10*'03_가중치민감도'!$B$8+'01_원자료'!Q10*'03_가중치민감도'!$C$8+'01_원자료'!R10*'03_가중치민감도'!$D$8</f>
        <v>0.62810470761215442</v>
      </c>
      <c r="I13" s="17">
        <f>'01_원자료'!P10*'03_가중치민감도'!$B$9+'01_원자료'!Q10*'03_가중치민감도'!$C$9+'01_원자료'!R10*'03_가중치민감도'!$D$9</f>
        <v>0.57724558306116103</v>
      </c>
      <c r="J13" s="17">
        <f>'01_원자료'!P10*'03_가중치민감도'!$B$10+'01_원자료'!Q10*'03_가중치민감도'!$C$10+'01_원자료'!R10*'03_가중치민감도'!$D$10</f>
        <v>0.73740605255533254</v>
      </c>
      <c r="K13" s="31">
        <f t="shared" si="0"/>
        <v>595</v>
      </c>
      <c r="L13" s="31">
        <f t="shared" si="1"/>
        <v>560</v>
      </c>
      <c r="M13" s="31">
        <f t="shared" si="2"/>
        <v>606</v>
      </c>
      <c r="N13" s="31">
        <f t="shared" si="3"/>
        <v>570</v>
      </c>
      <c r="O13" s="31">
        <f t="shared" si="4"/>
        <v>578</v>
      </c>
      <c r="P13" s="31">
        <f t="shared" si="5"/>
        <v>612</v>
      </c>
    </row>
    <row r="14" spans="1:16">
      <c r="A14" s="2" t="str">
        <f>'01_원자료'!A11</f>
        <v>PAT-01</v>
      </c>
      <c r="B14" s="2" t="str">
        <f>'01_원자료'!B11</f>
        <v>mistral</v>
      </c>
      <c r="C14" s="2" t="str">
        <f>'01_원자료'!C11</f>
        <v>gemma</v>
      </c>
      <c r="E14" s="17">
        <f>'01_원자료'!P11*'03_가중치민감도'!$B$5+'01_원자료'!Q11*'03_가중치민감도'!$C$5+'01_원자료'!R11*'03_가중치민감도'!$D$5</f>
        <v>0.56918695434409039</v>
      </c>
      <c r="F14" s="17">
        <f>'01_원자료'!P11*'03_가중치민감도'!$B$6+'01_원자료'!Q11*'03_가중치민감도'!$C$6+'01_원자료'!R11*'03_가중치민감도'!$D$6</f>
        <v>0.48051012708492902</v>
      </c>
      <c r="G14" s="17">
        <f>'01_원자료'!P11*'03_가중치민감도'!$B$7+'01_원자료'!Q11*'03_가중치민감도'!$C$7+'01_원자료'!R11*'03_가중치민감도'!$D$7</f>
        <v>0.56989345702888228</v>
      </c>
      <c r="H14" s="17">
        <f>'01_원자료'!P11*'03_가중치민감도'!$B$8+'01_원자료'!Q11*'03_가중치민감도'!$C$8+'01_원자료'!R11*'03_가중치민감도'!$D$8</f>
        <v>0.56565444092013106</v>
      </c>
      <c r="I14" s="17">
        <f>'01_원자료'!P11*'03_가중치민감도'!$B$9+'01_원자료'!Q11*'03_가중치민감도'!$C$9+'01_원자료'!R11*'03_가중치민감도'!$D$9</f>
        <v>0.5098335686097184</v>
      </c>
      <c r="J14" s="17">
        <f>'01_원자료'!P11*'03_가중치민감도'!$B$10+'01_원자료'!Q11*'03_가중치민감도'!$C$10+'01_원자료'!R11*'03_가중치민감도'!$D$10</f>
        <v>0.65645077623366821</v>
      </c>
      <c r="K14" s="31">
        <f t="shared" si="0"/>
        <v>281</v>
      </c>
      <c r="L14" s="31">
        <f t="shared" si="1"/>
        <v>269</v>
      </c>
      <c r="M14" s="31">
        <f t="shared" si="2"/>
        <v>245</v>
      </c>
      <c r="N14" s="31">
        <f t="shared" si="3"/>
        <v>386</v>
      </c>
      <c r="O14" s="31">
        <f t="shared" si="4"/>
        <v>287</v>
      </c>
      <c r="P14" s="31">
        <f t="shared" si="5"/>
        <v>323</v>
      </c>
    </row>
    <row r="15" spans="1:16">
      <c r="A15" s="2" t="str">
        <f>'01_원자료'!A12</f>
        <v>PAT-01</v>
      </c>
      <c r="B15" s="2" t="str">
        <f>'01_원자료'!B12</f>
        <v>mistral</v>
      </c>
      <c r="C15" s="2" t="str">
        <f>'01_원자료'!C12</f>
        <v>ministral</v>
      </c>
      <c r="E15" s="17">
        <f>'01_원자료'!P12*'03_가중치민감도'!$B$5+'01_원자료'!Q12*'03_가중치민감도'!$C$5+'01_원자료'!R12*'03_가중치민감도'!$D$5</f>
        <v>0.63476997932445955</v>
      </c>
      <c r="F15" s="17">
        <f>'01_원자료'!P12*'03_가중치민감도'!$B$6+'01_원자료'!Q12*'03_가중치민감도'!$C$6+'01_원자료'!R12*'03_가중치민감도'!$D$6</f>
        <v>0.54632472746905414</v>
      </c>
      <c r="G15" s="17">
        <f>'01_원자료'!P12*'03_가중치민감도'!$B$7+'01_원자료'!Q12*'03_가중치민감도'!$C$7+'01_원자료'!R12*'03_가중치민감도'!$D$7</f>
        <v>0.6335734750719948</v>
      </c>
      <c r="H15" s="17">
        <f>'01_원자료'!P12*'03_가중치민감도'!$B$8+'01_원자료'!Q12*'03_가중치민감도'!$C$8+'01_원자료'!R12*'03_가중치민감도'!$D$8</f>
        <v>0.64075250058678301</v>
      </c>
      <c r="I15" s="17">
        <f>'01_원자료'!P12*'03_가중치민감도'!$B$9+'01_원자료'!Q12*'03_가중치민감도'!$C$9+'01_원자료'!R12*'03_가중치민감도'!$D$9</f>
        <v>0.57620531283834353</v>
      </c>
      <c r="J15" s="17">
        <f>'01_원자료'!P12*'03_가중치민감도'!$B$10+'01_원자료'!Q12*'03_가중치민감도'!$C$10+'01_원자료'!R12*'03_가중치민감도'!$D$10</f>
        <v>0.72560823968479438</v>
      </c>
      <c r="K15" s="31">
        <f t="shared" si="0"/>
        <v>552</v>
      </c>
      <c r="L15" s="31">
        <f t="shared" si="1"/>
        <v>569</v>
      </c>
      <c r="M15" s="31">
        <f t="shared" si="2"/>
        <v>531</v>
      </c>
      <c r="N15" s="31">
        <f t="shared" si="3"/>
        <v>609</v>
      </c>
      <c r="O15" s="31">
        <f t="shared" si="4"/>
        <v>572</v>
      </c>
      <c r="P15" s="31">
        <f t="shared" si="5"/>
        <v>567</v>
      </c>
    </row>
    <row r="16" spans="1:16">
      <c r="A16" s="2" t="str">
        <f>'01_원자료'!A13</f>
        <v>PAT-01</v>
      </c>
      <c r="B16" s="2" t="str">
        <f>'01_원자료'!B13</f>
        <v>mistral</v>
      </c>
      <c r="C16" s="2" t="str">
        <f>'01_원자료'!C13</f>
        <v>qwen</v>
      </c>
      <c r="E16" s="17">
        <f>'01_원자료'!P13*'03_가중치민감도'!$B$5+'01_원자료'!Q13*'03_가중치민감도'!$C$5+'01_원자료'!R13*'03_가중치민감도'!$D$5</f>
        <v>0.66727537605626053</v>
      </c>
      <c r="F16" s="17">
        <f>'01_원자료'!P13*'03_가중치민감도'!$B$6+'01_원자료'!Q13*'03_가중치민감도'!$C$6+'01_원자료'!R13*'03_가중치민감도'!$D$6</f>
        <v>0.58213472257065857</v>
      </c>
      <c r="G16" s="17">
        <f>'01_원자료'!P13*'03_가중치민감도'!$B$7+'01_원자료'!Q13*'03_가중치민감도'!$C$7+'01_원자료'!R13*'03_가중치민감도'!$D$7</f>
        <v>0.65765211452681838</v>
      </c>
      <c r="H16" s="17">
        <f>'01_원자료'!P13*'03_가중치민감도'!$B$8+'01_원자료'!Q13*'03_가중치민감도'!$C$8+'01_원자료'!R13*'03_가중치민감도'!$D$8</f>
        <v>0.71539168370347117</v>
      </c>
      <c r="I16" s="17">
        <f>'01_원자료'!P13*'03_가중치민감도'!$B$9+'01_원자료'!Q13*'03_가중치민감도'!$C$9+'01_원자료'!R13*'03_가중치민감도'!$D$9</f>
        <v>0.61372269424233927</v>
      </c>
      <c r="J16" s="17">
        <f>'01_원자료'!P13*'03_가중치민감도'!$B$10+'01_원자료'!Q13*'03_가중치민감도'!$C$10+'01_원자료'!R13*'03_가중치민감도'!$D$10</f>
        <v>0.77166255260074679</v>
      </c>
      <c r="K16" s="31">
        <f t="shared" si="0"/>
        <v>704</v>
      </c>
      <c r="L16" s="31">
        <f t="shared" si="1"/>
        <v>745</v>
      </c>
      <c r="M16" s="31">
        <f t="shared" si="2"/>
        <v>652</v>
      </c>
      <c r="N16" s="31">
        <f t="shared" si="3"/>
        <v>820</v>
      </c>
      <c r="O16" s="31">
        <f t="shared" si="4"/>
        <v>743</v>
      </c>
      <c r="P16" s="31">
        <f t="shared" si="5"/>
        <v>724</v>
      </c>
    </row>
    <row r="17" spans="1:16">
      <c r="A17" s="2" t="str">
        <f>'01_원자료'!A14</f>
        <v>PAT-01</v>
      </c>
      <c r="B17" s="2" t="str">
        <f>'01_원자료'!B14</f>
        <v>qwen3_6</v>
      </c>
      <c r="C17" s="2" t="str">
        <f>'01_원자료'!C14</f>
        <v>gemma</v>
      </c>
      <c r="E17" s="17">
        <f>'01_원자료'!P14*'03_가중치민감도'!$B$5+'01_원자료'!Q14*'03_가중치민감도'!$C$5+'01_원자료'!R14*'03_가중치민감도'!$D$5</f>
        <v>0.71427741478675988</v>
      </c>
      <c r="F17" s="17">
        <f>'01_원자료'!P14*'03_가중치민감도'!$B$6+'01_원자료'!Q14*'03_가중치민감도'!$C$6+'01_원자료'!R14*'03_가중치민감도'!$D$6</f>
        <v>0.60950326581673075</v>
      </c>
      <c r="G17" s="17">
        <f>'01_원자료'!P14*'03_가중치민감도'!$B$7+'01_원자료'!Q14*'03_가중치민감도'!$C$7+'01_원자료'!R14*'03_가중치민감도'!$D$7</f>
        <v>0.70410924724589696</v>
      </c>
      <c r="H17" s="17">
        <f>'01_원자료'!P14*'03_가중치민감도'!$B$8+'01_원자료'!Q14*'03_가중치민감도'!$C$8+'01_원자료'!R14*'03_가중치민감도'!$D$8</f>
        <v>0.76511825249107446</v>
      </c>
      <c r="I17" s="17">
        <f>'01_원자료'!P14*'03_가중치민감도'!$B$9+'01_원자료'!Q14*'03_가중치민감도'!$C$9+'01_원자료'!R14*'03_가중치민감도'!$D$9</f>
        <v>0.64781737132036077</v>
      </c>
      <c r="J17" s="17">
        <f>'01_원자료'!P14*'03_가중치민감도'!$B$10+'01_원자료'!Q14*'03_가중치민감도'!$C$10+'01_원자료'!R14*'03_가중치민감도'!$D$10</f>
        <v>0.83938789883851506</v>
      </c>
      <c r="K17" s="31">
        <f t="shared" si="0"/>
        <v>858</v>
      </c>
      <c r="L17" s="31">
        <f t="shared" si="1"/>
        <v>854</v>
      </c>
      <c r="M17" s="31">
        <f t="shared" si="2"/>
        <v>847</v>
      </c>
      <c r="N17" s="31">
        <f t="shared" si="3"/>
        <v>879</v>
      </c>
      <c r="O17" s="31">
        <f t="shared" si="4"/>
        <v>858</v>
      </c>
      <c r="P17" s="31">
        <f t="shared" si="5"/>
        <v>859</v>
      </c>
    </row>
    <row r="18" spans="1:16">
      <c r="A18" s="2" t="str">
        <f>'01_원자료'!A15</f>
        <v>PAT-01</v>
      </c>
      <c r="B18" s="2" t="str">
        <f>'01_원자료'!B15</f>
        <v>qwen3_6</v>
      </c>
      <c r="C18" s="2" t="str">
        <f>'01_원자료'!C15</f>
        <v>ministral</v>
      </c>
      <c r="E18" s="17">
        <f>'01_원자료'!P15*'03_가중치민감도'!$B$5+'01_원자료'!Q15*'03_가중치민감도'!$C$5+'01_원자료'!R15*'03_가중치민감도'!$D$5</f>
        <v>0.58451162716736949</v>
      </c>
      <c r="F18" s="17">
        <f>'01_원자료'!P15*'03_가중치민감도'!$B$6+'01_원자료'!Q15*'03_가중치민감도'!$C$6+'01_원자료'!R15*'03_가중치민감도'!$D$6</f>
        <v>0.49200817871472702</v>
      </c>
      <c r="G18" s="17">
        <f>'01_원자료'!P15*'03_가중치민감도'!$B$7+'01_원자료'!Q15*'03_가중치민감도'!$C$7+'01_원자료'!R15*'03_가중치민감도'!$D$7</f>
        <v>0.59165102680116655</v>
      </c>
      <c r="H18" s="17">
        <f>'01_원자료'!P15*'03_가중치민감도'!$B$8+'01_원자료'!Q15*'03_가중치민감도'!$C$8+'01_원자료'!R15*'03_가중치민감도'!$D$8</f>
        <v>0.54881462899838451</v>
      </c>
      <c r="I18" s="17">
        <f>'01_원자료'!P15*'03_가중치민감도'!$B$9+'01_원자료'!Q15*'03_가중치민감도'!$C$9+'01_원자료'!R15*'03_가중치민감도'!$D$9</f>
        <v>0.52046286165434164</v>
      </c>
      <c r="J18" s="17">
        <f>'01_원자료'!P15*'03_가중치민감도'!$B$10+'01_원자료'!Q15*'03_가중치민감도'!$C$10+'01_원자료'!R15*'03_가중치민감도'!$D$10</f>
        <v>0.66273627635241805</v>
      </c>
      <c r="K18" s="31">
        <f t="shared" si="0"/>
        <v>334</v>
      </c>
      <c r="L18" s="31">
        <f t="shared" si="1"/>
        <v>325</v>
      </c>
      <c r="M18" s="31">
        <f t="shared" si="2"/>
        <v>329</v>
      </c>
      <c r="N18" s="31">
        <f t="shared" si="3"/>
        <v>334</v>
      </c>
      <c r="O18" s="31">
        <f t="shared" si="4"/>
        <v>328</v>
      </c>
      <c r="P18" s="31">
        <f t="shared" si="5"/>
        <v>335</v>
      </c>
    </row>
    <row r="19" spans="1:16">
      <c r="A19" s="2" t="str">
        <f>'01_원자료'!A16</f>
        <v>PAT-01</v>
      </c>
      <c r="B19" s="2" t="str">
        <f>'01_원자료'!B16</f>
        <v>qwen3_6</v>
      </c>
      <c r="C19" s="2" t="str">
        <f>'01_원자료'!C16</f>
        <v>qwen</v>
      </c>
      <c r="E19" s="17">
        <f>'01_원자료'!P16*'03_가중치민감도'!$B$5+'01_원자료'!Q16*'03_가중치민감도'!$C$5+'01_원자료'!R16*'03_가중치민감도'!$D$5</f>
        <v>0.63422831559662396</v>
      </c>
      <c r="F19" s="17">
        <f>'01_원자료'!P16*'03_가중치민감도'!$B$6+'01_원자료'!Q16*'03_가중치민감도'!$C$6+'01_원자료'!R16*'03_가중치민감도'!$D$6</f>
        <v>0.55398190801920055</v>
      </c>
      <c r="G19" s="17">
        <f>'01_원자료'!P16*'03_가중치민감도'!$B$7+'01_원자료'!Q16*'03_가중치민감도'!$C$7+'01_원자료'!R16*'03_가중치민감도'!$D$7</f>
        <v>0.63506842632457428</v>
      </c>
      <c r="H19" s="17">
        <f>'01_원자료'!P16*'03_가중치민감도'!$B$8+'01_원자료'!Q16*'03_가중치민감도'!$C$8+'01_원자료'!R16*'03_가중치민감도'!$D$8</f>
        <v>0.63002776195687227</v>
      </c>
      <c r="I19" s="17">
        <f>'01_원자료'!P16*'03_가중치민감도'!$B$9+'01_원자료'!Q16*'03_가중치민감도'!$C$9+'01_원자료'!R16*'03_가중치민감도'!$D$9</f>
        <v>0.58045067363569092</v>
      </c>
      <c r="J19" s="17">
        <f>'01_원자료'!P16*'03_가중치민감도'!$B$10+'01_원자료'!Q16*'03_가중치민감도'!$C$10+'01_원자료'!R16*'03_가중치민감도'!$D$10</f>
        <v>0.71279450171814673</v>
      </c>
      <c r="K19" s="31">
        <f t="shared" si="0"/>
        <v>548</v>
      </c>
      <c r="L19" s="31">
        <f t="shared" si="1"/>
        <v>608</v>
      </c>
      <c r="M19" s="31">
        <f t="shared" si="2"/>
        <v>536</v>
      </c>
      <c r="N19" s="31">
        <f t="shared" si="3"/>
        <v>575</v>
      </c>
      <c r="O19" s="31">
        <f t="shared" si="4"/>
        <v>582</v>
      </c>
      <c r="P19" s="31">
        <f t="shared" si="5"/>
        <v>505</v>
      </c>
    </row>
    <row r="20" spans="1:16">
      <c r="A20" s="2" t="str">
        <f>'01_원자료'!A17</f>
        <v>PAT-02</v>
      </c>
      <c r="B20" s="2" t="str">
        <f>'01_원자료'!B17</f>
        <v>chatgpt</v>
      </c>
      <c r="C20" s="2" t="str">
        <f>'01_원자료'!C17</f>
        <v>gemma</v>
      </c>
      <c r="E20" s="17">
        <f>'01_원자료'!P17*'03_가중치민감도'!$B$5+'01_원자료'!Q17*'03_가중치민감도'!$C$5+'01_원자료'!R17*'03_가중치민감도'!$D$5</f>
        <v>0.5497001736503877</v>
      </c>
      <c r="F20" s="17">
        <f>'01_원자료'!P17*'03_가중치민감도'!$B$6+'01_원자료'!Q17*'03_가중치민감도'!$C$6+'01_원자료'!R17*'03_가중치민감도'!$D$6</f>
        <v>0.46468539296309941</v>
      </c>
      <c r="G20" s="17">
        <f>'01_원자료'!P17*'03_가중치민감도'!$B$7+'01_원자료'!Q17*'03_가중치민감도'!$C$7+'01_원자료'!R17*'03_가중치민감도'!$D$7</f>
        <v>0.55763226030103452</v>
      </c>
      <c r="H20" s="17">
        <f>'01_원자료'!P17*'03_가중치민감도'!$B$8+'01_원자료'!Q17*'03_가중치민감도'!$C$8+'01_원자료'!R17*'03_가중치민감도'!$D$8</f>
        <v>0.51003974039715383</v>
      </c>
      <c r="I20" s="17">
        <f>'01_원자료'!P17*'03_가중치민감도'!$B$9+'01_원자료'!Q17*'03_가중치민감도'!$C$9+'01_원자료'!R17*'03_가중치민감도'!$D$9</f>
        <v>0.49037962430864601</v>
      </c>
      <c r="J20" s="17">
        <f>'01_원자료'!P17*'03_가중치민감도'!$B$10+'01_원자료'!Q17*'03_가중치민감도'!$C$10+'01_원자료'!R17*'03_가중치민감도'!$D$10</f>
        <v>0.61885078103638258</v>
      </c>
      <c r="K20" s="31">
        <f t="shared" si="0"/>
        <v>206</v>
      </c>
      <c r="L20" s="31">
        <f t="shared" si="1"/>
        <v>198</v>
      </c>
      <c r="M20" s="31">
        <f t="shared" si="2"/>
        <v>191</v>
      </c>
      <c r="N20" s="31">
        <f t="shared" si="3"/>
        <v>244</v>
      </c>
      <c r="O20" s="31">
        <f t="shared" si="4"/>
        <v>203</v>
      </c>
      <c r="P20" s="31">
        <f t="shared" si="5"/>
        <v>239</v>
      </c>
    </row>
    <row r="21" spans="1:16">
      <c r="A21" s="2" t="str">
        <f>'01_원자료'!A18</f>
        <v>PAT-02</v>
      </c>
      <c r="B21" s="2" t="str">
        <f>'01_원자료'!B18</f>
        <v>chatgpt</v>
      </c>
      <c r="C21" s="2" t="str">
        <f>'01_원자료'!C18</f>
        <v>ministral</v>
      </c>
      <c r="E21" s="17">
        <f>'01_원자료'!P18*'03_가중치민감도'!$B$5+'01_원자료'!Q18*'03_가중치민감도'!$C$5+'01_원자료'!R18*'03_가중치민감도'!$D$5</f>
        <v>0.47950155751152834</v>
      </c>
      <c r="F21" s="17">
        <f>'01_원자료'!P18*'03_가중치민감도'!$B$6+'01_원자료'!Q18*'03_가중치민감도'!$C$6+'01_원자료'!R18*'03_가중치민감도'!$D$6</f>
        <v>0.3891728793821872</v>
      </c>
      <c r="G21" s="17">
        <f>'01_원자료'!P18*'03_가중치민감도'!$B$7+'01_원자료'!Q18*'03_가중치민감도'!$C$7+'01_원자료'!R18*'03_가중치민감도'!$D$7</f>
        <v>0.49730359272826224</v>
      </c>
      <c r="H21" s="17">
        <f>'01_원자료'!P18*'03_가중치민감도'!$B$8+'01_원자료'!Q18*'03_가중치민감도'!$C$8+'01_원자료'!R18*'03_가중치민감도'!$D$8</f>
        <v>0.39049138142785883</v>
      </c>
      <c r="I21" s="17">
        <f>'01_원자료'!P18*'03_가중치민감도'!$B$9+'01_원자료'!Q18*'03_가중치민감도'!$C$9+'01_원자료'!R18*'03_가중치민감도'!$D$9</f>
        <v>0.41334842701972252</v>
      </c>
      <c r="J21" s="17">
        <f>'01_원자료'!P18*'03_가중치민감도'!$B$10+'01_원자료'!Q18*'03_가중치민감도'!$C$10+'01_원자료'!R18*'03_가중치민감도'!$D$10</f>
        <v>0.53422616520740163</v>
      </c>
      <c r="K21" s="31">
        <f t="shared" si="0"/>
        <v>16</v>
      </c>
      <c r="L21" s="31">
        <f t="shared" si="1"/>
        <v>11</v>
      </c>
      <c r="M21" s="31">
        <f t="shared" si="2"/>
        <v>14</v>
      </c>
      <c r="N21" s="31">
        <f t="shared" si="3"/>
        <v>30</v>
      </c>
      <c r="O21" s="31">
        <f t="shared" si="4"/>
        <v>12</v>
      </c>
      <c r="P21" s="31">
        <f t="shared" si="5"/>
        <v>39</v>
      </c>
    </row>
    <row r="22" spans="1:16">
      <c r="A22" s="2" t="str">
        <f>'01_원자료'!A19</f>
        <v>PAT-02</v>
      </c>
      <c r="B22" s="2" t="str">
        <f>'01_원자료'!B19</f>
        <v>chatgpt</v>
      </c>
      <c r="C22" s="2" t="str">
        <f>'01_원자료'!C19</f>
        <v>qwen</v>
      </c>
      <c r="E22" s="17">
        <f>'01_원자료'!P19*'03_가중치민감도'!$B$5+'01_원자료'!Q19*'03_가중치민감도'!$C$5+'01_원자료'!R19*'03_가중치민감도'!$D$5</f>
        <v>0.54656139364861545</v>
      </c>
      <c r="F22" s="17">
        <f>'01_원자료'!P19*'03_가중치민감도'!$B$6+'01_원자료'!Q19*'03_가중치민감도'!$C$6+'01_원자료'!R19*'03_가중치민감도'!$D$6</f>
        <v>0.48527400251185598</v>
      </c>
      <c r="G22" s="17">
        <f>'01_원자료'!P19*'03_가중치민감도'!$B$7+'01_원자료'!Q19*'03_가중치민감도'!$C$7+'01_원자료'!R19*'03_가중치민감도'!$D$7</f>
        <v>0.55547756730950493</v>
      </c>
      <c r="H22" s="17">
        <f>'01_원자료'!P19*'03_가중치민감도'!$B$8+'01_원자료'!Q19*'03_가중치민감도'!$C$8+'01_원자료'!R19*'03_가중치민감도'!$D$8</f>
        <v>0.50198052534416804</v>
      </c>
      <c r="I22" s="17">
        <f>'01_원자료'!P19*'03_가중치민감도'!$B$9+'01_원자료'!Q19*'03_가중치민감도'!$C$9+'01_원자료'!R19*'03_가중치민감도'!$D$9</f>
        <v>0.50273107500381209</v>
      </c>
      <c r="J22" s="17">
        <f>'01_원자료'!P19*'03_가중치민감도'!$B$10+'01_원자료'!Q19*'03_가중치민감도'!$C$10+'01_원자료'!R19*'03_가중치민감도'!$D$10</f>
        <v>0.59001643746359578</v>
      </c>
      <c r="K22" s="31">
        <f t="shared" si="0"/>
        <v>192</v>
      </c>
      <c r="L22" s="31">
        <f t="shared" si="1"/>
        <v>295</v>
      </c>
      <c r="M22" s="31">
        <f t="shared" si="2"/>
        <v>184</v>
      </c>
      <c r="N22" s="31">
        <f t="shared" si="3"/>
        <v>229</v>
      </c>
      <c r="O22" s="31">
        <f t="shared" si="4"/>
        <v>257</v>
      </c>
      <c r="P22" s="31">
        <f t="shared" si="5"/>
        <v>156</v>
      </c>
    </row>
    <row r="23" spans="1:16">
      <c r="A23" s="2" t="str">
        <f>'01_원자료'!A20</f>
        <v>PAT-02</v>
      </c>
      <c r="B23" s="2" t="str">
        <f>'01_원자료'!B20</f>
        <v>claude</v>
      </c>
      <c r="C23" s="2" t="str">
        <f>'01_원자료'!C20</f>
        <v>gemma</v>
      </c>
      <c r="E23" s="17">
        <f>'01_원자료'!P20*'03_가중치민감도'!$B$5+'01_원자료'!Q20*'03_가중치민감도'!$C$5+'01_원자료'!R20*'03_가중치민감도'!$D$5</f>
        <v>0.64302869919942285</v>
      </c>
      <c r="F23" s="17">
        <f>'01_원자료'!P20*'03_가중치민감도'!$B$6+'01_원자료'!Q20*'03_가중치민감도'!$C$6+'01_원자료'!R20*'03_가중치민감도'!$D$6</f>
        <v>0.54121156639888035</v>
      </c>
      <c r="G23" s="17">
        <f>'01_원자료'!P20*'03_가중치민감도'!$B$7+'01_원자료'!Q20*'03_가중치민감도'!$C$7+'01_원자료'!R20*'03_가중치민감도'!$D$7</f>
        <v>0.64317788890312366</v>
      </c>
      <c r="H23" s="17">
        <f>'01_원자료'!P20*'03_가중치민감도'!$B$8+'01_원자료'!Q20*'03_가중치민감도'!$C$8+'01_원자료'!R20*'03_가중치민감도'!$D$8</f>
        <v>0.64228275068091867</v>
      </c>
      <c r="I23" s="17">
        <f>'01_원자료'!P20*'03_가중치민감도'!$B$9+'01_원자료'!Q20*'03_가중치민감도'!$C$9+'01_원자료'!R20*'03_가중치민감도'!$D$9</f>
        <v>0.57510088076449362</v>
      </c>
      <c r="J23" s="17">
        <f>'01_원자료'!P20*'03_가중치민감도'!$B$10+'01_원자료'!Q20*'03_가중치민감도'!$C$10+'01_원자료'!R20*'03_가중치민감도'!$D$10</f>
        <v>0.74454745259256372</v>
      </c>
      <c r="K23" s="31">
        <f t="shared" si="0"/>
        <v>587</v>
      </c>
      <c r="L23" s="31">
        <f t="shared" si="1"/>
        <v>546</v>
      </c>
      <c r="M23" s="31">
        <f t="shared" si="2"/>
        <v>576</v>
      </c>
      <c r="N23" s="31">
        <f t="shared" si="3"/>
        <v>617</v>
      </c>
      <c r="O23" s="31">
        <f t="shared" si="4"/>
        <v>564</v>
      </c>
      <c r="P23" s="31">
        <f t="shared" si="5"/>
        <v>642</v>
      </c>
    </row>
    <row r="24" spans="1:16">
      <c r="A24" s="2" t="str">
        <f>'01_원자료'!A21</f>
        <v>PAT-02</v>
      </c>
      <c r="B24" s="2" t="str">
        <f>'01_원자료'!B21</f>
        <v>claude</v>
      </c>
      <c r="C24" s="2" t="str">
        <f>'01_원자료'!C21</f>
        <v>ministral</v>
      </c>
      <c r="E24" s="17">
        <f>'01_원자료'!P21*'03_가중치민감도'!$B$5+'01_원자료'!Q21*'03_가중치민감도'!$C$5+'01_원자료'!R21*'03_가중치민감도'!$D$5</f>
        <v>0.53413968815202695</v>
      </c>
      <c r="F24" s="17">
        <f>'01_원자료'!P21*'03_가중치민감도'!$B$6+'01_원자료'!Q21*'03_가중치민감도'!$C$6+'01_원자료'!R21*'03_가중치민감도'!$D$6</f>
        <v>0.44253319908580074</v>
      </c>
      <c r="G24" s="17">
        <f>'01_원자료'!P21*'03_가중치민감도'!$B$7+'01_원자료'!Q21*'03_가중치민감도'!$C$7+'01_원자료'!R21*'03_가중치민감도'!$D$7</f>
        <v>0.54794326835586127</v>
      </c>
      <c r="H24" s="17">
        <f>'01_원자료'!P21*'03_가중치민감도'!$B$8+'01_원자료'!Q21*'03_가중치민감도'!$C$8+'01_원자료'!R21*'03_가중치민감도'!$D$8</f>
        <v>0.46512178713285535</v>
      </c>
      <c r="I24" s="17">
        <f>'01_원자료'!P21*'03_가중치민감도'!$B$9+'01_원자료'!Q21*'03_가중치민감도'!$C$9+'01_원자료'!R21*'03_가중치민감도'!$D$9</f>
        <v>0.46846750203993087</v>
      </c>
      <c r="J24" s="17">
        <f>'01_원자료'!P21*'03_가중치민감도'!$B$10+'01_원자료'!Q21*'03_가중치민감도'!$C$10+'01_원자료'!R21*'03_가중치민감도'!$D$10</f>
        <v>0.59813901681058457</v>
      </c>
      <c r="K24" s="31">
        <f t="shared" si="0"/>
        <v>149</v>
      </c>
      <c r="L24" s="31">
        <f t="shared" si="1"/>
        <v>105</v>
      </c>
      <c r="M24" s="31">
        <f t="shared" si="2"/>
        <v>144</v>
      </c>
      <c r="N24" s="31">
        <f t="shared" si="3"/>
        <v>153</v>
      </c>
      <c r="O24" s="31">
        <f t="shared" si="4"/>
        <v>124</v>
      </c>
      <c r="P24" s="31">
        <f t="shared" si="5"/>
        <v>183</v>
      </c>
    </row>
    <row r="25" spans="1:16">
      <c r="A25" s="2" t="str">
        <f>'01_원자료'!A22</f>
        <v>PAT-02</v>
      </c>
      <c r="B25" s="2" t="str">
        <f>'01_원자료'!B22</f>
        <v>claude</v>
      </c>
      <c r="C25" s="2" t="str">
        <f>'01_원자료'!C22</f>
        <v>qwen</v>
      </c>
      <c r="E25" s="17">
        <f>'01_원자료'!P22*'03_가중치민감도'!$B$5+'01_원자료'!Q22*'03_가중치민감도'!$C$5+'01_원자료'!R22*'03_가중치민감도'!$D$5</f>
        <v>0.67837767814459149</v>
      </c>
      <c r="F25" s="17">
        <f>'01_원자료'!P22*'03_가중치민감도'!$B$6+'01_원자료'!Q22*'03_가중치민감도'!$C$6+'01_원자료'!R22*'03_가중치민감도'!$D$6</f>
        <v>0.59175158389532778</v>
      </c>
      <c r="G25" s="17">
        <f>'01_원자료'!P22*'03_가중치민감도'!$B$7+'01_원자료'!Q22*'03_가중치민감도'!$C$7+'01_원자료'!R22*'03_가중치민감도'!$D$7</f>
        <v>0.67605823595643899</v>
      </c>
      <c r="H25" s="17">
        <f>'01_원자료'!P22*'03_가중치민감도'!$B$8+'01_원자료'!Q22*'03_가중치민감도'!$C$8+'01_원자료'!R22*'03_가중치민감도'!$D$8</f>
        <v>0.68997488908535409</v>
      </c>
      <c r="I25" s="17">
        <f>'01_원자료'!P22*'03_가중치민감도'!$B$9+'01_원자료'!Q22*'03_가중치민감도'!$C$9+'01_원자료'!R22*'03_가중치민감도'!$D$9</f>
        <v>0.62140009604113255</v>
      </c>
      <c r="J25" s="17">
        <f>'01_원자료'!P22*'03_가중치민감도'!$B$10+'01_원자료'!Q22*'03_가중치민감도'!$C$10+'01_원자료'!R22*'03_가중치민감도'!$D$10</f>
        <v>0.76964265677016019</v>
      </c>
      <c r="K25" s="31">
        <f t="shared" si="0"/>
        <v>753</v>
      </c>
      <c r="L25" s="31">
        <f t="shared" si="1"/>
        <v>775</v>
      </c>
      <c r="M25" s="31">
        <f t="shared" si="2"/>
        <v>747</v>
      </c>
      <c r="N25" s="31">
        <f t="shared" si="3"/>
        <v>747</v>
      </c>
      <c r="O25" s="31">
        <f t="shared" si="4"/>
        <v>769</v>
      </c>
      <c r="P25" s="31">
        <f t="shared" si="5"/>
        <v>718</v>
      </c>
    </row>
    <row r="26" spans="1:16">
      <c r="A26" s="2" t="str">
        <f>'01_원자료'!A23</f>
        <v>PAT-02</v>
      </c>
      <c r="B26" s="2" t="str">
        <f>'01_원자료'!B23</f>
        <v>gemini</v>
      </c>
      <c r="C26" s="2" t="str">
        <f>'01_원자료'!C23</f>
        <v>gemma</v>
      </c>
      <c r="E26" s="17">
        <f>'01_원자료'!P23*'03_가중치민감도'!$B$5+'01_원자료'!Q23*'03_가중치민감도'!$C$5+'01_원자료'!R23*'03_가중치민감도'!$D$5</f>
        <v>0.74327238185895672</v>
      </c>
      <c r="F26" s="17">
        <f>'01_원자료'!P23*'03_가중치민감도'!$B$6+'01_원자료'!Q23*'03_가중치민감도'!$C$6+'01_원자료'!R23*'03_가중치민감도'!$D$6</f>
        <v>0.61927788952899143</v>
      </c>
      <c r="G26" s="17">
        <f>'01_원자료'!P23*'03_가중치민감도'!$B$7+'01_원자료'!Q23*'03_가중치민감도'!$C$7+'01_원자료'!R23*'03_가중치민감도'!$D$7</f>
        <v>0.73712215685410487</v>
      </c>
      <c r="H26" s="17">
        <f>'01_원자료'!P23*'03_가중치민감도'!$B$8+'01_원자료'!Q23*'03_가중치민감도'!$C$8+'01_원자료'!R23*'03_가중치민감도'!$D$8</f>
        <v>0.77402350688321597</v>
      </c>
      <c r="I26" s="17">
        <f>'01_원자료'!P23*'03_가중치민감도'!$B$9+'01_원자료'!Q23*'03_가중치민감도'!$C$9+'01_원자료'!R23*'03_가중치민감도'!$D$9</f>
        <v>0.66265946197392978</v>
      </c>
      <c r="J26" s="17">
        <f>'01_원자료'!P23*'03_가중치민감도'!$B$10+'01_원자료'!Q23*'03_가중치민감도'!$C$10+'01_원자료'!R23*'03_가중치민감도'!$D$10</f>
        <v>0.87956732419862571</v>
      </c>
      <c r="K26" s="31">
        <f t="shared" si="0"/>
        <v>938</v>
      </c>
      <c r="L26" s="31">
        <f t="shared" si="1"/>
        <v>888</v>
      </c>
      <c r="M26" s="31">
        <f t="shared" si="2"/>
        <v>940</v>
      </c>
      <c r="N26" s="31">
        <f t="shared" si="3"/>
        <v>918</v>
      </c>
      <c r="O26" s="31">
        <f t="shared" si="4"/>
        <v>913</v>
      </c>
      <c r="P26" s="31">
        <f t="shared" si="5"/>
        <v>969</v>
      </c>
    </row>
    <row r="27" spans="1:16">
      <c r="A27" s="2" t="str">
        <f>'01_원자료'!A24</f>
        <v>PAT-02</v>
      </c>
      <c r="B27" s="2" t="str">
        <f>'01_원자료'!B24</f>
        <v>gemini</v>
      </c>
      <c r="C27" s="2" t="str">
        <f>'01_원자료'!C24</f>
        <v>ministral</v>
      </c>
      <c r="E27" s="17">
        <f>'01_원자료'!P24*'03_가중치민감도'!$B$5+'01_원자료'!Q24*'03_가중치민감도'!$C$5+'01_원자료'!R24*'03_가중치민감도'!$D$5</f>
        <v>0.53395181324107921</v>
      </c>
      <c r="F27" s="17">
        <f>'01_원자료'!P24*'03_가중치민감도'!$B$6+'01_원자료'!Q24*'03_가중치민감도'!$C$6+'01_원자료'!R24*'03_가중치민감도'!$D$6</f>
        <v>0.42896158169384285</v>
      </c>
      <c r="G27" s="17">
        <f>'01_원자료'!P24*'03_가중치민감도'!$B$7+'01_원자료'!Q24*'03_가중치민감도'!$C$7+'01_원자료'!R24*'03_가중치민감도'!$D$7</f>
        <v>0.5536847342055109</v>
      </c>
      <c r="H27" s="17">
        <f>'01_원자료'!P24*'03_가중치민감도'!$B$8+'01_원자료'!Q24*'03_가중치민감도'!$C$8+'01_원자료'!R24*'03_가중치민감도'!$D$8</f>
        <v>0.43528720841892132</v>
      </c>
      <c r="I27" s="17">
        <f>'01_원자료'!P24*'03_가중치민감도'!$B$9+'01_원자료'!Q24*'03_가중치민감도'!$C$9+'01_원자료'!R24*'03_가중치민감도'!$D$9</f>
        <v>0.45738068522144398</v>
      </c>
      <c r="J27" s="17">
        <f>'01_원자료'!P24*'03_가중치민감도'!$B$10+'01_원자료'!Q24*'03_가중치민감도'!$C$10+'01_원자료'!R24*'03_가중치민감도'!$D$10</f>
        <v>0.59947620285945247</v>
      </c>
      <c r="K27" s="31">
        <f t="shared" si="0"/>
        <v>148</v>
      </c>
      <c r="L27" s="31">
        <f t="shared" si="1"/>
        <v>68</v>
      </c>
      <c r="M27" s="31">
        <f t="shared" si="2"/>
        <v>177</v>
      </c>
      <c r="N27" s="31">
        <f t="shared" si="3"/>
        <v>114</v>
      </c>
      <c r="O27" s="31">
        <f t="shared" si="4"/>
        <v>84</v>
      </c>
      <c r="P27" s="31">
        <f t="shared" si="5"/>
        <v>188</v>
      </c>
    </row>
    <row r="28" spans="1:16">
      <c r="A28" s="2" t="str">
        <f>'01_원자료'!A25</f>
        <v>PAT-02</v>
      </c>
      <c r="B28" s="2" t="str">
        <f>'01_원자료'!B25</f>
        <v>gemini</v>
      </c>
      <c r="C28" s="2" t="str">
        <f>'01_원자료'!C25</f>
        <v>qwen</v>
      </c>
      <c r="E28" s="17">
        <f>'01_원자료'!P25*'03_가중치민감도'!$B$5+'01_원자료'!Q25*'03_가중치민감도'!$C$5+'01_원자료'!R25*'03_가중치민감도'!$D$5</f>
        <v>0.66498923201323601</v>
      </c>
      <c r="F28" s="17">
        <f>'01_원자료'!P25*'03_가중치민감도'!$B$6+'01_원자료'!Q25*'03_가중치민감도'!$C$6+'01_원자료'!R25*'03_가중치민감도'!$D$6</f>
        <v>0.56574685169142069</v>
      </c>
      <c r="G28" s="17">
        <f>'01_원자료'!P25*'03_가중치민감도'!$B$7+'01_원자료'!Q25*'03_가중치민감도'!$C$7+'01_원자료'!R25*'03_가중치민감도'!$D$7</f>
        <v>0.66984574173861855</v>
      </c>
      <c r="H28" s="17">
        <f>'01_원자료'!P25*'03_가중치민감도'!$B$8+'01_원자료'!Q25*'03_가중치민감도'!$C$8+'01_원자료'!R25*'03_가중치민감도'!$D$8</f>
        <v>0.64070668338632386</v>
      </c>
      <c r="I28" s="17">
        <f>'01_원자료'!P25*'03_가중치민감도'!$B$9+'01_원자료'!Q25*'03_가중치민감도'!$C$9+'01_원자료'!R25*'03_가중치민감도'!$D$9</f>
        <v>0.59720880855689762</v>
      </c>
      <c r="J28" s="17">
        <f>'01_원자료'!P25*'03_가중치민감도'!$B$10+'01_원자료'!Q25*'03_가중치민감도'!$C$10+'01_원자료'!R25*'03_가중치민감도'!$D$10</f>
        <v>0.75451859288428658</v>
      </c>
      <c r="K28" s="31">
        <f t="shared" si="0"/>
        <v>692</v>
      </c>
      <c r="L28" s="31">
        <f t="shared" si="1"/>
        <v>670</v>
      </c>
      <c r="M28" s="31">
        <f t="shared" si="2"/>
        <v>720</v>
      </c>
      <c r="N28" s="31">
        <f t="shared" si="3"/>
        <v>608</v>
      </c>
      <c r="O28" s="31">
        <f t="shared" si="4"/>
        <v>669</v>
      </c>
      <c r="P28" s="31">
        <f t="shared" si="5"/>
        <v>677</v>
      </c>
    </row>
    <row r="29" spans="1:16">
      <c r="A29" s="2" t="str">
        <f>'01_원자료'!A26</f>
        <v>PAT-02</v>
      </c>
      <c r="B29" s="2" t="str">
        <f>'01_원자료'!B26</f>
        <v>mistral</v>
      </c>
      <c r="C29" s="2" t="str">
        <f>'01_원자료'!C26</f>
        <v>gemma</v>
      </c>
      <c r="E29" s="17">
        <f>'01_원자료'!P26*'03_가중치민감도'!$B$5+'01_원자료'!Q26*'03_가중치민감도'!$C$5+'01_원자료'!R26*'03_가중치민감도'!$D$5</f>
        <v>0.63620584730052698</v>
      </c>
      <c r="F29" s="17">
        <f>'01_원자료'!P26*'03_가중치민감도'!$B$6+'01_원자료'!Q26*'03_가중치민감도'!$C$6+'01_원자료'!R26*'03_가중치민감도'!$D$6</f>
        <v>0.5436028722578794</v>
      </c>
      <c r="G29" s="17">
        <f>'01_원자료'!P26*'03_가중치민감도'!$B$7+'01_원자료'!Q26*'03_가중치민감도'!$C$7+'01_원자료'!R26*'03_가중치민감도'!$D$7</f>
        <v>0.64085804101061417</v>
      </c>
      <c r="H29" s="17">
        <f>'01_원자료'!P26*'03_가중치민감도'!$B$8+'01_원자료'!Q26*'03_가중치민감도'!$C$8+'01_원자료'!R26*'03_가중치민감도'!$D$8</f>
        <v>0.61294487875009063</v>
      </c>
      <c r="I29" s="17">
        <f>'01_원자료'!P26*'03_가중치민감도'!$B$9+'01_원자료'!Q26*'03_가중치민감도'!$C$9+'01_원자료'!R26*'03_가중치민감도'!$D$9</f>
        <v>0.57291979936873227</v>
      </c>
      <c r="J29" s="17">
        <f>'01_원자료'!P26*'03_가중치민감도'!$B$10+'01_원자료'!Q26*'03_가중치민감도'!$C$10+'01_원자료'!R26*'03_가중치민감도'!$D$10</f>
        <v>0.71950443492299998</v>
      </c>
      <c r="K29" s="31">
        <f t="shared" si="0"/>
        <v>566</v>
      </c>
      <c r="L29" s="31">
        <f t="shared" si="1"/>
        <v>556</v>
      </c>
      <c r="M29" s="31">
        <f t="shared" si="2"/>
        <v>566</v>
      </c>
      <c r="N29" s="31">
        <f t="shared" si="3"/>
        <v>530</v>
      </c>
      <c r="O29" s="31">
        <f t="shared" si="4"/>
        <v>552</v>
      </c>
      <c r="P29" s="31">
        <f t="shared" si="5"/>
        <v>539</v>
      </c>
    </row>
    <row r="30" spans="1:16">
      <c r="A30" s="2" t="str">
        <f>'01_원자료'!A27</f>
        <v>PAT-02</v>
      </c>
      <c r="B30" s="2" t="str">
        <f>'01_원자료'!B27</f>
        <v>mistral</v>
      </c>
      <c r="C30" s="2" t="str">
        <f>'01_원자료'!C27</f>
        <v>ministral</v>
      </c>
      <c r="E30" s="17">
        <f>'01_원자료'!P27*'03_가중치민감도'!$B$5+'01_원자료'!Q27*'03_가중치민감도'!$C$5+'01_원자료'!R27*'03_가중치민감도'!$D$5</f>
        <v>0.54799872748633449</v>
      </c>
      <c r="F30" s="17">
        <f>'01_원자료'!P27*'03_가중치민감도'!$B$6+'01_원자료'!Q27*'03_가중치민감도'!$C$6+'01_원자료'!R27*'03_가중치민감도'!$D$6</f>
        <v>0.45519060458861538</v>
      </c>
      <c r="G30" s="17">
        <f>'01_원자료'!P27*'03_가중치민감도'!$B$7+'01_원자료'!Q27*'03_가중치민감도'!$C$7+'01_원자료'!R27*'03_가중치민감도'!$D$7</f>
        <v>0.56241441210115706</v>
      </c>
      <c r="H30" s="17">
        <f>'01_원자료'!P27*'03_가중치민감도'!$B$8+'01_원자료'!Q27*'03_가중치민감도'!$C$8+'01_원자료'!R27*'03_가중치민감도'!$D$8</f>
        <v>0.47592030441222122</v>
      </c>
      <c r="I30" s="17">
        <f>'01_원자료'!P27*'03_가중치민감도'!$B$9+'01_원자료'!Q27*'03_가중치민감도'!$C$9+'01_원자료'!R27*'03_가중치민감도'!$D$9</f>
        <v>0.48132141734958034</v>
      </c>
      <c r="J30" s="17">
        <f>'01_원자료'!P27*'03_가중치민감도'!$B$10+'01_원자료'!Q27*'03_가중치민감도'!$C$10+'01_원자료'!R27*'03_가중치민감도'!$D$10</f>
        <v>0.61197548115440825</v>
      </c>
      <c r="K30" s="31">
        <f t="shared" si="0"/>
        <v>196</v>
      </c>
      <c r="L30" s="31">
        <f t="shared" si="1"/>
        <v>156</v>
      </c>
      <c r="M30" s="31">
        <f t="shared" si="2"/>
        <v>211</v>
      </c>
      <c r="N30" s="31">
        <f t="shared" si="3"/>
        <v>167</v>
      </c>
      <c r="O30" s="31">
        <f t="shared" si="4"/>
        <v>169</v>
      </c>
      <c r="P30" s="31">
        <f t="shared" si="5"/>
        <v>217</v>
      </c>
    </row>
    <row r="31" spans="1:16">
      <c r="A31" s="2" t="str">
        <f>'01_원자료'!A28</f>
        <v>PAT-02</v>
      </c>
      <c r="B31" s="2" t="str">
        <f>'01_원자료'!B28</f>
        <v>mistral</v>
      </c>
      <c r="C31" s="2" t="str">
        <f>'01_원자료'!C28</f>
        <v>qwen</v>
      </c>
      <c r="E31" s="17">
        <f>'01_원자료'!P28*'03_가중치민감도'!$B$5+'01_원자료'!Q28*'03_가중치민감도'!$C$5+'01_원자료'!R28*'03_가중치민감도'!$D$5</f>
        <v>0.65125479018369292</v>
      </c>
      <c r="F31" s="17">
        <f>'01_원자료'!P28*'03_가중치민감도'!$B$6+'01_원자료'!Q28*'03_가중치민감도'!$C$6+'01_원자료'!R28*'03_가중치민감도'!$D$6</f>
        <v>0.55795876102016562</v>
      </c>
      <c r="G31" s="17">
        <f>'01_원자료'!P28*'03_가중치민감도'!$B$7+'01_원자료'!Q28*'03_가중치민감도'!$C$7+'01_원자료'!R28*'03_가중치민감도'!$D$7</f>
        <v>0.65340485846262797</v>
      </c>
      <c r="H31" s="17">
        <f>'01_원자료'!P28*'03_가중치민감도'!$B$8+'01_원자료'!Q28*'03_가중치민감도'!$C$8+'01_원자료'!R28*'03_가중치민감도'!$D$8</f>
        <v>0.6405044487890178</v>
      </c>
      <c r="I31" s="17">
        <f>'01_원자료'!P28*'03_가중치민감도'!$B$9+'01_원자료'!Q28*'03_가중치민감도'!$C$9+'01_원자료'!R28*'03_가중치민감도'!$D$9</f>
        <v>0.58834074798169578</v>
      </c>
      <c r="J31" s="17">
        <f>'01_원자료'!P28*'03_가중치민감도'!$B$10+'01_원자료'!Q28*'03_가중치민감도'!$C$10+'01_원자료'!R28*'03_가중치민감도'!$D$10</f>
        <v>0.74025068278935025</v>
      </c>
      <c r="K31" s="31">
        <f t="shared" si="0"/>
        <v>625</v>
      </c>
      <c r="L31" s="31">
        <f t="shared" si="1"/>
        <v>629</v>
      </c>
      <c r="M31" s="31">
        <f t="shared" si="2"/>
        <v>632</v>
      </c>
      <c r="N31" s="31">
        <f t="shared" si="3"/>
        <v>606</v>
      </c>
      <c r="O31" s="31">
        <f t="shared" si="4"/>
        <v>619</v>
      </c>
      <c r="P31" s="31">
        <f t="shared" si="5"/>
        <v>625</v>
      </c>
    </row>
    <row r="32" spans="1:16">
      <c r="A32" s="2" t="str">
        <f>'01_원자료'!A29</f>
        <v>PAT-02</v>
      </c>
      <c r="B32" s="2" t="str">
        <f>'01_원자료'!B29</f>
        <v>qwen3_6</v>
      </c>
      <c r="C32" s="2" t="str">
        <f>'01_원자료'!C29</f>
        <v>gemma</v>
      </c>
      <c r="E32" s="17">
        <f>'01_원자료'!P29*'03_가중치민감도'!$B$5+'01_원자료'!Q29*'03_가중치민감도'!$C$5+'01_원자료'!R29*'03_가중치민감도'!$D$5</f>
        <v>0.71219526435362857</v>
      </c>
      <c r="F32" s="17">
        <f>'01_원자료'!P29*'03_가중치민감도'!$B$6+'01_원자료'!Q29*'03_가중치민감도'!$C$6+'01_원자료'!R29*'03_가중치민감도'!$D$6</f>
        <v>0.60470244996987432</v>
      </c>
      <c r="G32" s="17">
        <f>'01_원자료'!P29*'03_가중치민감도'!$B$7+'01_원자료'!Q29*'03_가중치민감도'!$C$7+'01_원자료'!R29*'03_가중치민감도'!$D$7</f>
        <v>0.70208013972781502</v>
      </c>
      <c r="H32" s="17">
        <f>'01_원자료'!P29*'03_가중치민감도'!$B$8+'01_원자료'!Q29*'03_가중치민감도'!$C$8+'01_원자료'!R29*'03_가중치민감도'!$D$8</f>
        <v>0.76277088748269584</v>
      </c>
      <c r="I32" s="17">
        <f>'01_원자료'!P29*'03_가중치민감도'!$B$9+'01_원자료'!Q29*'03_가중치민감도'!$C$9+'01_원자료'!R29*'03_가중치민감도'!$D$9</f>
        <v>0.64390509630639614</v>
      </c>
      <c r="J32" s="17">
        <f>'01_원자료'!P29*'03_가중치민감도'!$B$10+'01_원자료'!Q29*'03_가중치민감도'!$C$10+'01_원자료'!R29*'03_가중치민감도'!$D$10</f>
        <v>0.83991832798900967</v>
      </c>
      <c r="K32" s="31">
        <f t="shared" si="0"/>
        <v>852</v>
      </c>
      <c r="L32" s="31">
        <f t="shared" si="1"/>
        <v>836</v>
      </c>
      <c r="M32" s="31">
        <f t="shared" si="2"/>
        <v>841</v>
      </c>
      <c r="N32" s="31">
        <f t="shared" si="3"/>
        <v>874</v>
      </c>
      <c r="O32" s="31">
        <f t="shared" si="4"/>
        <v>849</v>
      </c>
      <c r="P32" s="31">
        <f t="shared" si="5"/>
        <v>862</v>
      </c>
    </row>
    <row r="33" spans="1:16">
      <c r="A33" s="2" t="str">
        <f>'01_원자료'!A30</f>
        <v>PAT-02</v>
      </c>
      <c r="B33" s="2" t="str">
        <f>'01_원자료'!B30</f>
        <v>qwen3_6</v>
      </c>
      <c r="C33" s="2" t="str">
        <f>'01_원자료'!C30</f>
        <v>ministral</v>
      </c>
      <c r="E33" s="17">
        <f>'01_원자료'!P30*'03_가중치민감도'!$B$5+'01_원자료'!Q30*'03_가중치민감도'!$C$5+'01_원자료'!R30*'03_가중치민감도'!$D$5</f>
        <v>0.50506771999702216</v>
      </c>
      <c r="F33" s="17">
        <f>'01_원자료'!P30*'03_가중치민감도'!$B$6+'01_원자료'!Q30*'03_가중치민감도'!$C$6+'01_원자료'!R30*'03_가중치민감도'!$D$6</f>
        <v>0.41349940766578053</v>
      </c>
      <c r="G33" s="17">
        <f>'01_원자료'!P30*'03_가중치민감도'!$B$7+'01_원자료'!Q30*'03_가중치민감도'!$C$7+'01_원자료'!R30*'03_가중치민감도'!$D$7</f>
        <v>0.52127513992311592</v>
      </c>
      <c r="H33" s="17">
        <f>'01_원자료'!P30*'03_가중치민감도'!$B$8+'01_원자료'!Q30*'03_가중치민감도'!$C$8+'01_원자료'!R30*'03_가중치민감도'!$D$8</f>
        <v>0.42403062036655254</v>
      </c>
      <c r="I33" s="17">
        <f>'01_원자료'!P30*'03_가중치민감도'!$B$9+'01_원자료'!Q30*'03_가중치민감도'!$C$9+'01_원자료'!R30*'03_가중치민감도'!$D$9</f>
        <v>0.4386197051341626</v>
      </c>
      <c r="J33" s="17">
        <f>'01_원자료'!P30*'03_가중치민감도'!$B$10+'01_원자료'!Q30*'03_가중치민감도'!$C$10+'01_원자료'!R30*'03_가중치민감도'!$D$10</f>
        <v>0.56422119247607572</v>
      </c>
      <c r="K33" s="31">
        <f t="shared" si="0"/>
        <v>55</v>
      </c>
      <c r="L33" s="31">
        <f t="shared" si="1"/>
        <v>38</v>
      </c>
      <c r="M33" s="31">
        <f t="shared" si="2"/>
        <v>51</v>
      </c>
      <c r="N33" s="31">
        <f t="shared" si="3"/>
        <v>96</v>
      </c>
      <c r="O33" s="31">
        <f t="shared" si="4"/>
        <v>45</v>
      </c>
      <c r="P33" s="31">
        <f t="shared" si="5"/>
        <v>101</v>
      </c>
    </row>
    <row r="34" spans="1:16">
      <c r="A34" s="2" t="str">
        <f>'01_원자료'!A31</f>
        <v>PAT-02</v>
      </c>
      <c r="B34" s="2" t="str">
        <f>'01_원자료'!B31</f>
        <v>qwen3_6</v>
      </c>
      <c r="C34" s="2" t="str">
        <f>'01_원자료'!C31</f>
        <v>qwen</v>
      </c>
      <c r="E34" s="17">
        <f>'01_원자료'!P31*'03_가중치민감도'!$B$5+'01_원자료'!Q31*'03_가중치민감도'!$C$5+'01_원자료'!R31*'03_가중치민감도'!$D$5</f>
        <v>0.64009498827105582</v>
      </c>
      <c r="F34" s="17">
        <f>'01_원자료'!P31*'03_가중치민감도'!$B$6+'01_원자료'!Q31*'03_가중치민감도'!$C$6+'01_원자료'!R31*'03_가중치민감도'!$D$6</f>
        <v>0.5587871309971818</v>
      </c>
      <c r="G34" s="17">
        <f>'01_원자료'!P31*'03_가중치민감도'!$B$7+'01_원자료'!Q31*'03_가중치민감도'!$C$7+'01_원자료'!R31*'03_가중치민감도'!$D$7</f>
        <v>0.64138243409726137</v>
      </c>
      <c r="H34" s="17">
        <f>'01_원자료'!P31*'03_가중치민감도'!$B$8+'01_원자료'!Q31*'03_가중치민감도'!$C$8+'01_원자료'!R31*'03_가중치민감도'!$D$8</f>
        <v>0.63365775914002764</v>
      </c>
      <c r="I34" s="17">
        <f>'01_원자료'!P31*'03_가중치민감도'!$B$9+'01_원자료'!Q31*'03_가중치민감도'!$C$9+'01_원자료'!R31*'03_가중치민감도'!$D$9</f>
        <v>0.58546060147973733</v>
      </c>
      <c r="J34" s="17">
        <f>'01_원자료'!P31*'03_가중치민감도'!$B$10+'01_원자료'!Q31*'03_가중치민감도'!$C$10+'01_원자료'!R31*'03_가중치민감도'!$D$10</f>
        <v>0.71882795389251841</v>
      </c>
      <c r="K34" s="31">
        <f t="shared" si="0"/>
        <v>574</v>
      </c>
      <c r="L34" s="31">
        <f t="shared" si="1"/>
        <v>633</v>
      </c>
      <c r="M34" s="31">
        <f t="shared" si="2"/>
        <v>569</v>
      </c>
      <c r="N34" s="31">
        <f t="shared" si="3"/>
        <v>589</v>
      </c>
      <c r="O34" s="31">
        <f t="shared" si="4"/>
        <v>609</v>
      </c>
      <c r="P34" s="31">
        <f t="shared" si="5"/>
        <v>533</v>
      </c>
    </row>
    <row r="35" spans="1:16">
      <c r="A35" s="2" t="str">
        <f>'01_원자료'!A32</f>
        <v>PAT-03</v>
      </c>
      <c r="B35" s="2" t="str">
        <f>'01_원자료'!B32</f>
        <v>chatgpt</v>
      </c>
      <c r="C35" s="2" t="str">
        <f>'01_원자료'!C32</f>
        <v>gemma</v>
      </c>
      <c r="E35" s="17">
        <f>'01_원자료'!P32*'03_가중치민감도'!$B$5+'01_원자료'!Q32*'03_가중치민감도'!$C$5+'01_원자료'!R32*'03_가중치민감도'!$D$5</f>
        <v>0.53964308805530636</v>
      </c>
      <c r="F35" s="17">
        <f>'01_원자료'!P32*'03_가중치민감도'!$B$6+'01_원자료'!Q32*'03_가중치민감도'!$C$6+'01_원자료'!R32*'03_가중치민감도'!$D$6</f>
        <v>0.44393815631197131</v>
      </c>
      <c r="G35" s="17">
        <f>'01_원자료'!P32*'03_가중치민감도'!$B$7+'01_원자료'!Q32*'03_가중치민감도'!$C$7+'01_원자료'!R32*'03_가중치민감도'!$D$7</f>
        <v>0.54707593585903924</v>
      </c>
      <c r="H35" s="17">
        <f>'01_원자료'!P32*'03_가중치민감도'!$B$8+'01_원자료'!Q32*'03_가중치민감도'!$C$8+'01_원자료'!R32*'03_가중치민감도'!$D$8</f>
        <v>0.50247884903664164</v>
      </c>
      <c r="I35" s="17">
        <f>'01_원자료'!P32*'03_가중치민감도'!$B$9+'01_원자료'!Q32*'03_가중치민감도'!$C$9+'01_원자료'!R32*'03_가중치민감도'!$D$9</f>
        <v>0.47336218429183818</v>
      </c>
      <c r="J35" s="17">
        <f>'01_원자료'!P32*'03_가중치민감도'!$B$10+'01_원자료'!Q32*'03_가중치민감도'!$C$10+'01_원자료'!R32*'03_가중치민감도'!$D$10</f>
        <v>0.62048232419117544</v>
      </c>
      <c r="K35" s="31">
        <f t="shared" si="0"/>
        <v>167</v>
      </c>
      <c r="L35" s="31">
        <f t="shared" si="1"/>
        <v>111</v>
      </c>
      <c r="M35" s="31">
        <f t="shared" si="2"/>
        <v>140</v>
      </c>
      <c r="N35" s="31">
        <f t="shared" si="3"/>
        <v>232</v>
      </c>
      <c r="O35" s="31">
        <f t="shared" si="4"/>
        <v>143</v>
      </c>
      <c r="P35" s="31">
        <f t="shared" si="5"/>
        <v>244</v>
      </c>
    </row>
    <row r="36" spans="1:16">
      <c r="A36" s="2" t="str">
        <f>'01_원자료'!A33</f>
        <v>PAT-03</v>
      </c>
      <c r="B36" s="2" t="str">
        <f>'01_원자료'!B33</f>
        <v>chatgpt</v>
      </c>
      <c r="C36" s="2" t="str">
        <f>'01_원자료'!C33</f>
        <v>ministral</v>
      </c>
      <c r="E36" s="17">
        <f>'01_원자료'!P33*'03_가중치민감도'!$B$5+'01_원자료'!Q33*'03_가중치민감도'!$C$5+'01_원자료'!R33*'03_가중치민감도'!$D$5</f>
        <v>0.49531958700984452</v>
      </c>
      <c r="F36" s="17">
        <f>'01_원자료'!P33*'03_가중치민감도'!$B$6+'01_원자료'!Q33*'03_가중치민감도'!$C$6+'01_원자료'!R33*'03_가중치민감도'!$D$6</f>
        <v>0.42119387482104803</v>
      </c>
      <c r="G36" s="17">
        <f>'01_원자료'!P33*'03_가중치민감도'!$B$7+'01_원자료'!Q33*'03_가중치민감도'!$C$7+'01_원자료'!R33*'03_가중치민감도'!$D$7</f>
        <v>0.51614394461536695</v>
      </c>
      <c r="H36" s="17">
        <f>'01_원자료'!P33*'03_가중치민감도'!$B$8+'01_원자료'!Q33*'03_가중치민감도'!$C$8+'01_원자료'!R33*'03_가중치민감도'!$D$8</f>
        <v>0.39119779898223245</v>
      </c>
      <c r="I36" s="17">
        <f>'01_원자료'!P33*'03_가중치민감도'!$B$9+'01_원자료'!Q33*'03_가중치민감도'!$C$9+'01_원자료'!R33*'03_가중치민감도'!$D$9</f>
        <v>0.43896099301547226</v>
      </c>
      <c r="J36" s="17">
        <f>'01_원자료'!P33*'03_가중치민감도'!$B$10+'01_원자료'!Q33*'03_가중치민감도'!$C$10+'01_원자료'!R33*'03_가중치민감도'!$D$10</f>
        <v>0.52779658398759621</v>
      </c>
      <c r="K36" s="31">
        <f t="shared" si="0"/>
        <v>38</v>
      </c>
      <c r="L36" s="31">
        <f t="shared" si="1"/>
        <v>48</v>
      </c>
      <c r="M36" s="31">
        <f t="shared" si="2"/>
        <v>40</v>
      </c>
      <c r="N36" s="31">
        <f t="shared" si="3"/>
        <v>32</v>
      </c>
      <c r="O36" s="31">
        <f t="shared" si="4"/>
        <v>46</v>
      </c>
      <c r="P36" s="31">
        <f t="shared" si="5"/>
        <v>27</v>
      </c>
    </row>
    <row r="37" spans="1:16">
      <c r="A37" s="2" t="str">
        <f>'01_원자료'!A34</f>
        <v>PAT-03</v>
      </c>
      <c r="B37" s="2" t="str">
        <f>'01_원자료'!B34</f>
        <v>chatgpt</v>
      </c>
      <c r="C37" s="2" t="str">
        <f>'01_원자료'!C34</f>
        <v>qwen</v>
      </c>
      <c r="E37" s="17">
        <f>'01_원자료'!P34*'03_가중치민감도'!$B$5+'01_원자료'!Q34*'03_가중치민감도'!$C$5+'01_원자료'!R34*'03_가중치민감도'!$D$5</f>
        <v>0.53977643345886239</v>
      </c>
      <c r="F37" s="17">
        <f>'01_원자료'!P34*'03_가중치민감도'!$B$6+'01_원자료'!Q34*'03_가중치민감도'!$C$6+'01_원자료'!R34*'03_가중치민감도'!$D$6</f>
        <v>0.46400236291264035</v>
      </c>
      <c r="G37" s="17">
        <f>'01_원자료'!P34*'03_가중치민감도'!$B$7+'01_원자료'!Q34*'03_가중치민감도'!$C$7+'01_원자료'!R34*'03_가중치민감도'!$D$7</f>
        <v>0.55614203438866072</v>
      </c>
      <c r="H37" s="17">
        <f>'01_원자료'!P34*'03_가중치민감도'!$B$8+'01_원자료'!Q34*'03_가중치민감도'!$C$8+'01_원자료'!R34*'03_가중치민감도'!$D$8</f>
        <v>0.45794842880987024</v>
      </c>
      <c r="I37" s="17">
        <f>'01_원자료'!P34*'03_가중치민감도'!$B$9+'01_원자료'!Q34*'03_가중치민감도'!$C$9+'01_원자료'!R34*'03_가중치민감도'!$D$9</f>
        <v>0.48380518611811441</v>
      </c>
      <c r="J37" s="17">
        <f>'01_원자료'!P34*'03_가중치민감도'!$B$10+'01_원자료'!Q34*'03_가중치민감도'!$C$10+'01_원자료'!R34*'03_가중치민감도'!$D$10</f>
        <v>0.58281930214548749</v>
      </c>
      <c r="K37" s="31">
        <f t="shared" si="0"/>
        <v>169</v>
      </c>
      <c r="L37" s="31">
        <f t="shared" si="1"/>
        <v>195</v>
      </c>
      <c r="M37" s="31">
        <f t="shared" si="2"/>
        <v>186</v>
      </c>
      <c r="N37" s="31">
        <f t="shared" si="3"/>
        <v>141</v>
      </c>
      <c r="O37" s="31">
        <f t="shared" si="4"/>
        <v>174</v>
      </c>
      <c r="P37" s="31">
        <f t="shared" si="5"/>
        <v>136</v>
      </c>
    </row>
    <row r="38" spans="1:16">
      <c r="A38" s="2" t="str">
        <f>'01_원자료'!A35</f>
        <v>PAT-03</v>
      </c>
      <c r="B38" s="2" t="str">
        <f>'01_원자료'!B35</f>
        <v>claude</v>
      </c>
      <c r="C38" s="2" t="str">
        <f>'01_원자료'!C35</f>
        <v>gemma</v>
      </c>
      <c r="E38" s="17">
        <f>'01_원자료'!P35*'03_가중치민감도'!$B$5+'01_원자료'!Q35*'03_가중치민감도'!$C$5+'01_원자료'!R35*'03_가중치민감도'!$D$5</f>
        <v>0.61610311029812403</v>
      </c>
      <c r="F38" s="17">
        <f>'01_원자료'!P35*'03_가중치민감도'!$B$6+'01_원자료'!Q35*'03_가중치민감도'!$C$6+'01_원자료'!R35*'03_가중치민감도'!$D$6</f>
        <v>0.50919573280719055</v>
      </c>
      <c r="G38" s="17">
        <f>'01_원자료'!P35*'03_가중치민감도'!$B$7+'01_원자료'!Q35*'03_가중치민감도'!$C$7+'01_원자료'!R35*'03_가중치민감도'!$D$7</f>
        <v>0.61476337581493712</v>
      </c>
      <c r="H38" s="17">
        <f>'01_원자료'!P35*'03_가중치민감도'!$B$8+'01_원자료'!Q35*'03_가중치민감도'!$C$8+'01_원자료'!R35*'03_가중치민감도'!$D$8</f>
        <v>0.62280178271405895</v>
      </c>
      <c r="I38" s="17">
        <f>'01_원자료'!P35*'03_가중치민감도'!$B$9+'01_원자료'!Q35*'03_가중치민감도'!$C$9+'01_원자료'!R35*'03_가중치민감도'!$D$9</f>
        <v>0.54527810346523009</v>
      </c>
      <c r="J38" s="17">
        <f>'01_원자료'!P35*'03_가중치민감도'!$B$10+'01_원자료'!Q35*'03_가중치민감도'!$C$10+'01_원자료'!R35*'03_가중치민감도'!$D$10</f>
        <v>0.72568995675543158</v>
      </c>
      <c r="K38" s="31">
        <f t="shared" si="0"/>
        <v>466</v>
      </c>
      <c r="L38" s="31">
        <f t="shared" si="1"/>
        <v>412</v>
      </c>
      <c r="M38" s="31">
        <f t="shared" si="2"/>
        <v>433</v>
      </c>
      <c r="N38" s="31">
        <f t="shared" si="3"/>
        <v>555</v>
      </c>
      <c r="O38" s="31">
        <f t="shared" si="4"/>
        <v>440</v>
      </c>
      <c r="P38" s="31">
        <f t="shared" si="5"/>
        <v>568</v>
      </c>
    </row>
    <row r="39" spans="1:16">
      <c r="A39" s="2" t="str">
        <f>'01_원자료'!A36</f>
        <v>PAT-03</v>
      </c>
      <c r="B39" s="2" t="str">
        <f>'01_원자료'!B36</f>
        <v>claude</v>
      </c>
      <c r="C39" s="2" t="str">
        <f>'01_원자료'!C36</f>
        <v>ministral</v>
      </c>
      <c r="E39" s="17">
        <f>'01_원자료'!P36*'03_가중치민감도'!$B$5+'01_원자료'!Q36*'03_가중치민감도'!$C$5+'01_원자료'!R36*'03_가중치민감도'!$D$5</f>
        <v>0.53496381531098258</v>
      </c>
      <c r="F39" s="17">
        <f>'01_원자료'!P36*'03_가중치민감도'!$B$6+'01_원자료'!Q36*'03_가중치민감도'!$C$6+'01_원자료'!R36*'03_가중치민감도'!$D$6</f>
        <v>0.46013119368660066</v>
      </c>
      <c r="G39" s="17">
        <f>'01_원자료'!P36*'03_가중치민감도'!$B$7+'01_원자료'!Q36*'03_가중치민감도'!$C$7+'01_원자료'!R36*'03_가중치민감도'!$D$7</f>
        <v>0.5499456122396722</v>
      </c>
      <c r="H39" s="17">
        <f>'01_원자료'!P36*'03_가중치민감도'!$B$8+'01_원자료'!Q36*'03_가중치민감도'!$C$8+'01_원자료'!R36*'03_가중치민감도'!$D$8</f>
        <v>0.46005483066753461</v>
      </c>
      <c r="I39" s="17">
        <f>'01_원자료'!P36*'03_가중치민감도'!$B$9+'01_원자료'!Q36*'03_가중치민감도'!$C$9+'01_원자료'!R36*'03_가중치민감도'!$D$9</f>
        <v>0.48008146858516426</v>
      </c>
      <c r="J39" s="17">
        <f>'01_원자료'!P36*'03_가중치민감도'!$B$10+'01_원자료'!Q36*'03_가중치민감도'!$C$10+'01_원자료'!R36*'03_가중치민감도'!$D$10</f>
        <v>0.57983284307798544</v>
      </c>
      <c r="K39" s="31">
        <f t="shared" si="0"/>
        <v>153</v>
      </c>
      <c r="L39" s="31">
        <f t="shared" si="1"/>
        <v>178</v>
      </c>
      <c r="M39" s="31">
        <f t="shared" si="2"/>
        <v>158</v>
      </c>
      <c r="N39" s="31">
        <f t="shared" si="3"/>
        <v>146</v>
      </c>
      <c r="O39" s="31">
        <f t="shared" si="4"/>
        <v>166</v>
      </c>
      <c r="P39" s="31">
        <f t="shared" si="5"/>
        <v>131</v>
      </c>
    </row>
    <row r="40" spans="1:16">
      <c r="A40" s="2" t="str">
        <f>'01_원자료'!A37</f>
        <v>PAT-03</v>
      </c>
      <c r="B40" s="2" t="str">
        <f>'01_원자료'!B37</f>
        <v>claude</v>
      </c>
      <c r="C40" s="2" t="str">
        <f>'01_원자료'!C37</f>
        <v>qwen</v>
      </c>
      <c r="E40" s="17">
        <f>'01_원자료'!P37*'03_가중치민감도'!$B$5+'01_원자료'!Q37*'03_가중치민감도'!$C$5+'01_원자료'!R37*'03_가중치민감도'!$D$5</f>
        <v>0.67295610262663641</v>
      </c>
      <c r="F40" s="17">
        <f>'01_원자료'!P37*'03_가중치민감도'!$B$6+'01_원자료'!Q37*'03_가중치민감도'!$C$6+'01_원자료'!R37*'03_가중치민감도'!$D$6</f>
        <v>0.58214110763456395</v>
      </c>
      <c r="G40" s="17">
        <f>'01_원자료'!P37*'03_가중치민감도'!$B$7+'01_원자료'!Q37*'03_가중치민감도'!$C$7+'01_원자료'!R37*'03_가중치민감도'!$D$7</f>
        <v>0.67193101703183422</v>
      </c>
      <c r="H40" s="17">
        <f>'01_원자료'!P37*'03_가중치민감도'!$B$8+'01_원자료'!Q37*'03_가중치민감도'!$C$8+'01_원자료'!R37*'03_가중치민감도'!$D$8</f>
        <v>0.67808153060064746</v>
      </c>
      <c r="I40" s="17">
        <f>'01_원자료'!P37*'03_가중치민감도'!$B$9+'01_원자료'!Q37*'03_가중치민감도'!$C$9+'01_원자료'!R37*'03_가중치민감도'!$D$9</f>
        <v>0.61275446783018828</v>
      </c>
      <c r="J40" s="17">
        <f>'01_원자료'!P37*'03_가중치민감도'!$B$10+'01_원자료'!Q37*'03_가중치민감도'!$C$10+'01_원자료'!R37*'03_가중치민감도'!$D$10</f>
        <v>0.76582126880831325</v>
      </c>
      <c r="K40" s="31">
        <f t="shared" si="0"/>
        <v>729</v>
      </c>
      <c r="L40" s="31">
        <f t="shared" si="1"/>
        <v>746</v>
      </c>
      <c r="M40" s="31">
        <f t="shared" si="2"/>
        <v>725</v>
      </c>
      <c r="N40" s="31">
        <f t="shared" si="3"/>
        <v>718</v>
      </c>
      <c r="O40" s="31">
        <f t="shared" si="4"/>
        <v>737</v>
      </c>
      <c r="P40" s="31">
        <f t="shared" si="5"/>
        <v>709</v>
      </c>
    </row>
    <row r="41" spans="1:16">
      <c r="A41" s="2" t="str">
        <f>'01_원자료'!A38</f>
        <v>PAT-03</v>
      </c>
      <c r="B41" s="2" t="str">
        <f>'01_원자료'!B38</f>
        <v>gemini</v>
      </c>
      <c r="C41" s="2" t="str">
        <f>'01_원자료'!C38</f>
        <v>gemma</v>
      </c>
      <c r="E41" s="17">
        <f>'01_원자료'!P38*'03_가중치민감도'!$B$5+'01_원자료'!Q38*'03_가중치민감도'!$C$5+'01_원자료'!R38*'03_가중치민감도'!$D$5</f>
        <v>0.71355478445857357</v>
      </c>
      <c r="F41" s="17">
        <f>'01_원자료'!P38*'03_가중치민감도'!$B$6+'01_원자료'!Q38*'03_가중치민감도'!$C$6+'01_원자료'!R38*'03_가중치민감도'!$D$6</f>
        <v>0.59143307662645861</v>
      </c>
      <c r="G41" s="17">
        <f>'01_원자료'!P38*'03_가중치민감도'!$B$7+'01_원자료'!Q38*'03_가중치민감도'!$C$7+'01_원자료'!R38*'03_가중치민감도'!$D$7</f>
        <v>0.70565150322882464</v>
      </c>
      <c r="H41" s="17">
        <f>'01_원자료'!P38*'03_가중치민감도'!$B$8+'01_원자료'!Q38*'03_가중치민감도'!$C$8+'01_원자료'!R38*'03_가중치민감도'!$D$8</f>
        <v>0.75307119060731853</v>
      </c>
      <c r="I41" s="17">
        <f>'01_원자료'!P38*'03_가중치민감도'!$B$9+'01_원자료'!Q38*'03_가중치민감도'!$C$9+'01_원자료'!R38*'03_가중치민감도'!$D$9</f>
        <v>0.6347747396470792</v>
      </c>
      <c r="J41" s="17">
        <f>'01_원자료'!P38*'03_가중치민감도'!$B$10+'01_원자료'!Q38*'03_가중치민감도'!$C$10+'01_원자료'!R38*'03_가중치민감도'!$D$10</f>
        <v>0.8514830547501866</v>
      </c>
      <c r="K41" s="31">
        <f t="shared" si="0"/>
        <v>857</v>
      </c>
      <c r="L41" s="31">
        <f t="shared" si="1"/>
        <v>772</v>
      </c>
      <c r="M41" s="31">
        <f t="shared" si="2"/>
        <v>849</v>
      </c>
      <c r="N41" s="31">
        <f t="shared" si="3"/>
        <v>852</v>
      </c>
      <c r="O41" s="31">
        <f t="shared" si="4"/>
        <v>815</v>
      </c>
      <c r="P41" s="31">
        <f t="shared" si="5"/>
        <v>895</v>
      </c>
    </row>
    <row r="42" spans="1:16">
      <c r="A42" s="2" t="str">
        <f>'01_원자료'!A39</f>
        <v>PAT-03</v>
      </c>
      <c r="B42" s="2" t="str">
        <f>'01_원자료'!B39</f>
        <v>gemini</v>
      </c>
      <c r="C42" s="2" t="str">
        <f>'01_원자료'!C39</f>
        <v>ministral</v>
      </c>
      <c r="E42" s="17">
        <f>'01_원자료'!P39*'03_가중치민감도'!$B$5+'01_원자료'!Q39*'03_가중치민감도'!$C$5+'01_원자료'!R39*'03_가중치민감도'!$D$5</f>
        <v>0.55061119915727619</v>
      </c>
      <c r="F42" s="17">
        <f>'01_원자료'!P39*'03_가중치민감도'!$B$6+'01_원자료'!Q39*'03_가중치민감도'!$C$6+'01_원자료'!R39*'03_가중치민감도'!$D$6</f>
        <v>0.46557773795559632</v>
      </c>
      <c r="G42" s="17">
        <f>'01_원자료'!P39*'03_가중치민감도'!$B$7+'01_원자료'!Q39*'03_가중치민감도'!$C$7+'01_원자료'!R39*'03_가중치민감도'!$D$7</f>
        <v>0.57164474054275594</v>
      </c>
      <c r="H42" s="17">
        <f>'01_원자료'!P39*'03_가중치민감도'!$B$8+'01_원자료'!Q39*'03_가중치민감도'!$C$8+'01_원자료'!R39*'03_가중치민감도'!$D$8</f>
        <v>0.445443492229877</v>
      </c>
      <c r="I42" s="17">
        <f>'01_원자료'!P39*'03_가중치민감도'!$B$9+'01_원자료'!Q39*'03_가중치민감도'!$C$9+'01_원자료'!R39*'03_가중치민감도'!$D$9</f>
        <v>0.48691104456099582</v>
      </c>
      <c r="J42" s="17">
        <f>'01_원자료'!P39*'03_가중치민감도'!$B$10+'01_원자료'!Q39*'03_가중치민감도'!$C$10+'01_원자료'!R39*'03_가중치민감도'!$D$10</f>
        <v>0.59357757758799634</v>
      </c>
      <c r="K42" s="31">
        <f t="shared" si="0"/>
        <v>209</v>
      </c>
      <c r="L42" s="31">
        <f t="shared" si="1"/>
        <v>203</v>
      </c>
      <c r="M42" s="31">
        <f t="shared" si="2"/>
        <v>254</v>
      </c>
      <c r="N42" s="31">
        <f t="shared" si="3"/>
        <v>130</v>
      </c>
      <c r="O42" s="31">
        <f t="shared" si="4"/>
        <v>186</v>
      </c>
      <c r="P42" s="31">
        <f t="shared" si="5"/>
        <v>168</v>
      </c>
    </row>
    <row r="43" spans="1:16">
      <c r="A43" s="2" t="str">
        <f>'01_원자료'!A40</f>
        <v>PAT-03</v>
      </c>
      <c r="B43" s="2" t="str">
        <f>'01_원자료'!B40</f>
        <v>gemini</v>
      </c>
      <c r="C43" s="2" t="str">
        <f>'01_원자료'!C40</f>
        <v>qwen</v>
      </c>
      <c r="E43" s="17">
        <f>'01_원자료'!P40*'03_가중치민감도'!$B$5+'01_원자료'!Q40*'03_가중치민감도'!$C$5+'01_원자료'!R40*'03_가중치민감도'!$D$5</f>
        <v>0.68069831820954674</v>
      </c>
      <c r="F43" s="17">
        <f>'01_원자료'!P40*'03_가중치민감도'!$B$6+'01_원자료'!Q40*'03_가중치민감도'!$C$6+'01_원자료'!R40*'03_가중치민감도'!$D$6</f>
        <v>0.58114020688697221</v>
      </c>
      <c r="G43" s="17">
        <f>'01_원자료'!P40*'03_가중치민감도'!$B$7+'01_원자료'!Q40*'03_가중치민감도'!$C$7+'01_원자료'!R40*'03_가중치민감도'!$D$7</f>
        <v>0.68345323059708252</v>
      </c>
      <c r="H43" s="17">
        <f>'01_원자료'!P40*'03_가중치민감도'!$B$8+'01_원자료'!Q40*'03_가중치민감도'!$C$8+'01_원자료'!R40*'03_가중치민감도'!$D$8</f>
        <v>0.66692375627186762</v>
      </c>
      <c r="I43" s="17">
        <f>'01_원자료'!P40*'03_가중치민감도'!$B$9+'01_원자료'!Q40*'03_가중치민감도'!$C$9+'01_원자료'!R40*'03_가중치민감도'!$D$9</f>
        <v>0.61340793986531783</v>
      </c>
      <c r="J43" s="17">
        <f>'01_원자료'!P40*'03_가중치민감도'!$B$10+'01_원자료'!Q40*'03_가중치민감도'!$C$10+'01_원자료'!R40*'03_가중치민감도'!$D$10</f>
        <v>0.77474660475704948</v>
      </c>
      <c r="K43" s="31">
        <f t="shared" si="0"/>
        <v>760</v>
      </c>
      <c r="L43" s="31">
        <f t="shared" si="1"/>
        <v>741</v>
      </c>
      <c r="M43" s="31">
        <f t="shared" si="2"/>
        <v>774</v>
      </c>
      <c r="N43" s="31">
        <f t="shared" si="3"/>
        <v>695</v>
      </c>
      <c r="O43" s="31">
        <f t="shared" si="4"/>
        <v>742</v>
      </c>
      <c r="P43" s="31">
        <f t="shared" si="5"/>
        <v>741</v>
      </c>
    </row>
    <row r="44" spans="1:16">
      <c r="A44" s="2" t="str">
        <f>'01_원자료'!A41</f>
        <v>PAT-03</v>
      </c>
      <c r="B44" s="2" t="str">
        <f>'01_원자료'!B41</f>
        <v>mistral</v>
      </c>
      <c r="C44" s="2" t="str">
        <f>'01_원자료'!C41</f>
        <v>gemma</v>
      </c>
      <c r="E44" s="17">
        <f>'01_원자료'!P41*'03_가중치민감도'!$B$5+'01_원자료'!Q41*'03_가중치민감도'!$C$5+'01_원자료'!R41*'03_가중치민감도'!$D$5</f>
        <v>0.61671414195036312</v>
      </c>
      <c r="F44" s="17">
        <f>'01_원자료'!P41*'03_가중치민감도'!$B$6+'01_원자료'!Q41*'03_가중치민감도'!$C$6+'01_원자료'!R41*'03_가중치민감도'!$D$6</f>
        <v>0.51887597515641382</v>
      </c>
      <c r="G44" s="17">
        <f>'01_원자료'!P41*'03_가중치민감도'!$B$7+'01_원자료'!Q41*'03_가중치민감도'!$C$7+'01_원자료'!R41*'03_가중치민감도'!$D$7</f>
        <v>0.60797224644995806</v>
      </c>
      <c r="H44" s="17">
        <f>'01_원자료'!P41*'03_가중치민감도'!$B$8+'01_원자료'!Q41*'03_가중치민감도'!$C$8+'01_원자료'!R41*'03_가중치민감도'!$D$8</f>
        <v>0.66042361945238803</v>
      </c>
      <c r="I44" s="17">
        <f>'01_원자료'!P41*'03_가중치민감도'!$B$9+'01_원자료'!Q41*'03_가중치민감도'!$C$9+'01_원자료'!R41*'03_가중치민감도'!$D$9</f>
        <v>0.55440266258786464</v>
      </c>
      <c r="J44" s="17">
        <f>'01_원자료'!P41*'03_가중치민감도'!$B$10+'01_원자료'!Q41*'03_가중치민감도'!$C$10+'01_원자료'!R41*'03_가중치민감도'!$D$10</f>
        <v>0.73203609974512229</v>
      </c>
      <c r="K44" s="31">
        <f t="shared" si="0"/>
        <v>473</v>
      </c>
      <c r="L44" s="31">
        <f t="shared" si="1"/>
        <v>457</v>
      </c>
      <c r="M44" s="31">
        <f t="shared" si="2"/>
        <v>407</v>
      </c>
      <c r="N44" s="31">
        <f t="shared" si="3"/>
        <v>669</v>
      </c>
      <c r="O44" s="31">
        <f t="shared" si="4"/>
        <v>473</v>
      </c>
      <c r="P44" s="31">
        <f t="shared" si="5"/>
        <v>592</v>
      </c>
    </row>
    <row r="45" spans="1:16">
      <c r="A45" s="2" t="str">
        <f>'01_원자료'!A42</f>
        <v>PAT-03</v>
      </c>
      <c r="B45" s="2" t="str">
        <f>'01_원자료'!B42</f>
        <v>mistral</v>
      </c>
      <c r="C45" s="2" t="str">
        <f>'01_원자료'!C42</f>
        <v>ministral</v>
      </c>
      <c r="E45" s="17">
        <f>'01_원자료'!P42*'03_가중치민감도'!$B$5+'01_원자료'!Q42*'03_가중치민감도'!$C$5+'01_원자료'!R42*'03_가중치민감도'!$D$5</f>
        <v>0.50400787968112459</v>
      </c>
      <c r="F45" s="17">
        <f>'01_원자료'!P42*'03_가중치민감도'!$B$6+'01_원자료'!Q42*'03_가중치민감도'!$C$6+'01_원자료'!R42*'03_가중치민감도'!$D$6</f>
        <v>0.43451368226359555</v>
      </c>
      <c r="G45" s="17">
        <f>'01_원자료'!P42*'03_가중치민감도'!$B$7+'01_원자료'!Q42*'03_가중치민감도'!$C$7+'01_원자료'!R42*'03_가중치민감도'!$D$7</f>
        <v>0.52040090440685027</v>
      </c>
      <c r="H45" s="17">
        <f>'01_원자료'!P42*'03_가중치민감도'!$B$8+'01_원자료'!Q42*'03_가중치민감도'!$C$8+'01_원자료'!R42*'03_가중치민감도'!$D$8</f>
        <v>0.42204275605249625</v>
      </c>
      <c r="I45" s="17">
        <f>'01_원자료'!P42*'03_가중치민감도'!$B$9+'01_원자료'!Q42*'03_가중치민감도'!$C$9+'01_원자료'!R42*'03_가중치민감도'!$D$9</f>
        <v>0.45221407316086293</v>
      </c>
      <c r="J45" s="17">
        <f>'01_원자료'!P42*'03_가중치민감도'!$B$10+'01_원자료'!Q42*'03_가중치민감도'!$C$10+'01_원자료'!R42*'03_가중치민감도'!$D$10</f>
        <v>0.54071602764720228</v>
      </c>
      <c r="K45" s="31">
        <f t="shared" si="0"/>
        <v>51</v>
      </c>
      <c r="L45" s="31">
        <f t="shared" si="1"/>
        <v>82</v>
      </c>
      <c r="M45" s="31">
        <f t="shared" si="2"/>
        <v>48</v>
      </c>
      <c r="N45" s="31">
        <f t="shared" si="3"/>
        <v>89</v>
      </c>
      <c r="O45" s="31">
        <f t="shared" si="4"/>
        <v>75</v>
      </c>
      <c r="P45" s="31">
        <f t="shared" si="5"/>
        <v>51</v>
      </c>
    </row>
    <row r="46" spans="1:16">
      <c r="A46" s="2" t="str">
        <f>'01_원자료'!A43</f>
        <v>PAT-03</v>
      </c>
      <c r="B46" s="2" t="str">
        <f>'01_원자료'!B43</f>
        <v>mistral</v>
      </c>
      <c r="C46" s="2" t="str">
        <f>'01_원자료'!C43</f>
        <v>qwen</v>
      </c>
      <c r="E46" s="17">
        <f>'01_원자료'!P43*'03_가중치민감도'!$B$5+'01_원자료'!Q43*'03_가중치민감도'!$C$5+'01_원자료'!R43*'03_가중치민감도'!$D$5</f>
        <v>0.60319882660532864</v>
      </c>
      <c r="F46" s="17">
        <f>'01_원자료'!P43*'03_가중치민감도'!$B$6+'01_원자료'!Q43*'03_가중치민감도'!$C$6+'01_원자료'!R43*'03_가중치민감도'!$D$6</f>
        <v>0.5308730927500398</v>
      </c>
      <c r="G46" s="17">
        <f>'01_원자료'!P43*'03_가중치민감도'!$B$7+'01_원자료'!Q43*'03_가중치민감도'!$C$7+'01_원자료'!R43*'03_가중치민감도'!$D$7</f>
        <v>0.60573035674117937</v>
      </c>
      <c r="H46" s="17">
        <f>'01_원자료'!P43*'03_가중치민감도'!$B$8+'01_원자료'!Q43*'03_가중치민감도'!$C$8+'01_원자료'!R43*'03_가중치민감도'!$D$8</f>
        <v>0.59054117592607525</v>
      </c>
      <c r="I46" s="17">
        <f>'01_원자료'!P43*'03_가중치민감도'!$B$9+'01_원자료'!Q43*'03_가중치민감도'!$C$9+'01_원자료'!R43*'03_가중치민감도'!$D$9</f>
        <v>0.55413782732318528</v>
      </c>
      <c r="J46" s="17">
        <f>'01_원자료'!P43*'03_가중치민감도'!$B$10+'01_원자료'!Q43*'03_가중치민감도'!$C$10+'01_원자료'!R43*'03_가중치민감도'!$D$10</f>
        <v>0.67046150018891615</v>
      </c>
      <c r="K46" s="31">
        <f t="shared" si="0"/>
        <v>402</v>
      </c>
      <c r="L46" s="31">
        <f t="shared" si="1"/>
        <v>502</v>
      </c>
      <c r="M46" s="31">
        <f t="shared" si="2"/>
        <v>393</v>
      </c>
      <c r="N46" s="31">
        <f t="shared" si="3"/>
        <v>463</v>
      </c>
      <c r="O46" s="31">
        <f t="shared" si="4"/>
        <v>471</v>
      </c>
      <c r="P46" s="31">
        <f t="shared" si="5"/>
        <v>356</v>
      </c>
    </row>
    <row r="47" spans="1:16">
      <c r="A47" s="2" t="str">
        <f>'01_원자료'!A44</f>
        <v>PAT-03</v>
      </c>
      <c r="B47" s="2" t="str">
        <f>'01_원자료'!B44</f>
        <v>qwen3_6</v>
      </c>
      <c r="C47" s="2" t="str">
        <f>'01_원자료'!C44</f>
        <v>gemma</v>
      </c>
      <c r="E47" s="17">
        <f>'01_원자료'!P44*'03_가중치민감도'!$B$5+'01_원자료'!Q44*'03_가중치민감도'!$C$5+'01_원자료'!R44*'03_가중치민감도'!$D$5</f>
        <v>0.68384115325878803</v>
      </c>
      <c r="F47" s="17">
        <f>'01_원자료'!P44*'03_가중치민감도'!$B$6+'01_원자료'!Q44*'03_가중치민감도'!$C$6+'01_원자료'!R44*'03_가중치민감도'!$D$6</f>
        <v>0.57155816722149999</v>
      </c>
      <c r="G47" s="17">
        <f>'01_원자료'!P44*'03_가중치민감도'!$B$7+'01_원자료'!Q44*'03_가중치민감도'!$C$7+'01_원자료'!R44*'03_가중치민감도'!$D$7</f>
        <v>0.67264184261282123</v>
      </c>
      <c r="H47" s="17">
        <f>'01_원자료'!P44*'03_가중치민감도'!$B$8+'01_원자료'!Q44*'03_가중치민감도'!$C$8+'01_원자료'!R44*'03_가중치민감도'!$D$8</f>
        <v>0.73983770648862146</v>
      </c>
      <c r="I47" s="17">
        <f>'01_원자료'!P44*'03_가중치민감도'!$B$9+'01_원자료'!Q44*'03_가중치민감도'!$C$9+'01_원자료'!R44*'03_가중치민감도'!$D$9</f>
        <v>0.61271893278258416</v>
      </c>
      <c r="J47" s="17">
        <f>'01_원자료'!P44*'03_가중치민감도'!$B$10+'01_원자료'!Q44*'03_가중치민감도'!$C$10+'01_원자료'!R44*'03_가중치민감도'!$D$10</f>
        <v>0.81852276058800943</v>
      </c>
      <c r="K47" s="31">
        <f t="shared" si="0"/>
        <v>767</v>
      </c>
      <c r="L47" s="31">
        <f t="shared" si="1"/>
        <v>701</v>
      </c>
      <c r="M47" s="31">
        <f t="shared" si="2"/>
        <v>729</v>
      </c>
      <c r="N47" s="31">
        <f t="shared" si="3"/>
        <v>842</v>
      </c>
      <c r="O47" s="31">
        <f t="shared" si="4"/>
        <v>736</v>
      </c>
      <c r="P47" s="31">
        <f t="shared" si="5"/>
        <v>841</v>
      </c>
    </row>
    <row r="48" spans="1:16">
      <c r="A48" s="2" t="str">
        <f>'01_원자료'!A45</f>
        <v>PAT-03</v>
      </c>
      <c r="B48" s="2" t="str">
        <f>'01_원자료'!B45</f>
        <v>qwen3_6</v>
      </c>
      <c r="C48" s="2" t="str">
        <f>'01_원자료'!C45</f>
        <v>ministral</v>
      </c>
      <c r="E48" s="17">
        <f>'01_원자료'!P45*'03_가중치민감도'!$B$5+'01_원자료'!Q45*'03_가중치민감도'!$C$5+'01_원자료'!R45*'03_가중치민감도'!$D$5</f>
        <v>0.51996839523531369</v>
      </c>
      <c r="F48" s="17">
        <f>'01_원자료'!P45*'03_가중치민감도'!$B$6+'01_원자료'!Q45*'03_가중치민감도'!$C$6+'01_원자료'!R45*'03_가중치민감도'!$D$6</f>
        <v>0.44964807970972942</v>
      </c>
      <c r="G48" s="17">
        <f>'01_원자료'!P45*'03_가중치민감도'!$B$7+'01_원자료'!Q45*'03_가중치민감도'!$C$7+'01_원자료'!R45*'03_가중치민감도'!$D$7</f>
        <v>0.53722227415428869</v>
      </c>
      <c r="H48" s="17">
        <f>'01_원자료'!P45*'03_가중치민감도'!$B$8+'01_원자료'!Q45*'03_가중치민감도'!$C$8+'01_원자료'!R45*'03_가중치민감도'!$D$8</f>
        <v>0.4336990006404387</v>
      </c>
      <c r="I48" s="17">
        <f>'01_원자료'!P45*'03_가중치민감도'!$B$9+'01_원자료'!Q45*'03_가중치민감도'!$C$9+'01_원자료'!R45*'03_가중치민감도'!$D$9</f>
        <v>0.46733689191193201</v>
      </c>
      <c r="J48" s="17">
        <f>'01_원자료'!P45*'03_가중치민감도'!$B$10+'01_원자료'!Q45*'03_가중치민감도'!$C$10+'01_원자료'!R45*'03_가중치민감도'!$D$10</f>
        <v>0.55578095292294805</v>
      </c>
      <c r="K48" s="31">
        <f t="shared" si="0"/>
        <v>92</v>
      </c>
      <c r="L48" s="31">
        <f t="shared" si="1"/>
        <v>139</v>
      </c>
      <c r="M48" s="31">
        <f t="shared" si="2"/>
        <v>96</v>
      </c>
      <c r="N48" s="31">
        <f t="shared" si="3"/>
        <v>110</v>
      </c>
      <c r="O48" s="31">
        <f t="shared" si="4"/>
        <v>117</v>
      </c>
      <c r="P48" s="31">
        <f t="shared" si="5"/>
        <v>79</v>
      </c>
    </row>
    <row r="49" spans="1:16">
      <c r="A49" s="2" t="str">
        <f>'01_원자료'!A46</f>
        <v>PAT-03</v>
      </c>
      <c r="B49" s="2" t="str">
        <f>'01_원자료'!B46</f>
        <v>qwen3_6</v>
      </c>
      <c r="C49" s="2" t="str">
        <f>'01_원자료'!C46</f>
        <v>qwen</v>
      </c>
      <c r="E49" s="17">
        <f>'01_원자료'!P46*'03_가중치민감도'!$B$5+'01_원자료'!Q46*'03_가중치민감도'!$C$5+'01_원자료'!R46*'03_가중치민감도'!$D$5</f>
        <v>0.65059758808690216</v>
      </c>
      <c r="F49" s="17">
        <f>'01_원자료'!P46*'03_가중치민감도'!$B$6+'01_원자료'!Q46*'03_가중치민감도'!$C$6+'01_원자료'!R46*'03_가중치민감도'!$D$6</f>
        <v>0.56701415934042021</v>
      </c>
      <c r="G49" s="17">
        <f>'01_원자료'!P46*'03_가중치민감도'!$B$7+'01_원자료'!Q46*'03_가중치민감도'!$C$7+'01_원자료'!R46*'03_가중치민감도'!$D$7</f>
        <v>0.64951288274954322</v>
      </c>
      <c r="H49" s="17">
        <f>'01_원자료'!P46*'03_가중치민감도'!$B$8+'01_원자료'!Q46*'03_가중치민감도'!$C$8+'01_원자료'!R46*'03_가중치민감도'!$D$8</f>
        <v>0.65602111477369685</v>
      </c>
      <c r="I49" s="17">
        <f>'01_원자료'!P46*'03_가중치민감도'!$B$9+'01_원자료'!Q46*'03_가중치민감도'!$C$9+'01_원자료'!R46*'03_가중치민감도'!$D$9</f>
        <v>0.59523687070169995</v>
      </c>
      <c r="J49" s="17">
        <f>'01_원자료'!P46*'03_가중치민감도'!$B$10+'01_원자료'!Q46*'03_가중치민감도'!$C$10+'01_원자료'!R46*'03_가중치민감도'!$D$10</f>
        <v>0.73635042750810198</v>
      </c>
      <c r="K49" s="31">
        <f t="shared" si="0"/>
        <v>620</v>
      </c>
      <c r="L49" s="31">
        <f t="shared" si="1"/>
        <v>678</v>
      </c>
      <c r="M49" s="31">
        <f t="shared" si="2"/>
        <v>614</v>
      </c>
      <c r="N49" s="31">
        <f t="shared" si="3"/>
        <v>655</v>
      </c>
      <c r="O49" s="31">
        <f t="shared" si="4"/>
        <v>662</v>
      </c>
      <c r="P49" s="31">
        <f t="shared" si="5"/>
        <v>609</v>
      </c>
    </row>
    <row r="50" spans="1:16">
      <c r="A50" s="2" t="str">
        <f>'01_원자료'!A47</f>
        <v>PAT-04</v>
      </c>
      <c r="B50" s="2" t="str">
        <f>'01_원자료'!B47</f>
        <v>chatgpt</v>
      </c>
      <c r="C50" s="2" t="str">
        <f>'01_원자료'!C47</f>
        <v>gemma</v>
      </c>
      <c r="E50" s="17">
        <f>'01_원자료'!P47*'03_가중치민감도'!$B$5+'01_원자료'!Q47*'03_가중치민감도'!$C$5+'01_원자료'!R47*'03_가중치민감도'!$D$5</f>
        <v>0.48040448640362537</v>
      </c>
      <c r="F50" s="17">
        <f>'01_원자료'!P47*'03_가중치민감도'!$B$6+'01_원자료'!Q47*'03_가중치민감도'!$C$6+'01_원자료'!R47*'03_가중치민감도'!$D$6</f>
        <v>0.40003786055309731</v>
      </c>
      <c r="G50" s="17">
        <f>'01_원자료'!P47*'03_가중치민감도'!$B$7+'01_원자료'!Q47*'03_가중치민감도'!$C$7+'01_원자료'!R47*'03_가중치민감도'!$D$7</f>
        <v>0.49931816201341894</v>
      </c>
      <c r="H50" s="17">
        <f>'01_원자료'!P47*'03_가중치민감도'!$B$8+'01_원자료'!Q47*'03_가중치민감도'!$C$8+'01_원자료'!R47*'03_가중치민감도'!$D$8</f>
        <v>0.38583610835465754</v>
      </c>
      <c r="I50" s="17">
        <f>'01_원자료'!P47*'03_가중치민감도'!$B$9+'01_원자료'!Q47*'03_가중치민감도'!$C$9+'01_원자료'!R47*'03_가중치민감도'!$D$9</f>
        <v>0.42052217730000835</v>
      </c>
      <c r="J50" s="17">
        <f>'01_원자료'!P47*'03_가중치민감도'!$B$10+'01_원자료'!Q47*'03_가중치민감도'!$C$10+'01_원자료'!R47*'03_가중치민감도'!$D$10</f>
        <v>0.5229437610345663</v>
      </c>
      <c r="K50" s="31">
        <f t="shared" si="0"/>
        <v>18</v>
      </c>
      <c r="L50" s="31">
        <f t="shared" si="1"/>
        <v>18</v>
      </c>
      <c r="M50" s="31">
        <f t="shared" si="2"/>
        <v>16</v>
      </c>
      <c r="N50" s="31">
        <f t="shared" si="3"/>
        <v>23</v>
      </c>
      <c r="O50" s="31">
        <f t="shared" si="4"/>
        <v>19</v>
      </c>
      <c r="P50" s="31">
        <f t="shared" si="5"/>
        <v>22</v>
      </c>
    </row>
    <row r="51" spans="1:16">
      <c r="A51" s="2" t="str">
        <f>'01_원자료'!A48</f>
        <v>PAT-04</v>
      </c>
      <c r="B51" s="2" t="str">
        <f>'01_원자료'!B48</f>
        <v>chatgpt</v>
      </c>
      <c r="C51" s="2" t="str">
        <f>'01_원자료'!C48</f>
        <v>ministral</v>
      </c>
      <c r="E51" s="17">
        <f>'01_원자료'!P48*'03_가중치민감도'!$B$5+'01_원자료'!Q48*'03_가중치민감도'!$C$5+'01_원자료'!R48*'03_가중치민감도'!$D$5</f>
        <v>0.50258159400206825</v>
      </c>
      <c r="F51" s="17">
        <f>'01_원자료'!P48*'03_가중치민감도'!$B$6+'01_원자료'!Q48*'03_가중치민감도'!$C$6+'01_원자료'!R48*'03_가중치민감도'!$D$6</f>
        <v>0.4111379945221495</v>
      </c>
      <c r="G51" s="17">
        <f>'01_원자료'!P48*'03_가중치민감도'!$B$7+'01_원자료'!Q48*'03_가중치민감도'!$C$7+'01_원자료'!R48*'03_가중치민감도'!$D$7</f>
        <v>0.52511813140561914</v>
      </c>
      <c r="H51" s="17">
        <f>'01_원자료'!P48*'03_가중치민감도'!$B$8+'01_원자료'!Q48*'03_가중치민감도'!$C$8+'01_원자료'!R48*'03_가중치민감도'!$D$8</f>
        <v>0.38989890698431368</v>
      </c>
      <c r="I51" s="17">
        <f>'01_원자료'!P48*'03_가중치민감도'!$B$9+'01_원자료'!Q48*'03_가중치민감도'!$C$9+'01_원자료'!R48*'03_가중치민감도'!$D$9</f>
        <v>0.43410701521427175</v>
      </c>
      <c r="J51" s="17">
        <f>'01_원자료'!P48*'03_가중치민감도'!$B$10+'01_원자료'!Q48*'03_가중치민감도'!$C$10+'01_원자료'!R48*'03_가중치민감도'!$D$10</f>
        <v>0.54895211867488514</v>
      </c>
      <c r="K51" s="31">
        <f t="shared" si="0"/>
        <v>49</v>
      </c>
      <c r="L51" s="31">
        <f t="shared" si="1"/>
        <v>34</v>
      </c>
      <c r="M51" s="31">
        <f t="shared" si="2"/>
        <v>60</v>
      </c>
      <c r="N51" s="31">
        <f t="shared" si="3"/>
        <v>28</v>
      </c>
      <c r="O51" s="31">
        <f t="shared" si="4"/>
        <v>38</v>
      </c>
      <c r="P51" s="31">
        <f t="shared" si="5"/>
        <v>65</v>
      </c>
    </row>
    <row r="52" spans="1:16">
      <c r="A52" s="2" t="str">
        <f>'01_원자료'!A49</f>
        <v>PAT-04</v>
      </c>
      <c r="B52" s="2" t="str">
        <f>'01_원자료'!B49</f>
        <v>chatgpt</v>
      </c>
      <c r="C52" s="2" t="str">
        <f>'01_원자료'!C49</f>
        <v>qwen</v>
      </c>
      <c r="E52" s="17">
        <f>'01_원자료'!P49*'03_가중치민감도'!$B$5+'01_원자료'!Q49*'03_가중치민감도'!$C$5+'01_원자료'!R49*'03_가중치민감도'!$D$5</f>
        <v>0.50881864335515004</v>
      </c>
      <c r="F52" s="17">
        <f>'01_원자료'!P49*'03_가중치민감도'!$B$6+'01_원자료'!Q49*'03_가중치민감도'!$C$6+'01_원자료'!R49*'03_가중치민감도'!$D$6</f>
        <v>0.43210987324377953</v>
      </c>
      <c r="G52" s="17">
        <f>'01_원자료'!P49*'03_가중치민감도'!$B$7+'01_원자료'!Q49*'03_가중치민감도'!$C$7+'01_원자료'!R49*'03_가중치민감도'!$D$7</f>
        <v>0.52801307211123538</v>
      </c>
      <c r="H52" s="17">
        <f>'01_원자료'!P49*'03_가중치민감도'!$B$8+'01_원자료'!Q49*'03_가중치민감도'!$C$8+'01_원자료'!R49*'03_가중치민감도'!$D$8</f>
        <v>0.41284649957472341</v>
      </c>
      <c r="I52" s="17">
        <f>'01_원자료'!P49*'03_가중치민감도'!$B$9+'01_원자료'!Q49*'03_가중치민감도'!$C$9+'01_원자료'!R49*'03_가중치민감도'!$D$9</f>
        <v>0.45128132036220742</v>
      </c>
      <c r="J52" s="17">
        <f>'01_원자료'!P49*'03_가중치민감도'!$B$10+'01_원자료'!Q49*'03_가중치민감도'!$C$10+'01_원자료'!R49*'03_가중치민감도'!$D$10</f>
        <v>0.5471385559543499</v>
      </c>
      <c r="K52" s="31">
        <f t="shared" si="0"/>
        <v>62</v>
      </c>
      <c r="L52" s="31">
        <f t="shared" si="1"/>
        <v>76</v>
      </c>
      <c r="M52" s="31">
        <f t="shared" si="2"/>
        <v>65</v>
      </c>
      <c r="N52" s="31">
        <f t="shared" si="3"/>
        <v>70</v>
      </c>
      <c r="O52" s="31">
        <f t="shared" si="4"/>
        <v>72</v>
      </c>
      <c r="P52" s="31">
        <f t="shared" si="5"/>
        <v>63</v>
      </c>
    </row>
    <row r="53" spans="1:16">
      <c r="A53" s="2" t="str">
        <f>'01_원자료'!A50</f>
        <v>PAT-04</v>
      </c>
      <c r="B53" s="2" t="str">
        <f>'01_원자료'!B50</f>
        <v>claude</v>
      </c>
      <c r="C53" s="2" t="str">
        <f>'01_원자료'!C50</f>
        <v>gemma</v>
      </c>
      <c r="E53" s="17">
        <f>'01_원자료'!P50*'03_가중치민감도'!$B$5+'01_원자료'!Q50*'03_가중치민감도'!$C$5+'01_원자료'!R50*'03_가중치민감도'!$D$5</f>
        <v>0.69639546093305738</v>
      </c>
      <c r="F53" s="17">
        <f>'01_원자료'!P50*'03_가중치민감도'!$B$6+'01_원자료'!Q50*'03_가중치민감도'!$C$6+'01_원자료'!R50*'03_가중치민감도'!$D$6</f>
        <v>0.58459314661588802</v>
      </c>
      <c r="G53" s="17">
        <f>'01_원자료'!P50*'03_가중치민감도'!$B$7+'01_원자료'!Q50*'03_가중치민감도'!$C$7+'01_원자료'!R50*'03_가중치민감도'!$D$7</f>
        <v>0.68813240142083443</v>
      </c>
      <c r="H53" s="17">
        <f>'01_원자료'!P50*'03_가중치민감도'!$B$8+'01_원자료'!Q50*'03_가중치민감도'!$C$8+'01_원자료'!R50*'03_가중치민감도'!$D$8</f>
        <v>0.737710758494172</v>
      </c>
      <c r="I53" s="17">
        <f>'01_원자료'!P50*'03_가중치민감도'!$B$9+'01_원자료'!Q50*'03_가중치민감도'!$C$9+'01_원자료'!R50*'03_가중치민감도'!$D$9</f>
        <v>0.62461493789235145</v>
      </c>
      <c r="J53" s="17">
        <f>'01_원자료'!P50*'03_가중치민감도'!$B$10+'01_원자료'!Q50*'03_가중치민감도'!$C$10+'01_원자료'!R50*'03_가중치민감도'!$D$10</f>
        <v>0.82472389427467252</v>
      </c>
      <c r="K53" s="31">
        <f t="shared" si="0"/>
        <v>812</v>
      </c>
      <c r="L53" s="31">
        <f t="shared" si="1"/>
        <v>755</v>
      </c>
      <c r="M53" s="31">
        <f t="shared" si="2"/>
        <v>789</v>
      </c>
      <c r="N53" s="31">
        <f t="shared" si="3"/>
        <v>841</v>
      </c>
      <c r="O53" s="31">
        <f t="shared" si="4"/>
        <v>775</v>
      </c>
      <c r="P53" s="31">
        <f t="shared" si="5"/>
        <v>845</v>
      </c>
    </row>
    <row r="54" spans="1:16">
      <c r="A54" s="2" t="str">
        <f>'01_원자료'!A51</f>
        <v>PAT-04</v>
      </c>
      <c r="B54" s="2" t="str">
        <f>'01_원자료'!B51</f>
        <v>claude</v>
      </c>
      <c r="C54" s="2" t="str">
        <f>'01_원자료'!C51</f>
        <v>ministral</v>
      </c>
      <c r="E54" s="17">
        <f>'01_원자료'!P51*'03_가중치민감도'!$B$5+'01_원자료'!Q51*'03_가중치민감도'!$C$5+'01_원자료'!R51*'03_가중치민감도'!$D$5</f>
        <v>0.59207259373524934</v>
      </c>
      <c r="F54" s="17">
        <f>'01_원자료'!P51*'03_가중치민감도'!$B$6+'01_원자료'!Q51*'03_가중치민감도'!$C$6+'01_원자료'!R51*'03_가중치민감도'!$D$6</f>
        <v>0.49698724956869345</v>
      </c>
      <c r="G54" s="17">
        <f>'01_원자료'!P51*'03_가중치민감도'!$B$7+'01_원자료'!Q51*'03_가중치민감도'!$C$7+'01_원자료'!R51*'03_가중치민감도'!$D$7</f>
        <v>0.59832673707934092</v>
      </c>
      <c r="H54" s="17">
        <f>'01_원자료'!P51*'03_가중치민감도'!$B$8+'01_원자료'!Q51*'03_가중치민감도'!$C$8+'01_원자료'!R51*'03_가중치민감도'!$D$8</f>
        <v>0.56080187701479112</v>
      </c>
      <c r="I54" s="17">
        <f>'01_원자료'!P51*'03_가중치민감도'!$B$9+'01_원자료'!Q51*'03_가중치민감도'!$C$9+'01_원자료'!R51*'03_가중치민감도'!$D$9</f>
        <v>0.52659764984284774</v>
      </c>
      <c r="J54" s="17">
        <f>'01_원자료'!P51*'03_가중치민감도'!$B$10+'01_원자료'!Q51*'03_가중치민감도'!$C$10+'01_원자료'!R51*'03_가중치민감도'!$D$10</f>
        <v>0.67464965121362186</v>
      </c>
      <c r="K54" s="31">
        <f t="shared" si="0"/>
        <v>354</v>
      </c>
      <c r="L54" s="31">
        <f t="shared" si="1"/>
        <v>347</v>
      </c>
      <c r="M54" s="31">
        <f t="shared" si="2"/>
        <v>357</v>
      </c>
      <c r="N54" s="31">
        <f t="shared" si="3"/>
        <v>374</v>
      </c>
      <c r="O54" s="31">
        <f t="shared" si="4"/>
        <v>353</v>
      </c>
      <c r="P54" s="31">
        <f t="shared" si="5"/>
        <v>370</v>
      </c>
    </row>
    <row r="55" spans="1:16">
      <c r="A55" s="2" t="str">
        <f>'01_원자료'!A52</f>
        <v>PAT-04</v>
      </c>
      <c r="B55" s="2" t="str">
        <f>'01_원자료'!B52</f>
        <v>claude</v>
      </c>
      <c r="C55" s="2" t="str">
        <f>'01_원자료'!C52</f>
        <v>qwen</v>
      </c>
      <c r="E55" s="17">
        <f>'01_원자료'!P52*'03_가중치민감도'!$B$5+'01_원자료'!Q52*'03_가중치민감도'!$C$5+'01_원자료'!R52*'03_가중치민감도'!$D$5</f>
        <v>0.68678967708865302</v>
      </c>
      <c r="F55" s="17">
        <f>'01_원자료'!P52*'03_가중치민감도'!$B$6+'01_원자료'!Q52*'03_가중치민감도'!$C$6+'01_원자료'!R52*'03_가중치민감도'!$D$6</f>
        <v>0.60118063668009503</v>
      </c>
      <c r="G55" s="17">
        <f>'01_원자료'!P52*'03_가중치민감도'!$B$7+'01_원자료'!Q52*'03_가중치민감도'!$C$7+'01_원자료'!R52*'03_가중치민감도'!$D$7</f>
        <v>0.68617513332755509</v>
      </c>
      <c r="H55" s="17">
        <f>'01_원자료'!P52*'03_가중치민감도'!$B$8+'01_원자료'!Q52*'03_가중치민감도'!$C$8+'01_원자료'!R52*'03_가중치민감도'!$D$8</f>
        <v>0.68986239589414244</v>
      </c>
      <c r="I55" s="17">
        <f>'01_원자료'!P52*'03_가중치민감도'!$B$9+'01_원자료'!Q52*'03_가중치민감도'!$C$9+'01_원자료'!R52*'03_가중치민감도'!$D$9</f>
        <v>0.62992183140331304</v>
      </c>
      <c r="J55" s="17">
        <f>'01_원자료'!P52*'03_가중치민감도'!$B$10+'01_원자료'!Q52*'03_가중치민감도'!$C$10+'01_원자료'!R52*'03_가중치민감도'!$D$10</f>
        <v>0.77362780501940676</v>
      </c>
      <c r="K55" s="31">
        <f t="shared" si="0"/>
        <v>775</v>
      </c>
      <c r="L55" s="31">
        <f t="shared" si="1"/>
        <v>817</v>
      </c>
      <c r="M55" s="31">
        <f t="shared" si="2"/>
        <v>782</v>
      </c>
      <c r="N55" s="31">
        <f t="shared" si="3"/>
        <v>746</v>
      </c>
      <c r="O55" s="31">
        <f t="shared" si="4"/>
        <v>791</v>
      </c>
      <c r="P55" s="31">
        <f t="shared" si="5"/>
        <v>738</v>
      </c>
    </row>
    <row r="56" spans="1:16">
      <c r="A56" s="2" t="str">
        <f>'01_원자료'!A53</f>
        <v>PAT-04</v>
      </c>
      <c r="B56" s="2" t="str">
        <f>'01_원자료'!B53</f>
        <v>gemini</v>
      </c>
      <c r="C56" s="2" t="str">
        <f>'01_원자료'!C53</f>
        <v>gemma</v>
      </c>
      <c r="E56" s="17">
        <f>'01_원자료'!P53*'03_가중치민감도'!$B$5+'01_원자료'!Q53*'03_가중치민감도'!$C$5+'01_원자료'!R53*'03_가중치민감도'!$D$5</f>
        <v>0.73174518879282346</v>
      </c>
      <c r="F56" s="17">
        <f>'01_원자료'!P53*'03_가중치민감도'!$B$6+'01_원자료'!Q53*'03_가중치민감도'!$C$6+'01_원자료'!R53*'03_가중치민감도'!$D$6</f>
        <v>0.60954367718550362</v>
      </c>
      <c r="G56" s="17">
        <f>'01_원자료'!P53*'03_가중치민감도'!$B$7+'01_원자료'!Q53*'03_가중치민감도'!$C$7+'01_원자료'!R53*'03_가중치민감도'!$D$7</f>
        <v>0.72536442490552888</v>
      </c>
      <c r="H56" s="17">
        <f>'01_원자료'!P53*'03_가중치민감도'!$B$8+'01_원자료'!Q53*'03_가중치민감도'!$C$8+'01_원자료'!R53*'03_가중치민감도'!$D$8</f>
        <v>0.7636490082292956</v>
      </c>
      <c r="I56" s="17">
        <f>'01_원자료'!P53*'03_가중치민감도'!$B$9+'01_원자료'!Q53*'03_가중치민감도'!$C$9+'01_원자료'!R53*'03_가중치민감도'!$D$9</f>
        <v>0.65240443568370776</v>
      </c>
      <c r="J56" s="17">
        <f>'01_원자료'!P53*'03_가중치민감도'!$B$10+'01_원자료'!Q53*'03_가중치민감도'!$C$10+'01_원자료'!R53*'03_가중치민감도'!$D$10</f>
        <v>0.86670822817473192</v>
      </c>
      <c r="K56" s="31">
        <f t="shared" si="0"/>
        <v>906</v>
      </c>
      <c r="L56" s="31">
        <f t="shared" si="1"/>
        <v>855</v>
      </c>
      <c r="M56" s="31">
        <f t="shared" si="2"/>
        <v>911</v>
      </c>
      <c r="N56" s="31">
        <f t="shared" si="3"/>
        <v>876</v>
      </c>
      <c r="O56" s="31">
        <f t="shared" si="4"/>
        <v>877</v>
      </c>
      <c r="P56" s="31">
        <f t="shared" si="5"/>
        <v>937</v>
      </c>
    </row>
    <row r="57" spans="1:16">
      <c r="A57" s="2" t="str">
        <f>'01_원자료'!A54</f>
        <v>PAT-04</v>
      </c>
      <c r="B57" s="2" t="str">
        <f>'01_원자료'!B54</f>
        <v>gemini</v>
      </c>
      <c r="C57" s="2" t="str">
        <f>'01_원자료'!C54</f>
        <v>ministral</v>
      </c>
      <c r="E57" s="17">
        <f>'01_원자료'!P54*'03_가중치민감도'!$B$5+'01_원자료'!Q54*'03_가중치민감도'!$C$5+'01_원자료'!R54*'03_가중치민감도'!$D$5</f>
        <v>0.63511258508557178</v>
      </c>
      <c r="F57" s="17">
        <f>'01_원자료'!P54*'03_가중치민감도'!$B$6+'01_원자료'!Q54*'03_가중치민감도'!$C$6+'01_원자료'!R54*'03_가중치민감도'!$D$6</f>
        <v>0.52865857951806294</v>
      </c>
      <c r="G57" s="17">
        <f>'01_원자료'!P54*'03_가중치민감도'!$B$7+'01_원자료'!Q54*'03_가중치민감도'!$C$7+'01_원자료'!R54*'03_가중치민감도'!$D$7</f>
        <v>0.6452053057321594</v>
      </c>
      <c r="H57" s="17">
        <f>'01_원자료'!P54*'03_가중치민감도'!$B$8+'01_원자료'!Q54*'03_가중치민감도'!$C$8+'01_원자료'!R54*'03_가중치민감도'!$D$8</f>
        <v>0.58464898185263403</v>
      </c>
      <c r="I57" s="17">
        <f>'01_원자료'!P54*'03_가중치민감도'!$B$9+'01_원자료'!Q54*'03_가중치민감도'!$C$9+'01_원자료'!R54*'03_가중치민감도'!$D$9</f>
        <v>0.5607790078250362</v>
      </c>
      <c r="J57" s="17">
        <f>'01_원자료'!P54*'03_가중치민감도'!$B$10+'01_원자료'!Q54*'03_가중치민감도'!$C$10+'01_원자료'!R54*'03_가중치민감도'!$D$10</f>
        <v>0.72138114935990549</v>
      </c>
      <c r="K57" s="31">
        <f t="shared" si="0"/>
        <v>556</v>
      </c>
      <c r="L57" s="31">
        <f t="shared" si="1"/>
        <v>494</v>
      </c>
      <c r="M57" s="31">
        <f t="shared" si="2"/>
        <v>592</v>
      </c>
      <c r="N57" s="31">
        <f t="shared" si="3"/>
        <v>446</v>
      </c>
      <c r="O57" s="31">
        <f t="shared" si="4"/>
        <v>505</v>
      </c>
      <c r="P57" s="31">
        <f t="shared" si="5"/>
        <v>554</v>
      </c>
    </row>
    <row r="58" spans="1:16">
      <c r="A58" s="2" t="str">
        <f>'01_원자료'!A55</f>
        <v>PAT-04</v>
      </c>
      <c r="B58" s="2" t="str">
        <f>'01_원자료'!B55</f>
        <v>gemini</v>
      </c>
      <c r="C58" s="2" t="str">
        <f>'01_원자료'!C55</f>
        <v>qwen</v>
      </c>
      <c r="E58" s="17">
        <f>'01_원자료'!P55*'03_가중치민감도'!$B$5+'01_원자료'!Q55*'03_가중치민감도'!$C$5+'01_원자료'!R55*'03_가중치민감도'!$D$5</f>
        <v>0.71558732028195049</v>
      </c>
      <c r="F58" s="17">
        <f>'01_원자료'!P55*'03_가중치민감도'!$B$6+'01_원자료'!Q55*'03_가중치민감도'!$C$6+'01_원자료'!R55*'03_가중치민감도'!$D$6</f>
        <v>0.62034818779535683</v>
      </c>
      <c r="G58" s="17">
        <f>'01_원자료'!P55*'03_가중치민감도'!$B$7+'01_원자료'!Q55*'03_가중치민감도'!$C$7+'01_원자료'!R55*'03_가중치민감도'!$D$7</f>
        <v>0.71667848915400789</v>
      </c>
      <c r="H58" s="17">
        <f>'01_원자료'!P55*'03_가중치민감도'!$B$8+'01_원자료'!Q55*'03_가중치민감도'!$C$8+'01_원자료'!R55*'03_가중치민감도'!$D$8</f>
        <v>0.71013147592166315</v>
      </c>
      <c r="I58" s="17">
        <f>'01_원자료'!P55*'03_가중치민감도'!$B$9+'01_원자료'!Q55*'03_가중치민감도'!$C$9+'01_원자료'!R55*'03_가중치민감도'!$D$9</f>
        <v>0.65173084233353484</v>
      </c>
      <c r="J58" s="17">
        <f>'01_원자료'!P55*'03_가중치민감도'!$B$10+'01_원자료'!Q55*'03_가중치민감도'!$C$10+'01_원자료'!R55*'03_가중치민감도'!$D$10</f>
        <v>0.80864411502442923</v>
      </c>
      <c r="K58" s="31">
        <f t="shared" si="0"/>
        <v>861</v>
      </c>
      <c r="L58" s="31">
        <f t="shared" si="1"/>
        <v>895</v>
      </c>
      <c r="M58" s="31">
        <f t="shared" si="2"/>
        <v>894</v>
      </c>
      <c r="N58" s="31">
        <f t="shared" si="3"/>
        <v>811</v>
      </c>
      <c r="O58" s="31">
        <f t="shared" si="4"/>
        <v>871</v>
      </c>
      <c r="P58" s="31">
        <f t="shared" si="5"/>
        <v>832</v>
      </c>
    </row>
    <row r="59" spans="1:16">
      <c r="A59" s="2" t="str">
        <f>'01_원자료'!A56</f>
        <v>PAT-04</v>
      </c>
      <c r="B59" s="2" t="str">
        <f>'01_원자료'!B56</f>
        <v>mistral</v>
      </c>
      <c r="C59" s="2" t="str">
        <f>'01_원자료'!C56</f>
        <v>gemma</v>
      </c>
      <c r="E59" s="17">
        <f>'01_원자료'!P56*'03_가중치민감도'!$B$5+'01_원자료'!Q56*'03_가중치민감도'!$C$5+'01_원자료'!R56*'03_가중치민감도'!$D$5</f>
        <v>0.67039365817719943</v>
      </c>
      <c r="F59" s="17">
        <f>'01_원자료'!P56*'03_가중치민감도'!$B$6+'01_원자료'!Q56*'03_가중치민감도'!$C$6+'01_원자료'!R56*'03_가중치민감도'!$D$6</f>
        <v>0.56077064614853334</v>
      </c>
      <c r="G59" s="17">
        <f>'01_원자료'!P56*'03_가중치민감도'!$B$7+'01_원자료'!Q56*'03_가중치민감도'!$C$7+'01_원자료'!R56*'03_가중치민감도'!$D$7</f>
        <v>0.66710712613192391</v>
      </c>
      <c r="H59" s="17">
        <f>'01_원자료'!P56*'03_가중치민감도'!$B$8+'01_원자료'!Q56*'03_가중치민감도'!$C$8+'01_원자료'!R56*'03_가중치민감도'!$D$8</f>
        <v>0.68682631840357733</v>
      </c>
      <c r="I59" s="17">
        <f>'01_원자료'!P56*'03_가중치민감도'!$B$9+'01_원자료'!Q56*'03_가중치민감도'!$C$9+'01_원자료'!R56*'03_가중치민감도'!$D$9</f>
        <v>0.59840716083984669</v>
      </c>
      <c r="J59" s="17">
        <f>'01_원자료'!P56*'03_가중치민감도'!$B$10+'01_원자료'!Q56*'03_가중치민감도'!$C$10+'01_원자료'!R56*'03_가중치민감도'!$D$10</f>
        <v>0.78658973429641676</v>
      </c>
      <c r="K59" s="31">
        <f t="shared" si="0"/>
        <v>717</v>
      </c>
      <c r="L59" s="31">
        <f t="shared" si="1"/>
        <v>641</v>
      </c>
      <c r="M59" s="31">
        <f t="shared" si="2"/>
        <v>705</v>
      </c>
      <c r="N59" s="31">
        <f t="shared" si="3"/>
        <v>732</v>
      </c>
      <c r="O59" s="31">
        <f t="shared" si="4"/>
        <v>673</v>
      </c>
      <c r="P59" s="31">
        <f t="shared" si="5"/>
        <v>777</v>
      </c>
    </row>
    <row r="60" spans="1:16">
      <c r="A60" s="2" t="str">
        <f>'01_원자료'!A57</f>
        <v>PAT-04</v>
      </c>
      <c r="B60" s="2" t="str">
        <f>'01_원자료'!B57</f>
        <v>mistral</v>
      </c>
      <c r="C60" s="2" t="str">
        <f>'01_원자료'!C57</f>
        <v>ministral</v>
      </c>
      <c r="E60" s="17">
        <f>'01_원자료'!P57*'03_가중치민감도'!$B$5+'01_원자료'!Q57*'03_가중치민감도'!$C$5+'01_원자료'!R57*'03_가중치민감도'!$D$5</f>
        <v>0.62835222261541057</v>
      </c>
      <c r="F60" s="17">
        <f>'01_원자료'!P57*'03_가중치민감도'!$B$6+'01_원자료'!Q57*'03_가중치민감도'!$C$6+'01_원자료'!R57*'03_가중치민감도'!$D$6</f>
        <v>0.53315701805593152</v>
      </c>
      <c r="G60" s="17">
        <f>'01_원자료'!P57*'03_가중치민감도'!$B$7+'01_원자료'!Q57*'03_가중치민감도'!$C$7+'01_원자료'!R57*'03_가중치민감도'!$D$7</f>
        <v>0.63882516899340502</v>
      </c>
      <c r="H60" s="17">
        <f>'01_원자료'!P57*'03_가중치민감도'!$B$8+'01_원자료'!Q57*'03_가중치민감도'!$C$8+'01_원자료'!R57*'03_가중치민감도'!$D$8</f>
        <v>0.57598749072543798</v>
      </c>
      <c r="I60" s="17">
        <f>'01_원자료'!P57*'03_가중치민감도'!$B$9+'01_원자료'!Q57*'03_가중치민감도'!$C$9+'01_원자료'!R57*'03_가중치민감도'!$D$9</f>
        <v>0.5613977707830925</v>
      </c>
      <c r="J60" s="17">
        <f>'01_원자료'!P57*'03_가중치민감도'!$B$10+'01_원자료'!Q57*'03_가중치민감도'!$C$10+'01_원자료'!R57*'03_가중치민감도'!$D$10</f>
        <v>0.7026015344189005</v>
      </c>
      <c r="K60" s="31">
        <f t="shared" si="0"/>
        <v>523</v>
      </c>
      <c r="L60" s="31">
        <f t="shared" si="1"/>
        <v>518</v>
      </c>
      <c r="M60" s="31">
        <f t="shared" si="2"/>
        <v>560</v>
      </c>
      <c r="N60" s="31">
        <f t="shared" si="3"/>
        <v>417</v>
      </c>
      <c r="O60" s="31">
        <f t="shared" si="4"/>
        <v>508</v>
      </c>
      <c r="P60" s="31">
        <f t="shared" si="5"/>
        <v>471</v>
      </c>
    </row>
    <row r="61" spans="1:16">
      <c r="A61" s="2" t="str">
        <f>'01_원자료'!A58</f>
        <v>PAT-04</v>
      </c>
      <c r="B61" s="2" t="str">
        <f>'01_원자료'!B58</f>
        <v>mistral</v>
      </c>
      <c r="C61" s="2" t="str">
        <f>'01_원자료'!C58</f>
        <v>qwen</v>
      </c>
      <c r="E61" s="17">
        <f>'01_원자료'!P58*'03_가중치민감도'!$B$5+'01_원자료'!Q58*'03_가중치민감도'!$C$5+'01_원자료'!R58*'03_가중치민감도'!$D$5</f>
        <v>0.67483103083907769</v>
      </c>
      <c r="F61" s="17">
        <f>'01_원자료'!P58*'03_가중치민감도'!$B$6+'01_원자료'!Q58*'03_가중치민감도'!$C$6+'01_원자료'!R58*'03_가중치민감도'!$D$6</f>
        <v>0.57406568028386262</v>
      </c>
      <c r="G61" s="17">
        <f>'01_원자료'!P58*'03_가중치민감도'!$B$7+'01_원자료'!Q58*'03_가중치민감도'!$C$7+'01_원자료'!R58*'03_가중치민감도'!$D$7</f>
        <v>0.67667494697567676</v>
      </c>
      <c r="H61" s="17">
        <f>'01_원자료'!P58*'03_가중치민감도'!$B$8+'01_원자료'!Q58*'03_가중치민감도'!$C$8+'01_원자료'!R58*'03_가중치민감도'!$D$8</f>
        <v>0.66561145015608147</v>
      </c>
      <c r="I61" s="17">
        <f>'01_원자료'!P58*'03_가중치민감도'!$B$9+'01_원자료'!Q58*'03_가중치민감도'!$C$9+'01_원자료'!R58*'03_가중치민감도'!$D$9</f>
        <v>0.60703949175673388</v>
      </c>
      <c r="J61" s="17">
        <f>'01_원자료'!P58*'03_가중치민감도'!$B$10+'01_원자료'!Q58*'03_가중치민감도'!$C$10+'01_원자료'!R58*'03_가중치민감도'!$D$10</f>
        <v>0.77190854912109419</v>
      </c>
      <c r="K61" s="31">
        <f t="shared" si="0"/>
        <v>737</v>
      </c>
      <c r="L61" s="31">
        <f t="shared" si="1"/>
        <v>713</v>
      </c>
      <c r="M61" s="31">
        <f t="shared" si="2"/>
        <v>751</v>
      </c>
      <c r="N61" s="31">
        <f t="shared" si="3"/>
        <v>687</v>
      </c>
      <c r="O61" s="31">
        <f t="shared" si="4"/>
        <v>722</v>
      </c>
      <c r="P61" s="31">
        <f t="shared" si="5"/>
        <v>726</v>
      </c>
    </row>
    <row r="62" spans="1:16">
      <c r="A62" s="2" t="str">
        <f>'01_원자료'!A59</f>
        <v>PAT-04</v>
      </c>
      <c r="B62" s="2" t="str">
        <f>'01_원자료'!B59</f>
        <v>qwen3_6</v>
      </c>
      <c r="C62" s="2" t="str">
        <f>'01_원자료'!C59</f>
        <v>gemma</v>
      </c>
      <c r="E62" s="17">
        <f>'01_원자료'!P59*'03_가중치민감도'!$B$5+'01_원자료'!Q59*'03_가중치민감도'!$C$5+'01_원자료'!R59*'03_가중치민감도'!$D$5</f>
        <v>0.71251812676111648</v>
      </c>
      <c r="F62" s="17">
        <f>'01_원자료'!P59*'03_가중치민감도'!$B$6+'01_원자료'!Q59*'03_가중치민감도'!$C$6+'01_원자료'!R59*'03_가중치민감도'!$D$6</f>
        <v>0.59771155875887372</v>
      </c>
      <c r="G62" s="17">
        <f>'01_원자료'!P59*'03_가중치민감도'!$B$7+'01_원자료'!Q59*'03_가중치민감도'!$C$7+'01_원자료'!R59*'03_가중치민감도'!$D$7</f>
        <v>0.70391886240408996</v>
      </c>
      <c r="H62" s="17">
        <f>'01_원자료'!P59*'03_가중치민감도'!$B$8+'01_원자료'!Q59*'03_가중치민감도'!$C$8+'01_원자료'!R59*'03_가중치민감도'!$D$8</f>
        <v>0.75551444854624861</v>
      </c>
      <c r="I62" s="17">
        <f>'01_원자료'!P59*'03_가중치민감도'!$B$9+'01_원자료'!Q59*'03_가중치민감도'!$C$9+'01_원자료'!R59*'03_가중치민감도'!$D$9</f>
        <v>0.63884683621196281</v>
      </c>
      <c r="J62" s="17">
        <f>'01_원자료'!P59*'03_가중치민감도'!$B$10+'01_원자료'!Q59*'03_가중치민감도'!$C$10+'01_원자료'!R59*'03_가중치민감도'!$D$10</f>
        <v>0.84452322347741204</v>
      </c>
      <c r="K62" s="31">
        <f t="shared" si="0"/>
        <v>853</v>
      </c>
      <c r="L62" s="31">
        <f t="shared" si="1"/>
        <v>798</v>
      </c>
      <c r="M62" s="31">
        <f t="shared" si="2"/>
        <v>846</v>
      </c>
      <c r="N62" s="31">
        <f t="shared" si="3"/>
        <v>857</v>
      </c>
      <c r="O62" s="31">
        <f t="shared" si="4"/>
        <v>832</v>
      </c>
      <c r="P62" s="31">
        <f t="shared" si="5"/>
        <v>872</v>
      </c>
    </row>
    <row r="63" spans="1:16">
      <c r="A63" s="2" t="str">
        <f>'01_원자료'!A60</f>
        <v>PAT-04</v>
      </c>
      <c r="B63" s="2" t="str">
        <f>'01_원자료'!B60</f>
        <v>qwen3_6</v>
      </c>
      <c r="C63" s="2" t="str">
        <f>'01_원자료'!C60</f>
        <v>ministral</v>
      </c>
      <c r="E63" s="17">
        <f>'01_원자료'!P60*'03_가중치민감도'!$B$5+'01_원자료'!Q60*'03_가중치민감도'!$C$5+'01_원자료'!R60*'03_가중치민감도'!$D$5</f>
        <v>0.60745370005511623</v>
      </c>
      <c r="F63" s="17">
        <f>'01_원자료'!P60*'03_가중치민감도'!$B$6+'01_원자료'!Q60*'03_가중치민감도'!$C$6+'01_원자료'!R60*'03_가중치민감도'!$D$6</f>
        <v>0.51593042775232512</v>
      </c>
      <c r="G63" s="17">
        <f>'01_원자료'!P60*'03_가중치민감도'!$B$7+'01_원자료'!Q60*'03_가중치민감도'!$C$7+'01_원자료'!R60*'03_가중치민감도'!$D$7</f>
        <v>0.61399728584377267</v>
      </c>
      <c r="H63" s="17">
        <f>'01_원자료'!P60*'03_가중치민감도'!$B$8+'01_원자료'!Q60*'03_가중치민감도'!$C$8+'01_원자료'!R60*'03_가중치민감도'!$D$8</f>
        <v>0.57473577111183394</v>
      </c>
      <c r="I63" s="17">
        <f>'01_원자료'!P60*'03_가중치민감도'!$B$9+'01_원자료'!Q60*'03_가중치민감도'!$C$9+'01_원자료'!R60*'03_가중치민감도'!$D$9</f>
        <v>0.54425698992370275</v>
      </c>
      <c r="J63" s="17">
        <f>'01_원자료'!P60*'03_가중치민감도'!$B$10+'01_원자료'!Q60*'03_가중치민감도'!$C$10+'01_원자료'!R60*'03_가중치민감도'!$D$10</f>
        <v>0.68588980078059447</v>
      </c>
      <c r="K63" s="31">
        <f t="shared" si="0"/>
        <v>422</v>
      </c>
      <c r="L63" s="31">
        <f t="shared" si="1"/>
        <v>445</v>
      </c>
      <c r="M63" s="31">
        <f t="shared" si="2"/>
        <v>428</v>
      </c>
      <c r="N63" s="31">
        <f t="shared" si="3"/>
        <v>414</v>
      </c>
      <c r="O63" s="31">
        <f t="shared" si="4"/>
        <v>430</v>
      </c>
      <c r="P63" s="31">
        <f t="shared" si="5"/>
        <v>415</v>
      </c>
    </row>
    <row r="64" spans="1:16">
      <c r="A64" s="2" t="str">
        <f>'01_원자료'!A61</f>
        <v>PAT-04</v>
      </c>
      <c r="B64" s="2" t="str">
        <f>'01_원자료'!B61</f>
        <v>qwen3_6</v>
      </c>
      <c r="C64" s="2" t="str">
        <f>'01_원자료'!C61</f>
        <v>qwen</v>
      </c>
      <c r="E64" s="17">
        <f>'01_원자료'!P61*'03_가중치민감도'!$B$5+'01_원자료'!Q61*'03_가중치민감도'!$C$5+'01_원자료'!R61*'03_가중치민감도'!$D$5</f>
        <v>0.69275684536233306</v>
      </c>
      <c r="F64" s="17">
        <f>'01_원자료'!P61*'03_가중치민감도'!$B$6+'01_원자료'!Q61*'03_가중치민감도'!$C$6+'01_원자료'!R61*'03_가중치민감도'!$D$6</f>
        <v>0.60714781966978437</v>
      </c>
      <c r="G64" s="17">
        <f>'01_원자료'!P61*'03_가중치민감도'!$B$7+'01_원자료'!Q61*'03_가중치민감도'!$C$7+'01_원자료'!R61*'03_가중치민감도'!$D$7</f>
        <v>0.69114296575825207</v>
      </c>
      <c r="H64" s="17">
        <f>'01_원자료'!P61*'03_가중치민감도'!$B$8+'01_원자료'!Q61*'03_가중치민감도'!$C$8+'01_원자료'!R61*'03_가중치민감도'!$D$8</f>
        <v>0.70082624338273847</v>
      </c>
      <c r="I64" s="17">
        <f>'01_원자료'!P61*'03_가중치민감도'!$B$9+'01_원자료'!Q61*'03_가중치민감도'!$C$9+'01_원자료'!R61*'03_가중치민감도'!$D$9</f>
        <v>0.63622212143532697</v>
      </c>
      <c r="J64" s="17">
        <f>'01_원자료'!P61*'03_가중치민감도'!$B$10+'01_원자료'!Q61*'03_가중치민감도'!$C$10+'01_원자료'!R61*'03_가중치민감도'!$D$10</f>
        <v>0.78159363026304396</v>
      </c>
      <c r="K64" s="31">
        <f t="shared" si="0"/>
        <v>795</v>
      </c>
      <c r="L64" s="31">
        <f t="shared" si="1"/>
        <v>845</v>
      </c>
      <c r="M64" s="31">
        <f t="shared" si="2"/>
        <v>801</v>
      </c>
      <c r="N64" s="31">
        <f t="shared" si="3"/>
        <v>792</v>
      </c>
      <c r="O64" s="31">
        <f t="shared" si="4"/>
        <v>819</v>
      </c>
      <c r="P64" s="31">
        <f t="shared" si="5"/>
        <v>763</v>
      </c>
    </row>
    <row r="65" spans="1:16">
      <c r="A65" s="2" t="str">
        <f>'01_원자료'!A62</f>
        <v>PAT-05</v>
      </c>
      <c r="B65" s="2" t="str">
        <f>'01_원자료'!B62</f>
        <v>chatgpt</v>
      </c>
      <c r="C65" s="2" t="str">
        <f>'01_원자료'!C62</f>
        <v>gemma</v>
      </c>
      <c r="E65" s="17">
        <f>'01_원자료'!P62*'03_가중치민감도'!$B$5+'01_원자료'!Q62*'03_가중치민감도'!$C$5+'01_원자료'!R62*'03_가중치민감도'!$D$5</f>
        <v>0.49079942169817947</v>
      </c>
      <c r="F65" s="17">
        <f>'01_원자료'!P62*'03_가중치민감도'!$B$6+'01_원자료'!Q62*'03_가중치민감도'!$C$6+'01_원자료'!R62*'03_가중치민감도'!$D$6</f>
        <v>0.40767934018249552</v>
      </c>
      <c r="G65" s="17">
        <f>'01_원자료'!P62*'03_가중치민감도'!$B$7+'01_원자료'!Q62*'03_가중치민감도'!$C$7+'01_원자료'!R62*'03_가중치민감도'!$D$7</f>
        <v>0.51137199449231308</v>
      </c>
      <c r="H65" s="17">
        <f>'01_원자료'!P62*'03_가중치민감도'!$B$8+'01_원자료'!Q62*'03_가중치민감도'!$C$8+'01_원자료'!R62*'03_가중치민감도'!$D$8</f>
        <v>0.38793655772751168</v>
      </c>
      <c r="I65" s="17">
        <f>'01_원자료'!P62*'03_가중치민감도'!$B$9+'01_원자료'!Q62*'03_가중치민감도'!$C$9+'01_원자료'!R62*'03_가중치민감도'!$D$9</f>
        <v>0.42852850975634516</v>
      </c>
      <c r="J65" s="17">
        <f>'01_원자료'!P62*'03_가중치민감도'!$B$10+'01_원자료'!Q62*'03_가중치민감도'!$C$10+'01_원자료'!R62*'03_가중치민감도'!$D$10</f>
        <v>0.53277435762559644</v>
      </c>
      <c r="K65" s="31">
        <f t="shared" si="0"/>
        <v>33</v>
      </c>
      <c r="L65" s="31">
        <f t="shared" si="1"/>
        <v>28</v>
      </c>
      <c r="M65" s="31">
        <f t="shared" si="2"/>
        <v>35</v>
      </c>
      <c r="N65" s="31">
        <f t="shared" si="3"/>
        <v>26</v>
      </c>
      <c r="O65" s="31">
        <f t="shared" si="4"/>
        <v>30</v>
      </c>
      <c r="P65" s="31">
        <f t="shared" si="5"/>
        <v>35</v>
      </c>
    </row>
    <row r="66" spans="1:16">
      <c r="A66" s="2" t="str">
        <f>'01_원자료'!A63</f>
        <v>PAT-05</v>
      </c>
      <c r="B66" s="2" t="str">
        <f>'01_원자료'!B63</f>
        <v>chatgpt</v>
      </c>
      <c r="C66" s="2" t="str">
        <f>'01_원자료'!C63</f>
        <v>ministral</v>
      </c>
      <c r="E66" s="17">
        <f>'01_원자료'!P63*'03_가중치민감도'!$B$5+'01_원자료'!Q63*'03_가중치민감도'!$C$5+'01_원자료'!R63*'03_가중치민감도'!$D$5</f>
        <v>0.58183314408561082</v>
      </c>
      <c r="F66" s="17">
        <f>'01_원자료'!P63*'03_가중치민감도'!$B$6+'01_원자료'!Q63*'03_가중치민감도'!$C$6+'01_원자료'!R63*'03_가중치민감도'!$D$6</f>
        <v>0.50383868681854105</v>
      </c>
      <c r="G66" s="17">
        <f>'01_원자료'!P63*'03_가중치민감도'!$B$7+'01_원자료'!Q63*'03_가중치민감도'!$C$7+'01_원자료'!R63*'03_가중치민감도'!$D$7</f>
        <v>0.59723355197913963</v>
      </c>
      <c r="H66" s="17">
        <f>'01_원자료'!P63*'03_가중치민감도'!$B$8+'01_원자료'!Q63*'03_가중치민감도'!$C$8+'01_원자료'!R63*'03_가중치민감도'!$D$8</f>
        <v>0.50483110461796721</v>
      </c>
      <c r="I66" s="17">
        <f>'01_원자료'!P63*'03_가중치민감도'!$B$9+'01_원자료'!Q63*'03_가중치민감도'!$C$9+'01_원자료'!R63*'03_가중치민감도'!$D$9</f>
        <v>0.52470336994305422</v>
      </c>
      <c r="J66" s="17">
        <f>'01_원자료'!P63*'03_가중치민감도'!$B$10+'01_원자료'!Q63*'03_가중치민감도'!$C$10+'01_원자료'!R63*'03_가중치민감도'!$D$10</f>
        <v>0.62902678556562319</v>
      </c>
      <c r="K66" s="31">
        <f t="shared" si="0"/>
        <v>327</v>
      </c>
      <c r="L66" s="31">
        <f t="shared" si="1"/>
        <v>380</v>
      </c>
      <c r="M66" s="31">
        <f t="shared" si="2"/>
        <v>353</v>
      </c>
      <c r="N66" s="31">
        <f t="shared" si="3"/>
        <v>237</v>
      </c>
      <c r="O66" s="31">
        <f t="shared" si="4"/>
        <v>343</v>
      </c>
      <c r="P66" s="31">
        <f t="shared" si="5"/>
        <v>261</v>
      </c>
    </row>
    <row r="67" spans="1:16">
      <c r="A67" s="2" t="str">
        <f>'01_원자료'!A64</f>
        <v>PAT-05</v>
      </c>
      <c r="B67" s="2" t="str">
        <f>'01_원자료'!B64</f>
        <v>chatgpt</v>
      </c>
      <c r="C67" s="2" t="str">
        <f>'01_원자료'!C64</f>
        <v>qwen</v>
      </c>
      <c r="E67" s="17">
        <f>'01_원자료'!P64*'03_가중치민감도'!$B$5+'01_원자료'!Q64*'03_가중치민감도'!$C$5+'01_원자료'!R64*'03_가중치민감도'!$D$5</f>
        <v>0.52214439957215864</v>
      </c>
      <c r="F67" s="17">
        <f>'01_원자료'!P64*'03_가중치민감도'!$B$6+'01_원자료'!Q64*'03_가중치민감도'!$C$6+'01_원자료'!R64*'03_가중치민감도'!$D$6</f>
        <v>0.44687057419649007</v>
      </c>
      <c r="G67" s="17">
        <f>'01_원자료'!P64*'03_가중치민감도'!$B$7+'01_원자료'!Q64*'03_가중치민감도'!$C$7+'01_원자료'!R64*'03_가중치민감도'!$D$7</f>
        <v>0.54519773090615375</v>
      </c>
      <c r="H67" s="17">
        <f>'01_원자료'!P64*'03_가중치민감도'!$B$8+'01_원자료'!Q64*'03_가중치민감도'!$C$8+'01_원자료'!R64*'03_가중치민감도'!$D$8</f>
        <v>0.40687774290218287</v>
      </c>
      <c r="I67" s="17">
        <f>'01_원자료'!P64*'03_가중치민감도'!$B$9+'01_원자료'!Q64*'03_가중치민감도'!$C$9+'01_원자료'!R64*'03_가중치민감도'!$D$9</f>
        <v>0.46427740554371405</v>
      </c>
      <c r="J67" s="17">
        <f>'01_원자료'!P64*'03_가중치민감도'!$B$10+'01_원자료'!Q64*'03_가중치민감도'!$C$10+'01_원자료'!R64*'03_가중치민감도'!$D$10</f>
        <v>0.5513115622798368</v>
      </c>
      <c r="K67" s="31">
        <f t="shared" si="0"/>
        <v>104</v>
      </c>
      <c r="L67" s="31">
        <f t="shared" si="1"/>
        <v>125</v>
      </c>
      <c r="M67" s="31">
        <f t="shared" si="2"/>
        <v>130</v>
      </c>
      <c r="N67" s="31">
        <f t="shared" si="3"/>
        <v>56</v>
      </c>
      <c r="O67" s="31">
        <f t="shared" si="4"/>
        <v>108</v>
      </c>
      <c r="P67" s="31">
        <f t="shared" si="5"/>
        <v>71</v>
      </c>
    </row>
    <row r="68" spans="1:16">
      <c r="A68" s="2" t="str">
        <f>'01_원자료'!A65</f>
        <v>PAT-05</v>
      </c>
      <c r="B68" s="2" t="str">
        <f>'01_원자료'!B65</f>
        <v>claude</v>
      </c>
      <c r="C68" s="2" t="str">
        <f>'01_원자료'!C65</f>
        <v>gemma</v>
      </c>
      <c r="E68" s="17">
        <f>'01_원자료'!P65*'03_가중치민감도'!$B$5+'01_원자료'!Q65*'03_가중치민감도'!$C$5+'01_원자료'!R65*'03_가중치민감도'!$D$5</f>
        <v>0.67395266636752804</v>
      </c>
      <c r="F68" s="17">
        <f>'01_원자료'!P65*'03_가중치민감도'!$B$6+'01_원자료'!Q65*'03_가중치민감도'!$C$6+'01_원자료'!R65*'03_가중치민감도'!$D$6</f>
        <v>0.56874041818458521</v>
      </c>
      <c r="G68" s="17">
        <f>'01_원자료'!P65*'03_가중치민감도'!$B$7+'01_원자료'!Q65*'03_가중치민감도'!$C$7+'01_원자료'!R65*'03_가중치민감도'!$D$7</f>
        <v>0.66788062184643038</v>
      </c>
      <c r="H68" s="17">
        <f>'01_원자료'!P65*'03_가중치민감도'!$B$8+'01_원자료'!Q65*'03_가중치민감도'!$C$8+'01_원자료'!R65*'03_가중치민감도'!$D$8</f>
        <v>0.70431288897301614</v>
      </c>
      <c r="I68" s="17">
        <f>'01_원자료'!P65*'03_가중치민감도'!$B$9+'01_원자료'!Q65*'03_가중치민감도'!$C$9+'01_원자료'!R65*'03_가중치민감도'!$D$9</f>
        <v>0.60583518241926471</v>
      </c>
      <c r="J68" s="17">
        <f>'01_원자료'!P65*'03_가중치민감도'!$B$10+'01_원자료'!Q65*'03_가중치민감도'!$C$10+'01_원자료'!R65*'03_가중치민감도'!$D$10</f>
        <v>0.79130900359266609</v>
      </c>
      <c r="K68" s="31">
        <f t="shared" si="0"/>
        <v>733</v>
      </c>
      <c r="L68" s="31">
        <f t="shared" si="1"/>
        <v>688</v>
      </c>
      <c r="M68" s="31">
        <f t="shared" si="2"/>
        <v>709</v>
      </c>
      <c r="N68" s="31">
        <f t="shared" si="3"/>
        <v>799</v>
      </c>
      <c r="O68" s="31">
        <f t="shared" si="4"/>
        <v>718</v>
      </c>
      <c r="P68" s="31">
        <f t="shared" si="5"/>
        <v>786</v>
      </c>
    </row>
    <row r="69" spans="1:16">
      <c r="A69" s="2" t="str">
        <f>'01_원자료'!A66</f>
        <v>PAT-05</v>
      </c>
      <c r="B69" s="2" t="str">
        <f>'01_원자료'!B66</f>
        <v>claude</v>
      </c>
      <c r="C69" s="2" t="str">
        <f>'01_원자료'!C66</f>
        <v>ministral</v>
      </c>
      <c r="E69" s="17">
        <f>'01_원자료'!P66*'03_가중치민감도'!$B$5+'01_원자료'!Q66*'03_가중치민감도'!$C$5+'01_원자료'!R66*'03_가중치민감도'!$D$5</f>
        <v>0.52194862440128253</v>
      </c>
      <c r="F69" s="17">
        <f>'01_원자료'!P66*'03_가중치민감도'!$B$6+'01_원자료'!Q66*'03_가중치민감도'!$C$6+'01_원자료'!R66*'03_가중치민감도'!$D$6</f>
        <v>0.44949757566532006</v>
      </c>
      <c r="G69" s="17">
        <f>'01_원자료'!P66*'03_가중치민감도'!$B$7+'01_원자료'!Q66*'03_가중치민감도'!$C$7+'01_원자료'!R66*'03_가중치민감도'!$D$7</f>
        <v>0.54008920914706193</v>
      </c>
      <c r="H69" s="17">
        <f>'01_원자료'!P66*'03_가중치민감도'!$B$8+'01_원자료'!Q66*'03_가중치민감도'!$C$8+'01_원자료'!R66*'03_가중치민감도'!$D$8</f>
        <v>0.43124570067238555</v>
      </c>
      <c r="I69" s="17">
        <f>'01_원자료'!P66*'03_가중치민감도'!$B$9+'01_원자료'!Q66*'03_가중치민감도'!$C$9+'01_원자료'!R66*'03_가중치민감도'!$D$9</f>
        <v>0.46760106366204723</v>
      </c>
      <c r="J69" s="17">
        <f>'01_원자료'!P66*'03_가중치민감도'!$B$10+'01_원자료'!Q66*'03_가중치민감도'!$C$10+'01_원자료'!R66*'03_가중치민감도'!$D$10</f>
        <v>0.55811850364568616</v>
      </c>
      <c r="K69" s="31">
        <f t="shared" ref="K69:K132" si="6">COUNTIF($E$5:$E$979,"&lt;"&amp;E69)+(COUNTIF($E$5:$E$979,"="&amp;E69)+1)/2</f>
        <v>101</v>
      </c>
      <c r="L69" s="31">
        <f t="shared" ref="L69:L132" si="7">COUNTIF($F$5:$F$979,"&lt;"&amp;F69)+(COUNTIF($F$5:$F$979,"="&amp;F69)+1)/2</f>
        <v>138</v>
      </c>
      <c r="M69" s="31">
        <f t="shared" ref="M69:M132" si="8">COUNTIF($G$5:$G$979,"&lt;"&amp;G69)+(COUNTIF($G$5:$G$979,"="&amp;G69)+1)/2</f>
        <v>106</v>
      </c>
      <c r="N69" s="31">
        <f t="shared" ref="N69:N132" si="9">COUNTIF($H$5:$H$979,"&lt;"&amp;H69)+(COUNTIF($H$5:$H$979,"="&amp;H69)+1)/2</f>
        <v>106</v>
      </c>
      <c r="O69" s="31">
        <f t="shared" ref="O69:O132" si="10">COUNTIF($I$5:$I$979,"&lt;"&amp;I69)+(COUNTIF($I$5:$I$979,"="&amp;I69)+1)/2</f>
        <v>119</v>
      </c>
      <c r="P69" s="31">
        <f t="shared" ref="P69:P132" si="11">COUNTIF($J$5:$J$979,"&lt;"&amp;J69)+(COUNTIF($J$5:$J$979,"="&amp;J69)+1)/2</f>
        <v>82</v>
      </c>
    </row>
    <row r="70" spans="1:16">
      <c r="A70" s="2" t="str">
        <f>'01_원자료'!A67</f>
        <v>PAT-05</v>
      </c>
      <c r="B70" s="2" t="str">
        <f>'01_원자료'!B67</f>
        <v>claude</v>
      </c>
      <c r="C70" s="2" t="str">
        <f>'01_원자료'!C67</f>
        <v>qwen</v>
      </c>
      <c r="E70" s="17">
        <f>'01_원자료'!P67*'03_가중치민감도'!$B$5+'01_원자료'!Q67*'03_가중치민감도'!$C$5+'01_원자료'!R67*'03_가중치민감도'!$D$5</f>
        <v>0.61754520525485845</v>
      </c>
      <c r="F70" s="17">
        <f>'01_원자료'!P67*'03_가중치민감도'!$B$6+'01_원자료'!Q67*'03_가중치민감도'!$C$6+'01_원자료'!R67*'03_가중치민감도'!$D$6</f>
        <v>0.53461634924256185</v>
      </c>
      <c r="G70" s="17">
        <f>'01_원자료'!P67*'03_가중치민감도'!$B$7+'01_원자료'!Q67*'03_가중치민감도'!$C$7+'01_원자료'!R67*'03_가중치민감도'!$D$7</f>
        <v>0.62342185333742905</v>
      </c>
      <c r="H70" s="17">
        <f>'01_원자료'!P67*'03_가중치민감도'!$B$8+'01_원자료'!Q67*'03_가중치민감도'!$C$8+'01_원자료'!R67*'03_가중치민감도'!$D$8</f>
        <v>0.58816196484200534</v>
      </c>
      <c r="I70" s="17">
        <f>'01_원자료'!P67*'03_가중치민감도'!$B$9+'01_원자료'!Q67*'03_가중치민감도'!$C$9+'01_원자료'!R67*'03_가중치민감도'!$D$9</f>
        <v>0.56030041855246993</v>
      </c>
      <c r="J70" s="17">
        <f>'01_원자료'!P67*'03_가중치민감도'!$B$10+'01_원자료'!Q67*'03_가중치민감도'!$C$10+'01_원자료'!R67*'03_가중치민감도'!$D$10</f>
        <v>0.68872076510201374</v>
      </c>
      <c r="K70" s="31">
        <f t="shared" si="6"/>
        <v>477</v>
      </c>
      <c r="L70" s="31">
        <f t="shared" si="7"/>
        <v>524</v>
      </c>
      <c r="M70" s="31">
        <f t="shared" si="8"/>
        <v>480</v>
      </c>
      <c r="N70" s="31">
        <f t="shared" si="9"/>
        <v>454</v>
      </c>
      <c r="O70" s="31">
        <f t="shared" si="10"/>
        <v>502</v>
      </c>
      <c r="P70" s="31">
        <f t="shared" si="11"/>
        <v>421</v>
      </c>
    </row>
    <row r="71" spans="1:16">
      <c r="A71" s="2" t="str">
        <f>'01_원자료'!A68</f>
        <v>PAT-05</v>
      </c>
      <c r="B71" s="2" t="str">
        <f>'01_원자료'!B68</f>
        <v>gemini</v>
      </c>
      <c r="C71" s="2" t="str">
        <f>'01_원자료'!C68</f>
        <v>gemma</v>
      </c>
      <c r="E71" s="17">
        <f>'01_원자료'!P68*'03_가중치민감도'!$B$5+'01_원자료'!Q68*'03_가중치민감도'!$C$5+'01_원자료'!R68*'03_가중치민감도'!$D$5</f>
        <v>0.7255068425186264</v>
      </c>
      <c r="F71" s="17">
        <f>'01_원자료'!P68*'03_가중치민감도'!$B$6+'01_원자료'!Q68*'03_가중치민감도'!$C$6+'01_원자료'!R68*'03_가중치민감도'!$D$6</f>
        <v>0.60847475653044258</v>
      </c>
      <c r="G71" s="17">
        <f>'01_원자료'!P68*'03_가중치민감도'!$B$7+'01_원자료'!Q68*'03_가중치민감도'!$C$7+'01_원자료'!R68*'03_가중치민감도'!$D$7</f>
        <v>0.71729595537359869</v>
      </c>
      <c r="H71" s="17">
        <f>'01_원자료'!P68*'03_가중치민감도'!$B$8+'01_원자료'!Q68*'03_가중치민감도'!$C$8+'01_원자료'!R68*'03_가중치민감도'!$D$8</f>
        <v>0.76656127824376563</v>
      </c>
      <c r="I71" s="17">
        <f>'01_원자료'!P68*'03_가중치민감도'!$B$9+'01_원자료'!Q68*'03_가중치민감도'!$C$9+'01_원자료'!R68*'03_가중치민감도'!$D$9</f>
        <v>0.6502224142415125</v>
      </c>
      <c r="J71" s="17">
        <f>'01_원자료'!P68*'03_가중치민감도'!$B$10+'01_원자료'!Q68*'03_가중치민감도'!$C$10+'01_원자료'!R68*'03_가중치민감도'!$D$10</f>
        <v>0.85896070279686598</v>
      </c>
      <c r="K71" s="31">
        <f t="shared" si="6"/>
        <v>895</v>
      </c>
      <c r="L71" s="31">
        <f t="shared" si="7"/>
        <v>848</v>
      </c>
      <c r="M71" s="31">
        <f t="shared" si="8"/>
        <v>896</v>
      </c>
      <c r="N71" s="31">
        <f t="shared" si="9"/>
        <v>885</v>
      </c>
      <c r="O71" s="31">
        <f t="shared" si="10"/>
        <v>866</v>
      </c>
      <c r="P71" s="31">
        <f t="shared" si="11"/>
        <v>913</v>
      </c>
    </row>
    <row r="72" spans="1:16">
      <c r="A72" s="2" t="str">
        <f>'01_원자료'!A69</f>
        <v>PAT-05</v>
      </c>
      <c r="B72" s="2" t="str">
        <f>'01_원자료'!B69</f>
        <v>gemini</v>
      </c>
      <c r="C72" s="2" t="str">
        <f>'01_원자료'!C69</f>
        <v>ministral</v>
      </c>
      <c r="E72" s="17">
        <f>'01_원자료'!P69*'03_가중치민감도'!$B$5+'01_원자료'!Q69*'03_가중치민감도'!$C$5+'01_원자료'!R69*'03_가중치민감도'!$D$5</f>
        <v>0.53963672101666948</v>
      </c>
      <c r="F72" s="17">
        <f>'01_원자료'!P69*'03_가중치민감도'!$B$6+'01_원자료'!Q69*'03_가중치민감도'!$C$6+'01_원자료'!R69*'03_가중치민감도'!$D$6</f>
        <v>0.45841671964273722</v>
      </c>
      <c r="G72" s="17">
        <f>'01_원자료'!P69*'03_가중치민감도'!$B$7+'01_원자료'!Q69*'03_가중치민감도'!$C$7+'01_원자료'!R69*'03_가중치민감도'!$D$7</f>
        <v>0.5623735138792294</v>
      </c>
      <c r="H72" s="17">
        <f>'01_원자료'!P69*'03_가중치민감도'!$B$8+'01_원자료'!Q69*'03_가중치민감도'!$C$8+'01_원자료'!R69*'03_가중치민감도'!$D$8</f>
        <v>0.42595275670386989</v>
      </c>
      <c r="I72" s="17">
        <f>'01_원자료'!P69*'03_가중치민감도'!$B$9+'01_원자료'!Q69*'03_가중치민감도'!$C$9+'01_원자료'!R69*'03_가중치민감도'!$D$9</f>
        <v>0.47791112247986089</v>
      </c>
      <c r="J72" s="17">
        <f>'01_원자료'!P69*'03_가중치민감도'!$B$10+'01_원자료'!Q69*'03_가중치민감도'!$C$10+'01_원자료'!R69*'03_가중치민감도'!$D$10</f>
        <v>0.57538313666548191</v>
      </c>
      <c r="K72" s="31">
        <f t="shared" si="6"/>
        <v>166</v>
      </c>
      <c r="L72" s="31">
        <f t="shared" si="7"/>
        <v>170</v>
      </c>
      <c r="M72" s="31">
        <f t="shared" si="8"/>
        <v>210</v>
      </c>
      <c r="N72" s="31">
        <f t="shared" si="9"/>
        <v>100</v>
      </c>
      <c r="O72" s="31">
        <f t="shared" si="10"/>
        <v>160</v>
      </c>
      <c r="P72" s="31">
        <f t="shared" si="11"/>
        <v>121</v>
      </c>
    </row>
    <row r="73" spans="1:16">
      <c r="A73" s="2" t="str">
        <f>'01_원자료'!A70</f>
        <v>PAT-05</v>
      </c>
      <c r="B73" s="2" t="str">
        <f>'01_원자료'!B70</f>
        <v>gemini</v>
      </c>
      <c r="C73" s="2" t="str">
        <f>'01_원자료'!C70</f>
        <v>qwen</v>
      </c>
      <c r="E73" s="17">
        <f>'01_원자료'!P70*'03_가중치민감도'!$B$5+'01_원자료'!Q70*'03_가중치민감도'!$C$5+'01_원자료'!R70*'03_가중치민감도'!$D$5</f>
        <v>0.65778744137864886</v>
      </c>
      <c r="F73" s="17">
        <f>'01_원자료'!P70*'03_가중치민감도'!$B$6+'01_원자료'!Q70*'03_가중치민감도'!$C$6+'01_원자료'!R70*'03_가중치민감도'!$D$6</f>
        <v>0.56468389083053472</v>
      </c>
      <c r="G73" s="17">
        <f>'01_원자료'!P70*'03_가중치민감도'!$B$7+'01_원자료'!Q70*'03_가중치민감도'!$C$7+'01_원자료'!R70*'03_가중치민감도'!$D$7</f>
        <v>0.6662938767190113</v>
      </c>
      <c r="H73" s="17">
        <f>'01_원자료'!P70*'03_가중치민감도'!$B$8+'01_원자료'!Q70*'03_가중치민감도'!$C$8+'01_원자료'!R70*'03_가중치민감도'!$D$8</f>
        <v>0.61525526467683656</v>
      </c>
      <c r="I73" s="17">
        <f>'01_원자료'!P70*'03_가중치민감도'!$B$9+'01_원자료'!Q70*'03_가중치민감도'!$C$9+'01_원자료'!R70*'03_가중치민감도'!$D$9</f>
        <v>0.59288292923311792</v>
      </c>
      <c r="J73" s="17">
        <f>'01_원자료'!P70*'03_가중치민감도'!$B$10+'01_원자료'!Q70*'03_가중치민감도'!$C$10+'01_원자료'!R70*'03_가중치민감도'!$D$10</f>
        <v>0.73387812124603802</v>
      </c>
      <c r="K73" s="31">
        <f t="shared" si="6"/>
        <v>659</v>
      </c>
      <c r="L73" s="31">
        <f t="shared" si="7"/>
        <v>663</v>
      </c>
      <c r="M73" s="31">
        <f t="shared" si="8"/>
        <v>702</v>
      </c>
      <c r="N73" s="31">
        <f t="shared" si="9"/>
        <v>535</v>
      </c>
      <c r="O73" s="31">
        <f t="shared" si="10"/>
        <v>652</v>
      </c>
      <c r="P73" s="31">
        <f t="shared" si="11"/>
        <v>599</v>
      </c>
    </row>
    <row r="74" spans="1:16">
      <c r="A74" s="2" t="str">
        <f>'01_원자료'!A71</f>
        <v>PAT-05</v>
      </c>
      <c r="B74" s="2" t="str">
        <f>'01_원자료'!B71</f>
        <v>mistral</v>
      </c>
      <c r="C74" s="2" t="str">
        <f>'01_원자료'!C71</f>
        <v>gemma</v>
      </c>
      <c r="E74" s="17">
        <f>'01_원자료'!P71*'03_가중치민감도'!$B$5+'01_원자료'!Q71*'03_가중치민감도'!$C$5+'01_원자료'!R71*'03_가중치민감도'!$D$5</f>
        <v>0.6539819538375774</v>
      </c>
      <c r="F74" s="17">
        <f>'01_원자료'!P71*'03_가중치민감도'!$B$6+'01_원자료'!Q71*'03_가중치민감도'!$C$6+'01_원자료'!R71*'03_가중치민감도'!$D$6</f>
        <v>0.54816762053303658</v>
      </c>
      <c r="G74" s="17">
        <f>'01_원자료'!P71*'03_가중치민감도'!$B$7+'01_원자료'!Q71*'03_가중치민감도'!$C$7+'01_원자료'!R71*'03_가중치민감도'!$D$7</f>
        <v>0.64812266104141758</v>
      </c>
      <c r="H74" s="17">
        <f>'01_원자료'!P71*'03_가중치민감도'!$B$8+'01_원자료'!Q71*'03_가중치민감도'!$C$8+'01_원자료'!R71*'03_가중치민감도'!$D$8</f>
        <v>0.68327841781837639</v>
      </c>
      <c r="I74" s="17">
        <f>'01_원자료'!P71*'03_가중치민감도'!$B$9+'01_원자료'!Q71*'03_가중치민감도'!$C$9+'01_원자료'!R71*'03_가중치민감도'!$D$9</f>
        <v>0.58539216256660298</v>
      </c>
      <c r="J74" s="17">
        <f>'01_원자료'!P71*'03_가중치민감도'!$B$10+'01_원자료'!Q71*'03_가중치민감도'!$C$10+'01_원자료'!R71*'03_가중치민감도'!$D$10</f>
        <v>0.77151487273443786</v>
      </c>
      <c r="K74" s="31">
        <f t="shared" si="6"/>
        <v>636</v>
      </c>
      <c r="L74" s="31">
        <f t="shared" si="7"/>
        <v>580</v>
      </c>
      <c r="M74" s="31">
        <f t="shared" si="8"/>
        <v>607</v>
      </c>
      <c r="N74" s="31">
        <f t="shared" si="9"/>
        <v>726</v>
      </c>
      <c r="O74" s="31">
        <f t="shared" si="10"/>
        <v>608</v>
      </c>
      <c r="P74" s="31">
        <f t="shared" si="11"/>
        <v>722</v>
      </c>
    </row>
    <row r="75" spans="1:16">
      <c r="A75" s="2" t="str">
        <f>'01_원자료'!A72</f>
        <v>PAT-05</v>
      </c>
      <c r="B75" s="2" t="str">
        <f>'01_원자료'!B72</f>
        <v>mistral</v>
      </c>
      <c r="C75" s="2" t="str">
        <f>'01_원자료'!C72</f>
        <v>ministral</v>
      </c>
      <c r="E75" s="17">
        <f>'01_원자료'!P72*'03_가중치민감도'!$B$5+'01_원자료'!Q72*'03_가중치민감도'!$C$5+'01_원자료'!R72*'03_가중치민감도'!$D$5</f>
        <v>0.52244740053440664</v>
      </c>
      <c r="F75" s="17">
        <f>'01_원자료'!P72*'03_가중치민감도'!$B$6+'01_원자료'!Q72*'03_가중치민감도'!$C$6+'01_원자료'!R72*'03_가중치민감도'!$D$6</f>
        <v>0.45409080544907104</v>
      </c>
      <c r="G75" s="17">
        <f>'01_원자료'!P72*'03_가중치민감도'!$B$7+'01_원자료'!Q72*'03_가중치민감도'!$C$7+'01_원자료'!R72*'03_가중치민감도'!$D$7</f>
        <v>0.54283947169445224</v>
      </c>
      <c r="H75" s="17">
        <f>'01_원자료'!P72*'03_가중치민감도'!$B$8+'01_원자료'!Q72*'03_가중치민감도'!$C$8+'01_원자료'!R72*'03_가중치민감도'!$D$8</f>
        <v>0.42048704473417897</v>
      </c>
      <c r="I75" s="17">
        <f>'01_원자료'!P72*'03_가중치민감도'!$B$9+'01_원자료'!Q72*'03_가중치민감도'!$C$9+'01_원자료'!R72*'03_가중치민감도'!$D$9</f>
        <v>0.47007898009083393</v>
      </c>
      <c r="J75" s="17">
        <f>'01_원자료'!P72*'03_가중치민감도'!$B$10+'01_원자료'!Q72*'03_가중치민감도'!$C$10+'01_원자료'!R72*'03_가중치민감도'!$D$10</f>
        <v>0.5500198532996512</v>
      </c>
      <c r="K75" s="31">
        <f t="shared" si="6"/>
        <v>106</v>
      </c>
      <c r="L75" s="31">
        <f t="shared" si="7"/>
        <v>154</v>
      </c>
      <c r="M75" s="31">
        <f t="shared" si="8"/>
        <v>119</v>
      </c>
      <c r="N75" s="31">
        <f t="shared" si="9"/>
        <v>88</v>
      </c>
      <c r="O75" s="31">
        <f t="shared" si="10"/>
        <v>132</v>
      </c>
      <c r="P75" s="31">
        <f t="shared" si="11"/>
        <v>68</v>
      </c>
    </row>
    <row r="76" spans="1:16">
      <c r="A76" s="2" t="str">
        <f>'01_원자료'!A73</f>
        <v>PAT-05</v>
      </c>
      <c r="B76" s="2" t="str">
        <f>'01_원자료'!B73</f>
        <v>mistral</v>
      </c>
      <c r="C76" s="2" t="str">
        <f>'01_원자료'!C73</f>
        <v>qwen</v>
      </c>
      <c r="E76" s="17">
        <f>'01_원자료'!P73*'03_가중치민감도'!$B$5+'01_원자료'!Q73*'03_가중치민감도'!$C$5+'01_원자료'!R73*'03_가중치민감도'!$D$5</f>
        <v>0.61307792189790256</v>
      </c>
      <c r="F76" s="17">
        <f>'01_원자료'!P73*'03_가중치민감도'!$B$6+'01_원자료'!Q73*'03_가중치민감도'!$C$6+'01_원자료'!R73*'03_가중치민감도'!$D$6</f>
        <v>0.53328136681516736</v>
      </c>
      <c r="G76" s="17">
        <f>'01_원자료'!P73*'03_가중치민감도'!$B$7+'01_원자료'!Q73*'03_가중치민감도'!$C$7+'01_원자료'!R73*'03_가중치민감도'!$D$7</f>
        <v>0.61838301780765936</v>
      </c>
      <c r="H76" s="17">
        <f>'01_원자료'!P73*'03_가중치민감도'!$B$8+'01_원자료'!Q73*'03_가중치민감도'!$C$8+'01_원자료'!R73*'03_가중치민감도'!$D$8</f>
        <v>0.58655244234911807</v>
      </c>
      <c r="I76" s="17">
        <f>'01_원자료'!P73*'03_가중치민감도'!$B$9+'01_원자료'!Q73*'03_가중치민감도'!$C$9+'01_원자료'!R73*'03_가중치민감도'!$D$9</f>
        <v>0.55811185320615952</v>
      </c>
      <c r="J76" s="17">
        <f>'01_원자료'!P73*'03_가중치민감도'!$B$10+'01_원자료'!Q73*'03_가중치민감도'!$C$10+'01_원자료'!R73*'03_가중치민감도'!$D$10</f>
        <v>0.68226428516112381</v>
      </c>
      <c r="K76" s="31">
        <f t="shared" si="6"/>
        <v>452</v>
      </c>
      <c r="L76" s="31">
        <f t="shared" si="7"/>
        <v>519</v>
      </c>
      <c r="M76" s="31">
        <f t="shared" si="8"/>
        <v>457</v>
      </c>
      <c r="N76" s="31">
        <f t="shared" si="9"/>
        <v>451</v>
      </c>
      <c r="O76" s="31">
        <f t="shared" si="10"/>
        <v>492</v>
      </c>
      <c r="P76" s="31">
        <f t="shared" si="11"/>
        <v>400</v>
      </c>
    </row>
    <row r="77" spans="1:16">
      <c r="A77" s="2" t="str">
        <f>'01_원자료'!A74</f>
        <v>PAT-05</v>
      </c>
      <c r="B77" s="2" t="str">
        <f>'01_원자료'!B74</f>
        <v>qwen3_6</v>
      </c>
      <c r="C77" s="2" t="str">
        <f>'01_원자료'!C74</f>
        <v>gemma</v>
      </c>
      <c r="E77" s="17">
        <f>'01_원자료'!P74*'03_가중치민감도'!$B$5+'01_원자료'!Q74*'03_가중치민감도'!$C$5+'01_원자료'!R74*'03_가중치민감도'!$D$5</f>
        <v>0.70908735018170399</v>
      </c>
      <c r="F77" s="17">
        <f>'01_원자료'!P74*'03_가중치민감도'!$B$6+'01_원자료'!Q74*'03_가중치민감도'!$C$6+'01_원자료'!R74*'03_가중치민감도'!$D$6</f>
        <v>0.59555717203861913</v>
      </c>
      <c r="G77" s="17">
        <f>'01_원자료'!P74*'03_가중치민감도'!$B$7+'01_원자료'!Q74*'03_가중치민감도'!$C$7+'01_원자료'!R74*'03_가중치민감도'!$D$7</f>
        <v>0.69921634635484109</v>
      </c>
      <c r="H77" s="17">
        <f>'01_원자료'!P74*'03_가중치민감도'!$B$8+'01_원자료'!Q74*'03_가중치민감도'!$C$8+'01_원자료'!R74*'03_가중치민감도'!$D$8</f>
        <v>0.75844236931601872</v>
      </c>
      <c r="I77" s="17">
        <f>'01_원자료'!P74*'03_가중치민감도'!$B$9+'01_원자료'!Q74*'03_가중치민감도'!$C$9+'01_원자료'!R74*'03_가중치민감도'!$D$9</f>
        <v>0.63669089936193446</v>
      </c>
      <c r="J77" s="17">
        <f>'01_원자료'!P74*'03_가중치민감도'!$B$10+'01_원자료'!Q74*'03_가중치민감도'!$C$10+'01_원자료'!R74*'03_가중치민감도'!$D$10</f>
        <v>0.84235953597851476</v>
      </c>
      <c r="K77" s="31">
        <f t="shared" si="6"/>
        <v>842</v>
      </c>
      <c r="L77" s="31">
        <f t="shared" si="7"/>
        <v>790</v>
      </c>
      <c r="M77" s="31">
        <f t="shared" si="8"/>
        <v>832</v>
      </c>
      <c r="N77" s="31">
        <f t="shared" si="9"/>
        <v>861</v>
      </c>
      <c r="O77" s="31">
        <f t="shared" si="10"/>
        <v>822</v>
      </c>
      <c r="P77" s="31">
        <f t="shared" si="11"/>
        <v>867</v>
      </c>
    </row>
    <row r="78" spans="1:16">
      <c r="A78" s="2" t="str">
        <f>'01_원자료'!A75</f>
        <v>PAT-05</v>
      </c>
      <c r="B78" s="2" t="str">
        <f>'01_원자료'!B75</f>
        <v>qwen3_6</v>
      </c>
      <c r="C78" s="2" t="str">
        <f>'01_원자료'!C75</f>
        <v>ministral</v>
      </c>
      <c r="E78" s="17">
        <f>'01_원자료'!P75*'03_가중치민감도'!$B$5+'01_원자료'!Q75*'03_가중치민감도'!$C$5+'01_원자료'!R75*'03_가중치민감도'!$D$5</f>
        <v>0.51783575948499549</v>
      </c>
      <c r="F78" s="17">
        <f>'01_원자료'!P75*'03_가중치민감도'!$B$6+'01_원자료'!Q75*'03_가중치민감도'!$C$6+'01_원자료'!R75*'03_가중치민감도'!$D$6</f>
        <v>0.45072196992230684</v>
      </c>
      <c r="G78" s="17">
        <f>'01_원자료'!P75*'03_가중치민감도'!$B$7+'01_원자료'!Q75*'03_가중치민감도'!$C$7+'01_원자료'!R75*'03_가중치민감도'!$D$7</f>
        <v>0.53758028790231238</v>
      </c>
      <c r="H78" s="17">
        <f>'01_원자료'!P75*'03_가중치민감도'!$B$8+'01_원자료'!Q75*'03_가중치민감도'!$C$8+'01_원자료'!R75*'03_가중치민감도'!$D$8</f>
        <v>0.41911311739841156</v>
      </c>
      <c r="I78" s="17">
        <f>'01_원자료'!P75*'03_가중치민감도'!$B$9+'01_원자료'!Q75*'03_가중치민감도'!$C$9+'01_원자료'!R75*'03_가중치민감도'!$D$9</f>
        <v>0.46651172363743032</v>
      </c>
      <c r="J78" s="17">
        <f>'01_원자료'!P75*'03_가중치민감도'!$B$10+'01_원자료'!Q75*'03_가중치민감도'!$C$10+'01_원자료'!R75*'03_가중치민감도'!$D$10</f>
        <v>0.54546049221305071</v>
      </c>
      <c r="K78" s="31">
        <f t="shared" si="6"/>
        <v>88</v>
      </c>
      <c r="L78" s="31">
        <f t="shared" si="7"/>
        <v>145</v>
      </c>
      <c r="M78" s="31">
        <f t="shared" si="8"/>
        <v>97</v>
      </c>
      <c r="N78" s="31">
        <f t="shared" si="9"/>
        <v>85</v>
      </c>
      <c r="O78" s="31">
        <f t="shared" si="10"/>
        <v>114</v>
      </c>
      <c r="P78" s="31">
        <f t="shared" si="11"/>
        <v>59</v>
      </c>
    </row>
    <row r="79" spans="1:16">
      <c r="A79" s="2" t="str">
        <f>'01_원자료'!A76</f>
        <v>PAT-05</v>
      </c>
      <c r="B79" s="2" t="str">
        <f>'01_원자료'!B76</f>
        <v>qwen3_6</v>
      </c>
      <c r="C79" s="2" t="str">
        <f>'01_원자료'!C76</f>
        <v>qwen</v>
      </c>
      <c r="E79" s="17">
        <f>'01_원자료'!P76*'03_가중치민감도'!$B$5+'01_원자료'!Q76*'03_가중치민감도'!$C$5+'01_원자료'!R76*'03_가중치민감도'!$D$5</f>
        <v>0.64439006209184013</v>
      </c>
      <c r="F79" s="17">
        <f>'01_원자료'!P76*'03_가중치민감도'!$B$6+'01_원자료'!Q76*'03_가중치민감도'!$C$6+'01_원자료'!R76*'03_가중치민감도'!$D$6</f>
        <v>0.56018983919547227</v>
      </c>
      <c r="G79" s="17">
        <f>'01_원자료'!P76*'03_가중치민감도'!$B$7+'01_원자료'!Q76*'03_가중치민감도'!$C$7+'01_원자료'!R76*'03_가중치민감도'!$D$7</f>
        <v>0.65103810518732297</v>
      </c>
      <c r="H79" s="17">
        <f>'01_원자료'!P76*'03_가중치민감도'!$B$8+'01_원자료'!Q76*'03_가중치민감도'!$C$8+'01_원자료'!R76*'03_가중치민감도'!$D$8</f>
        <v>0.61114984661442584</v>
      </c>
      <c r="I79" s="17">
        <f>'01_원자료'!P76*'03_가중치민감도'!$B$9+'01_원자료'!Q76*'03_가중치민감도'!$C$9+'01_원자료'!R76*'03_가중치민감도'!$D$9</f>
        <v>0.58604056579576669</v>
      </c>
      <c r="J79" s="17">
        <f>'01_원자료'!P76*'03_가중치민감도'!$B$10+'01_원자료'!Q76*'03_가중치민감도'!$C$10+'01_원자료'!R76*'03_가중치민감도'!$D$10</f>
        <v>0.71529419879724221</v>
      </c>
      <c r="K79" s="31">
        <f t="shared" si="6"/>
        <v>594</v>
      </c>
      <c r="L79" s="31">
        <f t="shared" si="7"/>
        <v>638</v>
      </c>
      <c r="M79" s="31">
        <f t="shared" si="8"/>
        <v>621</v>
      </c>
      <c r="N79" s="31">
        <f t="shared" si="9"/>
        <v>526</v>
      </c>
      <c r="O79" s="31">
        <f t="shared" si="10"/>
        <v>614</v>
      </c>
      <c r="P79" s="31">
        <f t="shared" si="11"/>
        <v>521</v>
      </c>
    </row>
    <row r="80" spans="1:16">
      <c r="A80" s="2" t="str">
        <f>'01_원자료'!A77</f>
        <v>PAT-06</v>
      </c>
      <c r="B80" s="2" t="str">
        <f>'01_원자료'!B77</f>
        <v>chatgpt</v>
      </c>
      <c r="C80" s="2" t="str">
        <f>'01_원자료'!C77</f>
        <v>gemma</v>
      </c>
      <c r="E80" s="17">
        <f>'01_원자료'!P77*'03_가중치민감도'!$B$5+'01_원자료'!Q77*'03_가중치민감도'!$C$5+'01_원자료'!R77*'03_가중치민감도'!$D$5</f>
        <v>0.49049420895875495</v>
      </c>
      <c r="F80" s="17">
        <f>'01_원자료'!P77*'03_가중치민감도'!$B$6+'01_원자료'!Q77*'03_가중치민감도'!$C$6+'01_원자료'!R77*'03_가중치민감도'!$D$6</f>
        <v>0.40264633250515147</v>
      </c>
      <c r="G80" s="17">
        <f>'01_원자료'!P77*'03_가중치민감도'!$B$7+'01_원자료'!Q77*'03_가중치민감도'!$C$7+'01_원자료'!R77*'03_가중치민감도'!$D$7</f>
        <v>0.5112946928097285</v>
      </c>
      <c r="H80" s="17">
        <f>'01_원자료'!P77*'03_가중치민감도'!$B$8+'01_원자료'!Q77*'03_가중치민감도'!$C$8+'01_원자료'!R77*'03_가중치민감도'!$D$8</f>
        <v>0.38649178970388698</v>
      </c>
      <c r="I80" s="17">
        <f>'01_원자료'!P77*'03_가중치민감도'!$B$9+'01_원자료'!Q77*'03_가중치민감도'!$C$9+'01_원자료'!R77*'03_가중치민감도'!$D$9</f>
        <v>0.42499546337269434</v>
      </c>
      <c r="J80" s="17">
        <f>'01_원자료'!P77*'03_가중치민감도'!$B$10+'01_원자료'!Q77*'03_가중치민감도'!$C$10+'01_원자료'!R77*'03_가중치민감도'!$D$10</f>
        <v>0.53674111771041111</v>
      </c>
      <c r="K80" s="31">
        <f t="shared" si="6"/>
        <v>32</v>
      </c>
      <c r="L80" s="31">
        <f t="shared" si="7"/>
        <v>21</v>
      </c>
      <c r="M80" s="31">
        <f t="shared" si="8"/>
        <v>34</v>
      </c>
      <c r="N80" s="31">
        <f t="shared" si="9"/>
        <v>24</v>
      </c>
      <c r="O80" s="31">
        <f t="shared" si="10"/>
        <v>22</v>
      </c>
      <c r="P80" s="31">
        <f t="shared" si="11"/>
        <v>43</v>
      </c>
    </row>
    <row r="81" spans="1:16">
      <c r="A81" s="2" t="str">
        <f>'01_원자료'!A78</f>
        <v>PAT-06</v>
      </c>
      <c r="B81" s="2" t="str">
        <f>'01_원자료'!B78</f>
        <v>chatgpt</v>
      </c>
      <c r="C81" s="2" t="str">
        <f>'01_원자료'!C78</f>
        <v>ministral</v>
      </c>
      <c r="E81" s="17">
        <f>'01_원자료'!P78*'03_가중치민감도'!$B$5+'01_원자료'!Q78*'03_가중치민감도'!$C$5+'01_원자료'!R78*'03_가중치민감도'!$D$5</f>
        <v>0.57859778245248017</v>
      </c>
      <c r="F81" s="17">
        <f>'01_원자료'!P78*'03_가중치민감도'!$B$6+'01_원자료'!Q78*'03_가중치민감도'!$C$6+'01_원자료'!R78*'03_가중치민감도'!$D$6</f>
        <v>0.48777213600767338</v>
      </c>
      <c r="G81" s="17">
        <f>'01_원자료'!P78*'03_가중치민감도'!$B$7+'01_원자료'!Q78*'03_가중치민감도'!$C$7+'01_원자료'!R78*'03_가중치민감도'!$D$7</f>
        <v>0.59475765252348889</v>
      </c>
      <c r="H81" s="17">
        <f>'01_원자료'!P78*'03_가중치민감도'!$B$8+'01_원자료'!Q78*'03_가중치민감도'!$C$8+'01_원자료'!R78*'03_가중치민감도'!$D$8</f>
        <v>0.49779843209743602</v>
      </c>
      <c r="I81" s="17">
        <f>'01_원자료'!P78*'03_가중치민감도'!$B$9+'01_원자료'!Q78*'03_가중치민감도'!$C$9+'01_원자료'!R78*'03_가중치민감도'!$D$9</f>
        <v>0.51266072813227215</v>
      </c>
      <c r="J81" s="17">
        <f>'01_원자료'!P78*'03_가중치민감도'!$B$10+'01_원자료'!Q78*'03_가중치민감도'!$C$10+'01_원자료'!R78*'03_가중치민감도'!$D$10</f>
        <v>0.63710368875526913</v>
      </c>
      <c r="K81" s="31">
        <f t="shared" si="6"/>
        <v>317</v>
      </c>
      <c r="L81" s="31">
        <f t="shared" si="7"/>
        <v>305</v>
      </c>
      <c r="M81" s="31">
        <f t="shared" si="8"/>
        <v>342</v>
      </c>
      <c r="N81" s="31">
        <f t="shared" si="9"/>
        <v>220</v>
      </c>
      <c r="O81" s="31">
        <f t="shared" si="10"/>
        <v>298</v>
      </c>
      <c r="P81" s="31">
        <f t="shared" si="11"/>
        <v>280</v>
      </c>
    </row>
    <row r="82" spans="1:16">
      <c r="A82" s="2" t="str">
        <f>'01_원자료'!A79</f>
        <v>PAT-06</v>
      </c>
      <c r="B82" s="2" t="str">
        <f>'01_원자료'!B79</f>
        <v>chatgpt</v>
      </c>
      <c r="C82" s="2" t="str">
        <f>'01_원자료'!C79</f>
        <v>qwen</v>
      </c>
      <c r="E82" s="17">
        <f>'01_원자료'!P79*'03_가중치민감도'!$B$5+'01_원자료'!Q79*'03_가중치민감도'!$C$5+'01_원자료'!R79*'03_가중치민감도'!$D$5</f>
        <v>0.53680613899300633</v>
      </c>
      <c r="F82" s="17">
        <f>'01_원자료'!P79*'03_가중치민감도'!$B$6+'01_원자료'!Q79*'03_가중치민감도'!$C$6+'01_원자료'!R79*'03_가중치민감도'!$D$6</f>
        <v>0.46395985883414359</v>
      </c>
      <c r="G82" s="17">
        <f>'01_원자료'!P79*'03_가중치민감도'!$B$7+'01_원자료'!Q79*'03_가중치민감도'!$C$7+'01_원자료'!R79*'03_가중치민감도'!$D$7</f>
        <v>0.55783910906321132</v>
      </c>
      <c r="H82" s="17">
        <f>'01_원자료'!P79*'03_가중치민감도'!$B$8+'01_원자료'!Q79*'03_가중치민감도'!$C$8+'01_원자료'!R79*'03_가중치민감도'!$D$8</f>
        <v>0.43164128864198159</v>
      </c>
      <c r="I82" s="17">
        <f>'01_원자료'!P79*'03_가중치민감도'!$B$9+'01_원자료'!Q79*'03_가중치민감도'!$C$9+'01_원자료'!R79*'03_가중치민감도'!$D$9</f>
        <v>0.48123096219702899</v>
      </c>
      <c r="J82" s="17">
        <f>'01_원자료'!P79*'03_가중치민감도'!$B$10+'01_원자료'!Q79*'03_가중치민감도'!$C$10+'01_원자료'!R79*'03_가중치민감도'!$D$10</f>
        <v>0.5675864790114592</v>
      </c>
      <c r="K82" s="31">
        <f t="shared" si="6"/>
        <v>157</v>
      </c>
      <c r="L82" s="31">
        <f t="shared" si="7"/>
        <v>194</v>
      </c>
      <c r="M82" s="31">
        <f t="shared" si="8"/>
        <v>193</v>
      </c>
      <c r="N82" s="31">
        <f t="shared" si="9"/>
        <v>108</v>
      </c>
      <c r="O82" s="31">
        <f t="shared" si="10"/>
        <v>168</v>
      </c>
      <c r="P82" s="31">
        <f t="shared" si="11"/>
        <v>107</v>
      </c>
    </row>
    <row r="83" spans="1:16">
      <c r="A83" s="2" t="str">
        <f>'01_원자료'!A80</f>
        <v>PAT-06</v>
      </c>
      <c r="B83" s="2" t="str">
        <f>'01_원자료'!B80</f>
        <v>claude</v>
      </c>
      <c r="C83" s="2" t="str">
        <f>'01_원자료'!C80</f>
        <v>gemma</v>
      </c>
      <c r="E83" s="17">
        <f>'01_원자료'!P80*'03_가중치민감도'!$B$5+'01_원자료'!Q80*'03_가중치민감도'!$C$5+'01_원자료'!R80*'03_가중치민감도'!$D$5</f>
        <v>0.60229557698345171</v>
      </c>
      <c r="F83" s="17">
        <f>'01_원자료'!P80*'03_가중치민감도'!$B$6+'01_원자료'!Q80*'03_가중치민감도'!$C$6+'01_원자료'!R80*'03_가중치민감도'!$D$6</f>
        <v>0.50419513343271816</v>
      </c>
      <c r="G83" s="17">
        <f>'01_원자료'!P80*'03_가중치민감도'!$B$7+'01_원자료'!Q80*'03_가중치민감도'!$C$7+'01_원자료'!R80*'03_가중치민감도'!$D$7</f>
        <v>0.60624874821547792</v>
      </c>
      <c r="H83" s="17">
        <f>'01_원자료'!P80*'03_가중치민감도'!$B$8+'01_원자료'!Q80*'03_가중치민감도'!$C$8+'01_원자료'!R80*'03_가중치민감도'!$D$8</f>
        <v>0.58252972082332044</v>
      </c>
      <c r="I83" s="17">
        <f>'01_원자료'!P80*'03_가중치민감도'!$B$9+'01_원자료'!Q80*'03_가중치민감도'!$C$9+'01_원자료'!R80*'03_가중치민감도'!$D$9</f>
        <v>0.53557755753895342</v>
      </c>
      <c r="J83" s="17">
        <f>'01_원자료'!P80*'03_가중치민감도'!$B$10+'01_원자료'!Q80*'03_가중치민감도'!$C$10+'01_원자료'!R80*'03_가중치민감도'!$D$10</f>
        <v>0.69248967807013284</v>
      </c>
      <c r="K83" s="31">
        <f t="shared" si="6"/>
        <v>399</v>
      </c>
      <c r="L83" s="31">
        <f t="shared" si="7"/>
        <v>382</v>
      </c>
      <c r="M83" s="31">
        <f t="shared" si="8"/>
        <v>395</v>
      </c>
      <c r="N83" s="31">
        <f t="shared" si="9"/>
        <v>434</v>
      </c>
      <c r="O83" s="31">
        <f t="shared" si="10"/>
        <v>393</v>
      </c>
      <c r="P83" s="31">
        <f t="shared" si="11"/>
        <v>432</v>
      </c>
    </row>
    <row r="84" spans="1:16">
      <c r="A84" s="2" t="str">
        <f>'01_원자료'!A81</f>
        <v>PAT-06</v>
      </c>
      <c r="B84" s="2" t="str">
        <f>'01_원자료'!B81</f>
        <v>claude</v>
      </c>
      <c r="C84" s="2" t="str">
        <f>'01_원자료'!C81</f>
        <v>ministral</v>
      </c>
      <c r="E84" s="17">
        <f>'01_원자료'!P81*'03_가중치민감도'!$B$5+'01_원자료'!Q81*'03_가중치민감도'!$C$5+'01_원자료'!R81*'03_가중치민감도'!$D$5</f>
        <v>0.55996572785302634</v>
      </c>
      <c r="F84" s="17">
        <f>'01_원자료'!P81*'03_가중치민감도'!$B$6+'01_원자료'!Q81*'03_가중치민감도'!$C$6+'01_원자료'!R81*'03_가중치민감도'!$D$6</f>
        <v>0.48191512419151783</v>
      </c>
      <c r="G84" s="17">
        <f>'01_원자료'!P81*'03_가중치민감도'!$B$7+'01_원자료'!Q81*'03_가중치민감도'!$C$7+'01_원자료'!R81*'03_가중치민감도'!$D$7</f>
        <v>0.57395844037736976</v>
      </c>
      <c r="H84" s="17">
        <f>'01_원자료'!P81*'03_가중치민감도'!$B$8+'01_원자료'!Q81*'03_가중치민감도'!$C$8+'01_원자료'!R81*'03_가중치민감도'!$D$8</f>
        <v>0.49000216523130924</v>
      </c>
      <c r="I84" s="17">
        <f>'01_원자료'!P81*'03_가중치민감도'!$B$9+'01_원자료'!Q81*'03_가중치민감도'!$C$9+'01_원자료'!R81*'03_가중치민감도'!$D$9</f>
        <v>0.50326775457057238</v>
      </c>
      <c r="J84" s="17">
        <f>'01_원자료'!P81*'03_가중치민감도'!$B$10+'01_원자료'!Q81*'03_가중치민감도'!$C$10+'01_원자료'!R81*'03_가중치민감도'!$D$10</f>
        <v>0.61003090646584801</v>
      </c>
      <c r="K84" s="31">
        <f t="shared" si="6"/>
        <v>250</v>
      </c>
      <c r="L84" s="31">
        <f t="shared" si="7"/>
        <v>279</v>
      </c>
      <c r="M84" s="31">
        <f t="shared" si="8"/>
        <v>262</v>
      </c>
      <c r="N84" s="31">
        <f t="shared" si="9"/>
        <v>200</v>
      </c>
      <c r="O84" s="31">
        <f t="shared" si="10"/>
        <v>258</v>
      </c>
      <c r="P84" s="31">
        <f t="shared" si="11"/>
        <v>211</v>
      </c>
    </row>
    <row r="85" spans="1:16">
      <c r="A85" s="2" t="str">
        <f>'01_원자료'!A82</f>
        <v>PAT-06</v>
      </c>
      <c r="B85" s="2" t="str">
        <f>'01_원자료'!B82</f>
        <v>claude</v>
      </c>
      <c r="C85" s="2" t="str">
        <f>'01_원자료'!C82</f>
        <v>qwen</v>
      </c>
      <c r="E85" s="17">
        <f>'01_원자료'!P82*'03_가중치민감도'!$B$5+'01_원자료'!Q82*'03_가중치민감도'!$C$5+'01_원자료'!R82*'03_가중치민감도'!$D$5</f>
        <v>0.64184275267945812</v>
      </c>
      <c r="F85" s="17">
        <f>'01_원자료'!P82*'03_가중치민감도'!$B$6+'01_원자료'!Q82*'03_가중치민감도'!$C$6+'01_원자료'!R82*'03_가중치민감도'!$D$6</f>
        <v>0.55523936432012255</v>
      </c>
      <c r="G85" s="17">
        <f>'01_원자료'!P82*'03_가중치민감도'!$B$7+'01_원자료'!Q82*'03_가중치민감도'!$C$7+'01_원자료'!R82*'03_가중치민감도'!$D$7</f>
        <v>0.64664508130405107</v>
      </c>
      <c r="H85" s="17">
        <f>'01_원자료'!P82*'03_가중치민감도'!$B$8+'01_원자료'!Q82*'03_가중치민감도'!$C$8+'01_원자료'!R82*'03_가중치민감도'!$D$8</f>
        <v>0.61783110955649312</v>
      </c>
      <c r="I85" s="17">
        <f>'01_원자료'!P82*'03_가중치민감도'!$B$9+'01_원자료'!Q82*'03_가중치민감도'!$C$9+'01_원자료'!R82*'03_가중치민감도'!$D$9</f>
        <v>0.58250638423170276</v>
      </c>
      <c r="J85" s="17">
        <f>'01_원자료'!P82*'03_가중치민감도'!$B$10+'01_원자료'!Q82*'03_가중치민감도'!$C$10+'01_원자료'!R82*'03_가중치민감도'!$D$10</f>
        <v>0.71884148378960766</v>
      </c>
      <c r="K85" s="31">
        <f t="shared" si="6"/>
        <v>583</v>
      </c>
      <c r="L85" s="31">
        <f t="shared" si="7"/>
        <v>614</v>
      </c>
      <c r="M85" s="31">
        <f t="shared" si="8"/>
        <v>597</v>
      </c>
      <c r="N85" s="31">
        <f t="shared" si="9"/>
        <v>543</v>
      </c>
      <c r="O85" s="31">
        <f t="shared" si="10"/>
        <v>588</v>
      </c>
      <c r="P85" s="31">
        <f t="shared" si="11"/>
        <v>534</v>
      </c>
    </row>
    <row r="86" spans="1:16">
      <c r="A86" s="2" t="str">
        <f>'01_원자료'!A83</f>
        <v>PAT-06</v>
      </c>
      <c r="B86" s="2" t="str">
        <f>'01_원자료'!B83</f>
        <v>gemini</v>
      </c>
      <c r="C86" s="2" t="str">
        <f>'01_원자료'!C83</f>
        <v>gemma</v>
      </c>
      <c r="E86" s="17">
        <f>'01_원자료'!P83*'03_가중치민감도'!$B$5+'01_원자료'!Q83*'03_가중치민감도'!$C$5+'01_원자료'!R83*'03_가중치민감도'!$D$5</f>
        <v>0.66661582595736535</v>
      </c>
      <c r="F86" s="17">
        <f>'01_원자료'!P83*'03_가중치민감도'!$B$6+'01_원자료'!Q83*'03_가중치민감도'!$C$6+'01_원자료'!R83*'03_가중치민감도'!$D$6</f>
        <v>0.55324097722756682</v>
      </c>
      <c r="G86" s="17">
        <f>'01_원자료'!P83*'03_가중치민감도'!$B$7+'01_원자료'!Q83*'03_가중치민감도'!$C$7+'01_원자료'!R83*'03_가중치민감도'!$D$7</f>
        <v>0.66772004246829342</v>
      </c>
      <c r="H86" s="17">
        <f>'01_원자료'!P83*'03_가중치민감도'!$B$8+'01_원자료'!Q83*'03_가중치민감도'!$C$8+'01_원자료'!R83*'03_가중치민감도'!$D$8</f>
        <v>0.66109474340272512</v>
      </c>
      <c r="I86" s="17">
        <f>'01_원자료'!P83*'03_가중치민감도'!$B$9+'01_원자료'!Q83*'03_가중치민감도'!$C$9+'01_원자료'!R83*'03_가중치민감도'!$D$9</f>
        <v>0.59066452130052305</v>
      </c>
      <c r="J86" s="17">
        <f>'01_원자료'!P83*'03_가중치민감도'!$B$10+'01_원자료'!Q83*'03_가중치민감도'!$C$10+'01_원자료'!R83*'03_가중치민감도'!$D$10</f>
        <v>0.77778224166530774</v>
      </c>
      <c r="K86" s="31">
        <f t="shared" si="6"/>
        <v>701</v>
      </c>
      <c r="L86" s="31">
        <f t="shared" si="7"/>
        <v>606</v>
      </c>
      <c r="M86" s="31">
        <f t="shared" si="8"/>
        <v>708</v>
      </c>
      <c r="N86" s="31">
        <f t="shared" si="9"/>
        <v>674</v>
      </c>
      <c r="O86" s="31">
        <f t="shared" si="10"/>
        <v>634</v>
      </c>
      <c r="P86" s="31">
        <f t="shared" si="11"/>
        <v>749</v>
      </c>
    </row>
    <row r="87" spans="1:16">
      <c r="A87" s="2" t="str">
        <f>'01_원자료'!A84</f>
        <v>PAT-06</v>
      </c>
      <c r="B87" s="2" t="str">
        <f>'01_원자료'!B84</f>
        <v>gemini</v>
      </c>
      <c r="C87" s="2" t="str">
        <f>'01_원자료'!C84</f>
        <v>ministral</v>
      </c>
      <c r="E87" s="17">
        <f>'01_원자료'!P84*'03_가중치민감도'!$B$5+'01_원자료'!Q84*'03_가중치민감도'!$C$5+'01_원자료'!R84*'03_가중치민감도'!$D$5</f>
        <v>0.57096164185750009</v>
      </c>
      <c r="F87" s="17">
        <f>'01_원자료'!P84*'03_가중치민감도'!$B$6+'01_원자료'!Q84*'03_가중치민감도'!$C$6+'01_원자료'!R84*'03_가중치민감도'!$D$6</f>
        <v>0.47496209893987451</v>
      </c>
      <c r="G87" s="17">
        <f>'01_원자료'!P84*'03_가중치민감도'!$B$7+'01_원자료'!Q84*'03_가중치민감도'!$C$7+'01_원자료'!R84*'03_가중치민감도'!$D$7</f>
        <v>0.59299449601807708</v>
      </c>
      <c r="H87" s="17">
        <f>'01_원자료'!P84*'03_가중치민감도'!$B$8+'01_원자료'!Q84*'03_가중치민감도'!$C$8+'01_원자료'!R84*'03_가중치민감도'!$D$8</f>
        <v>0.46079737105461482</v>
      </c>
      <c r="I87" s="17">
        <f>'01_원자료'!P84*'03_가중치민감도'!$B$9+'01_원자료'!Q84*'03_가중치민감도'!$C$9+'01_원자료'!R84*'03_가중치민감도'!$D$9</f>
        <v>0.49961766185889017</v>
      </c>
      <c r="J87" s="17">
        <f>'01_원자료'!P84*'03_가중치민감도'!$B$10+'01_원자료'!Q84*'03_가중치민감도'!$C$10+'01_원자료'!R84*'03_가중치민감도'!$D$10</f>
        <v>0.62289547645397148</v>
      </c>
      <c r="K87" s="31">
        <f t="shared" si="6"/>
        <v>286</v>
      </c>
      <c r="L87" s="31">
        <f t="shared" si="7"/>
        <v>241</v>
      </c>
      <c r="M87" s="31">
        <f t="shared" si="8"/>
        <v>337</v>
      </c>
      <c r="N87" s="31">
        <f t="shared" si="9"/>
        <v>150</v>
      </c>
      <c r="O87" s="31">
        <f t="shared" si="10"/>
        <v>243</v>
      </c>
      <c r="P87" s="31">
        <f t="shared" si="11"/>
        <v>250</v>
      </c>
    </row>
    <row r="88" spans="1:16">
      <c r="A88" s="2" t="str">
        <f>'01_원자료'!A85</f>
        <v>PAT-06</v>
      </c>
      <c r="B88" s="2" t="str">
        <f>'01_원자료'!B85</f>
        <v>gemini</v>
      </c>
      <c r="C88" s="2" t="str">
        <f>'01_원자료'!C85</f>
        <v>qwen</v>
      </c>
      <c r="E88" s="17">
        <f>'01_원자료'!P85*'03_가중치민감도'!$B$5+'01_원자료'!Q85*'03_가중치민감도'!$C$5+'01_원자료'!R85*'03_가중치민감도'!$D$5</f>
        <v>0.726993568844293</v>
      </c>
      <c r="F88" s="17">
        <f>'01_원자료'!P85*'03_가중치민감도'!$B$6+'01_원자료'!Q85*'03_가중치민감도'!$C$6+'01_원자료'!R85*'03_가중치민감도'!$D$6</f>
        <v>0.63051793588387217</v>
      </c>
      <c r="G88" s="17">
        <f>'01_원자료'!P85*'03_가중치민감도'!$B$7+'01_원자료'!Q85*'03_가중치민감도'!$C$7+'01_원자료'!R85*'03_가중치민감도'!$D$7</f>
        <v>0.7263453500281698</v>
      </c>
      <c r="H88" s="17">
        <f>'01_원자료'!P85*'03_가중치민감도'!$B$8+'01_원자료'!Q85*'03_가중치민감도'!$C$8+'01_원자료'!R85*'03_가중치민감도'!$D$8</f>
        <v>0.73023466292490913</v>
      </c>
      <c r="I88" s="17">
        <f>'01_원자료'!P85*'03_가중치민감도'!$B$9+'01_원자료'!Q85*'03_가중치민감도'!$C$9+'01_원자료'!R85*'03_가중치민감도'!$D$9</f>
        <v>0.66289255314271944</v>
      </c>
      <c r="J88" s="17">
        <f>'01_원자료'!P85*'03_가중치민감도'!$B$10+'01_원자료'!Q85*'03_가중치민감도'!$C$10+'01_원자료'!R85*'03_가중치민감도'!$D$10</f>
        <v>0.82476563943696024</v>
      </c>
      <c r="K88" s="31">
        <f t="shared" si="6"/>
        <v>899</v>
      </c>
      <c r="L88" s="31">
        <f t="shared" si="7"/>
        <v>921</v>
      </c>
      <c r="M88" s="31">
        <f t="shared" si="8"/>
        <v>913</v>
      </c>
      <c r="N88" s="31">
        <f t="shared" si="9"/>
        <v>835</v>
      </c>
      <c r="O88" s="31">
        <f t="shared" si="10"/>
        <v>915</v>
      </c>
      <c r="P88" s="31">
        <f t="shared" si="11"/>
        <v>846</v>
      </c>
    </row>
    <row r="89" spans="1:16">
      <c r="A89" s="2" t="str">
        <f>'01_원자료'!A86</f>
        <v>PAT-06</v>
      </c>
      <c r="B89" s="2" t="str">
        <f>'01_원자료'!B86</f>
        <v>mistral</v>
      </c>
      <c r="C89" s="2" t="str">
        <f>'01_원자료'!C86</f>
        <v>gemma</v>
      </c>
      <c r="E89" s="17">
        <f>'01_원자료'!P86*'03_가중치민감도'!$B$5+'01_원자료'!Q86*'03_가중치민감도'!$C$5+'01_원자료'!R86*'03_가중치민감도'!$D$5</f>
        <v>0.6320081638236229</v>
      </c>
      <c r="F89" s="17">
        <f>'01_원자료'!P86*'03_가중치민감도'!$B$6+'01_원자료'!Q86*'03_가중치민감도'!$C$6+'01_원자료'!R86*'03_가중치민감도'!$D$6</f>
        <v>0.53434551381116679</v>
      </c>
      <c r="G89" s="17">
        <f>'01_원자료'!P86*'03_가중치민감도'!$B$7+'01_원자료'!Q86*'03_가중치민감도'!$C$7+'01_원자료'!R86*'03_가중치민감도'!$D$7</f>
        <v>0.62823739533861012</v>
      </c>
      <c r="H89" s="17">
        <f>'01_원자료'!P86*'03_가중치민감도'!$B$8+'01_원자료'!Q86*'03_가중치민감도'!$C$8+'01_원자료'!R86*'03_가중치민감도'!$D$8</f>
        <v>0.65086200624868662</v>
      </c>
      <c r="I89" s="17">
        <f>'01_원자료'!P86*'03_가중치민감도'!$B$9+'01_원자료'!Q86*'03_가중치민감도'!$C$9+'01_원자료'!R86*'03_가중치민감도'!$D$9</f>
        <v>0.56815665331032239</v>
      </c>
      <c r="J89" s="17">
        <f>'01_원자료'!P86*'03_가중치민감도'!$B$10+'01_원자료'!Q86*'03_가중치민감도'!$C$10+'01_원자료'!R86*'03_가중치민감도'!$D$10</f>
        <v>0.73721235080610459</v>
      </c>
      <c r="K89" s="31">
        <f t="shared" si="6"/>
        <v>539</v>
      </c>
      <c r="L89" s="31">
        <f t="shared" si="7"/>
        <v>523</v>
      </c>
      <c r="M89" s="31">
        <f t="shared" si="8"/>
        <v>507</v>
      </c>
      <c r="N89" s="31">
        <f t="shared" si="9"/>
        <v>643</v>
      </c>
      <c r="O89" s="31">
        <f t="shared" si="10"/>
        <v>541</v>
      </c>
      <c r="P89" s="31">
        <f t="shared" si="11"/>
        <v>611</v>
      </c>
    </row>
    <row r="90" spans="1:16">
      <c r="A90" s="2" t="str">
        <f>'01_원자료'!A87</f>
        <v>PAT-06</v>
      </c>
      <c r="B90" s="2" t="str">
        <f>'01_원자료'!B87</f>
        <v>mistral</v>
      </c>
      <c r="C90" s="2" t="str">
        <f>'01_원자료'!C87</f>
        <v>ministral</v>
      </c>
      <c r="E90" s="17">
        <f>'01_원자료'!P87*'03_가중치민감도'!$B$5+'01_원자료'!Q87*'03_가중치민감도'!$C$5+'01_원자료'!R87*'03_가중치민감도'!$D$5</f>
        <v>0.52518210376279151</v>
      </c>
      <c r="F90" s="17">
        <f>'01_원자료'!P87*'03_가중치민감도'!$B$6+'01_원자료'!Q87*'03_가중치민감도'!$C$6+'01_원자료'!R87*'03_가중치민감도'!$D$6</f>
        <v>0.45287713155402642</v>
      </c>
      <c r="G90" s="17">
        <f>'01_원자료'!P87*'03_가중치민감도'!$B$7+'01_원자료'!Q87*'03_가중치민감도'!$C$7+'01_원자료'!R87*'03_가중치민감도'!$D$7</f>
        <v>0.54149786854297211</v>
      </c>
      <c r="H90" s="17">
        <f>'01_원자료'!P87*'03_가중치민감도'!$B$8+'01_원자료'!Q87*'03_가중치민감도'!$C$8+'01_원자료'!R87*'03_가중치민감도'!$D$8</f>
        <v>0.44360327986188863</v>
      </c>
      <c r="I90" s="17">
        <f>'01_원자료'!P87*'03_가중치민감도'!$B$9+'01_원자료'!Q87*'03_가중치민감도'!$C$9+'01_원자료'!R87*'03_가중치민감도'!$D$9</f>
        <v>0.4715402006968874</v>
      </c>
      <c r="J90" s="17">
        <f>'01_원자료'!P87*'03_가중치민감도'!$B$10+'01_원자료'!Q87*'03_가중치민감도'!$C$10+'01_원자료'!R87*'03_가중치민감도'!$D$10</f>
        <v>0.56485554641119551</v>
      </c>
      <c r="K90" s="31">
        <f t="shared" si="6"/>
        <v>117</v>
      </c>
      <c r="L90" s="31">
        <f t="shared" si="7"/>
        <v>151</v>
      </c>
      <c r="M90" s="31">
        <f t="shared" si="8"/>
        <v>113</v>
      </c>
      <c r="N90" s="31">
        <f t="shared" si="9"/>
        <v>125</v>
      </c>
      <c r="O90" s="31">
        <f t="shared" si="10"/>
        <v>138</v>
      </c>
      <c r="P90" s="31">
        <f t="shared" si="11"/>
        <v>102</v>
      </c>
    </row>
    <row r="91" spans="1:16">
      <c r="A91" s="2" t="str">
        <f>'01_원자료'!A88</f>
        <v>PAT-06</v>
      </c>
      <c r="B91" s="2" t="str">
        <f>'01_원자료'!B88</f>
        <v>mistral</v>
      </c>
      <c r="C91" s="2" t="str">
        <f>'01_원자료'!C88</f>
        <v>qwen</v>
      </c>
      <c r="E91" s="17">
        <f>'01_원자료'!P88*'03_가중치민감도'!$B$5+'01_원자료'!Q88*'03_가중치민감도'!$C$5+'01_원자료'!R88*'03_가중치민감도'!$D$5</f>
        <v>0.68858216379525294</v>
      </c>
      <c r="F91" s="17">
        <f>'01_원자료'!P88*'03_가중치민감도'!$B$6+'01_원자료'!Q88*'03_가중치민감도'!$C$6+'01_원자료'!R88*'03_가중치민감도'!$D$6</f>
        <v>0.6037966647487496</v>
      </c>
      <c r="G91" s="17">
        <f>'01_원자료'!P88*'03_가중치민감도'!$B$7+'01_원자료'!Q88*'03_가중치민감도'!$C$7+'01_원자료'!R88*'03_가중치민감도'!$D$7</f>
        <v>0.68770969148601102</v>
      </c>
      <c r="H91" s="17">
        <f>'01_원자료'!P88*'03_가중치민감도'!$B$8+'01_원자료'!Q88*'03_가중치민감도'!$C$8+'01_원자료'!R88*'03_가중치민감도'!$D$8</f>
        <v>0.69294452534146234</v>
      </c>
      <c r="I91" s="17">
        <f>'01_원자료'!P88*'03_가중치민감도'!$B$9+'01_원자료'!Q88*'03_가중치민감도'!$C$9+'01_원자료'!R88*'03_가중치민감도'!$D$9</f>
        <v>0.63234932186733062</v>
      </c>
      <c r="J91" s="17">
        <f>'01_원자료'!P88*'03_가중치민감도'!$B$10+'01_원자료'!Q88*'03_가중치민감도'!$C$10+'01_원자료'!R88*'03_가중치민감도'!$D$10</f>
        <v>0.77511260746024002</v>
      </c>
      <c r="K91" s="31">
        <f t="shared" si="6"/>
        <v>781</v>
      </c>
      <c r="L91" s="31">
        <f t="shared" si="7"/>
        <v>828</v>
      </c>
      <c r="M91" s="31">
        <f t="shared" si="8"/>
        <v>787</v>
      </c>
      <c r="N91" s="31">
        <f t="shared" si="9"/>
        <v>759</v>
      </c>
      <c r="O91" s="31">
        <f t="shared" si="10"/>
        <v>804</v>
      </c>
      <c r="P91" s="31">
        <f t="shared" si="11"/>
        <v>742</v>
      </c>
    </row>
    <row r="92" spans="1:16">
      <c r="A92" s="2" t="str">
        <f>'01_원자료'!A89</f>
        <v>PAT-06</v>
      </c>
      <c r="B92" s="2" t="str">
        <f>'01_원자료'!B89</f>
        <v>qwen3_6</v>
      </c>
      <c r="C92" s="2" t="str">
        <f>'01_원자료'!C89</f>
        <v>gemma</v>
      </c>
      <c r="E92" s="17">
        <f>'01_원자료'!P89*'03_가중치민감도'!$B$5+'01_원자료'!Q89*'03_가중치민감도'!$C$5+'01_원자료'!R89*'03_가중치민감도'!$D$5</f>
        <v>0.6508043045317311</v>
      </c>
      <c r="F92" s="17">
        <f>'01_원자료'!P89*'03_가중치민감도'!$B$6+'01_원자료'!Q89*'03_가중치민감도'!$C$6+'01_원자료'!R89*'03_가중치민감도'!$D$6</f>
        <v>0.55185344658328539</v>
      </c>
      <c r="G92" s="17">
        <f>'01_원자료'!P89*'03_가중치민감도'!$B$7+'01_원자료'!Q89*'03_가중치민감도'!$C$7+'01_원자료'!R89*'03_가중치민감도'!$D$7</f>
        <v>0.6493888950254102</v>
      </c>
      <c r="H92" s="17">
        <f>'01_원자료'!P89*'03_가중치민감도'!$B$8+'01_원자료'!Q89*'03_가중치민감도'!$C$8+'01_원자료'!R89*'03_가중치민감도'!$D$8</f>
        <v>0.65788135206333542</v>
      </c>
      <c r="I92" s="17">
        <f>'01_원자료'!P89*'03_가중치민감도'!$B$9+'01_원자료'!Q89*'03_가중치민감도'!$C$9+'01_원자료'!R89*'03_가중치민감도'!$D$9</f>
        <v>0.58530886906820689</v>
      </c>
      <c r="J92" s="17">
        <f>'01_원자료'!P89*'03_가중치민감도'!$B$10+'01_원자료'!Q89*'03_가중치민감도'!$C$10+'01_원자료'!R89*'03_가중치민감도'!$D$10</f>
        <v>0.75258598149281841</v>
      </c>
      <c r="K92" s="31">
        <f t="shared" si="6"/>
        <v>622</v>
      </c>
      <c r="L92" s="31">
        <f t="shared" si="7"/>
        <v>597</v>
      </c>
      <c r="M92" s="31">
        <f t="shared" si="8"/>
        <v>612</v>
      </c>
      <c r="N92" s="31">
        <f t="shared" si="9"/>
        <v>659</v>
      </c>
      <c r="O92" s="31">
        <f t="shared" si="10"/>
        <v>606</v>
      </c>
      <c r="P92" s="31">
        <f t="shared" si="11"/>
        <v>665</v>
      </c>
    </row>
    <row r="93" spans="1:16">
      <c r="A93" s="2" t="str">
        <f>'01_원자료'!A90</f>
        <v>PAT-06</v>
      </c>
      <c r="B93" s="2" t="str">
        <f>'01_원자료'!B90</f>
        <v>qwen3_6</v>
      </c>
      <c r="C93" s="2" t="str">
        <f>'01_원자료'!C90</f>
        <v>ministral</v>
      </c>
      <c r="E93" s="17">
        <f>'01_원자료'!P90*'03_가중치민감도'!$B$5+'01_원자료'!Q90*'03_가중치민감도'!$C$5+'01_원자료'!R90*'03_가중치민감도'!$D$5</f>
        <v>0.53122924708455432</v>
      </c>
      <c r="F93" s="17">
        <f>'01_원자료'!P90*'03_가중치민감도'!$B$6+'01_원자료'!Q90*'03_가중치민감도'!$C$6+'01_원자료'!R90*'03_가중치민감도'!$D$6</f>
        <v>0.45141256477422786</v>
      </c>
      <c r="G93" s="17">
        <f>'01_원자료'!P90*'03_가중치민감도'!$B$7+'01_원자료'!Q90*'03_가중치민감도'!$C$7+'01_원자료'!R90*'03_가중치민감도'!$D$7</f>
        <v>0.54860249663011096</v>
      </c>
      <c r="H93" s="17">
        <f>'01_원자료'!P90*'03_가중치민감도'!$B$8+'01_원자료'!Q90*'03_가중치민감도'!$C$8+'01_원자료'!R90*'03_가중치민감도'!$D$8</f>
        <v>0.44436299935677109</v>
      </c>
      <c r="I93" s="17">
        <f>'01_원자료'!P90*'03_가중치민감도'!$B$9+'01_원자료'!Q90*'03_가중치민감도'!$C$9+'01_원자료'!R90*'03_가중치민감도'!$D$9</f>
        <v>0.47222704236248397</v>
      </c>
      <c r="J93" s="17">
        <f>'01_원자료'!P90*'03_가중치민감도'!$B$10+'01_원자료'!Q90*'03_가중치민감도'!$C$10+'01_원자료'!R90*'03_가중치민감도'!$D$10</f>
        <v>0.57629943030376751</v>
      </c>
      <c r="K93" s="31">
        <f t="shared" si="6"/>
        <v>136</v>
      </c>
      <c r="L93" s="31">
        <f t="shared" si="7"/>
        <v>148</v>
      </c>
      <c r="M93" s="31">
        <f t="shared" si="8"/>
        <v>149</v>
      </c>
      <c r="N93" s="31">
        <f t="shared" si="9"/>
        <v>127</v>
      </c>
      <c r="O93" s="31">
        <f t="shared" si="10"/>
        <v>139</v>
      </c>
      <c r="P93" s="31">
        <f t="shared" si="11"/>
        <v>122</v>
      </c>
    </row>
    <row r="94" spans="1:16">
      <c r="A94" s="2" t="str">
        <f>'01_원자료'!A91</f>
        <v>PAT-06</v>
      </c>
      <c r="B94" s="2" t="str">
        <f>'01_원자료'!B91</f>
        <v>qwen3_6</v>
      </c>
      <c r="C94" s="2" t="str">
        <f>'01_원자료'!C91</f>
        <v>qwen</v>
      </c>
      <c r="E94" s="17">
        <f>'01_원자료'!P91*'03_가중치민감도'!$B$5+'01_원자료'!Q91*'03_가중치민감도'!$C$5+'01_원자료'!R91*'03_가중치민감도'!$D$5</f>
        <v>0.70930542710825661</v>
      </c>
      <c r="F94" s="17">
        <f>'01_원자료'!P91*'03_가중치민감도'!$B$6+'01_원자료'!Q91*'03_가중치민감도'!$C$6+'01_원자료'!R91*'03_가중치민감도'!$D$6</f>
        <v>0.62212495806697787</v>
      </c>
      <c r="G94" s="17">
        <f>'01_원자료'!P91*'03_가중치민감도'!$B$7+'01_원자료'!Q91*'03_가중치민감도'!$C$7+'01_원자료'!R91*'03_가중치민감도'!$D$7</f>
        <v>0.70640859948753509</v>
      </c>
      <c r="H94" s="17">
        <f>'01_원자료'!P91*'03_가중치민감도'!$B$8+'01_원자료'!Q91*'03_가중치민감도'!$C$8+'01_원자료'!R91*'03_가중치민감도'!$D$8</f>
        <v>0.72378956521186377</v>
      </c>
      <c r="I94" s="17">
        <f>'01_원자료'!P91*'03_가중치민감도'!$B$9+'01_원자료'!Q91*'03_가중치민감도'!$C$9+'01_원자료'!R91*'03_가중치민감도'!$D$9</f>
        <v>0.65215072362097715</v>
      </c>
      <c r="J94" s="17">
        <f>'01_원자료'!P91*'03_가중치민감도'!$B$10+'01_원자료'!Q91*'03_가중치민감도'!$C$10+'01_원자료'!R91*'03_가중치민감도'!$D$10</f>
        <v>0.80227955139097817</v>
      </c>
      <c r="K94" s="31">
        <f t="shared" si="6"/>
        <v>844</v>
      </c>
      <c r="L94" s="31">
        <f t="shared" si="7"/>
        <v>903</v>
      </c>
      <c r="M94" s="31">
        <f t="shared" si="8"/>
        <v>852</v>
      </c>
      <c r="N94" s="31">
        <f t="shared" si="9"/>
        <v>832</v>
      </c>
      <c r="O94" s="31">
        <f t="shared" si="10"/>
        <v>875</v>
      </c>
      <c r="P94" s="31">
        <f t="shared" si="11"/>
        <v>821</v>
      </c>
    </row>
    <row r="95" spans="1:16">
      <c r="A95" s="2" t="str">
        <f>'01_원자료'!A92</f>
        <v>PAT-07</v>
      </c>
      <c r="B95" s="2" t="str">
        <f>'01_원자료'!B92</f>
        <v>chatgpt</v>
      </c>
      <c r="C95" s="2" t="str">
        <f>'01_원자료'!C92</f>
        <v>gemma</v>
      </c>
      <c r="E95" s="17">
        <f>'01_원자료'!P92*'03_가중치민감도'!$B$5+'01_원자료'!Q92*'03_가중치민감도'!$C$5+'01_원자료'!R92*'03_가중치민감도'!$D$5</f>
        <v>0.57150122741553999</v>
      </c>
      <c r="F95" s="17">
        <f>'01_원자료'!P92*'03_가중치민감도'!$B$6+'01_원자료'!Q92*'03_가중치민감도'!$C$6+'01_원자료'!R92*'03_가중치민감도'!$D$6</f>
        <v>0.47316508803067503</v>
      </c>
      <c r="G95" s="17">
        <f>'01_원자료'!P92*'03_가중치민감도'!$B$7+'01_원자료'!Q92*'03_가중치민감도'!$C$7+'01_원자료'!R92*'03_가중치민감도'!$D$7</f>
        <v>0.58123534559040613</v>
      </c>
      <c r="H95" s="17">
        <f>'01_원자료'!P92*'03_가중치민감도'!$B$8+'01_원자료'!Q92*'03_가중치민감도'!$C$8+'01_원자료'!R92*'03_가중치민감도'!$D$8</f>
        <v>0.52283063654120943</v>
      </c>
      <c r="I95" s="17">
        <f>'01_원자료'!P92*'03_가중치민감도'!$B$9+'01_원자료'!Q92*'03_가중치민감도'!$C$9+'01_원자료'!R92*'03_가중치민감도'!$D$9</f>
        <v>0.50269909510067412</v>
      </c>
      <c r="J95" s="17">
        <f>'01_원자료'!P92*'03_가중치민감도'!$B$10+'01_원자료'!Q92*'03_가중치민감도'!$C$10+'01_원자료'!R92*'03_가중치민감도'!$D$10</f>
        <v>0.65036913045067291</v>
      </c>
      <c r="K95" s="31">
        <f t="shared" si="6"/>
        <v>293</v>
      </c>
      <c r="L95" s="31">
        <f t="shared" si="7"/>
        <v>230</v>
      </c>
      <c r="M95" s="31">
        <f t="shared" si="8"/>
        <v>296</v>
      </c>
      <c r="N95" s="31">
        <f t="shared" si="9"/>
        <v>263</v>
      </c>
      <c r="O95" s="31">
        <f t="shared" si="10"/>
        <v>256</v>
      </c>
      <c r="P95" s="31">
        <f t="shared" si="11"/>
        <v>305</v>
      </c>
    </row>
    <row r="96" spans="1:16">
      <c r="A96" s="2" t="str">
        <f>'01_원자료'!A93</f>
        <v>PAT-07</v>
      </c>
      <c r="B96" s="2" t="str">
        <f>'01_원자료'!B93</f>
        <v>chatgpt</v>
      </c>
      <c r="C96" s="2" t="str">
        <f>'01_원자료'!C93</f>
        <v>ministral</v>
      </c>
      <c r="E96" s="17">
        <f>'01_원자료'!P93*'03_가중치민감도'!$B$5+'01_원자료'!Q93*'03_가중치민감도'!$C$5+'01_원자료'!R93*'03_가중치민감도'!$D$5</f>
        <v>0.57187480174024674</v>
      </c>
      <c r="F96" s="17">
        <f>'01_원자료'!P93*'03_가중치민감도'!$B$6+'01_원자료'!Q93*'03_가중치민감도'!$C$6+'01_원자료'!R93*'03_가중치민감도'!$D$6</f>
        <v>0.46709038582006257</v>
      </c>
      <c r="G96" s="17">
        <f>'01_원자료'!P93*'03_가중치민감도'!$B$7+'01_원자료'!Q93*'03_가중치민감도'!$C$7+'01_원자료'!R93*'03_가중치민감도'!$D$7</f>
        <v>0.58580495509529873</v>
      </c>
      <c r="H96" s="17">
        <f>'01_원자료'!P93*'03_가중치민감도'!$B$8+'01_원자료'!Q93*'03_가중치민감도'!$C$8+'01_원자료'!R93*'03_가중치민감도'!$D$8</f>
        <v>0.50222403496498669</v>
      </c>
      <c r="I96" s="17">
        <f>'01_원자료'!P93*'03_가중치민감도'!$B$9+'01_원자료'!Q93*'03_가중치민감도'!$C$9+'01_원자료'!R93*'03_가중치민감도'!$D$9</f>
        <v>0.49737514000843941</v>
      </c>
      <c r="J96" s="17">
        <f>'01_원자료'!P93*'03_가중치민감도'!$B$10+'01_원자료'!Q93*'03_가중치민감도'!$C$10+'01_원자료'!R93*'03_가중치민감도'!$D$10</f>
        <v>0.64879891095032682</v>
      </c>
      <c r="K96" s="31">
        <f t="shared" si="6"/>
        <v>295</v>
      </c>
      <c r="L96" s="31">
        <f t="shared" si="7"/>
        <v>207</v>
      </c>
      <c r="M96" s="31">
        <f t="shared" si="8"/>
        <v>318</v>
      </c>
      <c r="N96" s="31">
        <f t="shared" si="9"/>
        <v>231</v>
      </c>
      <c r="O96" s="31">
        <f t="shared" si="10"/>
        <v>235</v>
      </c>
      <c r="P96" s="31">
        <f t="shared" si="11"/>
        <v>302</v>
      </c>
    </row>
    <row r="97" spans="1:16">
      <c r="A97" s="2" t="str">
        <f>'01_원자료'!A94</f>
        <v>PAT-07</v>
      </c>
      <c r="B97" s="2" t="str">
        <f>'01_원자료'!B94</f>
        <v>chatgpt</v>
      </c>
      <c r="C97" s="2" t="str">
        <f>'01_원자료'!C94</f>
        <v>qwen</v>
      </c>
      <c r="E97" s="17">
        <f>'01_원자료'!P94*'03_가중치민감도'!$B$5+'01_원자료'!Q94*'03_가중치민감도'!$C$5+'01_원자료'!R94*'03_가중치민감도'!$D$5</f>
        <v>0.61370527605270908</v>
      </c>
      <c r="F97" s="17">
        <f>'01_원자료'!P94*'03_가중치민감도'!$B$6+'01_원자료'!Q94*'03_가중치민감도'!$C$6+'01_원자료'!R94*'03_가중치민감도'!$D$6</f>
        <v>0.53943360823091668</v>
      </c>
      <c r="G97" s="17">
        <f>'01_원자료'!P94*'03_가중치민감도'!$B$7+'01_원자료'!Q94*'03_가중치민감도'!$C$7+'01_원자료'!R94*'03_가중치민감도'!$D$7</f>
        <v>0.62393583929120633</v>
      </c>
      <c r="H97" s="17">
        <f>'01_원자료'!P94*'03_가중치민감도'!$B$8+'01_원자료'!Q94*'03_가중치민감도'!$C$8+'01_원자료'!R94*'03_가중치민감도'!$D$8</f>
        <v>0.56255245986022273</v>
      </c>
      <c r="I97" s="17">
        <f>'01_원자료'!P94*'03_가중치민감도'!$B$9+'01_원자료'!Q94*'03_가중치민감도'!$C$9+'01_원자료'!R94*'03_가중치민감도'!$D$9</f>
        <v>0.56078064309201447</v>
      </c>
      <c r="J97" s="17">
        <f>'01_원자료'!P94*'03_가중치민감도'!$B$10+'01_원자료'!Q94*'03_가중치민감도'!$C$10+'01_원자료'!R94*'03_가중치민감도'!$D$10</f>
        <v>0.66751581739750698</v>
      </c>
      <c r="K97" s="31">
        <f t="shared" si="6"/>
        <v>455</v>
      </c>
      <c r="L97" s="31">
        <f t="shared" si="7"/>
        <v>543</v>
      </c>
      <c r="M97" s="31">
        <f t="shared" si="8"/>
        <v>483</v>
      </c>
      <c r="N97" s="31">
        <f t="shared" si="9"/>
        <v>377</v>
      </c>
      <c r="O97" s="31">
        <f t="shared" si="10"/>
        <v>506</v>
      </c>
      <c r="P97" s="31">
        <f t="shared" si="11"/>
        <v>349</v>
      </c>
    </row>
    <row r="98" spans="1:16">
      <c r="A98" s="2" t="str">
        <f>'01_원자료'!A95</f>
        <v>PAT-07</v>
      </c>
      <c r="B98" s="2" t="str">
        <f>'01_원자료'!B95</f>
        <v>claude</v>
      </c>
      <c r="C98" s="2" t="str">
        <f>'01_원자료'!C95</f>
        <v>gemma</v>
      </c>
      <c r="E98" s="17">
        <f>'01_원자료'!P95*'03_가중치민감도'!$B$5+'01_원자료'!Q95*'03_가중치민감도'!$C$5+'01_원자료'!R95*'03_가중치민감도'!$D$5</f>
        <v>0.65714928551009177</v>
      </c>
      <c r="F98" s="17">
        <f>'01_원자료'!P95*'03_가중치민감도'!$B$6+'01_원자료'!Q95*'03_가중치민감도'!$C$6+'01_원자료'!R95*'03_가중치민감도'!$D$6</f>
        <v>0.56858356222213302</v>
      </c>
      <c r="G98" s="17">
        <f>'01_원자료'!P95*'03_가중치민감도'!$B$7+'01_원자료'!Q95*'03_가중치민감도'!$C$7+'01_원자료'!R95*'03_가중치민감도'!$D$7</f>
        <v>0.65535374734619778</v>
      </c>
      <c r="H98" s="17">
        <f>'01_원자료'!P95*'03_가중치민감도'!$B$8+'01_원자료'!Q95*'03_가중치민감도'!$C$8+'01_원자료'!R95*'03_가중치민감도'!$D$8</f>
        <v>0.66612697632956153</v>
      </c>
      <c r="I98" s="17">
        <f>'01_원자료'!P95*'03_가중치민감도'!$B$9+'01_원자료'!Q95*'03_가중치민감도'!$C$9+'01_원자료'!R95*'03_가중치민감도'!$D$9</f>
        <v>0.59870398270608327</v>
      </c>
      <c r="J98" s="17">
        <f>'01_원자료'!P95*'03_가중치민감도'!$B$10+'01_원자료'!Q95*'03_가중치민감도'!$C$10+'01_원자료'!R95*'03_가중치민감도'!$D$10</f>
        <v>0.74930608512583841</v>
      </c>
      <c r="K98" s="31">
        <f t="shared" si="6"/>
        <v>655</v>
      </c>
      <c r="L98" s="31">
        <f t="shared" si="7"/>
        <v>686</v>
      </c>
      <c r="M98" s="31">
        <f t="shared" si="8"/>
        <v>643</v>
      </c>
      <c r="N98" s="31">
        <f t="shared" si="9"/>
        <v>693</v>
      </c>
      <c r="O98" s="31">
        <f t="shared" si="10"/>
        <v>675</v>
      </c>
      <c r="P98" s="31">
        <f t="shared" si="11"/>
        <v>654</v>
      </c>
    </row>
    <row r="99" spans="1:16">
      <c r="A99" s="2" t="str">
        <f>'01_원자료'!A96</f>
        <v>PAT-07</v>
      </c>
      <c r="B99" s="2" t="str">
        <f>'01_원자료'!B96</f>
        <v>claude</v>
      </c>
      <c r="C99" s="2" t="str">
        <f>'01_원자료'!C96</f>
        <v>ministral</v>
      </c>
      <c r="E99" s="17">
        <f>'01_원자료'!P96*'03_가중치민감도'!$B$5+'01_원자료'!Q96*'03_가중치민감도'!$C$5+'01_원자료'!R96*'03_가중치민감도'!$D$5</f>
        <v>0.59082884858162799</v>
      </c>
      <c r="F99" s="17">
        <f>'01_원자료'!P96*'03_가중치민감도'!$B$6+'01_원자료'!Q96*'03_가중치민감도'!$C$6+'01_원자료'!R96*'03_가중치민감도'!$D$6</f>
        <v>0.49045179518513848</v>
      </c>
      <c r="G99" s="17">
        <f>'01_원자료'!P96*'03_가중치민감도'!$B$7+'01_원자료'!Q96*'03_가중치민감도'!$C$7+'01_원자료'!R96*'03_가중치민감도'!$D$7</f>
        <v>0.59837714303064549</v>
      </c>
      <c r="H99" s="17">
        <f>'01_원자료'!P96*'03_가중치민감도'!$B$8+'01_원자료'!Q96*'03_가중치민감도'!$C$8+'01_원자료'!R96*'03_가중치민감도'!$D$8</f>
        <v>0.55308737633654026</v>
      </c>
      <c r="I99" s="17">
        <f>'01_원자료'!P96*'03_가중치민감도'!$B$9+'01_원자료'!Q96*'03_가중치민감도'!$C$9+'01_원자료'!R96*'03_가중치민감도'!$D$9</f>
        <v>0.52139471483429523</v>
      </c>
      <c r="J99" s="17">
        <f>'01_원자료'!P96*'03_가중치민감도'!$B$10+'01_원자료'!Q96*'03_가중치민감도'!$C$10+'01_원자료'!R96*'03_가중치민감도'!$D$10</f>
        <v>0.67610931308008237</v>
      </c>
      <c r="K99" s="31">
        <f t="shared" si="6"/>
        <v>353</v>
      </c>
      <c r="L99" s="31">
        <f t="shared" si="7"/>
        <v>314</v>
      </c>
      <c r="M99" s="31">
        <f t="shared" si="8"/>
        <v>359</v>
      </c>
      <c r="N99" s="31">
        <f t="shared" si="9"/>
        <v>348</v>
      </c>
      <c r="O99" s="31">
        <f t="shared" si="10"/>
        <v>332</v>
      </c>
      <c r="P99" s="31">
        <f t="shared" si="11"/>
        <v>376</v>
      </c>
    </row>
    <row r="100" spans="1:16">
      <c r="A100" s="2" t="str">
        <f>'01_원자료'!A97</f>
        <v>PAT-07</v>
      </c>
      <c r="B100" s="2" t="str">
        <f>'01_원자료'!B97</f>
        <v>claude</v>
      </c>
      <c r="C100" s="2" t="str">
        <f>'01_원자료'!C97</f>
        <v>qwen</v>
      </c>
      <c r="E100" s="17">
        <f>'01_원자료'!P97*'03_가중치민감도'!$B$5+'01_원자료'!Q97*'03_가중치민감도'!$C$5+'01_원자료'!R97*'03_가중치민감도'!$D$5</f>
        <v>0.69683502479572068</v>
      </c>
      <c r="F100" s="17">
        <f>'01_원자료'!P97*'03_가중치민감도'!$B$6+'01_원자료'!Q97*'03_가중치민감도'!$C$6+'01_원자료'!R97*'03_가중치민감도'!$D$6</f>
        <v>0.60575589302179256</v>
      </c>
      <c r="G100" s="17">
        <f>'01_원자료'!P97*'03_가중치민감도'!$B$7+'01_원자료'!Q97*'03_가중치민감도'!$C$7+'01_원자료'!R97*'03_가중치민감도'!$D$7</f>
        <v>0.69149208377622129</v>
      </c>
      <c r="H100" s="17">
        <f>'01_원자료'!P97*'03_가중치민감도'!$B$8+'01_원자료'!Q97*'03_가중치민감도'!$C$8+'01_원자료'!R97*'03_가중치민감도'!$D$8</f>
        <v>0.72354972989321797</v>
      </c>
      <c r="I100" s="17">
        <f>'01_원자료'!P97*'03_가중치민감도'!$B$9+'01_원자료'!Q97*'03_가중치민감도'!$C$9+'01_원자료'!R97*'03_가중치민감도'!$D$9</f>
        <v>0.63789658395293447</v>
      </c>
      <c r="J100" s="17">
        <f>'01_원자료'!P97*'03_가중치민감도'!$B$10+'01_원자료'!Q97*'03_가중치민감도'!$C$10+'01_원자료'!R97*'03_가중치민감도'!$D$10</f>
        <v>0.79860003860864781</v>
      </c>
      <c r="K100" s="31">
        <f t="shared" si="6"/>
        <v>814</v>
      </c>
      <c r="L100" s="31">
        <f t="shared" si="7"/>
        <v>839</v>
      </c>
      <c r="M100" s="31">
        <f t="shared" si="8"/>
        <v>803</v>
      </c>
      <c r="N100" s="31">
        <f t="shared" si="9"/>
        <v>831</v>
      </c>
      <c r="O100" s="31">
        <f t="shared" si="10"/>
        <v>827</v>
      </c>
      <c r="P100" s="31">
        <f t="shared" si="11"/>
        <v>811</v>
      </c>
    </row>
    <row r="101" spans="1:16">
      <c r="A101" s="2" t="str">
        <f>'01_원자료'!A98</f>
        <v>PAT-07</v>
      </c>
      <c r="B101" s="2" t="str">
        <f>'01_원자료'!B98</f>
        <v>gemini</v>
      </c>
      <c r="C101" s="2" t="str">
        <f>'01_원자료'!C98</f>
        <v>gemma</v>
      </c>
      <c r="E101" s="17">
        <f>'01_원자료'!P98*'03_가중치민감도'!$B$5+'01_원자료'!Q98*'03_가중치민감도'!$C$5+'01_원자료'!R98*'03_가중치민감도'!$D$5</f>
        <v>0.68766050701184578</v>
      </c>
      <c r="F101" s="17">
        <f>'01_원자료'!P98*'03_가중치민감도'!$B$6+'01_원자료'!Q98*'03_가중치민감도'!$C$6+'01_원자료'!R98*'03_가중치민감도'!$D$6</f>
        <v>0.57419890110230187</v>
      </c>
      <c r="G101" s="17">
        <f>'01_원자료'!P98*'03_가중치민감도'!$B$7+'01_원자료'!Q98*'03_가중치민감도'!$C$7+'01_원자료'!R98*'03_가중치민감도'!$D$7</f>
        <v>0.68757976656504061</v>
      </c>
      <c r="H101" s="17">
        <f>'01_원자료'!P98*'03_가중치민감도'!$B$8+'01_원자료'!Q98*'03_가중치민감도'!$C$8+'01_원자료'!R98*'03_가중치민감도'!$D$8</f>
        <v>0.68806420924587142</v>
      </c>
      <c r="I101" s="17">
        <f>'01_원자료'!P98*'03_가중치민감도'!$B$9+'01_원자료'!Q98*'03_가중치민감도'!$C$9+'01_원자료'!R98*'03_가중치민감도'!$D$9</f>
        <v>0.61204634988775097</v>
      </c>
      <c r="J101" s="17">
        <f>'01_원자료'!P98*'03_가중치민감도'!$B$10+'01_원자료'!Q98*'03_가중치민감도'!$C$10+'01_원자료'!R98*'03_가중치민감도'!$D$10</f>
        <v>0.80128359381499992</v>
      </c>
      <c r="K101" s="31">
        <f t="shared" si="6"/>
        <v>778</v>
      </c>
      <c r="L101" s="31">
        <f t="shared" si="7"/>
        <v>714</v>
      </c>
      <c r="M101" s="31">
        <f t="shared" si="8"/>
        <v>786</v>
      </c>
      <c r="N101" s="31">
        <f t="shared" si="9"/>
        <v>737</v>
      </c>
      <c r="O101" s="31">
        <f t="shared" si="10"/>
        <v>734</v>
      </c>
      <c r="P101" s="31">
        <f t="shared" si="11"/>
        <v>818</v>
      </c>
    </row>
    <row r="102" spans="1:16">
      <c r="A102" s="2" t="str">
        <f>'01_원자료'!A99</f>
        <v>PAT-07</v>
      </c>
      <c r="B102" s="2" t="str">
        <f>'01_원자료'!B99</f>
        <v>gemini</v>
      </c>
      <c r="C102" s="2" t="str">
        <f>'01_원자료'!C99</f>
        <v>ministral</v>
      </c>
      <c r="E102" s="17">
        <f>'01_원자료'!P99*'03_가중치민감도'!$B$5+'01_원자료'!Q99*'03_가중치민감도'!$C$5+'01_원자료'!R99*'03_가중치민감도'!$D$5</f>
        <v>0.60073419462990496</v>
      </c>
      <c r="F102" s="17">
        <f>'01_원자료'!P99*'03_가중치민감도'!$B$6+'01_원자료'!Q99*'03_가중치민감도'!$C$6+'01_원자료'!R99*'03_가중치민감도'!$D$6</f>
        <v>0.48462395515029305</v>
      </c>
      <c r="G102" s="17">
        <f>'01_원자료'!P99*'03_가중치민감도'!$B$7+'01_원자료'!Q99*'03_가중치민감도'!$C$7+'01_원자료'!R99*'03_가중치민감도'!$D$7</f>
        <v>0.61221269957497149</v>
      </c>
      <c r="H102" s="17">
        <f>'01_원자료'!P99*'03_가중치민감도'!$B$8+'01_원자료'!Q99*'03_가중치민감도'!$C$8+'01_원자료'!R99*'03_가중치민감도'!$D$8</f>
        <v>0.54334166990457256</v>
      </c>
      <c r="I102" s="17">
        <f>'01_원자료'!P99*'03_가중치민감도'!$B$9+'01_원자료'!Q99*'03_가중치민감도'!$C$9+'01_원자료'!R99*'03_가중치민감도'!$D$9</f>
        <v>0.51950119999514088</v>
      </c>
      <c r="J102" s="17">
        <f>'01_원자료'!P99*'03_가중치민감도'!$B$10+'01_원자료'!Q99*'03_가중치민감도'!$C$10+'01_원자료'!R99*'03_가중치민감도'!$D$10</f>
        <v>0.69388742421938387</v>
      </c>
      <c r="K102" s="31">
        <f t="shared" si="6"/>
        <v>394</v>
      </c>
      <c r="L102" s="31">
        <f t="shared" si="7"/>
        <v>293</v>
      </c>
      <c r="M102" s="31">
        <f t="shared" si="8"/>
        <v>421</v>
      </c>
      <c r="N102" s="31">
        <f t="shared" si="9"/>
        <v>316</v>
      </c>
      <c r="O102" s="31">
        <f t="shared" si="10"/>
        <v>323</v>
      </c>
      <c r="P102" s="31">
        <f t="shared" si="11"/>
        <v>437</v>
      </c>
    </row>
    <row r="103" spans="1:16">
      <c r="A103" s="2" t="str">
        <f>'01_원자료'!A100</f>
        <v>PAT-07</v>
      </c>
      <c r="B103" s="2" t="str">
        <f>'01_원자료'!B100</f>
        <v>gemini</v>
      </c>
      <c r="C103" s="2" t="str">
        <f>'01_원자료'!C100</f>
        <v>qwen</v>
      </c>
      <c r="E103" s="17">
        <f>'01_원자료'!P100*'03_가중치민감도'!$B$5+'01_원자료'!Q100*'03_가중치민감도'!$C$5+'01_원자료'!R100*'03_가중치민감도'!$D$5</f>
        <v>0.75587617066853485</v>
      </c>
      <c r="F103" s="17">
        <f>'01_원자료'!P100*'03_가중치민감도'!$B$6+'01_원자료'!Q100*'03_가중치민감도'!$C$6+'01_원자료'!R100*'03_가중치민감도'!$D$6</f>
        <v>0.66716961578335554</v>
      </c>
      <c r="G103" s="17">
        <f>'01_원자료'!P100*'03_가중치민감도'!$B$7+'01_원자료'!Q100*'03_가중치민감도'!$C$7+'01_원자료'!R100*'03_가중치민감도'!$D$7</f>
        <v>0.74783559994408233</v>
      </c>
      <c r="H103" s="17">
        <f>'01_원자료'!P100*'03_가중치민감도'!$B$8+'01_원자료'!Q100*'03_가중치민감도'!$C$8+'01_원자료'!R100*'03_가중치민감도'!$D$8</f>
        <v>0.79607902429079735</v>
      </c>
      <c r="I103" s="17">
        <f>'01_원자료'!P100*'03_가중치민감도'!$B$9+'01_원자료'!Q100*'03_가중치민감도'!$C$9+'01_원자료'!R100*'03_가중치민감도'!$D$9</f>
        <v>0.69941865765323219</v>
      </c>
      <c r="J103" s="17">
        <f>'01_원자료'!P100*'03_가중치민감도'!$B$10+'01_원자료'!Q100*'03_가중치민감도'!$C$10+'01_원자료'!R100*'03_가중치민감도'!$D$10</f>
        <v>0.86066386700261921</v>
      </c>
      <c r="K103" s="31">
        <f t="shared" si="6"/>
        <v>960</v>
      </c>
      <c r="L103" s="31">
        <f t="shared" si="7"/>
        <v>967</v>
      </c>
      <c r="M103" s="31">
        <f t="shared" si="8"/>
        <v>960</v>
      </c>
      <c r="N103" s="31">
        <f t="shared" si="9"/>
        <v>968</v>
      </c>
      <c r="O103" s="31">
        <f t="shared" si="10"/>
        <v>968</v>
      </c>
      <c r="P103" s="31">
        <f t="shared" si="11"/>
        <v>919</v>
      </c>
    </row>
    <row r="104" spans="1:16">
      <c r="A104" s="2" t="str">
        <f>'01_원자료'!A101</f>
        <v>PAT-07</v>
      </c>
      <c r="B104" s="2" t="str">
        <f>'01_원자료'!B101</f>
        <v>mistral</v>
      </c>
      <c r="C104" s="2" t="str">
        <f>'01_원자료'!C101</f>
        <v>gemma</v>
      </c>
      <c r="E104" s="17">
        <f>'01_원자료'!P101*'03_가중치민감도'!$B$5+'01_원자료'!Q101*'03_가중치민감도'!$C$5+'01_원자료'!R101*'03_가중치민감도'!$D$5</f>
        <v>0.65510760479098717</v>
      </c>
      <c r="F104" s="17">
        <f>'01_원자료'!P101*'03_가중치민감도'!$B$6+'01_원자료'!Q101*'03_가중치민감도'!$C$6+'01_원자료'!R101*'03_가중치민감도'!$D$6</f>
        <v>0.55654206717413313</v>
      </c>
      <c r="G104" s="17">
        <f>'01_원자료'!P101*'03_가중치민감도'!$B$7+'01_원자료'!Q101*'03_가중치민감도'!$C$7+'01_원자료'!R101*'03_가중치민감도'!$D$7</f>
        <v>0.65423074275184001</v>
      </c>
      <c r="H104" s="17">
        <f>'01_원자료'!P101*'03_가중치민감도'!$B$8+'01_원자료'!Q101*'03_가중치민감도'!$C$8+'01_원자료'!R101*'03_가중치민감도'!$D$8</f>
        <v>0.65949191498672255</v>
      </c>
      <c r="I104" s="17">
        <f>'01_원자료'!P101*'03_가중치민감도'!$B$9+'01_원자료'!Q101*'03_가중치민감도'!$C$9+'01_원자료'!R101*'03_가중치민감도'!$D$9</f>
        <v>0.58968953372613298</v>
      </c>
      <c r="J104" s="17">
        <f>'01_원자료'!P101*'03_가중치민감도'!$B$10+'01_원자료'!Q101*'03_가중치민감도'!$C$10+'01_원자료'!R101*'03_가중치민감도'!$D$10</f>
        <v>0.75542686648613522</v>
      </c>
      <c r="K104" s="31">
        <f t="shared" si="6"/>
        <v>646</v>
      </c>
      <c r="L104" s="31">
        <f t="shared" si="7"/>
        <v>624</v>
      </c>
      <c r="M104" s="31">
        <f t="shared" si="8"/>
        <v>637</v>
      </c>
      <c r="N104" s="31">
        <f t="shared" si="9"/>
        <v>665</v>
      </c>
      <c r="O104" s="31">
        <f t="shared" si="10"/>
        <v>626</v>
      </c>
      <c r="P104" s="31">
        <f t="shared" si="11"/>
        <v>679</v>
      </c>
    </row>
    <row r="105" spans="1:16">
      <c r="A105" s="2" t="str">
        <f>'01_원자료'!A102</f>
        <v>PAT-07</v>
      </c>
      <c r="B105" s="2" t="str">
        <f>'01_원자료'!B102</f>
        <v>mistral</v>
      </c>
      <c r="C105" s="2" t="str">
        <f>'01_원자료'!C102</f>
        <v>ministral</v>
      </c>
      <c r="E105" s="17">
        <f>'01_원자료'!P102*'03_가중치민감도'!$B$5+'01_원자료'!Q102*'03_가중치민감도'!$C$5+'01_원자료'!R102*'03_가중치민감도'!$D$5</f>
        <v>0.59868704546908547</v>
      </c>
      <c r="F105" s="17">
        <f>'01_원자료'!P102*'03_가중치민감도'!$B$6+'01_원자료'!Q102*'03_가중치민감도'!$C$6+'01_원자료'!R102*'03_가중치민감도'!$D$6</f>
        <v>0.49846066356139046</v>
      </c>
      <c r="G105" s="17">
        <f>'01_원자료'!P102*'03_가중치민감도'!$B$7+'01_원자료'!Q102*'03_가중치민감도'!$C$7+'01_원자료'!R102*'03_가중치민감도'!$D$7</f>
        <v>0.60765493618586386</v>
      </c>
      <c r="H105" s="17">
        <f>'01_원자료'!P102*'03_가중치민감도'!$B$8+'01_원자료'!Q102*'03_가중치민감도'!$C$8+'01_원자료'!R102*'03_가중치민감도'!$D$8</f>
        <v>0.55384759188519384</v>
      </c>
      <c r="I105" s="17">
        <f>'01_원자료'!P102*'03_가중치민감도'!$B$9+'01_원자료'!Q102*'03_가중치민감도'!$C$9+'01_원자료'!R102*'03_가중치민감도'!$D$9</f>
        <v>0.52888016062502885</v>
      </c>
      <c r="J105" s="17">
        <f>'01_원자료'!P102*'03_가중치민감도'!$B$10+'01_원자료'!Q102*'03_가중치민감도'!$C$10+'01_원자료'!R102*'03_가중치민감도'!$D$10</f>
        <v>0.68097764594322396</v>
      </c>
      <c r="K105" s="31">
        <f t="shared" si="6"/>
        <v>387</v>
      </c>
      <c r="L105" s="31">
        <f t="shared" si="7"/>
        <v>355</v>
      </c>
      <c r="M105" s="31">
        <f t="shared" si="8"/>
        <v>404</v>
      </c>
      <c r="N105" s="31">
        <f t="shared" si="9"/>
        <v>351</v>
      </c>
      <c r="O105" s="31">
        <f t="shared" si="10"/>
        <v>368</v>
      </c>
      <c r="P105" s="31">
        <f t="shared" si="11"/>
        <v>393</v>
      </c>
    </row>
    <row r="106" spans="1:16">
      <c r="A106" s="2" t="str">
        <f>'01_원자료'!A103</f>
        <v>PAT-07</v>
      </c>
      <c r="B106" s="2" t="str">
        <f>'01_원자료'!B103</f>
        <v>mistral</v>
      </c>
      <c r="C106" s="2" t="str">
        <f>'01_원자료'!C103</f>
        <v>qwen</v>
      </c>
      <c r="E106" s="17">
        <f>'01_원자료'!P103*'03_가중치민감도'!$B$5+'01_원자료'!Q103*'03_가중치민감도'!$C$5+'01_원자료'!R103*'03_가중치민감도'!$D$5</f>
        <v>0.69718546927523739</v>
      </c>
      <c r="F106" s="17">
        <f>'01_원자료'!P103*'03_가중치민감도'!$B$6+'01_원자료'!Q103*'03_가중치민감도'!$C$6+'01_원자료'!R103*'03_가중치민감도'!$D$6</f>
        <v>0.6138681482814734</v>
      </c>
      <c r="G106" s="17">
        <f>'01_원자료'!P103*'03_가중치민감도'!$B$7+'01_원자료'!Q103*'03_가중치민감도'!$C$7+'01_원자료'!R103*'03_가중치민감도'!$D$7</f>
        <v>0.69305171840631785</v>
      </c>
      <c r="H106" s="17">
        <f>'01_원자료'!P103*'03_가중치민감도'!$B$8+'01_원자료'!Q103*'03_가중치민감도'!$C$8+'01_원자료'!R103*'03_가중치민감도'!$D$8</f>
        <v>0.71785422361983509</v>
      </c>
      <c r="I106" s="17">
        <f>'01_원자료'!P103*'03_가중치민감도'!$B$9+'01_원자료'!Q103*'03_가중치민감도'!$C$9+'01_원자료'!R103*'03_가중치민감도'!$D$9</f>
        <v>0.64301850556903406</v>
      </c>
      <c r="J106" s="17">
        <f>'01_원자료'!P103*'03_가중치민감도'!$B$10+'01_원자료'!Q103*'03_가중치민감도'!$C$10+'01_원자료'!R103*'03_가중치민감도'!$D$10</f>
        <v>0.78877029200684046</v>
      </c>
      <c r="K106" s="31">
        <f t="shared" si="6"/>
        <v>816</v>
      </c>
      <c r="L106" s="31">
        <f t="shared" si="7"/>
        <v>870</v>
      </c>
      <c r="M106" s="31">
        <f t="shared" si="8"/>
        <v>807</v>
      </c>
      <c r="N106" s="31">
        <f t="shared" si="9"/>
        <v>825</v>
      </c>
      <c r="O106" s="31">
        <f t="shared" si="10"/>
        <v>848</v>
      </c>
      <c r="P106" s="31">
        <f t="shared" si="11"/>
        <v>780</v>
      </c>
    </row>
    <row r="107" spans="1:16">
      <c r="A107" s="2" t="str">
        <f>'01_원자료'!A104</f>
        <v>PAT-07</v>
      </c>
      <c r="B107" s="2" t="str">
        <f>'01_원자료'!B104</f>
        <v>qwen3_6</v>
      </c>
      <c r="C107" s="2" t="str">
        <f>'01_원자료'!C104</f>
        <v>gemma</v>
      </c>
      <c r="E107" s="17">
        <f>'01_원자료'!P104*'03_가중치민감도'!$B$5+'01_원자료'!Q104*'03_가중치민감도'!$C$5+'01_원자료'!R104*'03_가중치민감도'!$D$5</f>
        <v>0.70141451428172408</v>
      </c>
      <c r="F107" s="17">
        <f>'01_원자료'!P104*'03_가중치민감도'!$B$6+'01_원자료'!Q104*'03_가중치민감도'!$C$6+'01_원자료'!R104*'03_가중치민감도'!$D$6</f>
        <v>0.59787159912421317</v>
      </c>
      <c r="G107" s="17">
        <f>'01_원자료'!P104*'03_가중치민감도'!$B$7+'01_원자료'!Q104*'03_가중치민감도'!$C$7+'01_원자료'!R104*'03_가중치민감도'!$D$7</f>
        <v>0.70165338354473938</v>
      </c>
      <c r="H107" s="17">
        <f>'01_원자료'!P104*'03_가중치민감도'!$B$8+'01_원자료'!Q104*'03_가중치민감도'!$C$8+'01_원자료'!R104*'03_가중치민감도'!$D$8</f>
        <v>0.70022016796664754</v>
      </c>
      <c r="I107" s="17">
        <f>'01_원자료'!P104*'03_가중치민감도'!$B$9+'01_원자료'!Q104*'03_가중치민감도'!$C$9+'01_원자료'!R104*'03_가중치민감도'!$D$9</f>
        <v>0.63230628108904441</v>
      </c>
      <c r="J107" s="17">
        <f>'01_원자료'!P104*'03_가중치민감도'!$B$10+'01_원자료'!Q104*'03_가중치민감도'!$C$10+'01_원자료'!R104*'03_가중치민감도'!$D$10</f>
        <v>0.80447969091320426</v>
      </c>
      <c r="K107" s="31">
        <f t="shared" si="6"/>
        <v>826</v>
      </c>
      <c r="L107" s="31">
        <f t="shared" si="7"/>
        <v>802</v>
      </c>
      <c r="M107" s="31">
        <f t="shared" si="8"/>
        <v>838</v>
      </c>
      <c r="N107" s="31">
        <f t="shared" si="9"/>
        <v>790</v>
      </c>
      <c r="O107" s="31">
        <f t="shared" si="10"/>
        <v>802</v>
      </c>
      <c r="P107" s="31">
        <f t="shared" si="11"/>
        <v>822</v>
      </c>
    </row>
    <row r="108" spans="1:16">
      <c r="A108" s="2" t="str">
        <f>'01_원자료'!A105</f>
        <v>PAT-07</v>
      </c>
      <c r="B108" s="2" t="str">
        <f>'01_원자료'!B105</f>
        <v>qwen3_6</v>
      </c>
      <c r="C108" s="2" t="str">
        <f>'01_원자료'!C105</f>
        <v>ministral</v>
      </c>
      <c r="E108" s="17">
        <f>'01_원자료'!P105*'03_가중치민감도'!$B$5+'01_원자료'!Q105*'03_가중치민감도'!$C$5+'01_원자료'!R105*'03_가중치민감도'!$D$5</f>
        <v>0.59484577090898416</v>
      </c>
      <c r="F108" s="17">
        <f>'01_원자료'!P105*'03_가중치민감도'!$B$6+'01_원자료'!Q105*'03_가중치민감도'!$C$6+'01_원자료'!R105*'03_가중치민감도'!$D$6</f>
        <v>0.48422711089673615</v>
      </c>
      <c r="G108" s="17">
        <f>'01_원자료'!P105*'03_가중치민감도'!$B$7+'01_원자료'!Q105*'03_가중치민감도'!$C$7+'01_원자료'!R105*'03_가중치민감도'!$D$7</f>
        <v>0.60537594225502689</v>
      </c>
      <c r="H108" s="17">
        <f>'01_원자료'!P105*'03_가중치민감도'!$B$8+'01_원자료'!Q105*'03_가중치민감도'!$C$8+'01_원자료'!R105*'03_가중치민감도'!$D$8</f>
        <v>0.5421949141787703</v>
      </c>
      <c r="I108" s="17">
        <f>'01_원자료'!P105*'03_가중치민감도'!$B$9+'01_원자료'!Q105*'03_가중치민감도'!$C$9+'01_원자료'!R105*'03_가중치민감도'!$D$9</f>
        <v>0.51758994045213735</v>
      </c>
      <c r="J108" s="17">
        <f>'01_원자료'!P105*'03_가중치민감도'!$B$10+'01_원자료'!Q105*'03_가중치민감도'!$C$10+'01_원자료'!R105*'03_가중치민감도'!$D$10</f>
        <v>0.68440408822914667</v>
      </c>
      <c r="K108" s="31">
        <f t="shared" si="6"/>
        <v>366</v>
      </c>
      <c r="L108" s="31">
        <f t="shared" si="7"/>
        <v>290</v>
      </c>
      <c r="M108" s="31">
        <f t="shared" si="8"/>
        <v>392</v>
      </c>
      <c r="N108" s="31">
        <f t="shared" si="9"/>
        <v>312</v>
      </c>
      <c r="O108" s="31">
        <f t="shared" si="10"/>
        <v>317</v>
      </c>
      <c r="P108" s="31">
        <f t="shared" si="11"/>
        <v>410</v>
      </c>
    </row>
    <row r="109" spans="1:16">
      <c r="A109" s="2" t="str">
        <f>'01_원자료'!A106</f>
        <v>PAT-07</v>
      </c>
      <c r="B109" s="2" t="str">
        <f>'01_원자료'!B106</f>
        <v>qwen3_6</v>
      </c>
      <c r="C109" s="2" t="str">
        <f>'01_원자료'!C106</f>
        <v>qwen</v>
      </c>
      <c r="E109" s="17">
        <f>'01_원자료'!P106*'03_가중치민감도'!$B$5+'01_원자료'!Q106*'03_가중치민감도'!$C$5+'01_원자료'!R106*'03_가중치민감도'!$D$5</f>
        <v>0.77823575707449311</v>
      </c>
      <c r="F109" s="17">
        <f>'01_원자료'!P106*'03_가중치민감도'!$B$6+'01_원자료'!Q106*'03_가중치민감도'!$C$6+'01_원자료'!R106*'03_가중치민감도'!$D$6</f>
        <v>0.69043653955155571</v>
      </c>
      <c r="G109" s="17">
        <f>'01_원자료'!P106*'03_가중치민감도'!$B$7+'01_원자료'!Q106*'03_가중치민감도'!$C$7+'01_원자료'!R106*'03_가중치민감도'!$D$7</f>
        <v>0.77198287377035024</v>
      </c>
      <c r="H109" s="17">
        <f>'01_원자료'!P106*'03_가중치민감도'!$B$8+'01_원자료'!Q106*'03_가중치민감도'!$C$8+'01_원자료'!R106*'03_가중치민감도'!$D$8</f>
        <v>0.80950017359520721</v>
      </c>
      <c r="I109" s="17">
        <f>'01_원자료'!P106*'03_가중치민감도'!$B$9+'01_원자료'!Q106*'03_가중치민감도'!$C$9+'01_원자료'!R106*'03_가중치민감도'!$D$9</f>
        <v>0.72178723982724824</v>
      </c>
      <c r="J109" s="17">
        <f>'01_원자료'!P106*'03_가중치민감도'!$B$10+'01_원자료'!Q106*'03_가중치민감도'!$C$10+'01_원자료'!R106*'03_가중치민감도'!$D$10</f>
        <v>0.87854074120571612</v>
      </c>
      <c r="K109" s="31">
        <f t="shared" si="6"/>
        <v>974</v>
      </c>
      <c r="L109" s="31">
        <f t="shared" si="7"/>
        <v>974</v>
      </c>
      <c r="M109" s="31">
        <f t="shared" si="8"/>
        <v>974</v>
      </c>
      <c r="N109" s="31">
        <f t="shared" si="9"/>
        <v>974</v>
      </c>
      <c r="O109" s="31">
        <f t="shared" si="10"/>
        <v>974</v>
      </c>
      <c r="P109" s="31">
        <f t="shared" si="11"/>
        <v>966</v>
      </c>
    </row>
    <row r="110" spans="1:16">
      <c r="A110" s="2" t="str">
        <f>'01_원자료'!A107</f>
        <v>PAT-08</v>
      </c>
      <c r="B110" s="2" t="str">
        <f>'01_원자료'!B107</f>
        <v>chatgpt</v>
      </c>
      <c r="C110" s="2" t="str">
        <f>'01_원자료'!C107</f>
        <v>gemma</v>
      </c>
      <c r="E110" s="17">
        <f>'01_원자료'!P107*'03_가중치민감도'!$B$5+'01_원자료'!Q107*'03_가중치민감도'!$C$5+'01_원자료'!R107*'03_가중치민감도'!$D$5</f>
        <v>0.49458046285757939</v>
      </c>
      <c r="F110" s="17">
        <f>'01_원자료'!P107*'03_가중치민감도'!$B$6+'01_원자료'!Q107*'03_가중치민감도'!$C$6+'01_원자료'!R107*'03_가중치민감도'!$D$6</f>
        <v>0.41414801019573794</v>
      </c>
      <c r="G110" s="17">
        <f>'01_원자료'!P107*'03_가중치민감도'!$B$7+'01_원자료'!Q107*'03_가중치민감도'!$C$7+'01_원자료'!R107*'03_가중치민감도'!$D$7</f>
        <v>0.51510351588414149</v>
      </c>
      <c r="H110" s="17">
        <f>'01_원자료'!P107*'03_가중치민감도'!$B$8+'01_원자료'!Q107*'03_가중치민감도'!$C$8+'01_원자료'!R107*'03_가중치민감도'!$D$8</f>
        <v>0.39196519772476879</v>
      </c>
      <c r="I110" s="17">
        <f>'01_원자료'!P107*'03_가중치민감도'!$B$9+'01_원자료'!Q107*'03_가중치민감도'!$C$9+'01_원자료'!R107*'03_가중치민감도'!$D$9</f>
        <v>0.43411781007416395</v>
      </c>
      <c r="J110" s="17">
        <f>'01_원자료'!P107*'03_가중치민감도'!$B$10+'01_원자료'!Q107*'03_가중치민감도'!$C$10+'01_원자료'!R107*'03_가중치민감도'!$D$10</f>
        <v>0.53396680946629649</v>
      </c>
      <c r="K110" s="31">
        <f t="shared" si="6"/>
        <v>37</v>
      </c>
      <c r="L110" s="31">
        <f t="shared" si="7"/>
        <v>41</v>
      </c>
      <c r="M110" s="31">
        <f t="shared" si="8"/>
        <v>38</v>
      </c>
      <c r="N110" s="31">
        <f t="shared" si="9"/>
        <v>34</v>
      </c>
      <c r="O110" s="31">
        <f t="shared" si="10"/>
        <v>39</v>
      </c>
      <c r="P110" s="31">
        <f t="shared" si="11"/>
        <v>38</v>
      </c>
    </row>
    <row r="111" spans="1:16">
      <c r="A111" s="2" t="str">
        <f>'01_원자료'!A108</f>
        <v>PAT-08</v>
      </c>
      <c r="B111" s="2" t="str">
        <f>'01_원자료'!B108</f>
        <v>chatgpt</v>
      </c>
      <c r="C111" s="2" t="str">
        <f>'01_원자료'!C108</f>
        <v>ministral</v>
      </c>
      <c r="E111" s="17">
        <f>'01_원자료'!P108*'03_가중치민감도'!$B$5+'01_원자료'!Q108*'03_가중치민감도'!$C$5+'01_원자료'!R108*'03_가중치민감도'!$D$5</f>
        <v>0.51376689787335261</v>
      </c>
      <c r="F111" s="17">
        <f>'01_원자료'!P108*'03_가중치민감도'!$B$6+'01_원자료'!Q108*'03_가중치민감도'!$C$6+'01_원자료'!R108*'03_가중치민감도'!$D$6</f>
        <v>0.43745818916150236</v>
      </c>
      <c r="G111" s="17">
        <f>'01_원자료'!P108*'03_가중치민감도'!$B$7+'01_원자료'!Q108*'03_가중치민감도'!$C$7+'01_원자료'!R108*'03_가중치민감도'!$D$7</f>
        <v>0.53600612179584595</v>
      </c>
      <c r="H111" s="17">
        <f>'01_원자료'!P108*'03_가중치민감도'!$B$8+'01_원자료'!Q108*'03_가중치민감도'!$C$8+'01_원자료'!R108*'03_가중치민감도'!$D$8</f>
        <v>0.40257077826088605</v>
      </c>
      <c r="I111" s="17">
        <f>'01_원자료'!P108*'03_가중치민감도'!$B$9+'01_원자료'!Q108*'03_가중치민감도'!$C$9+'01_원자료'!R108*'03_가중치민감도'!$D$9</f>
        <v>0.45548135075795421</v>
      </c>
      <c r="J111" s="17">
        <f>'01_원자료'!P108*'03_가중치민감도'!$B$10+'01_원자료'!Q108*'03_가중치민감도'!$C$10+'01_원자료'!R108*'03_가중치민감도'!$D$10</f>
        <v>0.54559715874021619</v>
      </c>
      <c r="K111" s="31">
        <f t="shared" si="6"/>
        <v>77</v>
      </c>
      <c r="L111" s="31">
        <f t="shared" si="7"/>
        <v>90</v>
      </c>
      <c r="M111" s="31">
        <f t="shared" si="8"/>
        <v>90</v>
      </c>
      <c r="N111" s="31">
        <f t="shared" si="9"/>
        <v>47</v>
      </c>
      <c r="O111" s="31">
        <f t="shared" si="10"/>
        <v>81</v>
      </c>
      <c r="P111" s="31">
        <f t="shared" si="11"/>
        <v>60</v>
      </c>
    </row>
    <row r="112" spans="1:16">
      <c r="A112" s="2" t="str">
        <f>'01_원자료'!A109</f>
        <v>PAT-08</v>
      </c>
      <c r="B112" s="2" t="str">
        <f>'01_원자료'!B109</f>
        <v>chatgpt</v>
      </c>
      <c r="C112" s="2" t="str">
        <f>'01_원자료'!C109</f>
        <v>qwen</v>
      </c>
      <c r="E112" s="17">
        <f>'01_원자료'!P109*'03_가중치민감도'!$B$5+'01_원자료'!Q109*'03_가중치민감도'!$C$5+'01_원자료'!R109*'03_가중치민감도'!$D$5</f>
        <v>0.5153954516738084</v>
      </c>
      <c r="F112" s="17">
        <f>'01_원자료'!P109*'03_가중치민감도'!$B$6+'01_원자료'!Q109*'03_가중치민감도'!$C$6+'01_원자료'!R109*'03_가중치민감도'!$D$6</f>
        <v>0.45654842249701361</v>
      </c>
      <c r="G112" s="17">
        <f>'01_원자료'!P109*'03_가중치민감도'!$B$7+'01_원자료'!Q109*'03_가중치민감도'!$C$7+'01_원자료'!R109*'03_가중치민감도'!$D$7</f>
        <v>0.53572506829971589</v>
      </c>
      <c r="H112" s="17">
        <f>'01_원자료'!P109*'03_가중치민감도'!$B$8+'01_원자료'!Q109*'03_가중치민감도'!$C$8+'01_원자료'!R109*'03_가중치민감도'!$D$8</f>
        <v>0.4137473685442708</v>
      </c>
      <c r="I112" s="17">
        <f>'01_원자료'!P109*'03_가중치민감도'!$B$9+'01_원자료'!Q109*'03_가중치민감도'!$C$9+'01_원자료'!R109*'03_가중치민감도'!$D$9</f>
        <v>0.46938756001397552</v>
      </c>
      <c r="J112" s="17">
        <f>'01_원자료'!P109*'03_가중치민감도'!$B$10+'01_원자료'!Q109*'03_가중치민감도'!$C$10+'01_원자료'!R109*'03_가중치민감도'!$D$10</f>
        <v>0.53358324759878806</v>
      </c>
      <c r="K112" s="31">
        <f t="shared" si="6"/>
        <v>80</v>
      </c>
      <c r="L112" s="31">
        <f t="shared" si="7"/>
        <v>164</v>
      </c>
      <c r="M112" s="31">
        <f t="shared" si="8"/>
        <v>89</v>
      </c>
      <c r="N112" s="31">
        <f t="shared" si="9"/>
        <v>74</v>
      </c>
      <c r="O112" s="31">
        <f t="shared" si="10"/>
        <v>129</v>
      </c>
      <c r="P112" s="31">
        <f t="shared" si="11"/>
        <v>37</v>
      </c>
    </row>
    <row r="113" spans="1:16">
      <c r="A113" s="2" t="str">
        <f>'01_원자료'!A110</f>
        <v>PAT-08</v>
      </c>
      <c r="B113" s="2" t="str">
        <f>'01_원자료'!B110</f>
        <v>claude</v>
      </c>
      <c r="C113" s="2" t="str">
        <f>'01_원자료'!C110</f>
        <v>gemma</v>
      </c>
      <c r="E113" s="17">
        <f>'01_원자료'!P110*'03_가중치민감도'!$B$5+'01_원자료'!Q110*'03_가중치민감도'!$C$5+'01_원자료'!R110*'03_가중치민감도'!$D$5</f>
        <v>0.60149934497273128</v>
      </c>
      <c r="F113" s="17">
        <f>'01_원자료'!P110*'03_가중치민감도'!$B$6+'01_원자료'!Q110*'03_가중치민감도'!$C$6+'01_원자료'!R110*'03_가중치민감도'!$D$6</f>
        <v>0.50906817132174087</v>
      </c>
      <c r="G113" s="17">
        <f>'01_원자료'!P110*'03_가중치민감도'!$B$7+'01_원자료'!Q110*'03_가중치민감도'!$C$7+'01_원자료'!R110*'03_가중치민감도'!$D$7</f>
        <v>0.60674004414111604</v>
      </c>
      <c r="H113" s="17">
        <f>'01_원자료'!P110*'03_가중치민감도'!$B$8+'01_원자료'!Q110*'03_가중치민감도'!$C$8+'01_원자료'!R110*'03_가중치민감도'!$D$8</f>
        <v>0.57529584913080734</v>
      </c>
      <c r="I113" s="17">
        <f>'01_원자료'!P110*'03_가중치민감도'!$B$9+'01_원자료'!Q110*'03_가중치민감도'!$C$9+'01_원자료'!R110*'03_가중치민감도'!$D$9</f>
        <v>0.53813166281594227</v>
      </c>
      <c r="J113" s="17">
        <f>'01_원자료'!P110*'03_가중치민감도'!$B$10+'01_원자료'!Q110*'03_가중치민감도'!$C$10+'01_원자료'!R110*'03_가중치민감도'!$D$10</f>
        <v>0.68344912028695193</v>
      </c>
      <c r="K113" s="31">
        <f t="shared" si="6"/>
        <v>397</v>
      </c>
      <c r="L113" s="31">
        <f t="shared" si="7"/>
        <v>411</v>
      </c>
      <c r="M113" s="31">
        <f t="shared" si="8"/>
        <v>402</v>
      </c>
      <c r="N113" s="31">
        <f t="shared" si="9"/>
        <v>415</v>
      </c>
      <c r="O113" s="31">
        <f t="shared" si="10"/>
        <v>407</v>
      </c>
      <c r="P113" s="31">
        <f t="shared" si="11"/>
        <v>405</v>
      </c>
    </row>
    <row r="114" spans="1:16">
      <c r="A114" s="2" t="str">
        <f>'01_원자료'!A111</f>
        <v>PAT-08</v>
      </c>
      <c r="B114" s="2" t="str">
        <f>'01_원자료'!B111</f>
        <v>claude</v>
      </c>
      <c r="C114" s="2" t="str">
        <f>'01_원자료'!C111</f>
        <v>ministral</v>
      </c>
      <c r="E114" s="17">
        <f>'01_원자료'!P111*'03_가중치민감도'!$B$5+'01_원자료'!Q111*'03_가중치민감도'!$C$5+'01_원자료'!R111*'03_가중치민감도'!$D$5</f>
        <v>0.6428072425273722</v>
      </c>
      <c r="F114" s="17">
        <f>'01_원자료'!P111*'03_가중치민감도'!$B$6+'01_원자료'!Q111*'03_가중치민감도'!$C$6+'01_원자료'!R111*'03_가중치민감도'!$D$6</f>
        <v>0.5558356442026251</v>
      </c>
      <c r="G114" s="17">
        <f>'01_원자료'!P111*'03_가중치민감도'!$B$7+'01_원자료'!Q111*'03_가중치민감도'!$C$7+'01_원자료'!R111*'03_가중치민감도'!$D$7</f>
        <v>0.64641625733980179</v>
      </c>
      <c r="H114" s="17">
        <f>'01_원자료'!P111*'03_가중치민감도'!$B$8+'01_원자료'!Q111*'03_가중치민감도'!$C$8+'01_원자료'!R111*'03_가중치민감도'!$D$8</f>
        <v>0.62476216846522481</v>
      </c>
      <c r="I114" s="17">
        <f>'01_원자료'!P111*'03_가중치민감도'!$B$9+'01_원자료'!Q111*'03_가중치민감도'!$C$9+'01_원자료'!R111*'03_가중치민감도'!$D$9</f>
        <v>0.58362317204006375</v>
      </c>
      <c r="J114" s="17">
        <f>'01_원자료'!P111*'03_가중치민감도'!$B$10+'01_원자료'!Q111*'03_가중치민감도'!$C$10+'01_원자료'!R111*'03_가중치민감도'!$D$10</f>
        <v>0.72256081122726035</v>
      </c>
      <c r="K114" s="31">
        <f t="shared" si="6"/>
        <v>586</v>
      </c>
      <c r="L114" s="31">
        <f t="shared" si="7"/>
        <v>619</v>
      </c>
      <c r="M114" s="31">
        <f t="shared" si="8"/>
        <v>596</v>
      </c>
      <c r="N114" s="31">
        <f t="shared" si="9"/>
        <v>563</v>
      </c>
      <c r="O114" s="31">
        <f t="shared" si="10"/>
        <v>597</v>
      </c>
      <c r="P114" s="31">
        <f t="shared" si="11"/>
        <v>558</v>
      </c>
    </row>
    <row r="115" spans="1:16">
      <c r="A115" s="2" t="str">
        <f>'01_원자료'!A112</f>
        <v>PAT-08</v>
      </c>
      <c r="B115" s="2" t="str">
        <f>'01_원자료'!B112</f>
        <v>claude</v>
      </c>
      <c r="C115" s="2" t="str">
        <f>'01_원자료'!C112</f>
        <v>qwen</v>
      </c>
      <c r="E115" s="17">
        <f>'01_원자료'!P112*'03_가중치민감도'!$B$5+'01_원자료'!Q112*'03_가중치민감도'!$C$5+'01_원자료'!R112*'03_가중치민감도'!$D$5</f>
        <v>0.66014870198050379</v>
      </c>
      <c r="F115" s="17">
        <f>'01_원자료'!P112*'03_가중치민감도'!$B$6+'01_원자료'!Q112*'03_가중치민감도'!$C$6+'01_원자료'!R112*'03_가중치민감도'!$D$6</f>
        <v>0.56852800630757661</v>
      </c>
      <c r="G115" s="17">
        <f>'01_원자료'!P112*'03_가중치민감도'!$B$7+'01_원자료'!Q112*'03_가중치민감도'!$C$7+'01_원자료'!R112*'03_가중치민감도'!$D$7</f>
        <v>0.65996707706563784</v>
      </c>
      <c r="H115" s="17">
        <f>'01_원자료'!P112*'03_가중치민감도'!$B$8+'01_원자료'!Q112*'03_가중치민감도'!$C$8+'01_원자료'!R112*'03_가중치민감도'!$D$8</f>
        <v>0.66105682655483389</v>
      </c>
      <c r="I115" s="17">
        <f>'01_원자료'!P112*'03_가중치민감도'!$B$9+'01_원자료'!Q112*'03_가중치민감도'!$C$9+'01_원자료'!R112*'03_가중치민감도'!$D$9</f>
        <v>0.59912877983684032</v>
      </c>
      <c r="J115" s="17">
        <f>'01_원자료'!P112*'03_가중치민감도'!$B$10+'01_원자료'!Q112*'03_가중치민감도'!$C$10+'01_원자료'!R112*'03_가중치민감도'!$D$10</f>
        <v>0.75213264748316311</v>
      </c>
      <c r="K115" s="31">
        <f t="shared" si="6"/>
        <v>672</v>
      </c>
      <c r="L115" s="31">
        <f t="shared" si="7"/>
        <v>685</v>
      </c>
      <c r="M115" s="31">
        <f t="shared" si="8"/>
        <v>669</v>
      </c>
      <c r="N115" s="31">
        <f t="shared" si="9"/>
        <v>671</v>
      </c>
      <c r="O115" s="31">
        <f t="shared" si="10"/>
        <v>677</v>
      </c>
      <c r="P115" s="31">
        <f t="shared" si="11"/>
        <v>663</v>
      </c>
    </row>
    <row r="116" spans="1:16">
      <c r="A116" s="2" t="str">
        <f>'01_원자료'!A113</f>
        <v>PAT-08</v>
      </c>
      <c r="B116" s="2" t="str">
        <f>'01_원자료'!B113</f>
        <v>gemini</v>
      </c>
      <c r="C116" s="2" t="str">
        <f>'01_원자료'!C113</f>
        <v>gemma</v>
      </c>
      <c r="E116" s="17">
        <f>'01_원자료'!P113*'03_가중치민감도'!$B$5+'01_원자료'!Q113*'03_가중치민감도'!$C$5+'01_원자료'!R113*'03_가중치민감도'!$D$5</f>
        <v>0.67825559120815959</v>
      </c>
      <c r="F116" s="17">
        <f>'01_원자료'!P113*'03_가중치민감도'!$B$6+'01_원자료'!Q113*'03_가중치민감도'!$C$6+'01_원자료'!R113*'03_가중치민감도'!$D$6</f>
        <v>0.57200246146143019</v>
      </c>
      <c r="G116" s="17">
        <f>'01_원자료'!P113*'03_가중치민감도'!$B$7+'01_원자료'!Q113*'03_가중치민감도'!$C$7+'01_원자료'!R113*'03_가중치민감도'!$D$7</f>
        <v>0.68018461463427915</v>
      </c>
      <c r="H116" s="17">
        <f>'01_원자료'!P113*'03_가중치민감도'!$B$8+'01_원자료'!Q113*'03_가중치민감도'!$C$8+'01_원자료'!R113*'03_가중치민감도'!$D$8</f>
        <v>0.66861047407756113</v>
      </c>
      <c r="I116" s="17">
        <f>'01_원자료'!P113*'03_가중치민감도'!$B$9+'01_원자료'!Q113*'03_가중치민감도'!$C$9+'01_원자료'!R113*'03_가중치민감도'!$D$9</f>
        <v>0.60677716356829947</v>
      </c>
      <c r="J116" s="17">
        <f>'01_원자료'!P113*'03_가중치민감도'!$B$10+'01_원자료'!Q113*'03_가중치민감도'!$C$10+'01_원자료'!R113*'03_가중치민감도'!$D$10</f>
        <v>0.78065067410264954</v>
      </c>
      <c r="K116" s="31">
        <f t="shared" si="6"/>
        <v>751</v>
      </c>
      <c r="L116" s="31">
        <f t="shared" si="7"/>
        <v>704</v>
      </c>
      <c r="M116" s="31">
        <f t="shared" si="8"/>
        <v>764</v>
      </c>
      <c r="N116" s="31">
        <f t="shared" si="9"/>
        <v>698</v>
      </c>
      <c r="O116" s="31">
        <f t="shared" si="10"/>
        <v>721</v>
      </c>
      <c r="P116" s="31">
        <f t="shared" si="11"/>
        <v>760</v>
      </c>
    </row>
    <row r="117" spans="1:16">
      <c r="A117" s="2" t="str">
        <f>'01_원자료'!A114</f>
        <v>PAT-08</v>
      </c>
      <c r="B117" s="2" t="str">
        <f>'01_원자료'!B114</f>
        <v>gemini</v>
      </c>
      <c r="C117" s="2" t="str">
        <f>'01_원자료'!C114</f>
        <v>ministral</v>
      </c>
      <c r="E117" s="17">
        <f>'01_원자료'!P114*'03_가중치민감도'!$B$5+'01_원자료'!Q114*'03_가중치민감도'!$C$5+'01_원자료'!R114*'03_가중치민감도'!$D$5</f>
        <v>0.62560076916888252</v>
      </c>
      <c r="F117" s="17">
        <f>'01_원자료'!P114*'03_가중치민감도'!$B$6+'01_원자료'!Q114*'03_가중치민감도'!$C$6+'01_원자료'!R114*'03_가중치민감도'!$D$6</f>
        <v>0.52579516330262688</v>
      </c>
      <c r="G117" s="17">
        <f>'01_원자료'!P114*'03_가중치민감도'!$B$7+'01_원자료'!Q114*'03_가중치민감도'!$C$7+'01_원자료'!R114*'03_가중치민감도'!$D$7</f>
        <v>0.63769739095679012</v>
      </c>
      <c r="H117" s="17">
        <f>'01_원자료'!P114*'03_가중치민감도'!$B$8+'01_원자료'!Q114*'03_가중치민감도'!$C$8+'01_원자료'!R114*'03_가중치민감도'!$D$8</f>
        <v>0.5651176602293444</v>
      </c>
      <c r="I117" s="17">
        <f>'01_원자료'!P114*'03_가중치민감도'!$B$9+'01_원자료'!Q114*'03_가중치민감도'!$C$9+'01_원자료'!R114*'03_가중치민감도'!$D$9</f>
        <v>0.55503149132874219</v>
      </c>
      <c r="J117" s="17">
        <f>'01_원자료'!P114*'03_가중치민감도'!$B$10+'01_원자료'!Q114*'03_가중치민감도'!$C$10+'01_원자료'!R114*'03_가중치민감도'!$D$10</f>
        <v>0.70121313145932285</v>
      </c>
      <c r="K117" s="31">
        <f t="shared" si="6"/>
        <v>510</v>
      </c>
      <c r="L117" s="31">
        <f t="shared" si="7"/>
        <v>479</v>
      </c>
      <c r="M117" s="31">
        <f t="shared" si="8"/>
        <v>555</v>
      </c>
      <c r="N117" s="31">
        <f t="shared" si="9"/>
        <v>383</v>
      </c>
      <c r="O117" s="31">
        <f t="shared" si="10"/>
        <v>475</v>
      </c>
      <c r="P117" s="31">
        <f t="shared" si="11"/>
        <v>460</v>
      </c>
    </row>
    <row r="118" spans="1:16">
      <c r="A118" s="2" t="str">
        <f>'01_원자료'!A115</f>
        <v>PAT-08</v>
      </c>
      <c r="B118" s="2" t="str">
        <f>'01_원자료'!B115</f>
        <v>gemini</v>
      </c>
      <c r="C118" s="2" t="str">
        <f>'01_원자료'!C115</f>
        <v>qwen</v>
      </c>
      <c r="E118" s="17">
        <f>'01_원자료'!P115*'03_가중치민감도'!$B$5+'01_원자료'!Q115*'03_가중치민감도'!$C$5+'01_원자료'!R115*'03_가중치민감도'!$D$5</f>
        <v>0.77563754718160527</v>
      </c>
      <c r="F118" s="17">
        <f>'01_원자료'!P115*'03_가중치민감도'!$B$6+'01_원자료'!Q115*'03_가중치민감도'!$C$6+'01_원자료'!R115*'03_가중치민감도'!$D$6</f>
        <v>0.67975239087983585</v>
      </c>
      <c r="G118" s="17">
        <f>'01_원자료'!P115*'03_가중치민감도'!$B$7+'01_원자료'!Q115*'03_가중치민감도'!$C$7+'01_원자료'!R115*'03_가중치민감도'!$D$7</f>
        <v>0.76984197461795778</v>
      </c>
      <c r="H118" s="17">
        <f>'01_원자료'!P115*'03_가중치민감도'!$B$8+'01_원자료'!Q115*'03_가중치민감도'!$C$8+'01_원자료'!R115*'03_가중치민감도'!$D$8</f>
        <v>0.8046154099998426</v>
      </c>
      <c r="I118" s="17">
        <f>'01_원자료'!P115*'03_가중치민감도'!$B$9+'01_원자료'!Q115*'03_가중치민감도'!$C$9+'01_원자료'!R115*'03_가중치민감도'!$D$9</f>
        <v>0.71364596716830742</v>
      </c>
      <c r="J118" s="17">
        <f>'01_원자료'!P115*'03_가중치민감도'!$B$10+'01_원자료'!Q115*'03_가중치민감도'!$C$10+'01_원자료'!R115*'03_가중치민감도'!$D$10</f>
        <v>0.88311384861066966</v>
      </c>
      <c r="K118" s="31">
        <f t="shared" si="6"/>
        <v>973</v>
      </c>
      <c r="L118" s="31">
        <f t="shared" si="7"/>
        <v>971</v>
      </c>
      <c r="M118" s="31">
        <f t="shared" si="8"/>
        <v>973</v>
      </c>
      <c r="N118" s="31">
        <f t="shared" si="9"/>
        <v>973</v>
      </c>
      <c r="O118" s="31">
        <f t="shared" si="10"/>
        <v>973</v>
      </c>
      <c r="P118" s="31">
        <f t="shared" si="11"/>
        <v>972</v>
      </c>
    </row>
    <row r="119" spans="1:16">
      <c r="A119" s="2" t="str">
        <f>'01_원자료'!A116</f>
        <v>PAT-08</v>
      </c>
      <c r="B119" s="2" t="str">
        <f>'01_원자료'!B116</f>
        <v>mistral</v>
      </c>
      <c r="C119" s="2" t="str">
        <f>'01_원자료'!C116</f>
        <v>gemma</v>
      </c>
      <c r="E119" s="17">
        <f>'01_원자료'!P116*'03_가중치민감도'!$B$5+'01_원자료'!Q116*'03_가중치민감도'!$C$5+'01_원자료'!R116*'03_가중치민감도'!$D$5</f>
        <v>0.65503798508640765</v>
      </c>
      <c r="F119" s="17">
        <f>'01_원자료'!P116*'03_가중치민감도'!$B$6+'01_원자료'!Q116*'03_가중치민감도'!$C$6+'01_원자료'!R116*'03_가중치민감도'!$D$6</f>
        <v>0.5592912789378166</v>
      </c>
      <c r="G119" s="17">
        <f>'01_원자료'!P116*'03_가중치민감도'!$B$7+'01_원자료'!Q116*'03_가중치민감도'!$C$7+'01_원자료'!R116*'03_가중치민감도'!$D$7</f>
        <v>0.65524135923026106</v>
      </c>
      <c r="H119" s="17">
        <f>'01_원자료'!P116*'03_가중치민감도'!$B$8+'01_원자료'!Q116*'03_가중치민감도'!$C$8+'01_원자료'!R116*'03_가중치민감도'!$D$8</f>
        <v>0.65402111436714083</v>
      </c>
      <c r="I119" s="17">
        <f>'01_원자료'!P116*'03_가중치민감도'!$B$9+'01_원자료'!Q116*'03_가중치민감도'!$C$9+'01_원자료'!R116*'03_가중치민감도'!$D$9</f>
        <v>0.59113905627272856</v>
      </c>
      <c r="J119" s="17">
        <f>'01_원자료'!P116*'03_가중치민감도'!$B$10+'01_원자료'!Q116*'03_가중치민감도'!$C$10+'01_원자료'!R116*'03_가중치민감도'!$D$10</f>
        <v>0.7503779429472921</v>
      </c>
      <c r="K119" s="31">
        <f t="shared" si="6"/>
        <v>645</v>
      </c>
      <c r="L119" s="31">
        <f t="shared" si="7"/>
        <v>634</v>
      </c>
      <c r="M119" s="31">
        <f t="shared" si="8"/>
        <v>641</v>
      </c>
      <c r="N119" s="31">
        <f t="shared" si="9"/>
        <v>651</v>
      </c>
      <c r="O119" s="31">
        <f t="shared" si="10"/>
        <v>638</v>
      </c>
      <c r="P119" s="31">
        <f t="shared" si="11"/>
        <v>657</v>
      </c>
    </row>
    <row r="120" spans="1:16">
      <c r="A120" s="2" t="str">
        <f>'01_원자료'!A117</f>
        <v>PAT-08</v>
      </c>
      <c r="B120" s="2" t="str">
        <f>'01_원자료'!B117</f>
        <v>mistral</v>
      </c>
      <c r="C120" s="2" t="str">
        <f>'01_원자료'!C117</f>
        <v>ministral</v>
      </c>
      <c r="E120" s="17">
        <f>'01_원자료'!P117*'03_가중치민감도'!$B$5+'01_원자료'!Q117*'03_가중치민감도'!$C$5+'01_원자료'!R117*'03_가중치민감도'!$D$5</f>
        <v>0.61241440447546558</v>
      </c>
      <c r="F120" s="17">
        <f>'01_원자료'!P117*'03_가중치민감도'!$B$6+'01_원자료'!Q117*'03_가중치민감도'!$C$6+'01_원자료'!R117*'03_가중치민감도'!$D$6</f>
        <v>0.53096874037317587</v>
      </c>
      <c r="G120" s="17">
        <f>'01_원자료'!P117*'03_가중치민감도'!$B$7+'01_원자료'!Q117*'03_가중치민감도'!$C$7+'01_원자료'!R117*'03_가중치민감도'!$D$7</f>
        <v>0.62122245842751911</v>
      </c>
      <c r="H120" s="17">
        <f>'01_원자료'!P117*'03_가중치민감도'!$B$8+'01_원자료'!Q117*'03_가중치민감도'!$C$8+'01_원자료'!R117*'03_가중치민감도'!$D$8</f>
        <v>0.56837413471519749</v>
      </c>
      <c r="I120" s="17">
        <f>'01_원자료'!P117*'03_가중치민감도'!$B$9+'01_원자료'!Q117*'03_가중치민감도'!$C$9+'01_원자료'!R117*'03_가중치민감도'!$D$9</f>
        <v>0.5551812770899206</v>
      </c>
      <c r="J120" s="17">
        <f>'01_원자료'!P117*'03_가중치민감도'!$B$10+'01_원자료'!Q117*'03_가중치민감도'!$C$10+'01_원자료'!R117*'03_가중치민감도'!$D$10</f>
        <v>0.676243960673648</v>
      </c>
      <c r="K120" s="31">
        <f t="shared" si="6"/>
        <v>449</v>
      </c>
      <c r="L120" s="31">
        <f t="shared" si="7"/>
        <v>505</v>
      </c>
      <c r="M120" s="31">
        <f t="shared" si="8"/>
        <v>472</v>
      </c>
      <c r="N120" s="31">
        <f t="shared" si="9"/>
        <v>394</v>
      </c>
      <c r="O120" s="31">
        <f t="shared" si="10"/>
        <v>477</v>
      </c>
      <c r="P120" s="31">
        <f t="shared" si="11"/>
        <v>378</v>
      </c>
    </row>
    <row r="121" spans="1:16">
      <c r="A121" s="2" t="str">
        <f>'01_원자료'!A118</f>
        <v>PAT-08</v>
      </c>
      <c r="B121" s="2" t="str">
        <f>'01_원자료'!B118</f>
        <v>mistral</v>
      </c>
      <c r="C121" s="2" t="str">
        <f>'01_원자료'!C118</f>
        <v>qwen</v>
      </c>
      <c r="E121" s="17">
        <f>'01_원자료'!P118*'03_가중치민감도'!$B$5+'01_원자료'!Q118*'03_가중치민감도'!$C$5+'01_원자료'!R118*'03_가중치민감도'!$D$5</f>
        <v>0.67192170314082778</v>
      </c>
      <c r="F121" s="17">
        <f>'01_원자료'!P118*'03_가중치민감도'!$B$6+'01_원자료'!Q118*'03_가중치민감도'!$C$6+'01_원자료'!R118*'03_가중치민감도'!$D$6</f>
        <v>0.59206906439540918</v>
      </c>
      <c r="G121" s="17">
        <f>'01_원자료'!P118*'03_가중치민감도'!$B$7+'01_원자료'!Q118*'03_가중치민감도'!$C$7+'01_원자료'!R118*'03_가중치민감도'!$D$7</f>
        <v>0.67008563659186438</v>
      </c>
      <c r="H121" s="17">
        <f>'01_원자료'!P118*'03_가중치민감도'!$B$8+'01_원자료'!Q118*'03_가중치민감도'!$C$8+'01_원자료'!R118*'03_가중치민감도'!$D$8</f>
        <v>0.68110203588564477</v>
      </c>
      <c r="I121" s="17">
        <f>'01_원자료'!P118*'03_가중치민감도'!$B$9+'01_원자료'!Q118*'03_가중치민감도'!$C$9+'01_원자료'!R118*'03_가중치민감도'!$D$9</f>
        <v>0.61929863282686926</v>
      </c>
      <c r="J121" s="17">
        <f>'01_원자료'!P118*'03_가중치민감도'!$B$10+'01_원자료'!Q118*'03_가중치민감도'!$C$10+'01_원자료'!R118*'03_가중치민감도'!$D$10</f>
        <v>0.75544647498417294</v>
      </c>
      <c r="K121" s="31">
        <f t="shared" si="6"/>
        <v>726</v>
      </c>
      <c r="L121" s="31">
        <f t="shared" si="7"/>
        <v>777</v>
      </c>
      <c r="M121" s="31">
        <f t="shared" si="8"/>
        <v>721</v>
      </c>
      <c r="N121" s="31">
        <f t="shared" si="9"/>
        <v>722</v>
      </c>
      <c r="O121" s="31">
        <f t="shared" si="10"/>
        <v>763</v>
      </c>
      <c r="P121" s="31">
        <f t="shared" si="11"/>
        <v>681</v>
      </c>
    </row>
    <row r="122" spans="1:16">
      <c r="A122" s="2" t="str">
        <f>'01_원자료'!A119</f>
        <v>PAT-08</v>
      </c>
      <c r="B122" s="2" t="str">
        <f>'01_원자료'!B119</f>
        <v>qwen3_6</v>
      </c>
      <c r="C122" s="2" t="str">
        <f>'01_원자료'!C119</f>
        <v>gemma</v>
      </c>
      <c r="E122" s="17">
        <f>'01_원자료'!P119*'03_가중치민감도'!$B$5+'01_원자료'!Q119*'03_가중치민감도'!$C$5+'01_원자료'!R119*'03_가중치민감도'!$D$5</f>
        <v>0.6542970385977559</v>
      </c>
      <c r="F122" s="17">
        <f>'01_원자료'!P119*'03_가중치민감도'!$B$6+'01_원자료'!Q119*'03_가중치민감도'!$C$6+'01_원자료'!R119*'03_가중치민감도'!$D$6</f>
        <v>0.55566319990804114</v>
      </c>
      <c r="G122" s="17">
        <f>'01_원자료'!P119*'03_가중치민감도'!$B$7+'01_원자료'!Q119*'03_가중치민감도'!$C$7+'01_원자료'!R119*'03_가중치민감도'!$D$7</f>
        <v>0.65359457505159069</v>
      </c>
      <c r="H122" s="17">
        <f>'01_원자료'!P119*'03_가중치민감도'!$B$8+'01_원자료'!Q119*'03_가중치민감도'!$C$8+'01_원자료'!R119*'03_가중치민감도'!$D$8</f>
        <v>0.65780935632858173</v>
      </c>
      <c r="I122" s="17">
        <f>'01_원자료'!P119*'03_가중치민감도'!$B$9+'01_원자료'!Q119*'03_가중치민감도'!$C$9+'01_원자료'!R119*'03_가중치민감도'!$D$9</f>
        <v>0.58877530065333383</v>
      </c>
      <c r="J122" s="17">
        <f>'01_원자료'!P119*'03_가중치민감도'!$B$10+'01_원자료'!Q119*'03_가중치민감도'!$C$10+'01_원자료'!R119*'03_가중치민감도'!$D$10</f>
        <v>0.75433580437980097</v>
      </c>
      <c r="K122" s="31">
        <f t="shared" si="6"/>
        <v>639</v>
      </c>
      <c r="L122" s="31">
        <f t="shared" si="7"/>
        <v>617</v>
      </c>
      <c r="M122" s="31">
        <f t="shared" si="8"/>
        <v>633</v>
      </c>
      <c r="N122" s="31">
        <f t="shared" si="9"/>
        <v>658</v>
      </c>
      <c r="O122" s="31">
        <f t="shared" si="10"/>
        <v>624</v>
      </c>
      <c r="P122" s="31">
        <f t="shared" si="11"/>
        <v>675</v>
      </c>
    </row>
    <row r="123" spans="1:16">
      <c r="A123" s="2" t="str">
        <f>'01_원자료'!A120</f>
        <v>PAT-08</v>
      </c>
      <c r="B123" s="2" t="str">
        <f>'01_원자료'!B120</f>
        <v>qwen3_6</v>
      </c>
      <c r="C123" s="2" t="str">
        <f>'01_원자료'!C120</f>
        <v>ministral</v>
      </c>
      <c r="E123" s="17">
        <f>'01_원자료'!P120*'03_가중치민감도'!$B$5+'01_원자료'!Q120*'03_가중치민감도'!$C$5+'01_원자료'!R120*'03_가중치민감도'!$D$5</f>
        <v>0.60728906458172549</v>
      </c>
      <c r="F123" s="17">
        <f>'01_원자료'!P120*'03_가중치민감도'!$B$6+'01_원자료'!Q120*'03_가중치민감도'!$C$6+'01_원자료'!R120*'03_가중치민감도'!$D$6</f>
        <v>0.52122227135682919</v>
      </c>
      <c r="G123" s="17">
        <f>'01_원자료'!P120*'03_가중치민감도'!$B$7+'01_원자료'!Q120*'03_가중치민감도'!$C$7+'01_원자료'!R120*'03_가중치민감도'!$D$7</f>
        <v>0.61671480993392336</v>
      </c>
      <c r="H123" s="17">
        <f>'01_원자료'!P120*'03_가중치민감도'!$B$8+'01_원자료'!Q120*'03_가중치민감도'!$C$8+'01_원자료'!R120*'03_가중치민감도'!$D$8</f>
        <v>0.56016033782073582</v>
      </c>
      <c r="I123" s="17">
        <f>'01_원자료'!P120*'03_가중치민감도'!$B$9+'01_원자료'!Q120*'03_가중치민감도'!$C$9+'01_원자료'!R120*'03_가중치민감도'!$D$9</f>
        <v>0.54676928731439467</v>
      </c>
      <c r="J123" s="17">
        <f>'01_원자료'!P120*'03_가중치민감도'!$B$10+'01_원자료'!Q120*'03_가중치민감도'!$C$10+'01_원자료'!R120*'03_가중치민감도'!$D$10</f>
        <v>0.67450436710222594</v>
      </c>
      <c r="K123" s="31">
        <f t="shared" si="6"/>
        <v>419</v>
      </c>
      <c r="L123" s="31">
        <f t="shared" si="7"/>
        <v>462</v>
      </c>
      <c r="M123" s="31">
        <f t="shared" si="8"/>
        <v>443</v>
      </c>
      <c r="N123" s="31">
        <f t="shared" si="9"/>
        <v>372</v>
      </c>
      <c r="O123" s="31">
        <f t="shared" si="10"/>
        <v>449</v>
      </c>
      <c r="P123" s="31">
        <f t="shared" si="11"/>
        <v>369</v>
      </c>
    </row>
    <row r="124" spans="1:16">
      <c r="A124" s="2" t="str">
        <f>'01_원자료'!A121</f>
        <v>PAT-08</v>
      </c>
      <c r="B124" s="2" t="str">
        <f>'01_원자료'!B121</f>
        <v>qwen3_6</v>
      </c>
      <c r="C124" s="2" t="str">
        <f>'01_원자료'!C121</f>
        <v>qwen</v>
      </c>
      <c r="E124" s="17">
        <f>'01_원자료'!P121*'03_가중치민감도'!$B$5+'01_원자료'!Q121*'03_가중치민감도'!$C$5+'01_원자료'!R121*'03_가중치민감도'!$D$5</f>
        <v>0.73490089882709575</v>
      </c>
      <c r="F124" s="17">
        <f>'01_원자료'!P121*'03_가중치민감도'!$B$6+'01_원자료'!Q121*'03_가중치민감도'!$C$6+'01_원자료'!R121*'03_가중치민감도'!$D$6</f>
        <v>0.64386242468531607</v>
      </c>
      <c r="G124" s="17">
        <f>'01_원자료'!P121*'03_가중치민감도'!$B$7+'01_원자료'!Q121*'03_가중치민감도'!$C$7+'01_원자료'!R121*'03_가중치민감도'!$D$7</f>
        <v>0.7253067153872399</v>
      </c>
      <c r="H124" s="17">
        <f>'01_원자료'!P121*'03_가중치민감도'!$B$8+'01_원자료'!Q121*'03_가중치민감도'!$C$8+'01_원자료'!R121*'03_가중치민감도'!$D$8</f>
        <v>0.78287181602637435</v>
      </c>
      <c r="I124" s="17">
        <f>'01_원자료'!P121*'03_가중치민감도'!$B$9+'01_원자료'!Q121*'03_가중치민감도'!$C$9+'01_원자료'!R121*'03_가중치민감도'!$D$9</f>
        <v>0.67740664387919391</v>
      </c>
      <c r="J124" s="17">
        <f>'01_원자료'!P121*'03_가중치민감도'!$B$10+'01_원자료'!Q121*'03_가중치민감도'!$C$10+'01_원자료'!R121*'03_가중치민감도'!$D$10</f>
        <v>0.8451277398485868</v>
      </c>
      <c r="K124" s="31">
        <f t="shared" si="6"/>
        <v>916</v>
      </c>
      <c r="L124" s="31">
        <f t="shared" si="7"/>
        <v>946</v>
      </c>
      <c r="M124" s="31">
        <f t="shared" si="8"/>
        <v>909</v>
      </c>
      <c r="N124" s="31">
        <f t="shared" si="9"/>
        <v>944</v>
      </c>
      <c r="O124" s="31">
        <f t="shared" si="10"/>
        <v>942</v>
      </c>
      <c r="P124" s="31">
        <f t="shared" si="11"/>
        <v>873</v>
      </c>
    </row>
    <row r="125" spans="1:16">
      <c r="A125" s="2" t="str">
        <f>'01_원자료'!A122</f>
        <v>PAT-09</v>
      </c>
      <c r="B125" s="2" t="str">
        <f>'01_원자료'!B122</f>
        <v>chatgpt</v>
      </c>
      <c r="C125" s="2" t="str">
        <f>'01_원자료'!C122</f>
        <v>gemma</v>
      </c>
      <c r="E125" s="17">
        <f>'01_원자료'!P122*'03_가중치민감도'!$B$5+'01_원자료'!Q122*'03_가중치민감도'!$C$5+'01_원자료'!R122*'03_가중치민감도'!$D$5</f>
        <v>0.5638725605233883</v>
      </c>
      <c r="F125" s="17">
        <f>'01_원자료'!P122*'03_가중치민감도'!$B$6+'01_원자료'!Q122*'03_가중치민감도'!$C$6+'01_원자료'!R122*'03_가중치민감도'!$D$6</f>
        <v>0.46939614863065476</v>
      </c>
      <c r="G125" s="17">
        <f>'01_원자료'!P122*'03_가중치민감도'!$B$7+'01_원자료'!Q122*'03_가중치민감도'!$C$7+'01_원자료'!R122*'03_가중치민감도'!$D$7</f>
        <v>0.57141281482133599</v>
      </c>
      <c r="H125" s="17">
        <f>'01_원자료'!P122*'03_가중치민감도'!$B$8+'01_원자료'!Q122*'03_가중치민감도'!$C$8+'01_원자료'!R122*'03_가중치민감도'!$D$8</f>
        <v>0.52617128903364985</v>
      </c>
      <c r="I125" s="17">
        <f>'01_원자료'!P122*'03_가중치민감도'!$B$9+'01_원자료'!Q122*'03_가중치민감도'!$C$9+'01_원자료'!R122*'03_가중치민감도'!$D$9</f>
        <v>0.49837486782891616</v>
      </c>
      <c r="J125" s="17">
        <f>'01_원자료'!P122*'03_가중치민감도'!$B$10+'01_원자료'!Q122*'03_가중치민감도'!$C$10+'01_원자료'!R122*'03_가중치민감도'!$D$10</f>
        <v>0.6432684638202264</v>
      </c>
      <c r="K125" s="31">
        <f t="shared" si="6"/>
        <v>264</v>
      </c>
      <c r="L125" s="31">
        <f t="shared" si="7"/>
        <v>213</v>
      </c>
      <c r="M125" s="31">
        <f t="shared" si="8"/>
        <v>252</v>
      </c>
      <c r="N125" s="31">
        <f t="shared" si="9"/>
        <v>272</v>
      </c>
      <c r="O125" s="31">
        <f t="shared" si="10"/>
        <v>238</v>
      </c>
      <c r="P125" s="31">
        <f t="shared" si="11"/>
        <v>294</v>
      </c>
    </row>
    <row r="126" spans="1:16">
      <c r="A126" s="2" t="str">
        <f>'01_원자료'!A123</f>
        <v>PAT-09</v>
      </c>
      <c r="B126" s="2" t="str">
        <f>'01_원자료'!B123</f>
        <v>chatgpt</v>
      </c>
      <c r="C126" s="2" t="str">
        <f>'01_원자료'!C123</f>
        <v>ministral</v>
      </c>
      <c r="E126" s="17">
        <f>'01_원자료'!P123*'03_가중치민감도'!$B$5+'01_원자료'!Q123*'03_가중치민감도'!$C$5+'01_원자료'!R123*'03_가중치민감도'!$D$5</f>
        <v>0.48878338198939092</v>
      </c>
      <c r="F126" s="17">
        <f>'01_원자료'!P123*'03_가중치민감도'!$B$6+'01_원자료'!Q123*'03_가중치민감도'!$C$6+'01_원자료'!R123*'03_가중치민감도'!$D$6</f>
        <v>0.41503253171121524</v>
      </c>
      <c r="G126" s="17">
        <f>'01_원자료'!P123*'03_가중치민감도'!$B$7+'01_원자료'!Q123*'03_가중치민감도'!$C$7+'01_원자료'!R123*'03_가중치민감도'!$D$7</f>
        <v>0.51072389131995888</v>
      </c>
      <c r="H126" s="17">
        <f>'01_원자료'!P123*'03_가중치민감도'!$B$8+'01_원자료'!Q123*'03_가중치민감도'!$C$8+'01_원자료'!R123*'03_가중치민감도'!$D$8</f>
        <v>0.37908083533655135</v>
      </c>
      <c r="I126" s="17">
        <f>'01_원자료'!P123*'03_가중치민감도'!$B$9+'01_원자료'!Q123*'03_가중치민감도'!$C$9+'01_원자료'!R123*'03_가중치민감도'!$D$9</f>
        <v>0.4323026453604174</v>
      </c>
      <c r="J126" s="17">
        <f>'01_원자료'!P123*'03_가중치민감도'!$B$10+'01_원자료'!Q123*'03_가중치민감도'!$C$10+'01_원자료'!R123*'03_가중치민감도'!$D$10</f>
        <v>0.5186532136064308</v>
      </c>
      <c r="K126" s="31">
        <f t="shared" si="6"/>
        <v>29</v>
      </c>
      <c r="L126" s="31">
        <f t="shared" si="7"/>
        <v>42</v>
      </c>
      <c r="M126" s="31">
        <f t="shared" si="8"/>
        <v>32</v>
      </c>
      <c r="N126" s="31">
        <f t="shared" si="9"/>
        <v>17</v>
      </c>
      <c r="O126" s="31">
        <f t="shared" si="10"/>
        <v>35</v>
      </c>
      <c r="P126" s="31">
        <f t="shared" si="11"/>
        <v>19</v>
      </c>
    </row>
    <row r="127" spans="1:16">
      <c r="A127" s="2" t="str">
        <f>'01_원자료'!A124</f>
        <v>PAT-09</v>
      </c>
      <c r="B127" s="2" t="str">
        <f>'01_원자료'!B124</f>
        <v>chatgpt</v>
      </c>
      <c r="C127" s="2" t="str">
        <f>'01_원자료'!C124</f>
        <v>qwen</v>
      </c>
      <c r="E127" s="17">
        <f>'01_원자료'!P124*'03_가중치민감도'!$B$5+'01_원자료'!Q124*'03_가중치민감도'!$C$5+'01_원자료'!R124*'03_가중치민감도'!$D$5</f>
        <v>0.55585189988794803</v>
      </c>
      <c r="F127" s="17">
        <f>'01_원자료'!P124*'03_가중치민감도'!$B$6+'01_원자료'!Q124*'03_가중치민감도'!$C$6+'01_원자료'!R124*'03_가중치민감도'!$D$6</f>
        <v>0.47738462025064443</v>
      </c>
      <c r="G127" s="17">
        <f>'01_원자료'!P124*'03_가중치민감도'!$B$7+'01_원자료'!Q124*'03_가중치민감도'!$C$7+'01_원자료'!R124*'03_가중치민감도'!$D$7</f>
        <v>0.56810104529023098</v>
      </c>
      <c r="H127" s="17">
        <f>'01_원자료'!P124*'03_가중치민감도'!$B$8+'01_원자료'!Q124*'03_가중치민감도'!$C$8+'01_원자료'!R124*'03_가중치민감도'!$D$8</f>
        <v>0.49460617287653302</v>
      </c>
      <c r="I127" s="17">
        <f>'01_원자료'!P124*'03_가중치민감도'!$B$9+'01_원자료'!Q124*'03_가중치민감도'!$C$9+'01_원자료'!R124*'03_가중치민감도'!$D$9</f>
        <v>0.49945733166231743</v>
      </c>
      <c r="J127" s="17">
        <f>'01_원자료'!P124*'03_가중치민감도'!$B$10+'01_원자료'!Q124*'03_가중치민감도'!$C$10+'01_원자료'!R124*'03_가중치민감도'!$D$10</f>
        <v>0.60982088872068563</v>
      </c>
      <c r="K127" s="31">
        <f t="shared" si="6"/>
        <v>236</v>
      </c>
      <c r="L127" s="31">
        <f t="shared" si="7"/>
        <v>257</v>
      </c>
      <c r="M127" s="31">
        <f t="shared" si="8"/>
        <v>238</v>
      </c>
      <c r="N127" s="31">
        <f t="shared" si="9"/>
        <v>212</v>
      </c>
      <c r="O127" s="31">
        <f t="shared" si="10"/>
        <v>242</v>
      </c>
      <c r="P127" s="31">
        <f t="shared" si="11"/>
        <v>210</v>
      </c>
    </row>
    <row r="128" spans="1:16">
      <c r="A128" s="2" t="str">
        <f>'01_원자료'!A125</f>
        <v>PAT-09</v>
      </c>
      <c r="B128" s="2" t="str">
        <f>'01_원자료'!B125</f>
        <v>claude</v>
      </c>
      <c r="C128" s="2" t="str">
        <f>'01_원자료'!C125</f>
        <v>gemma</v>
      </c>
      <c r="E128" s="17">
        <f>'01_원자료'!P125*'03_가중치민감도'!$B$5+'01_원자료'!Q125*'03_가중치민감도'!$C$5+'01_원자료'!R125*'03_가중치민감도'!$D$5</f>
        <v>0.62528899671405891</v>
      </c>
      <c r="F128" s="17">
        <f>'01_원자료'!P125*'03_가중치민감도'!$B$6+'01_원자료'!Q125*'03_가중치민감도'!$C$6+'01_원자료'!R125*'03_가중치민감도'!$D$6</f>
        <v>0.5206200779546668</v>
      </c>
      <c r="G128" s="17">
        <f>'01_원자료'!P125*'03_가중치민감도'!$B$7+'01_원자료'!Q125*'03_가중치민감도'!$C$7+'01_원자료'!R125*'03_가중치민감도'!$D$7</f>
        <v>0.62328974828419448</v>
      </c>
      <c r="H128" s="17">
        <f>'01_원자료'!P125*'03_가중치민감도'!$B$8+'01_원자료'!Q125*'03_가중치민감도'!$C$8+'01_원자료'!R125*'03_가중치민감도'!$D$8</f>
        <v>0.63528523886338073</v>
      </c>
      <c r="I128" s="17">
        <f>'01_원자료'!P125*'03_가중치민감도'!$B$9+'01_원자료'!Q125*'03_가중치민감도'!$C$9+'01_원자료'!R125*'03_가중치민감도'!$D$9</f>
        <v>0.55617613368441843</v>
      </c>
      <c r="J128" s="17">
        <f>'01_원자료'!P125*'03_가중치민감도'!$B$10+'01_원자료'!Q125*'03_가중치민감도'!$C$10+'01_원자료'!R125*'03_가중치민감도'!$D$10</f>
        <v>0.73395641233317965</v>
      </c>
      <c r="K128" s="31">
        <f t="shared" si="6"/>
        <v>509</v>
      </c>
      <c r="L128" s="31">
        <f t="shared" si="7"/>
        <v>460</v>
      </c>
      <c r="M128" s="31">
        <f t="shared" si="8"/>
        <v>479</v>
      </c>
      <c r="N128" s="31">
        <f t="shared" si="9"/>
        <v>593</v>
      </c>
      <c r="O128" s="31">
        <f t="shared" si="10"/>
        <v>484</v>
      </c>
      <c r="P128" s="31">
        <f t="shared" si="11"/>
        <v>600</v>
      </c>
    </row>
    <row r="129" spans="1:16">
      <c r="A129" s="2" t="str">
        <f>'01_원자료'!A126</f>
        <v>PAT-09</v>
      </c>
      <c r="B129" s="2" t="str">
        <f>'01_원자료'!B126</f>
        <v>claude</v>
      </c>
      <c r="C129" s="2" t="str">
        <f>'01_원자료'!C126</f>
        <v>ministral</v>
      </c>
      <c r="E129" s="17">
        <f>'01_원자료'!P126*'03_가중치민감도'!$B$5+'01_원자료'!Q126*'03_가중치민감도'!$C$5+'01_원자료'!R126*'03_가중치민감도'!$D$5</f>
        <v>0.52121680962924311</v>
      </c>
      <c r="F129" s="17">
        <f>'01_원자료'!P126*'03_가중치민감도'!$B$6+'01_원자료'!Q126*'03_가중치민감도'!$C$6+'01_원자료'!R126*'03_가중치민감도'!$D$6</f>
        <v>0.44718593968983128</v>
      </c>
      <c r="G129" s="17">
        <f>'01_원자료'!P126*'03_가중치민감도'!$B$7+'01_원자료'!Q126*'03_가중치민감도'!$C$7+'01_원자료'!R126*'03_가중치민감도'!$D$7</f>
        <v>0.54045005223300724</v>
      </c>
      <c r="H129" s="17">
        <f>'01_원자료'!P126*'03_가중치민감도'!$B$8+'01_원자료'!Q126*'03_가중치민감도'!$C$8+'01_원자료'!R126*'03_가중치민감도'!$D$8</f>
        <v>0.42505059661042255</v>
      </c>
      <c r="I129" s="17">
        <f>'01_원자료'!P126*'03_가중치민감도'!$B$9+'01_원자료'!Q126*'03_가중치민감도'!$C$9+'01_원자료'!R126*'03_가중치민감도'!$D$9</f>
        <v>0.46545181546838005</v>
      </c>
      <c r="J129" s="17">
        <f>'01_원자료'!P126*'03_가중치민감도'!$B$10+'01_원자료'!Q126*'03_가중치민감도'!$C$10+'01_원자료'!R126*'03_가중치민감도'!$D$10</f>
        <v>0.55678119436112672</v>
      </c>
      <c r="K129" s="31">
        <f t="shared" si="6"/>
        <v>97</v>
      </c>
      <c r="L129" s="31">
        <f t="shared" si="7"/>
        <v>129</v>
      </c>
      <c r="M129" s="31">
        <f t="shared" si="8"/>
        <v>108</v>
      </c>
      <c r="N129" s="31">
        <f t="shared" si="9"/>
        <v>98</v>
      </c>
      <c r="O129" s="31">
        <f t="shared" si="10"/>
        <v>112</v>
      </c>
      <c r="P129" s="31">
        <f t="shared" si="11"/>
        <v>80</v>
      </c>
    </row>
    <row r="130" spans="1:16">
      <c r="A130" s="2" t="str">
        <f>'01_원자료'!A127</f>
        <v>PAT-09</v>
      </c>
      <c r="B130" s="2" t="str">
        <f>'01_원자료'!B127</f>
        <v>claude</v>
      </c>
      <c r="C130" s="2" t="str">
        <f>'01_원자료'!C127</f>
        <v>qwen</v>
      </c>
      <c r="E130" s="17">
        <f>'01_원자료'!P127*'03_가중치민감도'!$B$5+'01_원자료'!Q127*'03_가중치민감도'!$C$5+'01_원자료'!R127*'03_가중치민감도'!$D$5</f>
        <v>0.70360055235074359</v>
      </c>
      <c r="F130" s="17">
        <f>'01_원자료'!P127*'03_가중치민감도'!$B$6+'01_원자료'!Q127*'03_가중치민감도'!$C$6+'01_원자료'!R127*'03_가중치민감도'!$D$6</f>
        <v>0.62221764073403196</v>
      </c>
      <c r="G130" s="17">
        <f>'01_원자료'!P127*'03_가중치민감도'!$B$7+'01_원자료'!Q127*'03_가중치민감도'!$C$7+'01_원자료'!R127*'03_가중치민감도'!$D$7</f>
        <v>0.69598061066239458</v>
      </c>
      <c r="H130" s="17">
        <f>'01_원자료'!P127*'03_가중치민감도'!$B$8+'01_원자료'!Q127*'03_가중치민감도'!$C$8+'01_원자료'!R127*'03_가중치민감도'!$D$8</f>
        <v>0.74170026079248819</v>
      </c>
      <c r="I130" s="17">
        <f>'01_원자료'!P127*'03_가중치민감도'!$B$9+'01_원자료'!Q127*'03_가중치민감도'!$C$9+'01_원자료'!R127*'03_가중치민감도'!$D$9</f>
        <v>0.65188525850238477</v>
      </c>
      <c r="J130" s="17">
        <f>'01_원자료'!P127*'03_가중치민감도'!$B$10+'01_원자료'!Q127*'03_가중치민감도'!$C$10+'01_원자료'!R127*'03_가중치민감도'!$D$10</f>
        <v>0.8002233473441529</v>
      </c>
      <c r="K130" s="31">
        <f t="shared" si="6"/>
        <v>832</v>
      </c>
      <c r="L130" s="31">
        <f t="shared" si="7"/>
        <v>904</v>
      </c>
      <c r="M130" s="31">
        <f t="shared" si="8"/>
        <v>820</v>
      </c>
      <c r="N130" s="31">
        <f t="shared" si="9"/>
        <v>843</v>
      </c>
      <c r="O130" s="31">
        <f t="shared" si="10"/>
        <v>872</v>
      </c>
      <c r="P130" s="31">
        <f t="shared" si="11"/>
        <v>817</v>
      </c>
    </row>
    <row r="131" spans="1:16">
      <c r="A131" s="2" t="str">
        <f>'01_원자료'!A128</f>
        <v>PAT-09</v>
      </c>
      <c r="B131" s="2" t="str">
        <f>'01_원자료'!B128</f>
        <v>gemini</v>
      </c>
      <c r="C131" s="2" t="str">
        <f>'01_원자료'!C128</f>
        <v>gemma</v>
      </c>
      <c r="E131" s="17">
        <f>'01_원자료'!P128*'03_가중치민감도'!$B$5+'01_원자료'!Q128*'03_가중치민감도'!$C$5+'01_원자료'!R128*'03_가중치민감도'!$D$5</f>
        <v>0.74019454657648287</v>
      </c>
      <c r="F131" s="17">
        <f>'01_원자료'!P128*'03_가중치민감도'!$B$6+'01_원자료'!Q128*'03_가중치민감도'!$C$6+'01_원자료'!R128*'03_가중치민감도'!$D$6</f>
        <v>0.61372589639353192</v>
      </c>
      <c r="G131" s="17">
        <f>'01_원자료'!P128*'03_가중치민감도'!$B$7+'01_원자료'!Q128*'03_가중치민감도'!$C$7+'01_원자료'!R128*'03_가중치민감도'!$D$7</f>
        <v>0.73399401511917373</v>
      </c>
      <c r="H131" s="17">
        <f>'01_원자료'!P128*'03_가중치민감도'!$B$8+'01_원자료'!Q128*'03_가중치민감도'!$C$8+'01_원자료'!R128*'03_가중치민감도'!$D$8</f>
        <v>0.77119720386302881</v>
      </c>
      <c r="I131" s="17">
        <f>'01_원자료'!P128*'03_가중치민감도'!$B$9+'01_원자료'!Q128*'03_가중치민감도'!$C$9+'01_원자료'!R128*'03_가중치민감도'!$D$9</f>
        <v>0.65794895694028455</v>
      </c>
      <c r="J131" s="17">
        <f>'01_원자료'!P128*'03_가중치민감도'!$B$10+'01_원자료'!Q128*'03_가중치민감도'!$C$10+'01_원자료'!R128*'03_가중치민감도'!$D$10</f>
        <v>0.87906425967405233</v>
      </c>
      <c r="K131" s="31">
        <f t="shared" si="6"/>
        <v>924</v>
      </c>
      <c r="L131" s="31">
        <f t="shared" si="7"/>
        <v>868</v>
      </c>
      <c r="M131" s="31">
        <f t="shared" si="8"/>
        <v>929</v>
      </c>
      <c r="N131" s="31">
        <f t="shared" si="9"/>
        <v>905</v>
      </c>
      <c r="O131" s="31">
        <f t="shared" si="10"/>
        <v>899</v>
      </c>
      <c r="P131" s="31">
        <f t="shared" si="11"/>
        <v>967</v>
      </c>
    </row>
    <row r="132" spans="1:16">
      <c r="A132" s="2" t="str">
        <f>'01_원자료'!A129</f>
        <v>PAT-09</v>
      </c>
      <c r="B132" s="2" t="str">
        <f>'01_원자료'!B129</f>
        <v>gemini</v>
      </c>
      <c r="C132" s="2" t="str">
        <f>'01_원자료'!C129</f>
        <v>ministral</v>
      </c>
      <c r="E132" s="17">
        <f>'01_원자료'!P129*'03_가중치민감도'!$B$5+'01_원자료'!Q129*'03_가중치민감도'!$C$5+'01_원자료'!R129*'03_가중치민감도'!$D$5</f>
        <v>0.52090854078543214</v>
      </c>
      <c r="F132" s="17">
        <f>'01_원자료'!P129*'03_가중치민감도'!$B$6+'01_원자료'!Q129*'03_가중치민감도'!$C$6+'01_원자료'!R129*'03_가중치민감도'!$D$6</f>
        <v>0.43201524713583328</v>
      </c>
      <c r="G132" s="17">
        <f>'01_원자료'!P129*'03_가중치민감도'!$B$7+'01_원자료'!Q129*'03_가중치민감도'!$C$7+'01_원자료'!R129*'03_가중치민감도'!$D$7</f>
        <v>0.54380153514245111</v>
      </c>
      <c r="H132" s="17">
        <f>'01_원자료'!P129*'03_가중치민감도'!$B$8+'01_원자료'!Q129*'03_가중치민감도'!$C$8+'01_원자료'!R129*'03_가중치민감도'!$D$8</f>
        <v>0.40644356900033746</v>
      </c>
      <c r="I132" s="17">
        <f>'01_원자료'!P129*'03_가중치민감도'!$B$9+'01_원자료'!Q129*'03_가중치민감도'!$C$9+'01_원자료'!R129*'03_가중치민감도'!$D$9</f>
        <v>0.45401534690002615</v>
      </c>
      <c r="J132" s="17">
        <f>'01_원자료'!P129*'03_가중치민감도'!$B$10+'01_원자료'!Q129*'03_가중치민감도'!$C$10+'01_원자료'!R129*'03_가중치민감도'!$D$10</f>
        <v>0.56401584572099317</v>
      </c>
      <c r="K132" s="31">
        <f t="shared" si="6"/>
        <v>94</v>
      </c>
      <c r="L132" s="31">
        <f t="shared" si="7"/>
        <v>75</v>
      </c>
      <c r="M132" s="31">
        <f t="shared" si="8"/>
        <v>125</v>
      </c>
      <c r="N132" s="31">
        <f t="shared" si="9"/>
        <v>55</v>
      </c>
      <c r="O132" s="31">
        <f t="shared" si="10"/>
        <v>79</v>
      </c>
      <c r="P132" s="31">
        <f t="shared" si="11"/>
        <v>100</v>
      </c>
    </row>
    <row r="133" spans="1:16">
      <c r="A133" s="2" t="str">
        <f>'01_원자료'!A130</f>
        <v>PAT-09</v>
      </c>
      <c r="B133" s="2" t="str">
        <f>'01_원자료'!B130</f>
        <v>gemini</v>
      </c>
      <c r="C133" s="2" t="str">
        <f>'01_원자료'!C130</f>
        <v>qwen</v>
      </c>
      <c r="E133" s="17">
        <f>'01_원자료'!P130*'03_가중치민감도'!$B$5+'01_원자료'!Q130*'03_가중치민감도'!$C$5+'01_원자료'!R130*'03_가중치민감도'!$D$5</f>
        <v>0.69521509442692975</v>
      </c>
      <c r="F133" s="17">
        <f>'01_원자료'!P130*'03_가중치민감도'!$B$6+'01_원자료'!Q130*'03_가중치민감도'!$C$6+'01_원자료'!R130*'03_가중치민감도'!$D$6</f>
        <v>0.59428829199037236</v>
      </c>
      <c r="G133" s="17">
        <f>'01_원자료'!P130*'03_가중치민감도'!$B$7+'01_원자료'!Q130*'03_가중치민감도'!$C$7+'01_원자료'!R130*'03_가중치민감도'!$D$7</f>
        <v>0.69539606093211903</v>
      </c>
      <c r="H133" s="17">
        <f>'01_원자료'!P130*'03_가중치민감도'!$B$8+'01_원자료'!Q130*'03_가중치민감도'!$C$8+'01_원자료'!R130*'03_가중치민감도'!$D$8</f>
        <v>0.69431026190098377</v>
      </c>
      <c r="I133" s="17">
        <f>'01_원자료'!P130*'03_가중치민감도'!$B$9+'01_원자료'!Q130*'03_가중치민감도'!$C$9+'01_원자료'!R130*'03_가중치민감도'!$D$9</f>
        <v>0.6278702373008278</v>
      </c>
      <c r="J133" s="17">
        <f>'01_원자료'!P130*'03_가중치민감도'!$B$10+'01_원자료'!Q130*'03_가중치민감도'!$C$10+'01_원자료'!R130*'03_가중치민감도'!$D$10</f>
        <v>0.79577996385310878</v>
      </c>
      <c r="K133" s="31">
        <f t="shared" ref="K133:K196" si="12">COUNTIF($E$5:$E$979,"&lt;"&amp;E133)+(COUNTIF($E$5:$E$979,"="&amp;E133)+1)/2</f>
        <v>806</v>
      </c>
      <c r="L133" s="31">
        <f t="shared" ref="L133:L196" si="13">COUNTIF($F$5:$F$979,"&lt;"&amp;F133)+(COUNTIF($F$5:$F$979,"="&amp;F133)+1)/2</f>
        <v>783</v>
      </c>
      <c r="M133" s="31">
        <f t="shared" ref="M133:M196" si="14">COUNTIF($G$5:$G$979,"&lt;"&amp;G133)+(COUNTIF($G$5:$G$979,"="&amp;G133)+1)/2</f>
        <v>817</v>
      </c>
      <c r="N133" s="31">
        <f t="shared" ref="N133:N196" si="15">COUNTIF($H$5:$H$979,"&lt;"&amp;H133)+(COUNTIF($H$5:$H$979,"="&amp;H133)+1)/2</f>
        <v>767</v>
      </c>
      <c r="O133" s="31">
        <f t="shared" ref="O133:O196" si="16">COUNTIF($I$5:$I$979,"&lt;"&amp;I133)+(COUNTIF($I$5:$I$979,"="&amp;I133)+1)/2</f>
        <v>785</v>
      </c>
      <c r="P133" s="31">
        <f t="shared" ref="P133:P196" si="17">COUNTIF($J$5:$J$979,"&lt;"&amp;J133)+(COUNTIF($J$5:$J$979,"="&amp;J133)+1)/2</f>
        <v>798</v>
      </c>
    </row>
    <row r="134" spans="1:16">
      <c r="A134" s="2" t="str">
        <f>'01_원자료'!A131</f>
        <v>PAT-09</v>
      </c>
      <c r="B134" s="2" t="str">
        <f>'01_원자료'!B131</f>
        <v>mistral</v>
      </c>
      <c r="C134" s="2" t="str">
        <f>'01_원자료'!C131</f>
        <v>gemma</v>
      </c>
      <c r="E134" s="17">
        <f>'01_원자료'!P131*'03_가중치민감도'!$B$5+'01_원자료'!Q131*'03_가중치민감도'!$C$5+'01_원자료'!R131*'03_가중치민감도'!$D$5</f>
        <v>0.66951180102020946</v>
      </c>
      <c r="F134" s="17">
        <f>'01_원자료'!P131*'03_가중치민감도'!$B$6+'01_원자료'!Q131*'03_가중치민감도'!$C$6+'01_원자료'!R131*'03_가중치민감도'!$D$6</f>
        <v>0.56115884479269396</v>
      </c>
      <c r="G134" s="17">
        <f>'01_원자료'!P131*'03_가중치민감도'!$B$7+'01_원자료'!Q131*'03_가중치민감도'!$C$7+'01_원자료'!R131*'03_가중치민감도'!$D$7</f>
        <v>0.66515821406618358</v>
      </c>
      <c r="H134" s="17">
        <f>'01_원자료'!P131*'03_가중치민감도'!$B$8+'01_원자료'!Q131*'03_가중치민감도'!$C$8+'01_원자료'!R131*'03_가중치민감도'!$D$8</f>
        <v>0.69127973579033908</v>
      </c>
      <c r="I134" s="17">
        <f>'01_원자료'!P131*'03_가중치민감도'!$B$9+'01_원자료'!Q131*'03_가중치민감도'!$C$9+'01_원자료'!R131*'03_가중치민감도'!$D$9</f>
        <v>0.5987276925198739</v>
      </c>
      <c r="J134" s="17">
        <f>'01_원자료'!P131*'03_가중치민감도'!$B$10+'01_원자료'!Q131*'03_가중치민감도'!$C$10+'01_원자료'!R131*'03_가중치민감도'!$D$10</f>
        <v>0.78657193115577684</v>
      </c>
      <c r="K134" s="31">
        <f t="shared" si="12"/>
        <v>713</v>
      </c>
      <c r="L134" s="31">
        <f t="shared" si="13"/>
        <v>645</v>
      </c>
      <c r="M134" s="31">
        <f t="shared" si="14"/>
        <v>694</v>
      </c>
      <c r="N134" s="31">
        <f t="shared" si="15"/>
        <v>753</v>
      </c>
      <c r="O134" s="31">
        <f t="shared" si="16"/>
        <v>676</v>
      </c>
      <c r="P134" s="31">
        <f t="shared" si="17"/>
        <v>776</v>
      </c>
    </row>
    <row r="135" spans="1:16">
      <c r="A135" s="2" t="str">
        <f>'01_원자료'!A132</f>
        <v>PAT-09</v>
      </c>
      <c r="B135" s="2" t="str">
        <f>'01_원자료'!B132</f>
        <v>mistral</v>
      </c>
      <c r="C135" s="2" t="str">
        <f>'01_원자료'!C132</f>
        <v>ministral</v>
      </c>
      <c r="E135" s="17">
        <f>'01_원자료'!P132*'03_가중치민감도'!$B$5+'01_원자료'!Q132*'03_가중치민감도'!$C$5+'01_원자료'!R132*'03_가중치민감도'!$D$5</f>
        <v>0.52228304209303955</v>
      </c>
      <c r="F135" s="17">
        <f>'01_원자료'!P132*'03_가중치민감도'!$B$6+'01_원자료'!Q132*'03_가중치민감도'!$C$6+'01_원자료'!R132*'03_가중치민감도'!$D$6</f>
        <v>0.45093075490814949</v>
      </c>
      <c r="G135" s="17">
        <f>'01_원자료'!P132*'03_가중치민감도'!$B$7+'01_원자료'!Q132*'03_가중치민감도'!$C$7+'01_원자료'!R132*'03_가중치민감도'!$D$7</f>
        <v>0.54335608979091587</v>
      </c>
      <c r="H135" s="17">
        <f>'01_원자료'!P132*'03_가중치민감도'!$B$8+'01_원자료'!Q132*'03_가중치민감도'!$C$8+'01_원자료'!R132*'03_가중치민감도'!$D$8</f>
        <v>0.4169178036036576</v>
      </c>
      <c r="I135" s="17">
        <f>'01_원자료'!P132*'03_가중치민감도'!$B$9+'01_원자료'!Q132*'03_가중치민감도'!$C$9+'01_원자료'!R132*'03_가중치민감도'!$D$9</f>
        <v>0.46769050140382029</v>
      </c>
      <c r="J135" s="17">
        <f>'01_원자료'!P132*'03_가중치민감도'!$B$10+'01_원자료'!Q132*'03_가중치민감도'!$C$10+'01_원자료'!R132*'03_가중치민감도'!$D$10</f>
        <v>0.55148923388217685</v>
      </c>
      <c r="K135" s="31">
        <f t="shared" si="12"/>
        <v>105</v>
      </c>
      <c r="L135" s="31">
        <f t="shared" si="13"/>
        <v>146</v>
      </c>
      <c r="M135" s="31">
        <f t="shared" si="14"/>
        <v>122</v>
      </c>
      <c r="N135" s="31">
        <f t="shared" si="15"/>
        <v>80</v>
      </c>
      <c r="O135" s="31">
        <f t="shared" si="16"/>
        <v>120</v>
      </c>
      <c r="P135" s="31">
        <f t="shared" si="17"/>
        <v>72</v>
      </c>
    </row>
    <row r="136" spans="1:16">
      <c r="A136" s="2" t="str">
        <f>'01_원자료'!A133</f>
        <v>PAT-09</v>
      </c>
      <c r="B136" s="2" t="str">
        <f>'01_원자료'!B133</f>
        <v>mistral</v>
      </c>
      <c r="C136" s="2" t="str">
        <f>'01_원자료'!C133</f>
        <v>qwen</v>
      </c>
      <c r="E136" s="17">
        <f>'01_원자료'!P133*'03_가중치민감도'!$B$5+'01_원자료'!Q133*'03_가중치민감도'!$C$5+'01_원자료'!R133*'03_가중치민감도'!$D$5</f>
        <v>0.63489444936325934</v>
      </c>
      <c r="F136" s="17">
        <f>'01_원자료'!P133*'03_가중치민감도'!$B$6+'01_원자료'!Q133*'03_가중치민감도'!$C$6+'01_원자료'!R133*'03_가중치민감도'!$D$6</f>
        <v>0.54786323584420682</v>
      </c>
      <c r="G136" s="17">
        <f>'01_원자료'!P133*'03_가중치민감도'!$B$7+'01_원자료'!Q133*'03_가중치민감도'!$C$7+'01_원자료'!R133*'03_가중치민감도'!$D$7</f>
        <v>0.63662914444659613</v>
      </c>
      <c r="H136" s="17">
        <f>'01_원자료'!P133*'03_가중치민감도'!$B$8+'01_원자료'!Q133*'03_가중치민감도'!$C$8+'01_원자료'!R133*'03_가중치민감도'!$D$8</f>
        <v>0.62622097394657461</v>
      </c>
      <c r="I136" s="17">
        <f>'01_원자료'!P133*'03_가중치민감도'!$B$9+'01_원자료'!Q133*'03_가중치민감도'!$C$9+'01_원자료'!R133*'03_가중치민감도'!$D$9</f>
        <v>0.5762954086561114</v>
      </c>
      <c r="J136" s="17">
        <f>'01_원자료'!P133*'03_가중치민감도'!$B$10+'01_원자료'!Q133*'03_가중치민감도'!$C$10+'01_원자료'!R133*'03_가중치민감도'!$D$10</f>
        <v>0.71845627271563783</v>
      </c>
      <c r="K136" s="31">
        <f t="shared" si="12"/>
        <v>554</v>
      </c>
      <c r="L136" s="31">
        <f t="shared" si="13"/>
        <v>577</v>
      </c>
      <c r="M136" s="31">
        <f t="shared" si="14"/>
        <v>549</v>
      </c>
      <c r="N136" s="31">
        <f t="shared" si="15"/>
        <v>566</v>
      </c>
      <c r="O136" s="31">
        <f t="shared" si="16"/>
        <v>573</v>
      </c>
      <c r="P136" s="31">
        <f t="shared" si="17"/>
        <v>532</v>
      </c>
    </row>
    <row r="137" spans="1:16">
      <c r="A137" s="2" t="str">
        <f>'01_원자료'!A134</f>
        <v>PAT-09</v>
      </c>
      <c r="B137" s="2" t="str">
        <f>'01_원자료'!B134</f>
        <v>qwen3_6</v>
      </c>
      <c r="C137" s="2" t="str">
        <f>'01_원자료'!C134</f>
        <v>gemma</v>
      </c>
      <c r="E137" s="17">
        <f>'01_원자료'!P134*'03_가중치민감도'!$B$5+'01_원자료'!Q134*'03_가중치민감도'!$C$5+'01_원자료'!R134*'03_가중치민감도'!$D$5</f>
        <v>0.71138052657571005</v>
      </c>
      <c r="F137" s="17">
        <f>'01_원자료'!P134*'03_가중치민감도'!$B$6+'01_원자료'!Q134*'03_가중치민감도'!$C$6+'01_원자료'!R134*'03_가중치민감도'!$D$6</f>
        <v>0.59921534522588638</v>
      </c>
      <c r="G137" s="17">
        <f>'01_원자료'!P134*'03_가중치민감도'!$B$7+'01_원자료'!Q134*'03_가중치민감도'!$C$7+'01_원자료'!R134*'03_가중치민감도'!$D$7</f>
        <v>0.70158687104890916</v>
      </c>
      <c r="H137" s="17">
        <f>'01_원자료'!P134*'03_가중치민감도'!$B$8+'01_원자료'!Q134*'03_가중치민감도'!$C$8+'01_원자료'!R134*'03_가중치민감도'!$D$8</f>
        <v>0.7603488042097144</v>
      </c>
      <c r="I137" s="17">
        <f>'01_원자료'!P134*'03_가중치민감도'!$B$9+'01_원자료'!Q134*'03_가중치민감도'!$C$9+'01_원자료'!R134*'03_가중치민감도'!$D$9</f>
        <v>0.63986829085142727</v>
      </c>
      <c r="J137" s="17">
        <f>'01_원자료'!P134*'03_가중치민감도'!$B$10+'01_원자료'!Q134*'03_가중치민감도'!$C$10+'01_원자료'!R134*'03_가중치민감도'!$D$10</f>
        <v>0.84313301897913551</v>
      </c>
      <c r="K137" s="31">
        <f t="shared" si="12"/>
        <v>849</v>
      </c>
      <c r="L137" s="31">
        <f t="shared" si="13"/>
        <v>805</v>
      </c>
      <c r="M137" s="31">
        <f t="shared" si="14"/>
        <v>837</v>
      </c>
      <c r="N137" s="31">
        <f t="shared" si="15"/>
        <v>866</v>
      </c>
      <c r="O137" s="31">
        <f t="shared" si="16"/>
        <v>838</v>
      </c>
      <c r="P137" s="31">
        <f t="shared" si="17"/>
        <v>868</v>
      </c>
    </row>
    <row r="138" spans="1:16">
      <c r="A138" s="2" t="str">
        <f>'01_원자료'!A135</f>
        <v>PAT-09</v>
      </c>
      <c r="B138" s="2" t="str">
        <f>'01_원자료'!B135</f>
        <v>qwen3_6</v>
      </c>
      <c r="C138" s="2" t="str">
        <f>'01_원자료'!C135</f>
        <v>ministral</v>
      </c>
      <c r="E138" s="17">
        <f>'01_원자료'!P135*'03_가중치민감도'!$B$5+'01_원자료'!Q135*'03_가중치민감도'!$C$5+'01_원자료'!R135*'03_가중치민감도'!$D$5</f>
        <v>0.52067789303047107</v>
      </c>
      <c r="F138" s="17">
        <f>'01_원자료'!P135*'03_가중치민감도'!$B$6+'01_원자료'!Q135*'03_가중치민감도'!$C$6+'01_원자료'!R135*'03_가중치민감도'!$D$6</f>
        <v>0.44732522275712844</v>
      </c>
      <c r="G138" s="17">
        <f>'01_원자료'!P135*'03_가중치민감도'!$B$7+'01_원자료'!Q135*'03_가중치민감도'!$C$7+'01_원자료'!R135*'03_가중치민감도'!$D$7</f>
        <v>0.54225661479322196</v>
      </c>
      <c r="H138" s="17">
        <f>'01_원자료'!P135*'03_가중치민감도'!$B$8+'01_원자료'!Q135*'03_가중치민감도'!$C$8+'01_원자료'!R135*'03_가중치민감도'!$D$8</f>
        <v>0.41278428421671698</v>
      </c>
      <c r="I138" s="17">
        <f>'01_원자료'!P135*'03_가중치민감도'!$B$9+'01_원자료'!Q135*'03_가중치민감도'!$C$9+'01_원자료'!R135*'03_가중치민감도'!$D$9</f>
        <v>0.46458320559399191</v>
      </c>
      <c r="J138" s="17">
        <f>'01_원자료'!P135*'03_가중치민감도'!$B$10+'01_원자료'!Q135*'03_가중치민감도'!$C$10+'01_원자료'!R135*'03_가중치민감도'!$D$10</f>
        <v>0.5508731197783121</v>
      </c>
      <c r="K138" s="31">
        <f t="shared" si="12"/>
        <v>93</v>
      </c>
      <c r="L138" s="31">
        <f t="shared" si="13"/>
        <v>130</v>
      </c>
      <c r="M138" s="31">
        <f t="shared" si="14"/>
        <v>118</v>
      </c>
      <c r="N138" s="31">
        <f t="shared" si="15"/>
        <v>69</v>
      </c>
      <c r="O138" s="31">
        <f t="shared" si="16"/>
        <v>109</v>
      </c>
      <c r="P138" s="31">
        <f t="shared" si="17"/>
        <v>70</v>
      </c>
    </row>
    <row r="139" spans="1:16">
      <c r="A139" s="2" t="str">
        <f>'01_원자료'!A136</f>
        <v>PAT-09</v>
      </c>
      <c r="B139" s="2" t="str">
        <f>'01_원자료'!B136</f>
        <v>qwen3_6</v>
      </c>
      <c r="C139" s="2" t="str">
        <f>'01_원자료'!C136</f>
        <v>qwen</v>
      </c>
      <c r="E139" s="17">
        <f>'01_원자료'!P136*'03_가중치민감도'!$B$5+'01_원자료'!Q136*'03_가중치민감도'!$C$5+'01_원자료'!R136*'03_가중치민감도'!$D$5</f>
        <v>0.68546546859331159</v>
      </c>
      <c r="F139" s="17">
        <f>'01_원자료'!P136*'03_가중치민감도'!$B$6+'01_원자료'!Q136*'03_가중치민감도'!$C$6+'01_원자료'!R136*'03_가중치민감도'!$D$6</f>
        <v>0.60589713387497035</v>
      </c>
      <c r="G139" s="17">
        <f>'01_원자료'!P136*'03_가중치민감도'!$B$7+'01_원자료'!Q136*'03_가중치민감도'!$C$7+'01_원자료'!R136*'03_가중치민감도'!$D$7</f>
        <v>0.68305409396918126</v>
      </c>
      <c r="H139" s="17">
        <f>'01_원자료'!P136*'03_가중치민감도'!$B$8+'01_원자료'!Q136*'03_가중치민감도'!$C$8+'01_원자료'!R136*'03_가중치민감도'!$D$8</f>
        <v>0.69752234171396321</v>
      </c>
      <c r="I139" s="17">
        <f>'01_원자료'!P136*'03_가중치민감도'!$B$9+'01_원자료'!Q136*'03_가중치민감도'!$C$9+'01_원자료'!R136*'03_가중치민감도'!$D$9</f>
        <v>0.63322370365579361</v>
      </c>
      <c r="J139" s="17">
        <f>'01_원자료'!P136*'03_가중치민감도'!$B$10+'01_원자료'!Q136*'03_가중치민감도'!$C$10+'01_원자료'!R136*'03_가중치민감도'!$D$10</f>
        <v>0.76985655255991348</v>
      </c>
      <c r="K139" s="31">
        <f t="shared" si="12"/>
        <v>771</v>
      </c>
      <c r="L139" s="31">
        <f t="shared" si="13"/>
        <v>840</v>
      </c>
      <c r="M139" s="31">
        <f t="shared" si="14"/>
        <v>771</v>
      </c>
      <c r="N139" s="31">
        <f t="shared" si="15"/>
        <v>780</v>
      </c>
      <c r="O139" s="31">
        <f t="shared" si="16"/>
        <v>809</v>
      </c>
      <c r="P139" s="31">
        <f t="shared" si="17"/>
        <v>720</v>
      </c>
    </row>
    <row r="140" spans="1:16">
      <c r="A140" s="2" t="str">
        <f>'01_원자료'!A137</f>
        <v>PAT-10</v>
      </c>
      <c r="B140" s="2" t="str">
        <f>'01_원자료'!B137</f>
        <v>chatgpt</v>
      </c>
      <c r="C140" s="2" t="str">
        <f>'01_원자료'!C137</f>
        <v>gemma</v>
      </c>
      <c r="E140" s="17">
        <f>'01_원자료'!P137*'03_가중치민감도'!$B$5+'01_원자료'!Q137*'03_가중치민감도'!$C$5+'01_원자료'!R137*'03_가중치민감도'!$D$5</f>
        <v>0.57121161306061918</v>
      </c>
      <c r="F140" s="17">
        <f>'01_원자료'!P137*'03_가중치민감도'!$B$6+'01_원자료'!Q137*'03_가중치민감도'!$C$6+'01_원자료'!R137*'03_가중치민감도'!$D$6</f>
        <v>0.4808242120827172</v>
      </c>
      <c r="G140" s="17">
        <f>'01_원자료'!P137*'03_가중치민감도'!$B$7+'01_원자료'!Q137*'03_가중치민감도'!$C$7+'01_원자료'!R137*'03_가중치민감도'!$D$7</f>
        <v>0.57649427466499759</v>
      </c>
      <c r="H140" s="17">
        <f>'01_원자료'!P137*'03_가중치민감도'!$B$8+'01_원자료'!Q137*'03_가중치민감도'!$C$8+'01_원자료'!R137*'03_가중치민감도'!$D$8</f>
        <v>0.54479830503872684</v>
      </c>
      <c r="I140" s="17">
        <f>'01_원자료'!P137*'03_가중치민감도'!$B$9+'01_원자료'!Q137*'03_가중치민감도'!$C$9+'01_원자료'!R137*'03_가중치민감도'!$D$9</f>
        <v>0.50919245854055784</v>
      </c>
      <c r="J140" s="17">
        <f>'01_원자료'!P137*'03_가중치민감도'!$B$10+'01_원자료'!Q137*'03_가중치민감도'!$C$10+'01_원자료'!R137*'03_가중치민감도'!$D$10</f>
        <v>0.65103369082976414</v>
      </c>
      <c r="K140" s="31">
        <f t="shared" si="12"/>
        <v>287</v>
      </c>
      <c r="L140" s="31">
        <f t="shared" si="13"/>
        <v>270</v>
      </c>
      <c r="M140" s="31">
        <f t="shared" si="14"/>
        <v>277</v>
      </c>
      <c r="N140" s="31">
        <f t="shared" si="15"/>
        <v>321</v>
      </c>
      <c r="O140" s="31">
        <f t="shared" si="16"/>
        <v>285</v>
      </c>
      <c r="P140" s="31">
        <f t="shared" si="17"/>
        <v>308</v>
      </c>
    </row>
    <row r="141" spans="1:16">
      <c r="A141" s="2" t="str">
        <f>'01_원자료'!A138</f>
        <v>PAT-10</v>
      </c>
      <c r="B141" s="2" t="str">
        <f>'01_원자료'!B138</f>
        <v>chatgpt</v>
      </c>
      <c r="C141" s="2" t="str">
        <f>'01_원자료'!C138</f>
        <v>ministral</v>
      </c>
      <c r="E141" s="17">
        <f>'01_원자료'!P138*'03_가중치민감도'!$B$5+'01_원자료'!Q138*'03_가중치민감도'!$C$5+'01_원자료'!R138*'03_가중치민감도'!$D$5</f>
        <v>0.53499852687955529</v>
      </c>
      <c r="F141" s="17">
        <f>'01_원자료'!P138*'03_가중치민감도'!$B$6+'01_원자료'!Q138*'03_가중치민감도'!$C$6+'01_원자료'!R138*'03_가중치민감도'!$D$6</f>
        <v>0.44852718189676777</v>
      </c>
      <c r="G141" s="17">
        <f>'01_원자료'!P138*'03_가중치민감도'!$B$7+'01_원자료'!Q138*'03_가중치민감도'!$C$7+'01_원자료'!R138*'03_가중치민감도'!$D$7</f>
        <v>0.54584963412320864</v>
      </c>
      <c r="H141" s="17">
        <f>'01_원자료'!P138*'03_가중치민감도'!$B$8+'01_원자료'!Q138*'03_가중치민감도'!$C$8+'01_원자료'!R138*'03_가중치민감도'!$D$8</f>
        <v>0.48074299066128834</v>
      </c>
      <c r="I141" s="17">
        <f>'01_원자료'!P138*'03_가중치민감도'!$B$9+'01_원자료'!Q138*'03_가중치민감도'!$C$9+'01_원자료'!R138*'03_가중치민감도'!$D$9</f>
        <v>0.47373392780981199</v>
      </c>
      <c r="J141" s="17">
        <f>'01_원자료'!P138*'03_가중치민감도'!$B$10+'01_원자료'!Q138*'03_가중치민감도'!$C$10+'01_원자료'!R138*'03_가중치민감도'!$D$10</f>
        <v>0.59976765737503601</v>
      </c>
      <c r="K141" s="31">
        <f t="shared" si="12"/>
        <v>154</v>
      </c>
      <c r="L141" s="31">
        <f t="shared" si="13"/>
        <v>133</v>
      </c>
      <c r="M141" s="31">
        <f t="shared" si="14"/>
        <v>135</v>
      </c>
      <c r="N141" s="31">
        <f t="shared" si="15"/>
        <v>175</v>
      </c>
      <c r="O141" s="31">
        <f t="shared" si="16"/>
        <v>146</v>
      </c>
      <c r="P141" s="31">
        <f t="shared" si="17"/>
        <v>189</v>
      </c>
    </row>
    <row r="142" spans="1:16">
      <c r="A142" s="2" t="str">
        <f>'01_원자료'!A139</f>
        <v>PAT-10</v>
      </c>
      <c r="B142" s="2" t="str">
        <f>'01_원자료'!B139</f>
        <v>chatgpt</v>
      </c>
      <c r="C142" s="2" t="str">
        <f>'01_원자료'!C139</f>
        <v>qwen</v>
      </c>
      <c r="E142" s="17">
        <f>'01_원자료'!P139*'03_가중치민감도'!$B$5+'01_원자료'!Q139*'03_가중치민감도'!$C$5+'01_원자료'!R139*'03_가중치민감도'!$D$5</f>
        <v>0.58812941493582149</v>
      </c>
      <c r="F142" s="17">
        <f>'01_원자료'!P139*'03_가중치민감도'!$B$6+'01_원자료'!Q139*'03_가중치민감도'!$C$6+'01_원자료'!R139*'03_가중치민감도'!$D$6</f>
        <v>0.52308315320860266</v>
      </c>
      <c r="G142" s="17">
        <f>'01_원자료'!P139*'03_가중치민감도'!$B$7+'01_원자료'!Q139*'03_가중치민감도'!$C$7+'01_원자료'!R139*'03_가중치민감도'!$D$7</f>
        <v>0.59271013175890985</v>
      </c>
      <c r="H142" s="17">
        <f>'01_원자료'!P139*'03_가중치민감도'!$B$8+'01_원자료'!Q139*'03_가중치민감도'!$C$8+'01_원자료'!R139*'03_가중치민감도'!$D$8</f>
        <v>0.56522583082037947</v>
      </c>
      <c r="I142" s="17">
        <f>'01_원자료'!P139*'03_가중치민감도'!$B$9+'01_원자료'!Q139*'03_가중치민감도'!$C$9+'01_원자료'!R139*'03_가중치민감도'!$D$9</f>
        <v>0.54323833484331219</v>
      </c>
      <c r="J142" s="17">
        <f>'01_원자료'!P139*'03_가중치민감도'!$B$10+'01_원자료'!Q139*'03_가중치민감도'!$C$10+'01_원자료'!R139*'03_가중치민감도'!$D$10</f>
        <v>0.6440142430168635</v>
      </c>
      <c r="K142" s="31">
        <f t="shared" si="12"/>
        <v>345</v>
      </c>
      <c r="L142" s="31">
        <f t="shared" si="13"/>
        <v>467</v>
      </c>
      <c r="M142" s="31">
        <f t="shared" si="14"/>
        <v>333</v>
      </c>
      <c r="N142" s="31">
        <f t="shared" si="15"/>
        <v>385</v>
      </c>
      <c r="O142" s="31">
        <f t="shared" si="16"/>
        <v>428</v>
      </c>
      <c r="P142" s="31">
        <f t="shared" si="17"/>
        <v>295</v>
      </c>
    </row>
    <row r="143" spans="1:16">
      <c r="A143" s="2" t="str">
        <f>'01_원자료'!A140</f>
        <v>PAT-10</v>
      </c>
      <c r="B143" s="2" t="str">
        <f>'01_원자료'!B140</f>
        <v>claude</v>
      </c>
      <c r="C143" s="2" t="str">
        <f>'01_원자료'!C140</f>
        <v>gemma</v>
      </c>
      <c r="E143" s="17">
        <f>'01_원자료'!P140*'03_가중치민감도'!$B$5+'01_원자료'!Q140*'03_가중치민감도'!$C$5+'01_원자료'!R140*'03_가중치민감도'!$D$5</f>
        <v>0.6468691368195163</v>
      </c>
      <c r="F143" s="17">
        <f>'01_원자료'!P140*'03_가중치민감도'!$B$6+'01_원자료'!Q140*'03_가중치민감도'!$C$6+'01_원자료'!R140*'03_가중치민감도'!$D$6</f>
        <v>0.53915404725775196</v>
      </c>
      <c r="G143" s="17">
        <f>'01_원자료'!P140*'03_가중치민감도'!$B$7+'01_원자료'!Q140*'03_가중치민감도'!$C$7+'01_원자료'!R140*'03_가중치민감도'!$D$7</f>
        <v>0.64214497172837137</v>
      </c>
      <c r="H143" s="17">
        <f>'01_원자료'!P140*'03_가중치민감도'!$B$8+'01_원자료'!Q140*'03_가중치민감도'!$C$8+'01_원자료'!R140*'03_가중치민감도'!$D$8</f>
        <v>0.67048996227524171</v>
      </c>
      <c r="I143" s="17">
        <f>'01_원자료'!P140*'03_가중치민감도'!$B$9+'01_원자료'!Q140*'03_가중치민감도'!$C$9+'01_원자료'!R140*'03_가중치민감도'!$D$9</f>
        <v>0.57663379880872112</v>
      </c>
      <c r="J143" s="17">
        <f>'01_원자료'!P140*'03_가중치민감도'!$B$10+'01_원자료'!Q140*'03_가중치민감도'!$C$10+'01_원자료'!R140*'03_가중치민감도'!$D$10</f>
        <v>0.76403255656357105</v>
      </c>
      <c r="K143" s="31">
        <f t="shared" si="12"/>
        <v>603</v>
      </c>
      <c r="L143" s="31">
        <f t="shared" si="13"/>
        <v>541</v>
      </c>
      <c r="M143" s="31">
        <f t="shared" si="14"/>
        <v>574</v>
      </c>
      <c r="N143" s="31">
        <f t="shared" si="15"/>
        <v>702</v>
      </c>
      <c r="O143" s="31">
        <f t="shared" si="16"/>
        <v>575</v>
      </c>
      <c r="P143" s="31">
        <f t="shared" si="17"/>
        <v>704</v>
      </c>
    </row>
    <row r="144" spans="1:16">
      <c r="A144" s="2" t="str">
        <f>'01_원자료'!A141</f>
        <v>PAT-10</v>
      </c>
      <c r="B144" s="2" t="str">
        <f>'01_원자료'!B141</f>
        <v>claude</v>
      </c>
      <c r="C144" s="2" t="str">
        <f>'01_원자료'!C141</f>
        <v>ministral</v>
      </c>
      <c r="E144" s="17">
        <f>'01_원자료'!P141*'03_가중치민감도'!$B$5+'01_원자료'!Q141*'03_가중치민감도'!$C$5+'01_원자료'!R141*'03_가중치민감도'!$D$5</f>
        <v>0.57495735957994509</v>
      </c>
      <c r="F144" s="17">
        <f>'01_원자료'!P141*'03_가중치민감도'!$B$6+'01_원자료'!Q141*'03_가중치민감도'!$C$6+'01_원자료'!R141*'03_가중치민감도'!$D$6</f>
        <v>0.48310491053238153</v>
      </c>
      <c r="G144" s="17">
        <f>'01_원자료'!P141*'03_가중치민감도'!$B$7+'01_원자료'!Q141*'03_가중치민감도'!$C$7+'01_원자료'!R141*'03_가중치민감도'!$D$7</f>
        <v>0.58128333632972806</v>
      </c>
      <c r="H144" s="17">
        <f>'01_원자료'!P141*'03_가중치민감도'!$B$8+'01_원자료'!Q141*'03_가중치민감도'!$C$8+'01_원자료'!R141*'03_가중치민감도'!$D$8</f>
        <v>0.54332747583103047</v>
      </c>
      <c r="I144" s="17">
        <f>'01_원자료'!P141*'03_가중치민감도'!$B$9+'01_원자료'!Q141*'03_가중치민감도'!$C$9+'01_원자료'!R141*'03_가중치민감도'!$D$9</f>
        <v>0.51161373463164128</v>
      </c>
      <c r="J144" s="17">
        <f>'01_원자료'!P141*'03_가중치민감도'!$B$10+'01_원자료'!Q141*'03_가중치민감도'!$C$10+'01_원자료'!R141*'03_가중치민감도'!$D$10</f>
        <v>0.65415785512794278</v>
      </c>
      <c r="K144" s="31">
        <f t="shared" si="12"/>
        <v>306</v>
      </c>
      <c r="L144" s="31">
        <f t="shared" si="13"/>
        <v>286</v>
      </c>
      <c r="M144" s="31">
        <f t="shared" si="14"/>
        <v>297</v>
      </c>
      <c r="N144" s="31">
        <f t="shared" si="15"/>
        <v>315</v>
      </c>
      <c r="O144" s="31">
        <f t="shared" si="16"/>
        <v>294</v>
      </c>
      <c r="P144" s="31">
        <f t="shared" si="17"/>
        <v>320</v>
      </c>
    </row>
    <row r="145" spans="1:16">
      <c r="A145" s="2" t="str">
        <f>'01_원자료'!A142</f>
        <v>PAT-10</v>
      </c>
      <c r="B145" s="2" t="str">
        <f>'01_원자료'!B142</f>
        <v>claude</v>
      </c>
      <c r="C145" s="2" t="str">
        <f>'01_원자료'!C142</f>
        <v>qwen</v>
      </c>
      <c r="E145" s="17">
        <f>'01_원자료'!P142*'03_가중치민감도'!$B$5+'01_원자료'!Q142*'03_가중치민감도'!$C$5+'01_원자료'!R142*'03_가중치민감도'!$D$5</f>
        <v>0.67094158710973484</v>
      </c>
      <c r="F145" s="17">
        <f>'01_원자료'!P142*'03_가중치민감도'!$B$6+'01_원자료'!Q142*'03_가중치민감도'!$C$6+'01_원자료'!R142*'03_가중치민감도'!$D$6</f>
        <v>0.59078062498236883</v>
      </c>
      <c r="G145" s="17">
        <f>'01_원자료'!P142*'03_가중치민감도'!$B$7+'01_원자료'!Q142*'03_가중치민감도'!$C$7+'01_원자료'!R142*'03_가중치민감도'!$D$7</f>
        <v>0.66592728225657494</v>
      </c>
      <c r="H145" s="17">
        <f>'01_원자료'!P142*'03_가중치민감도'!$B$8+'01_원자료'!Q142*'03_가중치민감도'!$C$8+'01_원자료'!R142*'03_가중치민감도'!$D$8</f>
        <v>0.69601311137553523</v>
      </c>
      <c r="I145" s="17">
        <f>'01_원자료'!P142*'03_가중치민감도'!$B$9+'01_원자료'!Q142*'03_가중치민감도'!$C$9+'01_원자료'!R142*'03_가중치민감도'!$D$9</f>
        <v>0.61917238064254354</v>
      </c>
      <c r="J145" s="17">
        <f>'01_원자료'!P142*'03_가중치민감도'!$B$10+'01_원자료'!Q142*'03_가중치민감도'!$C$10+'01_원자료'!R142*'03_가중치민감도'!$D$10</f>
        <v>0.76113115894342109</v>
      </c>
      <c r="K145" s="31">
        <f t="shared" si="12"/>
        <v>721</v>
      </c>
      <c r="L145" s="31">
        <f t="shared" si="13"/>
        <v>771</v>
      </c>
      <c r="M145" s="31">
        <f t="shared" si="14"/>
        <v>697</v>
      </c>
      <c r="N145" s="31">
        <f t="shared" si="15"/>
        <v>773</v>
      </c>
      <c r="O145" s="31">
        <f t="shared" si="16"/>
        <v>761</v>
      </c>
      <c r="P145" s="31">
        <f t="shared" si="17"/>
        <v>696</v>
      </c>
    </row>
    <row r="146" spans="1:16">
      <c r="A146" s="2" t="str">
        <f>'01_원자료'!A143</f>
        <v>PAT-10</v>
      </c>
      <c r="B146" s="2" t="str">
        <f>'01_원자료'!B143</f>
        <v>gemini</v>
      </c>
      <c r="C146" s="2" t="str">
        <f>'01_원자료'!C143</f>
        <v>gemma</v>
      </c>
      <c r="E146" s="17">
        <f>'01_원자료'!P143*'03_가중치민감도'!$B$5+'01_원자료'!Q143*'03_가중치민감도'!$C$5+'01_원자료'!R143*'03_가중치민감도'!$D$5</f>
        <v>0.72943207138188115</v>
      </c>
      <c r="F146" s="17">
        <f>'01_원자료'!P143*'03_가중치민감도'!$B$6+'01_원자료'!Q143*'03_가중치민감도'!$C$6+'01_원자료'!R143*'03_가중치민감도'!$D$6</f>
        <v>0.60901008803187029</v>
      </c>
      <c r="G146" s="17">
        <f>'01_원자료'!P143*'03_가중치민감도'!$B$7+'01_원자료'!Q143*'03_가중치민감도'!$C$7+'01_원자료'!R143*'03_가중치민감도'!$D$7</f>
        <v>0.72183077808894347</v>
      </c>
      <c r="H146" s="17">
        <f>'01_원자료'!P143*'03_가중치민감도'!$B$8+'01_원자료'!Q143*'03_가중치민감도'!$C$8+'01_원자료'!R143*'03_가중치민감도'!$D$8</f>
        <v>0.76743853784656957</v>
      </c>
      <c r="I146" s="17">
        <f>'01_원자료'!P143*'03_가중치민감도'!$B$9+'01_원자료'!Q143*'03_가중치민감도'!$C$9+'01_원자료'!R143*'03_가중치민감도'!$D$9</f>
        <v>0.65168451357951906</v>
      </c>
      <c r="J146" s="17">
        <f>'01_원자료'!P143*'03_가중치민감도'!$B$10+'01_원자료'!Q143*'03_가중치민감도'!$C$10+'01_원자료'!R143*'03_가중치민감도'!$D$10</f>
        <v>0.86505664131776738</v>
      </c>
      <c r="K146" s="31">
        <f t="shared" si="12"/>
        <v>901</v>
      </c>
      <c r="L146" s="31">
        <f t="shared" si="13"/>
        <v>850</v>
      </c>
      <c r="M146" s="31">
        <f t="shared" si="14"/>
        <v>901</v>
      </c>
      <c r="N146" s="31">
        <f t="shared" si="15"/>
        <v>888</v>
      </c>
      <c r="O146" s="31">
        <f t="shared" si="16"/>
        <v>870</v>
      </c>
      <c r="P146" s="31">
        <f t="shared" si="17"/>
        <v>934</v>
      </c>
    </row>
    <row r="147" spans="1:16">
      <c r="A147" s="2" t="str">
        <f>'01_원자료'!A144</f>
        <v>PAT-10</v>
      </c>
      <c r="B147" s="2" t="str">
        <f>'01_원자료'!B144</f>
        <v>gemini</v>
      </c>
      <c r="C147" s="2" t="str">
        <f>'01_원자료'!C144</f>
        <v>ministral</v>
      </c>
      <c r="E147" s="17">
        <f>'01_원자료'!P144*'03_가중치민감도'!$B$5+'01_원자료'!Q144*'03_가중치민감도'!$C$5+'01_원자료'!R144*'03_가중치민감도'!$D$5</f>
        <v>0.61157938441320436</v>
      </c>
      <c r="F147" s="17">
        <f>'01_원자료'!P144*'03_가중치민감도'!$B$6+'01_원자료'!Q144*'03_가중치민감도'!$C$6+'01_원자료'!R144*'03_가중치민감도'!$D$6</f>
        <v>0.50433758463497824</v>
      </c>
      <c r="G147" s="17">
        <f>'01_원자료'!P144*'03_가중치민감도'!$B$7+'01_원자료'!Q144*'03_가중치민감도'!$C$7+'01_원자료'!R144*'03_가중치민감도'!$D$7</f>
        <v>0.61977665452132114</v>
      </c>
      <c r="H147" s="17">
        <f>'01_원자료'!P144*'03_가중치민감도'!$B$8+'01_원자료'!Q144*'03_가중치민감도'!$C$8+'01_원자료'!R144*'03_가중치민감도'!$D$8</f>
        <v>0.57059303387262084</v>
      </c>
      <c r="I147" s="17">
        <f>'01_원자료'!P144*'03_가중치민감도'!$B$9+'01_원자료'!Q144*'03_가중치민감도'!$C$9+'01_원자료'!R144*'03_가중치민감도'!$D$9</f>
        <v>0.53735242785834758</v>
      </c>
      <c r="J147" s="17">
        <f>'01_원자료'!P144*'03_가중치민감도'!$B$10+'01_원자료'!Q144*'03_가중치민감도'!$C$10+'01_원자료'!R144*'03_가중치민감도'!$D$10</f>
        <v>0.70242664397519716</v>
      </c>
      <c r="K147" s="31">
        <f t="shared" si="12"/>
        <v>441</v>
      </c>
      <c r="L147" s="31">
        <f t="shared" si="13"/>
        <v>384</v>
      </c>
      <c r="M147" s="31">
        <f t="shared" si="14"/>
        <v>467</v>
      </c>
      <c r="N147" s="31">
        <f t="shared" si="15"/>
        <v>402</v>
      </c>
      <c r="O147" s="31">
        <f t="shared" si="16"/>
        <v>402</v>
      </c>
      <c r="P147" s="31">
        <f t="shared" si="17"/>
        <v>470</v>
      </c>
    </row>
    <row r="148" spans="1:16">
      <c r="A148" s="2" t="str">
        <f>'01_원자료'!A145</f>
        <v>PAT-10</v>
      </c>
      <c r="B148" s="2" t="str">
        <f>'01_원자료'!B145</f>
        <v>gemini</v>
      </c>
      <c r="C148" s="2" t="str">
        <f>'01_원자료'!C145</f>
        <v>qwen</v>
      </c>
      <c r="E148" s="17">
        <f>'01_원자료'!P145*'03_가중치민감도'!$B$5+'01_원자료'!Q145*'03_가중치민감도'!$C$5+'01_원자료'!R145*'03_가중치민감도'!$D$5</f>
        <v>0.74917715862379453</v>
      </c>
      <c r="F148" s="17">
        <f>'01_원자료'!P145*'03_가중치민감도'!$B$6+'01_원자료'!Q145*'03_가중치민감도'!$C$6+'01_원자료'!R145*'03_가중치민감도'!$D$6</f>
        <v>0.65583588024542705</v>
      </c>
      <c r="G148" s="17">
        <f>'01_원자료'!P145*'03_가중치민감도'!$B$7+'01_원자료'!Q145*'03_가중치민감도'!$C$7+'01_원자료'!R145*'03_가중치민감도'!$D$7</f>
        <v>0.74096456385337939</v>
      </c>
      <c r="H148" s="17">
        <f>'01_원자료'!P145*'03_가중치민감도'!$B$8+'01_원자료'!Q145*'03_가중치민감도'!$C$8+'01_원자료'!R145*'03_가중치민감도'!$D$8</f>
        <v>0.79024013247587055</v>
      </c>
      <c r="I148" s="17">
        <f>'01_원자료'!P145*'03_가중치민감도'!$B$9+'01_원자료'!Q145*'03_가중치민감도'!$C$9+'01_원자료'!R145*'03_가중치민감도'!$D$9</f>
        <v>0.68968717129502055</v>
      </c>
      <c r="J148" s="17">
        <f>'01_원자료'!P145*'03_가중치민감도'!$B$10+'01_원자료'!Q145*'03_가중치민감도'!$C$10+'01_원자료'!R145*'03_가중치민감도'!$D$10</f>
        <v>0.85894362654299239</v>
      </c>
      <c r="K148" s="31">
        <f t="shared" si="12"/>
        <v>952</v>
      </c>
      <c r="L148" s="31">
        <f t="shared" si="13"/>
        <v>957</v>
      </c>
      <c r="M148" s="31">
        <f t="shared" si="14"/>
        <v>949</v>
      </c>
      <c r="N148" s="31">
        <f t="shared" si="15"/>
        <v>956</v>
      </c>
      <c r="O148" s="31">
        <f t="shared" si="16"/>
        <v>956</v>
      </c>
      <c r="P148" s="31">
        <f t="shared" si="17"/>
        <v>912</v>
      </c>
    </row>
    <row r="149" spans="1:16">
      <c r="A149" s="2" t="str">
        <f>'01_원자료'!A146</f>
        <v>PAT-10</v>
      </c>
      <c r="B149" s="2" t="str">
        <f>'01_원자료'!B146</f>
        <v>mistral</v>
      </c>
      <c r="C149" s="2" t="str">
        <f>'01_원자료'!C146</f>
        <v>gemma</v>
      </c>
      <c r="E149" s="17">
        <f>'01_원자료'!P146*'03_가중치민감도'!$B$5+'01_원자료'!Q146*'03_가중치민감도'!$C$5+'01_원자료'!R146*'03_가중치민감도'!$D$5</f>
        <v>0.65989267262526541</v>
      </c>
      <c r="F149" s="17">
        <f>'01_원자료'!P146*'03_가중치민감도'!$B$6+'01_원자료'!Q146*'03_가중치민감도'!$C$6+'01_원자료'!R146*'03_가중치민감도'!$D$6</f>
        <v>0.55732701705334575</v>
      </c>
      <c r="G149" s="17">
        <f>'01_원자료'!P146*'03_가중치민감도'!$B$7+'01_원자료'!Q146*'03_가중치민감도'!$C$7+'01_원자료'!R146*'03_가중치민감도'!$D$7</f>
        <v>0.65425521658369445</v>
      </c>
      <c r="H149" s="17">
        <f>'01_원자료'!P146*'03_가중치민감도'!$B$8+'01_원자료'!Q146*'03_가중치민감도'!$C$8+'01_원자료'!R146*'03_가중치민감도'!$D$8</f>
        <v>0.68807995283311996</v>
      </c>
      <c r="I149" s="17">
        <f>'01_원자료'!P146*'03_가중치민감도'!$B$9+'01_원자료'!Q146*'03_가중치민감도'!$C$9+'01_원자료'!R146*'03_가중치민감도'!$D$9</f>
        <v>0.59339472092450873</v>
      </c>
      <c r="J149" s="17">
        <f>'01_원자료'!P146*'03_가중치민감도'!$B$10+'01_원자료'!Q146*'03_가중치민감도'!$C$10+'01_원자료'!R146*'03_가중치민감도'!$D$10</f>
        <v>0.77373324028032675</v>
      </c>
      <c r="K149" s="31">
        <f t="shared" si="12"/>
        <v>670</v>
      </c>
      <c r="L149" s="31">
        <f t="shared" si="13"/>
        <v>627</v>
      </c>
      <c r="M149" s="31">
        <f t="shared" si="14"/>
        <v>638</v>
      </c>
      <c r="N149" s="31">
        <f t="shared" si="15"/>
        <v>739</v>
      </c>
      <c r="O149" s="31">
        <f t="shared" si="16"/>
        <v>655</v>
      </c>
      <c r="P149" s="31">
        <f t="shared" si="17"/>
        <v>740</v>
      </c>
    </row>
    <row r="150" spans="1:16">
      <c r="A150" s="2" t="str">
        <f>'01_원자료'!A147</f>
        <v>PAT-10</v>
      </c>
      <c r="B150" s="2" t="str">
        <f>'01_원자료'!B147</f>
        <v>mistral</v>
      </c>
      <c r="C150" s="2" t="str">
        <f>'01_원자료'!C147</f>
        <v>ministral</v>
      </c>
      <c r="E150" s="17">
        <f>'01_원자료'!P147*'03_가중치민감도'!$B$5+'01_원자료'!Q147*'03_가중치민감도'!$C$5+'01_원자료'!R147*'03_가중치민감도'!$D$5</f>
        <v>0.58452678381940104</v>
      </c>
      <c r="F150" s="17">
        <f>'01_원자료'!P147*'03_가중치민감도'!$B$6+'01_원자료'!Q147*'03_가중치민감도'!$C$6+'01_원자료'!R147*'03_가중치민감도'!$D$6</f>
        <v>0.49259761111335348</v>
      </c>
      <c r="G150" s="17">
        <f>'01_원자료'!P147*'03_가중치민감도'!$B$7+'01_원자료'!Q147*'03_가중치민감도'!$C$7+'01_원자료'!R147*'03_가중치민감도'!$D$7</f>
        <v>0.5910754409766088</v>
      </c>
      <c r="H150" s="17">
        <f>'01_원자료'!P147*'03_가중치민감도'!$B$8+'01_원자료'!Q147*'03_가중치민감도'!$C$8+'01_원자료'!R147*'03_가중치민감도'!$D$8</f>
        <v>0.55178349803336224</v>
      </c>
      <c r="I150" s="17">
        <f>'01_원자료'!P147*'03_가중치민감도'!$B$9+'01_원자료'!Q147*'03_가중치민감도'!$C$9+'01_원자료'!R147*'03_가중치민감도'!$D$9</f>
        <v>0.52105778296296623</v>
      </c>
      <c r="J150" s="17">
        <f>'01_원자료'!P147*'03_가중치민감도'!$B$10+'01_원자료'!Q147*'03_가중치민감도'!$C$10+'01_원자료'!R147*'03_가중치민감도'!$D$10</f>
        <v>0.66335864221103291</v>
      </c>
      <c r="K150" s="31">
        <f t="shared" si="12"/>
        <v>335</v>
      </c>
      <c r="L150" s="31">
        <f t="shared" si="13"/>
        <v>328</v>
      </c>
      <c r="M150" s="31">
        <f t="shared" si="14"/>
        <v>327</v>
      </c>
      <c r="N150" s="31">
        <f t="shared" si="15"/>
        <v>343</v>
      </c>
      <c r="O150" s="31">
        <f t="shared" si="16"/>
        <v>330</v>
      </c>
      <c r="P150" s="31">
        <f t="shared" si="17"/>
        <v>337</v>
      </c>
    </row>
    <row r="151" spans="1:16">
      <c r="A151" s="2" t="str">
        <f>'01_원자료'!A148</f>
        <v>PAT-10</v>
      </c>
      <c r="B151" s="2" t="str">
        <f>'01_원자료'!B148</f>
        <v>mistral</v>
      </c>
      <c r="C151" s="2" t="str">
        <f>'01_원자료'!C148</f>
        <v>qwen</v>
      </c>
      <c r="E151" s="17">
        <f>'01_원자료'!P148*'03_가중치민감도'!$B$5+'01_원자료'!Q148*'03_가중치민감도'!$C$5+'01_원자료'!R148*'03_가중치민감도'!$D$5</f>
        <v>0.66579934917685335</v>
      </c>
      <c r="F151" s="17">
        <f>'01_원자료'!P148*'03_가중치민감도'!$B$6+'01_원자료'!Q148*'03_가중치민감도'!$C$6+'01_원자료'!R148*'03_가중치민감도'!$D$6</f>
        <v>0.5833393361265411</v>
      </c>
      <c r="G151" s="17">
        <f>'01_원자료'!P148*'03_가중치민감도'!$B$7+'01_원자료'!Q148*'03_가중치민감도'!$C$7+'01_원자료'!R148*'03_가중치민감도'!$D$7</f>
        <v>0.65897864597111422</v>
      </c>
      <c r="H151" s="17">
        <f>'01_원자료'!P148*'03_가중치민감도'!$B$8+'01_원자료'!Q148*'03_가중치민감도'!$C$8+'01_원자료'!R148*'03_가중치민감도'!$D$8</f>
        <v>0.69990286520554934</v>
      </c>
      <c r="I151" s="17">
        <f>'01_원자료'!P148*'03_가중치민감도'!$B$9+'01_원자료'!Q148*'03_가중치민감도'!$C$9+'01_원자료'!R148*'03_가중치민감도'!$D$9</f>
        <v>0.61309957487855771</v>
      </c>
      <c r="J151" s="17">
        <f>'01_원자료'!P148*'03_가중치민감도'!$B$10+'01_원자료'!Q148*'03_가중치민감도'!$C$10+'01_원자료'!R148*'03_가중치민감도'!$D$10</f>
        <v>0.76190076863864398</v>
      </c>
      <c r="K151" s="31">
        <f t="shared" si="12"/>
        <v>697</v>
      </c>
      <c r="L151" s="31">
        <f t="shared" si="13"/>
        <v>753</v>
      </c>
      <c r="M151" s="31">
        <f t="shared" si="14"/>
        <v>661</v>
      </c>
      <c r="N151" s="31">
        <f t="shared" si="15"/>
        <v>789</v>
      </c>
      <c r="O151" s="31">
        <f t="shared" si="16"/>
        <v>740</v>
      </c>
      <c r="P151" s="31">
        <f t="shared" si="17"/>
        <v>698</v>
      </c>
    </row>
    <row r="152" spans="1:16">
      <c r="A152" s="2" t="str">
        <f>'01_원자료'!A149</f>
        <v>PAT-10</v>
      </c>
      <c r="B152" s="2" t="str">
        <f>'01_원자료'!B149</f>
        <v>qwen3_6</v>
      </c>
      <c r="C152" s="2" t="str">
        <f>'01_원자료'!C149</f>
        <v>gemma</v>
      </c>
      <c r="E152" s="17">
        <f>'01_원자료'!P149*'03_가중치민감도'!$B$5+'01_원자료'!Q149*'03_가중치민감도'!$C$5+'01_원자료'!R149*'03_가중치민감도'!$D$5</f>
        <v>0.71166459700981055</v>
      </c>
      <c r="F152" s="17">
        <f>'01_원자료'!P149*'03_가중치민감도'!$B$6+'01_원자료'!Q149*'03_가중치민감도'!$C$6+'01_원자료'!R149*'03_가중치민감도'!$D$6</f>
        <v>0.6019492211092109</v>
      </c>
      <c r="G152" s="17">
        <f>'01_원자료'!P149*'03_가중치민감도'!$B$7+'01_원자료'!Q149*'03_가중치민감도'!$C$7+'01_원자료'!R149*'03_가중치민감도'!$D$7</f>
        <v>0.7016904635650828</v>
      </c>
      <c r="H152" s="17">
        <f>'01_원자료'!P149*'03_가중치민감도'!$B$8+'01_원자료'!Q149*'03_가중치민감도'!$C$8+'01_원자료'!R149*'03_가중치민감도'!$D$8</f>
        <v>0.76153526423344975</v>
      </c>
      <c r="I152" s="17">
        <f>'01_원자료'!P149*'03_가중치민감도'!$B$9+'01_원자료'!Q149*'03_가중치민감도'!$C$9+'01_원자료'!R149*'03_가중치민감도'!$D$9</f>
        <v>0.6418457242243194</v>
      </c>
      <c r="J152" s="17">
        <f>'01_원자료'!P149*'03_가중치민감도'!$B$10+'01_원자료'!Q149*'03_가중치민감도'!$C$10+'01_원자료'!R149*'03_가중치민감도'!$D$10</f>
        <v>0.84132823979986604</v>
      </c>
      <c r="K152" s="31">
        <f t="shared" si="12"/>
        <v>850</v>
      </c>
      <c r="L152" s="31">
        <f t="shared" si="13"/>
        <v>821</v>
      </c>
      <c r="M152" s="31">
        <f t="shared" si="14"/>
        <v>839</v>
      </c>
      <c r="N152" s="31">
        <f t="shared" si="15"/>
        <v>872</v>
      </c>
      <c r="O152" s="31">
        <f t="shared" si="16"/>
        <v>845</v>
      </c>
      <c r="P152" s="31">
        <f t="shared" si="17"/>
        <v>864</v>
      </c>
    </row>
    <row r="153" spans="1:16">
      <c r="A153" s="2" t="str">
        <f>'01_원자료'!A150</f>
        <v>PAT-10</v>
      </c>
      <c r="B153" s="2" t="str">
        <f>'01_원자료'!B150</f>
        <v>qwen3_6</v>
      </c>
      <c r="C153" s="2" t="str">
        <f>'01_원자료'!C150</f>
        <v>ministral</v>
      </c>
      <c r="E153" s="17">
        <f>'01_원자료'!P150*'03_가중치민감도'!$B$5+'01_원자료'!Q150*'03_가중치민감도'!$C$5+'01_원자료'!R150*'03_가중치민감도'!$D$5</f>
        <v>0.58689007311233365</v>
      </c>
      <c r="F153" s="17">
        <f>'01_원자료'!P150*'03_가중치민감도'!$B$6+'01_원자료'!Q150*'03_가중치민감도'!$C$6+'01_원자료'!R150*'03_가중치민감도'!$D$6</f>
        <v>0.49691293633335959</v>
      </c>
      <c r="G153" s="17">
        <f>'01_원자료'!P150*'03_가중치민감도'!$B$7+'01_원자료'!Q150*'03_가중치민감도'!$C$7+'01_원자료'!R150*'03_가중치민감도'!$D$7</f>
        <v>0.59159117869544009</v>
      </c>
      <c r="H153" s="17">
        <f>'01_원자료'!P150*'03_가중치민감도'!$B$8+'01_원자료'!Q150*'03_가중치민감도'!$C$8+'01_원자료'!R150*'03_가중치민감도'!$D$8</f>
        <v>0.56338454519680126</v>
      </c>
      <c r="I153" s="17">
        <f>'01_원자료'!P150*'03_가중치민감도'!$B$9+'01_원자료'!Q150*'03_가중치민감도'!$C$9+'01_원자료'!R150*'03_가중치민감도'!$D$9</f>
        <v>0.52533828006531491</v>
      </c>
      <c r="J153" s="17">
        <f>'01_원자료'!P150*'03_가중치민감도'!$B$10+'01_원자료'!Q150*'03_가중치민감도'!$C$10+'01_원자료'!R150*'03_가중치민감도'!$D$10</f>
        <v>0.66746499872509468</v>
      </c>
      <c r="K153" s="31">
        <f t="shared" si="12"/>
        <v>340</v>
      </c>
      <c r="L153" s="31">
        <f t="shared" si="13"/>
        <v>346</v>
      </c>
      <c r="M153" s="31">
        <f t="shared" si="14"/>
        <v>328</v>
      </c>
      <c r="N153" s="31">
        <f t="shared" si="15"/>
        <v>379</v>
      </c>
      <c r="O153" s="31">
        <f t="shared" si="16"/>
        <v>350</v>
      </c>
      <c r="P153" s="31">
        <f t="shared" si="17"/>
        <v>348</v>
      </c>
    </row>
    <row r="154" spans="1:16">
      <c r="A154" s="2" t="str">
        <f>'01_원자료'!A151</f>
        <v>PAT-10</v>
      </c>
      <c r="B154" s="2" t="str">
        <f>'01_원자료'!B151</f>
        <v>qwen3_6</v>
      </c>
      <c r="C154" s="2" t="str">
        <f>'01_원자료'!C151</f>
        <v>qwen</v>
      </c>
      <c r="E154" s="17">
        <f>'01_원자료'!P151*'03_가중치민감도'!$B$5+'01_원자료'!Q151*'03_가중치민감도'!$C$5+'01_원자료'!R151*'03_가중치민감도'!$D$5</f>
        <v>0.74234227650219253</v>
      </c>
      <c r="F154" s="17">
        <f>'01_원자료'!P151*'03_가중치민감도'!$B$6+'01_원자료'!Q151*'03_가중치민감도'!$C$6+'01_원자료'!R151*'03_가중치민감도'!$D$6</f>
        <v>0.66516110390856642</v>
      </c>
      <c r="G154" s="17">
        <f>'01_원자료'!P151*'03_가중치민감도'!$B$7+'01_원자료'!Q151*'03_가중치민감도'!$C$7+'01_원자료'!R151*'03_가중치민감도'!$D$7</f>
        <v>0.73221343273958206</v>
      </c>
      <c r="H154" s="17">
        <f>'01_원자료'!P151*'03_가중치민감도'!$B$8+'01_원자료'!Q151*'03_가중치민감도'!$C$8+'01_원자료'!R151*'03_가중치민감도'!$D$8</f>
        <v>0.7929864953152449</v>
      </c>
      <c r="I154" s="17">
        <f>'01_원자료'!P151*'03_가중치민감도'!$B$9+'01_원자료'!Q151*'03_가중치민감도'!$C$9+'01_원자료'!R151*'03_가중치민감도'!$D$9</f>
        <v>0.69426444269397791</v>
      </c>
      <c r="J154" s="17">
        <f>'01_원자료'!P151*'03_가중치민감도'!$B$10+'01_원자료'!Q151*'03_가중치민감도'!$C$10+'01_원자료'!R151*'03_가중치민감도'!$D$10</f>
        <v>0.83978113662103959</v>
      </c>
      <c r="K154" s="31">
        <f t="shared" si="12"/>
        <v>932</v>
      </c>
      <c r="L154" s="31">
        <f t="shared" si="13"/>
        <v>966</v>
      </c>
      <c r="M154" s="31">
        <f t="shared" si="14"/>
        <v>925</v>
      </c>
      <c r="N154" s="31">
        <f t="shared" si="15"/>
        <v>960</v>
      </c>
      <c r="O154" s="31">
        <f t="shared" si="16"/>
        <v>960</v>
      </c>
      <c r="P154" s="31">
        <f t="shared" si="17"/>
        <v>861</v>
      </c>
    </row>
    <row r="155" spans="1:16">
      <c r="A155" s="2" t="str">
        <f>'01_원자료'!A152</f>
        <v>PAT-11</v>
      </c>
      <c r="B155" s="2" t="str">
        <f>'01_원자료'!B152</f>
        <v>chatgpt</v>
      </c>
      <c r="C155" s="2" t="str">
        <f>'01_원자료'!C152</f>
        <v>gemma</v>
      </c>
      <c r="E155" s="17">
        <f>'01_원자료'!P152*'03_가중치민감도'!$B$5+'01_원자료'!Q152*'03_가중치민감도'!$C$5+'01_원자료'!R152*'03_가중치민감도'!$D$5</f>
        <v>0.50168837850975956</v>
      </c>
      <c r="F155" s="17">
        <f>'01_원자료'!P152*'03_가중치민감도'!$B$6+'01_원자료'!Q152*'03_가중치민감도'!$C$6+'01_원자료'!R152*'03_가중치민감도'!$D$6</f>
        <v>0.42520685243403511</v>
      </c>
      <c r="G155" s="17">
        <f>'01_원자료'!P152*'03_가중치민감도'!$B$7+'01_원자료'!Q152*'03_가중치민감도'!$C$7+'01_원자료'!R152*'03_가중치민감도'!$D$7</f>
        <v>0.52347686367683455</v>
      </c>
      <c r="H155" s="17">
        <f>'01_원자료'!P152*'03_가중치민감도'!$B$8+'01_원자료'!Q152*'03_가중치민감도'!$C$8+'01_원자료'!R152*'03_가중치민감도'!$D$8</f>
        <v>0.39274595267438461</v>
      </c>
      <c r="I155" s="17">
        <f>'01_원자료'!P152*'03_가중치민감도'!$B$9+'01_원자료'!Q152*'03_가중치민감도'!$C$9+'01_원자료'!R152*'03_가중치민감도'!$D$9</f>
        <v>0.44343786607025115</v>
      </c>
      <c r="J155" s="17">
        <f>'01_원자료'!P152*'03_가중치민감도'!$B$10+'01_원자료'!Q152*'03_가중치민감도'!$C$10+'01_원자료'!R152*'03_가중치민감도'!$D$10</f>
        <v>0.53459293425133392</v>
      </c>
      <c r="K155" s="31">
        <f t="shared" si="12"/>
        <v>47</v>
      </c>
      <c r="L155" s="31">
        <f t="shared" si="13"/>
        <v>58</v>
      </c>
      <c r="M155" s="31">
        <f t="shared" si="14"/>
        <v>56</v>
      </c>
      <c r="N155" s="31">
        <f t="shared" si="15"/>
        <v>35</v>
      </c>
      <c r="O155" s="31">
        <f t="shared" si="16"/>
        <v>52</v>
      </c>
      <c r="P155" s="31">
        <f t="shared" si="17"/>
        <v>40</v>
      </c>
    </row>
    <row r="156" spans="1:16">
      <c r="A156" s="2" t="str">
        <f>'01_원자료'!A153</f>
        <v>PAT-11</v>
      </c>
      <c r="B156" s="2" t="str">
        <f>'01_원자료'!B153</f>
        <v>chatgpt</v>
      </c>
      <c r="C156" s="2" t="str">
        <f>'01_원자료'!C153</f>
        <v>ministral</v>
      </c>
      <c r="E156" s="17">
        <f>'01_원자료'!P153*'03_가중치민감도'!$B$5+'01_원자료'!Q153*'03_가중치민감도'!$C$5+'01_원자료'!R153*'03_가중치민감도'!$D$5</f>
        <v>0.51284881237599389</v>
      </c>
      <c r="F156" s="17">
        <f>'01_원자료'!P153*'03_가중치민감도'!$B$6+'01_원자료'!Q153*'03_가중치민감도'!$C$6+'01_원자료'!R153*'03_가중치민감도'!$D$6</f>
        <v>0.44114106746263826</v>
      </c>
      <c r="G156" s="17">
        <f>'01_원자료'!P153*'03_가중치민감도'!$B$7+'01_원자료'!Q153*'03_가중치민감도'!$C$7+'01_원자료'!R153*'03_가중치민감도'!$D$7</f>
        <v>0.53482492044890551</v>
      </c>
      <c r="H156" s="17">
        <f>'01_원자료'!P153*'03_가중치민감도'!$B$8+'01_원자료'!Q153*'03_가중치민감도'!$C$8+'01_원자료'!R153*'03_가중치민감도'!$D$8</f>
        <v>0.40296827201143592</v>
      </c>
      <c r="I156" s="17">
        <f>'01_원자료'!P153*'03_가중치민감도'!$B$9+'01_원자료'!Q153*'03_가중치민감도'!$C$9+'01_원자료'!R153*'03_가중치민감도'!$D$9</f>
        <v>0.45771827974278584</v>
      </c>
      <c r="J156" s="17">
        <f>'01_원자료'!P153*'03_가중치민감도'!$B$10+'01_원자료'!Q153*'03_가중치민감도'!$C$10+'01_원자료'!R153*'03_가중치민감도'!$D$10</f>
        <v>0.54060434114352629</v>
      </c>
      <c r="K156" s="31">
        <f t="shared" si="12"/>
        <v>74</v>
      </c>
      <c r="L156" s="31">
        <f t="shared" si="13"/>
        <v>101</v>
      </c>
      <c r="M156" s="31">
        <f t="shared" si="14"/>
        <v>86</v>
      </c>
      <c r="N156" s="31">
        <f t="shared" si="15"/>
        <v>48</v>
      </c>
      <c r="O156" s="31">
        <f t="shared" si="16"/>
        <v>85</v>
      </c>
      <c r="P156" s="31">
        <f t="shared" si="17"/>
        <v>50</v>
      </c>
    </row>
    <row r="157" spans="1:16">
      <c r="A157" s="2" t="str">
        <f>'01_원자료'!A154</f>
        <v>PAT-11</v>
      </c>
      <c r="B157" s="2" t="str">
        <f>'01_원자료'!B154</f>
        <v>chatgpt</v>
      </c>
      <c r="C157" s="2" t="str">
        <f>'01_원자료'!C154</f>
        <v>qwen</v>
      </c>
      <c r="E157" s="17">
        <f>'01_원자료'!P154*'03_가중치민감도'!$B$5+'01_원자료'!Q154*'03_가중치민감도'!$C$5+'01_원자료'!R154*'03_가중치민감도'!$D$5</f>
        <v>0.52584572621556369</v>
      </c>
      <c r="F157" s="17">
        <f>'01_원자료'!P154*'03_가중치민감도'!$B$6+'01_원자료'!Q154*'03_가중치민감도'!$C$6+'01_원자료'!R154*'03_가중치민감도'!$D$6</f>
        <v>0.47486447924219033</v>
      </c>
      <c r="G157" s="17">
        <f>'01_원자료'!P154*'03_가중치민감도'!$B$7+'01_원자료'!Q154*'03_가중치민감도'!$C$7+'01_원자료'!R154*'03_가중치민감도'!$D$7</f>
        <v>0.5492394534340882</v>
      </c>
      <c r="H157" s="17">
        <f>'01_원자료'!P154*'03_가중치민감도'!$B$8+'01_원자료'!Q154*'03_가중치민감도'!$C$8+'01_원자료'!R154*'03_가중치민감도'!$D$8</f>
        <v>0.40887709012294104</v>
      </c>
      <c r="I157" s="17">
        <f>'01_원자료'!P154*'03_가중치민감도'!$B$9+'01_원자료'!Q154*'03_가중치민감도'!$C$9+'01_원자료'!R154*'03_가중치민감도'!$D$9</f>
        <v>0.48406031916047276</v>
      </c>
      <c r="J157" s="17">
        <f>'01_원자료'!P154*'03_가중치민감도'!$B$10+'01_원자료'!Q154*'03_가중치민감도'!$C$10+'01_원자료'!R154*'03_가중치민감도'!$D$10</f>
        <v>0.53003951875188793</v>
      </c>
      <c r="K157" s="31">
        <f t="shared" si="12"/>
        <v>121</v>
      </c>
      <c r="L157" s="31">
        <f t="shared" si="13"/>
        <v>239</v>
      </c>
      <c r="M157" s="31">
        <f t="shared" si="14"/>
        <v>155</v>
      </c>
      <c r="N157" s="31">
        <f t="shared" si="15"/>
        <v>60</v>
      </c>
      <c r="O157" s="31">
        <f t="shared" si="16"/>
        <v>178</v>
      </c>
      <c r="P157" s="31">
        <f t="shared" si="17"/>
        <v>29</v>
      </c>
    </row>
    <row r="158" spans="1:16">
      <c r="A158" s="2" t="str">
        <f>'01_원자료'!A155</f>
        <v>PAT-11</v>
      </c>
      <c r="B158" s="2" t="str">
        <f>'01_원자료'!B155</f>
        <v>claude</v>
      </c>
      <c r="C158" s="2" t="str">
        <f>'01_원자료'!C155</f>
        <v>gemma</v>
      </c>
      <c r="E158" s="17">
        <f>'01_원자료'!P155*'03_가중치민감도'!$B$5+'01_원자료'!Q155*'03_가중치민감도'!$C$5+'01_원자료'!R155*'03_가중치민감도'!$D$5</f>
        <v>0.63183820890439257</v>
      </c>
      <c r="F158" s="17">
        <f>'01_원자료'!P155*'03_가중치민감도'!$B$6+'01_원자료'!Q155*'03_가중치민감도'!$C$6+'01_원자료'!R155*'03_가중치민감도'!$D$6</f>
        <v>0.53957661775316024</v>
      </c>
      <c r="G158" s="17">
        <f>'01_원자료'!P155*'03_가중치민감도'!$B$7+'01_원자료'!Q155*'03_가중치민감도'!$C$7+'01_원자료'!R155*'03_가중치민감도'!$D$7</f>
        <v>0.63417014317357279</v>
      </c>
      <c r="H158" s="17">
        <f>'01_원자료'!P155*'03_가중치민감도'!$B$8+'01_원자료'!Q155*'03_가중치민감도'!$C$8+'01_원자료'!R155*'03_가중치민감도'!$D$8</f>
        <v>0.62017853755849162</v>
      </c>
      <c r="I158" s="17">
        <f>'01_원자료'!P155*'03_가중치민감도'!$B$9+'01_원자료'!Q155*'03_가중치민감도'!$C$9+'01_원자료'!R155*'03_가중치민감도'!$D$9</f>
        <v>0.56955317004717698</v>
      </c>
      <c r="J158" s="17">
        <f>'01_원자료'!P155*'03_가중치민감도'!$B$10+'01_원자료'!Q155*'03_가중치민감도'!$C$10+'01_원자료'!R155*'03_가중치민감도'!$D$10</f>
        <v>0.71943593151726459</v>
      </c>
      <c r="K158" s="31">
        <f t="shared" si="12"/>
        <v>538</v>
      </c>
      <c r="L158" s="31">
        <f t="shared" si="13"/>
        <v>544</v>
      </c>
      <c r="M158" s="31">
        <f t="shared" si="14"/>
        <v>534</v>
      </c>
      <c r="N158" s="31">
        <f t="shared" si="15"/>
        <v>548</v>
      </c>
      <c r="O158" s="31">
        <f t="shared" si="16"/>
        <v>545</v>
      </c>
      <c r="P158" s="31">
        <f t="shared" si="17"/>
        <v>538</v>
      </c>
    </row>
    <row r="159" spans="1:16">
      <c r="A159" s="2" t="str">
        <f>'01_원자료'!A156</f>
        <v>PAT-11</v>
      </c>
      <c r="B159" s="2" t="str">
        <f>'01_원자료'!B156</f>
        <v>claude</v>
      </c>
      <c r="C159" s="2" t="str">
        <f>'01_원자료'!C156</f>
        <v>ministral</v>
      </c>
      <c r="E159" s="17">
        <f>'01_원자료'!P156*'03_가중치민감도'!$B$5+'01_원자료'!Q156*'03_가중치민감도'!$C$5+'01_원자료'!R156*'03_가중치민감도'!$D$5</f>
        <v>0.61478494580096688</v>
      </c>
      <c r="F159" s="17">
        <f>'01_원자료'!P156*'03_가중치민감도'!$B$6+'01_원자료'!Q156*'03_가중치민감도'!$C$6+'01_원자료'!R156*'03_가중치민감도'!$D$6</f>
        <v>0.52577771985918909</v>
      </c>
      <c r="G159" s="17">
        <f>'01_원자료'!P156*'03_가중치민감도'!$B$7+'01_원자료'!Q156*'03_가중치민감도'!$C$7+'01_원자료'!R156*'03_가중치민감도'!$D$7</f>
        <v>0.61599019097667562</v>
      </c>
      <c r="H159" s="17">
        <f>'01_원자료'!P156*'03_가중치민감도'!$B$8+'01_원자료'!Q156*'03_가중치민감도'!$C$8+'01_원자료'!R156*'03_가중치민감도'!$D$8</f>
        <v>0.60875871992242359</v>
      </c>
      <c r="I159" s="17">
        <f>'01_원자료'!P156*'03_가중치민감도'!$B$9+'01_원자료'!Q156*'03_가중치민감도'!$C$9+'01_원자료'!R156*'03_가중치민감도'!$D$9</f>
        <v>0.55504504678121158</v>
      </c>
      <c r="J159" s="17">
        <f>'01_원자료'!P156*'03_가중치민감도'!$B$10+'01_원자료'!Q156*'03_가중치민감도'!$C$10+'01_원자료'!R156*'03_가중치민감도'!$D$10</f>
        <v>0.70138168139132739</v>
      </c>
      <c r="K159" s="31">
        <f t="shared" si="12"/>
        <v>460</v>
      </c>
      <c r="L159" s="31">
        <f t="shared" si="13"/>
        <v>478</v>
      </c>
      <c r="M159" s="31">
        <f t="shared" si="14"/>
        <v>442</v>
      </c>
      <c r="N159" s="31">
        <f t="shared" si="15"/>
        <v>517</v>
      </c>
      <c r="O159" s="31">
        <f t="shared" si="16"/>
        <v>476</v>
      </c>
      <c r="P159" s="31">
        <f t="shared" si="17"/>
        <v>461</v>
      </c>
    </row>
    <row r="160" spans="1:16">
      <c r="A160" s="2" t="str">
        <f>'01_원자료'!A157</f>
        <v>PAT-11</v>
      </c>
      <c r="B160" s="2" t="str">
        <f>'01_원자료'!B157</f>
        <v>claude</v>
      </c>
      <c r="C160" s="2" t="str">
        <f>'01_원자료'!C157</f>
        <v>qwen</v>
      </c>
      <c r="E160" s="17">
        <f>'01_원자료'!P157*'03_가중치민감도'!$B$5+'01_원자료'!Q157*'03_가중치민감도'!$C$5+'01_원자료'!R157*'03_가중치민감도'!$D$5</f>
        <v>0.66173425828252885</v>
      </c>
      <c r="F160" s="17">
        <f>'01_원자료'!P157*'03_가중치민감도'!$B$6+'01_원자료'!Q157*'03_가중치민감도'!$C$6+'01_원자료'!R157*'03_가중치민감도'!$D$6</f>
        <v>0.59041775823772324</v>
      </c>
      <c r="G160" s="17">
        <f>'01_원자료'!P157*'03_가중치민감도'!$B$7+'01_원자료'!Q157*'03_가중치민감도'!$C$7+'01_원자료'!R157*'03_가중치민감도'!$D$7</f>
        <v>0.66224180937602251</v>
      </c>
      <c r="H160" s="17">
        <f>'01_원자료'!P157*'03_가중치민감도'!$B$8+'01_원자료'!Q157*'03_가중치민감도'!$C$8+'01_원자료'!R157*'03_가중치민감도'!$D$8</f>
        <v>0.65919650281506004</v>
      </c>
      <c r="I160" s="17">
        <f>'01_원자료'!P157*'03_가중치민감도'!$B$9+'01_원자료'!Q157*'03_가중치민감도'!$C$9+'01_원자료'!R157*'03_가중치민감도'!$D$9</f>
        <v>0.61402074122149319</v>
      </c>
      <c r="J160" s="17">
        <f>'01_원자료'!P157*'03_가중치민감도'!$B$10+'01_원자료'!Q157*'03_가중치민감도'!$C$10+'01_원자료'!R157*'03_가중치민감도'!$D$10</f>
        <v>0.73203565614034694</v>
      </c>
      <c r="K160" s="31">
        <f t="shared" si="12"/>
        <v>682</v>
      </c>
      <c r="L160" s="31">
        <f t="shared" si="13"/>
        <v>769</v>
      </c>
      <c r="M160" s="31">
        <f t="shared" si="14"/>
        <v>678</v>
      </c>
      <c r="N160" s="31">
        <f t="shared" si="15"/>
        <v>664</v>
      </c>
      <c r="O160" s="31">
        <f t="shared" si="16"/>
        <v>745</v>
      </c>
      <c r="P160" s="31">
        <f t="shared" si="17"/>
        <v>591</v>
      </c>
    </row>
    <row r="161" spans="1:16">
      <c r="A161" s="2" t="str">
        <f>'01_원자료'!A158</f>
        <v>PAT-11</v>
      </c>
      <c r="B161" s="2" t="str">
        <f>'01_원자료'!B158</f>
        <v>gemini</v>
      </c>
      <c r="C161" s="2" t="str">
        <f>'01_원자료'!C158</f>
        <v>gemma</v>
      </c>
      <c r="E161" s="17">
        <f>'01_원자료'!P158*'03_가중치민감도'!$B$5+'01_원자료'!Q158*'03_가중치민감도'!$C$5+'01_원자료'!R158*'03_가중치민감도'!$D$5</f>
        <v>0.74238795348844999</v>
      </c>
      <c r="F161" s="17">
        <f>'01_원자료'!P158*'03_가중치민감도'!$B$6+'01_원자료'!Q158*'03_가중치민감도'!$C$6+'01_원자료'!R158*'03_가중치민감도'!$D$6</f>
        <v>0.6388831206988016</v>
      </c>
      <c r="G161" s="17">
        <f>'01_원자료'!P158*'03_가중치민감도'!$B$7+'01_원자료'!Q158*'03_가중치민감도'!$C$7+'01_원자료'!R158*'03_가중치민감도'!$D$7</f>
        <v>0.73445655449102942</v>
      </c>
      <c r="H161" s="17">
        <f>'01_원자료'!P158*'03_가중치민감도'!$B$8+'01_원자료'!Q158*'03_가중치민감도'!$C$8+'01_원자료'!R158*'03_가중치민감도'!$D$8</f>
        <v>0.7820449484755525</v>
      </c>
      <c r="I161" s="17">
        <f>'01_원자료'!P158*'03_가중치민감도'!$B$9+'01_원자료'!Q158*'03_가중치민감도'!$C$9+'01_원자료'!R158*'03_가중치민감도'!$D$9</f>
        <v>0.67602853129449048</v>
      </c>
      <c r="J161" s="17">
        <f>'01_원자료'!P158*'03_가중치민감도'!$B$10+'01_원자료'!Q158*'03_가중치민감도'!$C$10+'01_원자료'!R158*'03_가중치민감도'!$D$10</f>
        <v>0.8617555842729393</v>
      </c>
      <c r="K161" s="31">
        <f t="shared" si="12"/>
        <v>933</v>
      </c>
      <c r="L161" s="31">
        <f t="shared" si="13"/>
        <v>937</v>
      </c>
      <c r="M161" s="31">
        <f t="shared" si="14"/>
        <v>930</v>
      </c>
      <c r="N161" s="31">
        <f t="shared" si="15"/>
        <v>940</v>
      </c>
      <c r="O161" s="31">
        <f t="shared" si="16"/>
        <v>938</v>
      </c>
      <c r="P161" s="31">
        <f t="shared" si="17"/>
        <v>922</v>
      </c>
    </row>
    <row r="162" spans="1:16">
      <c r="A162" s="2" t="str">
        <f>'01_원자료'!A159</f>
        <v>PAT-11</v>
      </c>
      <c r="B162" s="2" t="str">
        <f>'01_원자료'!B159</f>
        <v>gemini</v>
      </c>
      <c r="C162" s="2" t="str">
        <f>'01_원자료'!C159</f>
        <v>ministral</v>
      </c>
      <c r="E162" s="17">
        <f>'01_원자료'!P159*'03_가중치민감도'!$B$5+'01_원자료'!Q159*'03_가중치민감도'!$C$5+'01_원자료'!R159*'03_가중치민감도'!$D$5</f>
        <v>0.62058628779403424</v>
      </c>
      <c r="F162" s="17">
        <f>'01_원자료'!P159*'03_가중치민감도'!$B$6+'01_원자료'!Q159*'03_가중치민감도'!$C$6+'01_원자료'!R159*'03_가중치민감도'!$D$6</f>
        <v>0.52431909908630892</v>
      </c>
      <c r="G162" s="17">
        <f>'01_원자료'!P159*'03_가중치민감도'!$B$7+'01_원자료'!Q159*'03_가중치민감도'!$C$7+'01_원자료'!R159*'03_가중치민감도'!$D$7</f>
        <v>0.62861958226134507</v>
      </c>
      <c r="H162" s="17">
        <f>'01_원자료'!P159*'03_가중치민감도'!$B$8+'01_원자료'!Q159*'03_가중치민감도'!$C$8+'01_원자료'!R159*'03_가중치민감도'!$D$8</f>
        <v>0.58041981545748023</v>
      </c>
      <c r="I162" s="17">
        <f>'01_원자료'!P159*'03_가중치민감도'!$B$9+'01_원자료'!Q159*'03_가중치민감도'!$C$9+'01_원자료'!R159*'03_가중치민감도'!$D$9</f>
        <v>0.55373039716644656</v>
      </c>
      <c r="J162" s="17">
        <f>'01_원자료'!P159*'03_가중치민감도'!$B$10+'01_원자료'!Q159*'03_가중치민감도'!$C$10+'01_원자료'!R159*'03_가중치민감도'!$D$10</f>
        <v>0.70078688756713792</v>
      </c>
      <c r="K162" s="31">
        <f t="shared" si="12"/>
        <v>490</v>
      </c>
      <c r="L162" s="31">
        <f t="shared" si="13"/>
        <v>472</v>
      </c>
      <c r="M162" s="31">
        <f t="shared" si="14"/>
        <v>510</v>
      </c>
      <c r="N162" s="31">
        <f t="shared" si="15"/>
        <v>425</v>
      </c>
      <c r="O162" s="31">
        <f t="shared" si="16"/>
        <v>468</v>
      </c>
      <c r="P162" s="31">
        <f t="shared" si="17"/>
        <v>458</v>
      </c>
    </row>
    <row r="163" spans="1:16">
      <c r="A163" s="2" t="str">
        <f>'01_원자료'!A160</f>
        <v>PAT-11</v>
      </c>
      <c r="B163" s="2" t="str">
        <f>'01_원자료'!B160</f>
        <v>gemini</v>
      </c>
      <c r="C163" s="2" t="str">
        <f>'01_원자료'!C160</f>
        <v>qwen</v>
      </c>
      <c r="E163" s="17">
        <f>'01_원자료'!P160*'03_가중치민감도'!$B$5+'01_원자료'!Q160*'03_가중치민감도'!$C$5+'01_원자료'!R160*'03_가중치민감도'!$D$5</f>
        <v>0.66097059776466982</v>
      </c>
      <c r="F163" s="17">
        <f>'01_원자료'!P160*'03_가중치민감도'!$B$6+'01_원자료'!Q160*'03_가중치민감도'!$C$6+'01_원자료'!R160*'03_가중치민감도'!$D$6</f>
        <v>0.5817537952928461</v>
      </c>
      <c r="G163" s="17">
        <f>'01_원자료'!P160*'03_가중치민감도'!$B$7+'01_원자료'!Q160*'03_가중치민감도'!$C$7+'01_원자료'!R160*'03_가중치민감도'!$D$7</f>
        <v>0.6697357777270283</v>
      </c>
      <c r="H163" s="17">
        <f>'01_원자료'!P160*'03_가중치민감도'!$B$8+'01_원자료'!Q160*'03_가중치민감도'!$C$8+'01_원자료'!R160*'03_가중치민감도'!$D$8</f>
        <v>0.61714469795287741</v>
      </c>
      <c r="I163" s="17">
        <f>'01_원자료'!P160*'03_가중치민감도'!$B$9+'01_원자료'!Q160*'03_가중치민감도'!$C$9+'01_원자료'!R160*'03_가중치민감도'!$D$9</f>
        <v>0.60523766946266722</v>
      </c>
      <c r="J163" s="17">
        <f>'01_원자료'!P160*'03_가중치민감도'!$B$10+'01_원자료'!Q160*'03_가중치민감도'!$C$10+'01_원자료'!R160*'03_가중치민감도'!$D$10</f>
        <v>0.72265704031177647</v>
      </c>
      <c r="K163" s="31">
        <f t="shared" si="12"/>
        <v>677</v>
      </c>
      <c r="L163" s="31">
        <f t="shared" si="13"/>
        <v>743</v>
      </c>
      <c r="M163" s="31">
        <f t="shared" si="14"/>
        <v>718</v>
      </c>
      <c r="N163" s="31">
        <f t="shared" si="15"/>
        <v>541</v>
      </c>
      <c r="O163" s="31">
        <f t="shared" si="16"/>
        <v>715</v>
      </c>
      <c r="P163" s="31">
        <f t="shared" si="17"/>
        <v>559</v>
      </c>
    </row>
    <row r="164" spans="1:16">
      <c r="A164" s="2" t="str">
        <f>'01_원자료'!A161</f>
        <v>PAT-11</v>
      </c>
      <c r="B164" s="2" t="str">
        <f>'01_원자료'!B161</f>
        <v>mistral</v>
      </c>
      <c r="C164" s="2" t="str">
        <f>'01_원자료'!C161</f>
        <v>gemma</v>
      </c>
      <c r="E164" s="17">
        <f>'01_원자료'!P161*'03_가중치민감도'!$B$5+'01_원자료'!Q161*'03_가중치민감도'!$C$5+'01_원자료'!R161*'03_가중치민감도'!$D$5</f>
        <v>0.65435176770864512</v>
      </c>
      <c r="F164" s="17">
        <f>'01_원자료'!P161*'03_가중치민감도'!$B$6+'01_원자료'!Q161*'03_가중치민감도'!$C$6+'01_원자료'!R161*'03_가중치민감도'!$D$6</f>
        <v>0.55837125945134614</v>
      </c>
      <c r="G164" s="17">
        <f>'01_원자료'!P161*'03_가중치민감도'!$B$7+'01_원자료'!Q161*'03_가중치민감도'!$C$7+'01_원자료'!R161*'03_가중치민감도'!$D$7</f>
        <v>0.65239552899965658</v>
      </c>
      <c r="H164" s="17">
        <f>'01_원자료'!P161*'03_가중치민감도'!$B$8+'01_원자료'!Q161*'03_가중치민감도'!$C$8+'01_원자료'!R161*'03_가중치민감도'!$D$8</f>
        <v>0.66413296125358801</v>
      </c>
      <c r="I164" s="17">
        <f>'01_원자료'!P161*'03_가중치민감도'!$B$9+'01_원자료'!Q161*'03_가중치민감도'!$C$9+'01_원자료'!R161*'03_가중치민감도'!$D$9</f>
        <v>0.59101684177344138</v>
      </c>
      <c r="J164" s="17">
        <f>'01_원자료'!P161*'03_가중치민감도'!$B$10+'01_원자료'!Q161*'03_가중치민감도'!$C$10+'01_원자료'!R161*'03_가중치민감도'!$D$10</f>
        <v>0.75424475338392116</v>
      </c>
      <c r="K164" s="31">
        <f t="shared" si="12"/>
        <v>640</v>
      </c>
      <c r="L164" s="31">
        <f t="shared" si="13"/>
        <v>632</v>
      </c>
      <c r="M164" s="31">
        <f t="shared" si="14"/>
        <v>628</v>
      </c>
      <c r="N164" s="31">
        <f t="shared" si="15"/>
        <v>682</v>
      </c>
      <c r="O164" s="31">
        <f t="shared" si="16"/>
        <v>636</v>
      </c>
      <c r="P164" s="31">
        <f t="shared" si="17"/>
        <v>674</v>
      </c>
    </row>
    <row r="165" spans="1:16">
      <c r="A165" s="2" t="str">
        <f>'01_원자료'!A162</f>
        <v>PAT-11</v>
      </c>
      <c r="B165" s="2" t="str">
        <f>'01_원자료'!B162</f>
        <v>mistral</v>
      </c>
      <c r="C165" s="2" t="str">
        <f>'01_원자료'!C162</f>
        <v>ministral</v>
      </c>
      <c r="E165" s="17">
        <f>'01_원자료'!P162*'03_가중치민감도'!$B$5+'01_원자료'!Q162*'03_가중치민감도'!$C$5+'01_원자료'!R162*'03_가중치민감도'!$D$5</f>
        <v>0.62572931159863487</v>
      </c>
      <c r="F165" s="17">
        <f>'01_원자료'!P162*'03_가중치민감도'!$B$6+'01_원자료'!Q162*'03_가중치민감도'!$C$6+'01_원자료'!R162*'03_가중치민감도'!$D$6</f>
        <v>0.53548959787978201</v>
      </c>
      <c r="G165" s="17">
        <f>'01_원자료'!P162*'03_가중치민감도'!$B$7+'01_원자료'!Q162*'03_가중치민감도'!$C$7+'01_원자료'!R162*'03_가중치민감도'!$D$7</f>
        <v>0.63593287209103777</v>
      </c>
      <c r="H165" s="17">
        <f>'01_원자료'!P162*'03_가중치민감도'!$B$8+'01_원자료'!Q162*'03_가중치민감도'!$C$8+'01_원자료'!R162*'03_가중치민감도'!$D$8</f>
        <v>0.57471150913662017</v>
      </c>
      <c r="I165" s="17">
        <f>'01_원자료'!P162*'03_가중치민감도'!$B$9+'01_원자료'!Q162*'03_가중치민감도'!$C$9+'01_원자료'!R162*'03_가중치민감도'!$D$9</f>
        <v>0.56216831562193148</v>
      </c>
      <c r="J165" s="17">
        <f>'01_원자료'!P162*'03_가중치민감도'!$B$10+'01_원자료'!Q162*'03_가중치민감도'!$C$10+'01_원자료'!R162*'03_가중치민감도'!$D$10</f>
        <v>0.69556190433268172</v>
      </c>
      <c r="K165" s="31">
        <f t="shared" si="12"/>
        <v>511</v>
      </c>
      <c r="L165" s="31">
        <f t="shared" si="13"/>
        <v>526</v>
      </c>
      <c r="M165" s="31">
        <f t="shared" si="14"/>
        <v>542</v>
      </c>
      <c r="N165" s="31">
        <f t="shared" si="15"/>
        <v>413</v>
      </c>
      <c r="O165" s="31">
        <f t="shared" si="16"/>
        <v>513</v>
      </c>
      <c r="P165" s="31">
        <f t="shared" si="17"/>
        <v>443</v>
      </c>
    </row>
    <row r="166" spans="1:16">
      <c r="A166" s="2" t="str">
        <f>'01_원자료'!A163</f>
        <v>PAT-11</v>
      </c>
      <c r="B166" s="2" t="str">
        <f>'01_원자료'!B163</f>
        <v>mistral</v>
      </c>
      <c r="C166" s="2" t="str">
        <f>'01_원자료'!C163</f>
        <v>qwen</v>
      </c>
      <c r="E166" s="17">
        <f>'01_원자료'!P163*'03_가중치민감도'!$B$5+'01_원자료'!Q163*'03_가중치민감도'!$C$5+'01_원자료'!R163*'03_가중치민감도'!$D$5</f>
        <v>0.63477654645676518</v>
      </c>
      <c r="F166" s="17">
        <f>'01_원자료'!P163*'03_가중치민감도'!$B$6+'01_원자료'!Q163*'03_가중치민감도'!$C$6+'01_원자료'!R163*'03_가중치민감도'!$D$6</f>
        <v>0.56211889752946798</v>
      </c>
      <c r="G166" s="17">
        <f>'01_원자료'!P163*'03_가중치민감도'!$B$7+'01_원자료'!Q163*'03_가중치민감도'!$C$7+'01_원자료'!R163*'03_가중치민감도'!$D$7</f>
        <v>0.64123516935055902</v>
      </c>
      <c r="H166" s="17">
        <f>'01_원자료'!P163*'03_가중치민감도'!$B$8+'01_원자료'!Q163*'03_가중치민감도'!$C$8+'01_원자료'!R163*'03_가중치민감도'!$D$8</f>
        <v>0.6024834319877963</v>
      </c>
      <c r="I166" s="17">
        <f>'01_원자료'!P163*'03_가중치민감도'!$B$9+'01_원자료'!Q163*'03_가중치민감도'!$C$9+'01_원자료'!R163*'03_가중치민감도'!$D$9</f>
        <v>0.58418523954063517</v>
      </c>
      <c r="J166" s="17">
        <f>'01_원자료'!P163*'03_가중치민감도'!$B$10+'01_원자료'!Q163*'03_가중치민감도'!$C$10+'01_원자료'!R163*'03_가중치민감도'!$D$10</f>
        <v>0.69451694959647492</v>
      </c>
      <c r="K166" s="31">
        <f t="shared" si="12"/>
        <v>553</v>
      </c>
      <c r="L166" s="31">
        <f t="shared" si="13"/>
        <v>648</v>
      </c>
      <c r="M166" s="31">
        <f t="shared" si="14"/>
        <v>568</v>
      </c>
      <c r="N166" s="31">
        <f t="shared" si="15"/>
        <v>496</v>
      </c>
      <c r="O166" s="31">
        <f t="shared" si="16"/>
        <v>602</v>
      </c>
      <c r="P166" s="31">
        <f t="shared" si="17"/>
        <v>439</v>
      </c>
    </row>
    <row r="167" spans="1:16">
      <c r="A167" s="2" t="str">
        <f>'01_원자료'!A164</f>
        <v>PAT-11</v>
      </c>
      <c r="B167" s="2" t="str">
        <f>'01_원자료'!B164</f>
        <v>qwen3_6</v>
      </c>
      <c r="C167" s="2" t="str">
        <f>'01_원자료'!C164</f>
        <v>gemma</v>
      </c>
      <c r="E167" s="17">
        <f>'01_원자료'!P164*'03_가중치민감도'!$B$5+'01_원자료'!Q164*'03_가중치민감도'!$C$5+'01_원자료'!R164*'03_가중치민감도'!$D$5</f>
        <v>0.71785556123629868</v>
      </c>
      <c r="F167" s="17">
        <f>'01_원자료'!P164*'03_가중치민감도'!$B$6+'01_원자료'!Q164*'03_가중치민감도'!$C$6+'01_원자료'!R164*'03_가중치민감도'!$D$6</f>
        <v>0.61711540293804679</v>
      </c>
      <c r="G167" s="17">
        <f>'01_원자료'!P164*'03_가중치민감도'!$B$7+'01_원자료'!Q164*'03_가중치민감도'!$C$7+'01_원자료'!R164*'03_가중치민감도'!$D$7</f>
        <v>0.70764940667691578</v>
      </c>
      <c r="H167" s="17">
        <f>'01_원자료'!P164*'03_가중치민감도'!$B$8+'01_원자료'!Q164*'03_가중치민감도'!$C$8+'01_원자료'!R164*'03_가중치민감도'!$D$8</f>
        <v>0.7688863340332126</v>
      </c>
      <c r="I167" s="17">
        <f>'01_원자료'!P164*'03_가중치민감도'!$B$9+'01_원자료'!Q164*'03_가중치민감도'!$C$9+'01_원자료'!R164*'03_가중치민감도'!$D$9</f>
        <v>0.65409750722392435</v>
      </c>
      <c r="J167" s="17">
        <f>'01_원자료'!P164*'03_가중치민감도'!$B$10+'01_원자료'!Q164*'03_가중치민감도'!$C$10+'01_원자료'!R164*'03_가중치민감도'!$D$10</f>
        <v>0.83900802865331614</v>
      </c>
      <c r="K167" s="31">
        <f t="shared" si="12"/>
        <v>870</v>
      </c>
      <c r="L167" s="31">
        <f t="shared" si="13"/>
        <v>883</v>
      </c>
      <c r="M167" s="31">
        <f t="shared" si="14"/>
        <v>858</v>
      </c>
      <c r="N167" s="31">
        <f t="shared" si="15"/>
        <v>895</v>
      </c>
      <c r="O167" s="31">
        <f t="shared" si="16"/>
        <v>884</v>
      </c>
      <c r="P167" s="31">
        <f t="shared" si="17"/>
        <v>857</v>
      </c>
    </row>
    <row r="168" spans="1:16">
      <c r="A168" s="2" t="str">
        <f>'01_원자료'!A165</f>
        <v>PAT-11</v>
      </c>
      <c r="B168" s="2" t="str">
        <f>'01_원자료'!B165</f>
        <v>qwen3_6</v>
      </c>
      <c r="C168" s="2" t="str">
        <f>'01_원자료'!C165</f>
        <v>ministral</v>
      </c>
      <c r="E168" s="17">
        <f>'01_원자료'!P165*'03_가중치민감도'!$B$5+'01_원자료'!Q165*'03_가중치민감도'!$C$5+'01_원자료'!R165*'03_가중치민감도'!$D$5</f>
        <v>0.58541087840985928</v>
      </c>
      <c r="F168" s="17">
        <f>'01_원자료'!P165*'03_가중치민감도'!$B$6+'01_원자료'!Q165*'03_가중치민감도'!$C$6+'01_원자료'!R165*'03_가중치민감도'!$D$6</f>
        <v>0.50405389584311378</v>
      </c>
      <c r="G168" s="17">
        <f>'01_원자료'!P165*'03_가중치민감도'!$B$7+'01_원자료'!Q165*'03_가중치민감도'!$C$7+'01_원자료'!R165*'03_가중치민감도'!$D$7</f>
        <v>0.58927037158340723</v>
      </c>
      <c r="H168" s="17">
        <f>'01_원자료'!P165*'03_가중치민감도'!$B$8+'01_원자료'!Q165*'03_가중치민감도'!$C$8+'01_원자료'!R165*'03_가중치민감도'!$D$8</f>
        <v>0.56611341254211978</v>
      </c>
      <c r="I168" s="17">
        <f>'01_원자료'!P165*'03_가중치민감도'!$B$9+'01_원자료'!Q165*'03_가중치민감도'!$C$9+'01_원자료'!R165*'03_가중치민감도'!$D$9</f>
        <v>0.52988639230751244</v>
      </c>
      <c r="J168" s="17">
        <f>'01_원자료'!P165*'03_가중치민감도'!$B$10+'01_원자료'!Q165*'03_가중치민감도'!$C$10+'01_원자료'!R165*'03_가중치민감도'!$D$10</f>
        <v>0.65904887462950901</v>
      </c>
      <c r="K168" s="31">
        <f t="shared" si="12"/>
        <v>338</v>
      </c>
      <c r="L168" s="31">
        <f t="shared" si="13"/>
        <v>381</v>
      </c>
      <c r="M168" s="31">
        <f t="shared" si="14"/>
        <v>323</v>
      </c>
      <c r="N168" s="31">
        <f t="shared" si="15"/>
        <v>387</v>
      </c>
      <c r="O168" s="31">
        <f t="shared" si="16"/>
        <v>371</v>
      </c>
      <c r="P168" s="31">
        <f t="shared" si="17"/>
        <v>328</v>
      </c>
    </row>
    <row r="169" spans="1:16">
      <c r="A169" s="2" t="str">
        <f>'01_원자료'!A166</f>
        <v>PAT-11</v>
      </c>
      <c r="B169" s="2" t="str">
        <f>'01_원자료'!B166</f>
        <v>qwen3_6</v>
      </c>
      <c r="C169" s="2" t="str">
        <f>'01_원자료'!C166</f>
        <v>qwen</v>
      </c>
      <c r="E169" s="17">
        <f>'01_원자료'!P166*'03_가중치민감도'!$B$5+'01_원자료'!Q166*'03_가중치민감도'!$C$5+'01_원자료'!R166*'03_가중치민감도'!$D$5</f>
        <v>0.63247388551171069</v>
      </c>
      <c r="F169" s="17">
        <f>'01_원자료'!P166*'03_가중치민감도'!$B$6+'01_원자료'!Q166*'03_가중치민감도'!$C$6+'01_원자료'!R166*'03_가중치민감도'!$D$6</f>
        <v>0.57106194627934426</v>
      </c>
      <c r="G169" s="17">
        <f>'01_원자료'!P166*'03_가중치민감도'!$B$7+'01_원자료'!Q166*'03_가중치민감도'!$C$7+'01_원자료'!R166*'03_가중치민감도'!$D$7</f>
        <v>0.63738060084970116</v>
      </c>
      <c r="H169" s="17">
        <f>'01_원자료'!P166*'03_가중치민감도'!$B$8+'01_원자료'!Q166*'03_가중치민감도'!$C$8+'01_원자료'!R166*'03_가중치민감도'!$D$8</f>
        <v>0.60794030882175842</v>
      </c>
      <c r="I169" s="17">
        <f>'01_원자료'!P166*'03_가중치민감도'!$B$9+'01_원자료'!Q166*'03_가중치민감도'!$C$9+'01_원자료'!R166*'03_가중치민감도'!$D$9</f>
        <v>0.58989702091080232</v>
      </c>
      <c r="J169" s="17">
        <f>'01_원자료'!P166*'03_가중치민감도'!$B$10+'01_원자료'!Q166*'03_가중치민감도'!$C$10+'01_원자료'!R166*'03_가중치민감도'!$D$10</f>
        <v>0.68407239406809617</v>
      </c>
      <c r="K169" s="31">
        <f t="shared" si="12"/>
        <v>542</v>
      </c>
      <c r="L169" s="31">
        <f t="shared" si="13"/>
        <v>699</v>
      </c>
      <c r="M169" s="31">
        <f t="shared" si="14"/>
        <v>553</v>
      </c>
      <c r="N169" s="31">
        <f t="shared" si="15"/>
        <v>515</v>
      </c>
      <c r="O169" s="31">
        <f t="shared" si="16"/>
        <v>630</v>
      </c>
      <c r="P169" s="31">
        <f t="shared" si="17"/>
        <v>407</v>
      </c>
    </row>
    <row r="170" spans="1:16">
      <c r="A170" s="2" t="str">
        <f>'01_원자료'!A167</f>
        <v>PAT-12</v>
      </c>
      <c r="B170" s="2" t="str">
        <f>'01_원자료'!B167</f>
        <v>chatgpt</v>
      </c>
      <c r="C170" s="2" t="str">
        <f>'01_원자료'!C167</f>
        <v>gemma</v>
      </c>
      <c r="E170" s="17">
        <f>'01_원자료'!P167*'03_가중치민감도'!$B$5+'01_원자료'!Q167*'03_가중치민감도'!$C$5+'01_원자료'!R167*'03_가중치민감도'!$D$5</f>
        <v>0.5958197795060669</v>
      </c>
      <c r="F170" s="17">
        <f>'01_원자료'!P167*'03_가중치민감도'!$B$6+'01_원자료'!Q167*'03_가중치민감도'!$C$6+'01_원자료'!R167*'03_가중치민감도'!$D$6</f>
        <v>0.50203855100988859</v>
      </c>
      <c r="G170" s="17">
        <f>'01_원자료'!P167*'03_가중치민감도'!$B$7+'01_원자료'!Q167*'03_가중치민감도'!$C$7+'01_원자료'!R167*'03_가중치민감도'!$D$7</f>
        <v>0.60343594060742234</v>
      </c>
      <c r="H170" s="17">
        <f>'01_원자료'!P167*'03_가중치민감도'!$B$8+'01_원자료'!Q167*'03_가중치민감도'!$C$8+'01_원자료'!R167*'03_가중치민감도'!$D$8</f>
        <v>0.55773897399928962</v>
      </c>
      <c r="I170" s="17">
        <f>'01_원자료'!P167*'03_가중치민감도'!$B$9+'01_원자료'!Q167*'03_가중치민감도'!$C$9+'01_원자료'!R167*'03_가중치민감도'!$D$9</f>
        <v>0.5307602401414957</v>
      </c>
      <c r="J170" s="17">
        <f>'01_원자료'!P167*'03_가중치민감도'!$B$10+'01_원자료'!Q167*'03_가중치민감도'!$C$10+'01_원자료'!R167*'03_가중치민감도'!$D$10</f>
        <v>0.67436868579953435</v>
      </c>
      <c r="K170" s="31">
        <f t="shared" si="12"/>
        <v>375</v>
      </c>
      <c r="L170" s="31">
        <f t="shared" si="13"/>
        <v>370</v>
      </c>
      <c r="M170" s="31">
        <f t="shared" si="14"/>
        <v>376</v>
      </c>
      <c r="N170" s="31">
        <f t="shared" si="15"/>
        <v>363</v>
      </c>
      <c r="O170" s="31">
        <f t="shared" si="16"/>
        <v>375</v>
      </c>
      <c r="P170" s="31">
        <f t="shared" si="17"/>
        <v>368</v>
      </c>
    </row>
    <row r="171" spans="1:16">
      <c r="A171" s="2" t="str">
        <f>'01_원자료'!A168</f>
        <v>PAT-12</v>
      </c>
      <c r="B171" s="2" t="str">
        <f>'01_원자료'!B168</f>
        <v>chatgpt</v>
      </c>
      <c r="C171" s="2" t="str">
        <f>'01_원자료'!C168</f>
        <v>ministral</v>
      </c>
      <c r="E171" s="17">
        <f>'01_원자료'!P168*'03_가중치민감도'!$B$5+'01_원자료'!Q168*'03_가중치민감도'!$C$5+'01_원자료'!R168*'03_가중치민감도'!$D$5</f>
        <v>0.56729170758708691</v>
      </c>
      <c r="F171" s="17">
        <f>'01_원자료'!P168*'03_가중치민감도'!$B$6+'01_원자료'!Q168*'03_가중치민감도'!$C$6+'01_원자료'!R168*'03_가중치민감도'!$D$6</f>
        <v>0.47420377087365023</v>
      </c>
      <c r="G171" s="17">
        <f>'01_원자료'!P168*'03_가중치민감도'!$B$7+'01_원자료'!Q168*'03_가중치민감도'!$C$7+'01_원자료'!R168*'03_가중치민감도'!$D$7</f>
        <v>0.58190334180274705</v>
      </c>
      <c r="H171" s="17">
        <f>'01_원자료'!P168*'03_가중치민감도'!$B$8+'01_원자료'!Q168*'03_가중치민감도'!$C$8+'01_원자료'!R168*'03_가중치민감도'!$D$8</f>
        <v>0.49423353650878554</v>
      </c>
      <c r="I171" s="17">
        <f>'01_원자료'!P168*'03_가중치민감도'!$B$9+'01_원자료'!Q168*'03_가중치민감도'!$C$9+'01_원자료'!R168*'03_가중치민감도'!$D$9</f>
        <v>0.50036253837290856</v>
      </c>
      <c r="J171" s="17">
        <f>'01_원자료'!P168*'03_가중치민감도'!$B$10+'01_원자료'!Q168*'03_가중치민감도'!$C$10+'01_원자료'!R168*'03_가중치민감도'!$D$10</f>
        <v>0.63115637586920292</v>
      </c>
      <c r="K171" s="31">
        <f t="shared" si="12"/>
        <v>274</v>
      </c>
      <c r="L171" s="31">
        <f t="shared" si="13"/>
        <v>236</v>
      </c>
      <c r="M171" s="31">
        <f t="shared" si="14"/>
        <v>300</v>
      </c>
      <c r="N171" s="31">
        <f t="shared" si="15"/>
        <v>211</v>
      </c>
      <c r="O171" s="31">
        <f t="shared" si="16"/>
        <v>246</v>
      </c>
      <c r="P171" s="31">
        <f t="shared" si="17"/>
        <v>269</v>
      </c>
    </row>
    <row r="172" spans="1:16">
      <c r="A172" s="2" t="str">
        <f>'01_원자료'!A169</f>
        <v>PAT-12</v>
      </c>
      <c r="B172" s="2" t="str">
        <f>'01_원자료'!B169</f>
        <v>chatgpt</v>
      </c>
      <c r="C172" s="2" t="str">
        <f>'01_원자료'!C169</f>
        <v>qwen</v>
      </c>
      <c r="E172" s="17">
        <f>'01_원자료'!P169*'03_가중치민감도'!$B$5+'01_원자료'!Q169*'03_가중치민감도'!$C$5+'01_원자료'!R169*'03_가중치민감도'!$D$5</f>
        <v>0.63439445480000356</v>
      </c>
      <c r="F172" s="17">
        <f>'01_원자료'!P169*'03_가중치민감도'!$B$6+'01_원자료'!Q169*'03_가중치민감도'!$C$6+'01_원자료'!R169*'03_가중치민감도'!$D$6</f>
        <v>0.56454482118047489</v>
      </c>
      <c r="G172" s="17">
        <f>'01_원자료'!P169*'03_가중치민감도'!$B$7+'01_원자료'!Q169*'03_가중치민감도'!$C$7+'01_원자료'!R169*'03_가중치민감도'!$D$7</f>
        <v>0.64323087260279954</v>
      </c>
      <c r="H172" s="17">
        <f>'01_원자료'!P169*'03_가중치민감도'!$B$8+'01_원자료'!Q169*'03_가중치민감도'!$C$8+'01_원자료'!R169*'03_가중치민감도'!$D$8</f>
        <v>0.59021236578602332</v>
      </c>
      <c r="I172" s="17">
        <f>'01_원자료'!P169*'03_가중치민감도'!$B$9+'01_원자료'!Q169*'03_가중치민감도'!$C$9+'01_원자료'!R169*'03_가중치민감도'!$D$9</f>
        <v>0.58488255978605186</v>
      </c>
      <c r="J172" s="17">
        <f>'01_원자료'!P169*'03_가중치민감도'!$B$10+'01_원자료'!Q169*'03_가중치민감도'!$C$10+'01_원자료'!R169*'03_가중치민감도'!$D$10</f>
        <v>0.68657125281394005</v>
      </c>
      <c r="K172" s="31">
        <f t="shared" si="12"/>
        <v>550</v>
      </c>
      <c r="L172" s="31">
        <f t="shared" si="13"/>
        <v>660</v>
      </c>
      <c r="M172" s="31">
        <f t="shared" si="14"/>
        <v>577</v>
      </c>
      <c r="N172" s="31">
        <f t="shared" si="15"/>
        <v>460</v>
      </c>
      <c r="O172" s="31">
        <f t="shared" si="16"/>
        <v>604</v>
      </c>
      <c r="P172" s="31">
        <f t="shared" si="17"/>
        <v>417</v>
      </c>
    </row>
    <row r="173" spans="1:16">
      <c r="A173" s="2" t="str">
        <f>'01_원자료'!A170</f>
        <v>PAT-12</v>
      </c>
      <c r="B173" s="2" t="str">
        <f>'01_원자료'!B170</f>
        <v>claude</v>
      </c>
      <c r="C173" s="2" t="str">
        <f>'01_원자료'!C170</f>
        <v>gemma</v>
      </c>
      <c r="E173" s="17">
        <f>'01_원자료'!P170*'03_가중치민감도'!$B$5+'01_원자료'!Q170*'03_가중치민감도'!$C$5+'01_원자료'!R170*'03_가중치민감도'!$D$5</f>
        <v>0.63122014067692489</v>
      </c>
      <c r="F173" s="17">
        <f>'01_원자료'!P170*'03_가중치민감도'!$B$6+'01_원자료'!Q170*'03_가중치민감도'!$C$6+'01_원자료'!R170*'03_가중치민감도'!$D$6</f>
        <v>0.53217617077548152</v>
      </c>
      <c r="G173" s="17">
        <f>'01_원자료'!P170*'03_가중치민감도'!$B$7+'01_원자료'!Q170*'03_가중치민감도'!$C$7+'01_원자료'!R170*'03_가중치민감도'!$D$7</f>
        <v>0.63406576748966703</v>
      </c>
      <c r="H173" s="17">
        <f>'01_원자료'!P170*'03_가중치민감도'!$B$8+'01_원자료'!Q170*'03_가중치민감도'!$C$8+'01_원자료'!R170*'03_가중치민감도'!$D$8</f>
        <v>0.61699200661321418</v>
      </c>
      <c r="I173" s="17">
        <f>'01_원자료'!P170*'03_가중치민감도'!$B$9+'01_원자료'!Q170*'03_가중치민감도'!$C$9+'01_원자료'!R170*'03_가중치민감도'!$D$9</f>
        <v>0.56424228513838126</v>
      </c>
      <c r="J173" s="17">
        <f>'01_원자료'!P170*'03_가중치민감도'!$B$10+'01_원자료'!Q170*'03_가중치민감도'!$C$10+'01_원자료'!R170*'03_가중치민감도'!$D$10</f>
        <v>0.72457285695288398</v>
      </c>
      <c r="K173" s="31">
        <f t="shared" si="12"/>
        <v>532</v>
      </c>
      <c r="L173" s="31">
        <f t="shared" si="13"/>
        <v>513</v>
      </c>
      <c r="M173" s="31">
        <f t="shared" si="14"/>
        <v>533</v>
      </c>
      <c r="N173" s="31">
        <f t="shared" si="15"/>
        <v>540</v>
      </c>
      <c r="O173" s="31">
        <f t="shared" si="16"/>
        <v>520</v>
      </c>
      <c r="P173" s="31">
        <f t="shared" si="17"/>
        <v>565</v>
      </c>
    </row>
    <row r="174" spans="1:16">
      <c r="A174" s="2" t="str">
        <f>'01_원자료'!A171</f>
        <v>PAT-12</v>
      </c>
      <c r="B174" s="2" t="str">
        <f>'01_원자료'!B171</f>
        <v>claude</v>
      </c>
      <c r="C174" s="2" t="str">
        <f>'01_원자료'!C171</f>
        <v>ministral</v>
      </c>
      <c r="E174" s="17">
        <f>'01_원자료'!P171*'03_가중치민감도'!$B$5+'01_원자료'!Q171*'03_가중치민감도'!$C$5+'01_원자료'!R171*'03_가중치민감도'!$D$5</f>
        <v>0.6277408877734536</v>
      </c>
      <c r="F174" s="17">
        <f>'01_원자료'!P171*'03_가중치민감도'!$B$6+'01_원자료'!Q171*'03_가중치민감도'!$C$6+'01_원자료'!R171*'03_가중치민감도'!$D$6</f>
        <v>0.52868453936931303</v>
      </c>
      <c r="G174" s="17">
        <f>'01_원자료'!P171*'03_가중치민감도'!$B$7+'01_원자료'!Q171*'03_가중치민감도'!$C$7+'01_원자료'!R171*'03_가중치민감도'!$D$7</f>
        <v>0.63135026937692118</v>
      </c>
      <c r="H174" s="17">
        <f>'01_원자료'!P171*'03_가중치민감도'!$B$8+'01_원자료'!Q171*'03_가중치민감도'!$C$8+'01_원자료'!R171*'03_가중치민감도'!$D$8</f>
        <v>0.60969397975611617</v>
      </c>
      <c r="I174" s="17">
        <f>'01_원자료'!P171*'03_가중치민감도'!$B$9+'01_원자료'!Q171*'03_가중치민감도'!$C$9+'01_원자료'!R171*'03_가중치민감도'!$D$9</f>
        <v>0.56050019496953685</v>
      </c>
      <c r="J174" s="17">
        <f>'01_원자료'!P171*'03_가중치민감도'!$B$10+'01_원자료'!Q171*'03_가중치민감도'!$C$10+'01_원자료'!R171*'03_가중치민감도'!$D$10</f>
        <v>0.71957847297065936</v>
      </c>
      <c r="K174" s="31">
        <f t="shared" si="12"/>
        <v>520</v>
      </c>
      <c r="L174" s="31">
        <f t="shared" si="13"/>
        <v>495</v>
      </c>
      <c r="M174" s="31">
        <f t="shared" si="14"/>
        <v>523</v>
      </c>
      <c r="N174" s="31">
        <f t="shared" si="15"/>
        <v>521</v>
      </c>
      <c r="O174" s="31">
        <f t="shared" si="16"/>
        <v>503</v>
      </c>
      <c r="P174" s="31">
        <f t="shared" si="17"/>
        <v>542</v>
      </c>
    </row>
    <row r="175" spans="1:16">
      <c r="A175" s="2" t="str">
        <f>'01_원자료'!A172</f>
        <v>PAT-12</v>
      </c>
      <c r="B175" s="2" t="str">
        <f>'01_원자료'!B172</f>
        <v>claude</v>
      </c>
      <c r="C175" s="2" t="str">
        <f>'01_원자료'!C172</f>
        <v>qwen</v>
      </c>
      <c r="E175" s="17">
        <f>'01_원자료'!P172*'03_가중치민감도'!$B$5+'01_원자료'!Q172*'03_가중치민감도'!$C$5+'01_원자료'!R172*'03_가중치민감도'!$D$5</f>
        <v>0.65069494960091379</v>
      </c>
      <c r="F175" s="17">
        <f>'01_원자료'!P172*'03_가중치민감도'!$B$6+'01_원자료'!Q172*'03_가중치민감도'!$C$6+'01_원자료'!R172*'03_가중치민감도'!$D$6</f>
        <v>0.56364607727780547</v>
      </c>
      <c r="G175" s="17">
        <f>'01_원자료'!P172*'03_가중치민감도'!$B$7+'01_원자료'!Q172*'03_가중치민감도'!$C$7+'01_원자료'!R172*'03_가중치민감도'!$D$7</f>
        <v>0.65416388569246042</v>
      </c>
      <c r="H175" s="17">
        <f>'01_원자료'!P172*'03_가중치민감도'!$B$8+'01_원자료'!Q172*'03_가중치민감도'!$C$8+'01_원자료'!R172*'03_가중치민감도'!$D$8</f>
        <v>0.63335026914318071</v>
      </c>
      <c r="I175" s="17">
        <f>'01_원자료'!P172*'03_가중치민감도'!$B$9+'01_원자료'!Q172*'03_가중치민감도'!$C$9+'01_원자료'!R172*'03_가중치민감도'!$D$9</f>
        <v>0.59150605602165873</v>
      </c>
      <c r="J175" s="17">
        <f>'01_원자료'!P172*'03_가중치민감도'!$B$10+'01_원자료'!Q172*'03_가중치민감도'!$C$10+'01_원자료'!R172*'03_가중치민감도'!$D$10</f>
        <v>0.73080594974092883</v>
      </c>
      <c r="K175" s="31">
        <f t="shared" si="12"/>
        <v>621</v>
      </c>
      <c r="L175" s="31">
        <f t="shared" si="13"/>
        <v>654</v>
      </c>
      <c r="M175" s="31">
        <f t="shared" si="14"/>
        <v>636</v>
      </c>
      <c r="N175" s="31">
        <f t="shared" si="15"/>
        <v>588</v>
      </c>
      <c r="O175" s="31">
        <f t="shared" si="16"/>
        <v>644</v>
      </c>
      <c r="P175" s="31">
        <f t="shared" si="17"/>
        <v>585</v>
      </c>
    </row>
    <row r="176" spans="1:16">
      <c r="A176" s="2" t="str">
        <f>'01_원자료'!A173</f>
        <v>PAT-12</v>
      </c>
      <c r="B176" s="2" t="str">
        <f>'01_원자료'!B173</f>
        <v>gemini</v>
      </c>
      <c r="C176" s="2" t="str">
        <f>'01_원자료'!C173</f>
        <v>gemma</v>
      </c>
      <c r="E176" s="17">
        <f>'01_원자료'!P173*'03_가중치민감도'!$B$5+'01_원자료'!Q173*'03_가중치민감도'!$C$5+'01_원자료'!R173*'03_가중치민감도'!$D$5</f>
        <v>0.75716736884263147</v>
      </c>
      <c r="F176" s="17">
        <f>'01_원자료'!P173*'03_가중치민감도'!$B$6+'01_원자료'!Q173*'03_가중치민감도'!$C$6+'01_원자료'!R173*'03_가중치민감도'!$D$6</f>
        <v>0.63737841915009241</v>
      </c>
      <c r="G176" s="17">
        <f>'01_원자료'!P173*'03_가중치민감도'!$B$7+'01_원자료'!Q173*'03_가중치민감도'!$C$7+'01_원자료'!R173*'03_가중치민감도'!$D$7</f>
        <v>0.75270407313325594</v>
      </c>
      <c r="H176" s="17">
        <f>'01_원자료'!P173*'03_가중치민감도'!$B$8+'01_원자료'!Q173*'03_가중치민감도'!$C$8+'01_원자료'!R173*'03_가중치민감도'!$D$8</f>
        <v>0.77948384738950893</v>
      </c>
      <c r="I176" s="17">
        <f>'01_원자료'!P173*'03_가중치민감도'!$B$9+'01_원자료'!Q173*'03_가중치민감도'!$C$9+'01_원자료'!R173*'03_가중치민감도'!$D$9</f>
        <v>0.6787958342840632</v>
      </c>
      <c r="J176" s="17">
        <f>'01_원자료'!P173*'03_가중치민감도'!$B$10+'01_원자료'!Q173*'03_가중치민감도'!$C$10+'01_원자료'!R173*'03_가중치민감도'!$D$10</f>
        <v>0.88588290995392138</v>
      </c>
      <c r="K176" s="31">
        <f t="shared" si="12"/>
        <v>962</v>
      </c>
      <c r="L176" s="31">
        <f t="shared" si="13"/>
        <v>936</v>
      </c>
      <c r="M176" s="31">
        <f t="shared" si="14"/>
        <v>962</v>
      </c>
      <c r="N176" s="31">
        <f t="shared" si="15"/>
        <v>934</v>
      </c>
      <c r="O176" s="31">
        <f t="shared" si="16"/>
        <v>946</v>
      </c>
      <c r="P176" s="31">
        <f t="shared" si="17"/>
        <v>975</v>
      </c>
    </row>
    <row r="177" spans="1:16">
      <c r="A177" s="2" t="str">
        <f>'01_원자료'!A174</f>
        <v>PAT-12</v>
      </c>
      <c r="B177" s="2" t="str">
        <f>'01_원자료'!B174</f>
        <v>gemini</v>
      </c>
      <c r="C177" s="2" t="str">
        <f>'01_원자료'!C174</f>
        <v>ministral</v>
      </c>
      <c r="E177" s="17">
        <f>'01_원자료'!P174*'03_가중치민감도'!$B$5+'01_원자료'!Q174*'03_가중치민감도'!$C$5+'01_원자료'!R174*'03_가중치민감도'!$D$5</f>
        <v>0.64043139243490954</v>
      </c>
      <c r="F177" s="17">
        <f>'01_원자료'!P174*'03_가중치민감도'!$B$6+'01_원자료'!Q174*'03_가중치민감도'!$C$6+'01_원자료'!R174*'03_가중치민감도'!$D$6</f>
        <v>0.53097223775713431</v>
      </c>
      <c r="G177" s="17">
        <f>'01_원자료'!P174*'03_가중치민감도'!$B$7+'01_원자료'!Q174*'03_가중치민감도'!$C$7+'01_원자료'!R174*'03_가중치민감도'!$D$7</f>
        <v>0.64996007459346006</v>
      </c>
      <c r="H177" s="17">
        <f>'01_원자료'!P174*'03_가중치민감도'!$B$8+'01_원자료'!Q174*'03_가중치민감도'!$C$8+'01_원자료'!R174*'03_가중치민감도'!$D$8</f>
        <v>0.59278798164215674</v>
      </c>
      <c r="I177" s="17">
        <f>'01_원자료'!P174*'03_가중치민감도'!$B$9+'01_원자료'!Q174*'03_가중치민감도'!$C$9+'01_원자료'!R174*'03_가중치민감도'!$D$9</f>
        <v>0.56428239526354196</v>
      </c>
      <c r="J177" s="17">
        <f>'01_원자료'!P174*'03_가중치민감도'!$B$10+'01_원자료'!Q174*'03_가중치민감도'!$C$10+'01_원자료'!R174*'03_가중치민감도'!$D$10</f>
        <v>0.73083318279558362</v>
      </c>
      <c r="K177" s="31">
        <f t="shared" si="12"/>
        <v>577</v>
      </c>
      <c r="L177" s="31">
        <f t="shared" si="13"/>
        <v>506</v>
      </c>
      <c r="M177" s="31">
        <f t="shared" si="14"/>
        <v>616</v>
      </c>
      <c r="N177" s="31">
        <f t="shared" si="15"/>
        <v>470</v>
      </c>
      <c r="O177" s="31">
        <f t="shared" si="16"/>
        <v>521</v>
      </c>
      <c r="P177" s="31">
        <f t="shared" si="17"/>
        <v>586</v>
      </c>
    </row>
    <row r="178" spans="1:16">
      <c r="A178" s="2" t="str">
        <f>'01_원자료'!A175</f>
        <v>PAT-12</v>
      </c>
      <c r="B178" s="2" t="str">
        <f>'01_원자료'!B175</f>
        <v>gemini</v>
      </c>
      <c r="C178" s="2" t="str">
        <f>'01_원자료'!C175</f>
        <v>qwen</v>
      </c>
      <c r="E178" s="17">
        <f>'01_원자료'!P175*'03_가중치민감도'!$B$5+'01_원자료'!Q175*'03_가중치민감도'!$C$5+'01_원자료'!R175*'03_가중치민감도'!$D$5</f>
        <v>0.78293714269784742</v>
      </c>
      <c r="F178" s="17">
        <f>'01_원자료'!P175*'03_가중치민감도'!$B$6+'01_원자료'!Q175*'03_가중치민감도'!$C$6+'01_원자료'!R175*'03_가중치민감도'!$D$6</f>
        <v>0.69303741673288277</v>
      </c>
      <c r="G178" s="17">
        <f>'01_원자료'!P175*'03_가중치민감도'!$B$7+'01_원자료'!Q175*'03_가중치민감도'!$C$7+'01_원자료'!R175*'03_가중치민감도'!$D$7</f>
        <v>0.77725108389915309</v>
      </c>
      <c r="H178" s="17">
        <f>'01_원자료'!P175*'03_가중치민감도'!$B$8+'01_원자료'!Q175*'03_가중치민감도'!$C$8+'01_원자료'!R175*'03_가중치민감도'!$D$8</f>
        <v>0.81136743669131917</v>
      </c>
      <c r="I178" s="17">
        <f>'01_원자료'!P175*'03_가중치민감도'!$B$9+'01_원자료'!Q175*'03_가중치민감도'!$C$9+'01_원자료'!R175*'03_가중치민감도'!$D$9</f>
        <v>0.72489934498743502</v>
      </c>
      <c r="J178" s="17">
        <f>'01_원자료'!P175*'03_가중치민감도'!$B$10+'01_원자료'!Q175*'03_가중치민감도'!$C$10+'01_원자료'!R175*'03_가중치민감도'!$D$10</f>
        <v>0.88420898626020084</v>
      </c>
      <c r="K178" s="31">
        <f t="shared" si="12"/>
        <v>975</v>
      </c>
      <c r="L178" s="31">
        <f t="shared" si="13"/>
        <v>975</v>
      </c>
      <c r="M178" s="31">
        <f t="shared" si="14"/>
        <v>975</v>
      </c>
      <c r="N178" s="31">
        <f t="shared" si="15"/>
        <v>975</v>
      </c>
      <c r="O178" s="31">
        <f t="shared" si="16"/>
        <v>975</v>
      </c>
      <c r="P178" s="31">
        <f t="shared" si="17"/>
        <v>974</v>
      </c>
    </row>
    <row r="179" spans="1:16">
      <c r="A179" s="2" t="str">
        <f>'01_원자료'!A176</f>
        <v>PAT-12</v>
      </c>
      <c r="B179" s="2" t="str">
        <f>'01_원자료'!B176</f>
        <v>mistral</v>
      </c>
      <c r="C179" s="2" t="str">
        <f>'01_원자료'!C176</f>
        <v>gemma</v>
      </c>
      <c r="E179" s="17">
        <f>'01_원자료'!P176*'03_가중치민감도'!$B$5+'01_원자료'!Q176*'03_가중치민감도'!$C$5+'01_원자료'!R176*'03_가중치민감도'!$D$5</f>
        <v>0.63549922213297483</v>
      </c>
      <c r="F179" s="17">
        <f>'01_원자료'!P176*'03_가중치민감도'!$B$6+'01_원자료'!Q176*'03_가중치민감도'!$C$6+'01_원자료'!R176*'03_가중치민감도'!$D$6</f>
        <v>0.54537621237436884</v>
      </c>
      <c r="G179" s="17">
        <f>'01_원자료'!P176*'03_가중치민감도'!$B$7+'01_원자료'!Q176*'03_가중치민감도'!$C$7+'01_원자료'!R176*'03_가중치민감도'!$D$7</f>
        <v>0.63790565039844616</v>
      </c>
      <c r="H179" s="17">
        <f>'01_원자료'!P176*'03_가중치민감도'!$B$8+'01_원자료'!Q176*'03_가중치민감도'!$C$8+'01_원자료'!R176*'03_가중치민감도'!$D$8</f>
        <v>0.62346708080561819</v>
      </c>
      <c r="I179" s="17">
        <f>'01_원자료'!P176*'03_가중치민감도'!$B$9+'01_원자료'!Q176*'03_가중치민감도'!$C$9+'01_원자료'!R176*'03_가중치민감도'!$D$9</f>
        <v>0.5746150728720798</v>
      </c>
      <c r="J179" s="17">
        <f>'01_원자료'!P176*'03_가중치민감도'!$B$10+'01_원자료'!Q176*'03_가중치민감도'!$C$10+'01_원자료'!R176*'03_가중치민감도'!$D$10</f>
        <v>0.72080937536063816</v>
      </c>
      <c r="K179" s="31">
        <f t="shared" si="12"/>
        <v>559</v>
      </c>
      <c r="L179" s="31">
        <f t="shared" si="13"/>
        <v>562</v>
      </c>
      <c r="M179" s="31">
        <f t="shared" si="14"/>
        <v>556</v>
      </c>
      <c r="N179" s="31">
        <f t="shared" si="15"/>
        <v>557</v>
      </c>
      <c r="O179" s="31">
        <f t="shared" si="16"/>
        <v>560</v>
      </c>
      <c r="P179" s="31">
        <f t="shared" si="17"/>
        <v>553</v>
      </c>
    </row>
    <row r="180" spans="1:16">
      <c r="A180" s="2" t="str">
        <f>'01_원자료'!A177</f>
        <v>PAT-12</v>
      </c>
      <c r="B180" s="2" t="str">
        <f>'01_원자료'!B177</f>
        <v>mistral</v>
      </c>
      <c r="C180" s="2" t="str">
        <f>'01_원자료'!C177</f>
        <v>ministral</v>
      </c>
      <c r="E180" s="17">
        <f>'01_원자료'!P177*'03_가중치민감도'!$B$5+'01_원자료'!Q177*'03_가중치민감도'!$C$5+'01_원자료'!R177*'03_가중치민감도'!$D$5</f>
        <v>0.59634858554374159</v>
      </c>
      <c r="F180" s="17">
        <f>'01_원자료'!P177*'03_가중치민감도'!$B$6+'01_원자료'!Q177*'03_가중치민감도'!$C$6+'01_원자료'!R177*'03_가중치민감도'!$D$6</f>
        <v>0.50605094099346015</v>
      </c>
      <c r="G180" s="17">
        <f>'01_원자료'!P177*'03_가중치민감도'!$B$7+'01_원자료'!Q177*'03_가중치민감도'!$C$7+'01_원자료'!R177*'03_가중치민감도'!$D$7</f>
        <v>0.60466561554926757</v>
      </c>
      <c r="H180" s="17">
        <f>'01_원자료'!P177*'03_가중치민감도'!$B$8+'01_원자료'!Q177*'03_가중치민감도'!$C$8+'01_원자료'!R177*'03_가중치민감도'!$D$8</f>
        <v>0.55476343551611151</v>
      </c>
      <c r="I180" s="17">
        <f>'01_원자료'!P177*'03_가중치민감도'!$B$9+'01_원자료'!Q177*'03_가중치민감도'!$C$9+'01_원자료'!R177*'03_가중치민감도'!$D$9</f>
        <v>0.53337781250837812</v>
      </c>
      <c r="J180" s="17">
        <f>'01_원자료'!P177*'03_가중치민감도'!$B$10+'01_원자료'!Q177*'03_가중치민감도'!$C$10+'01_원자료'!R177*'03_가중치민감도'!$D$10</f>
        <v>0.67001217008297087</v>
      </c>
      <c r="K180" s="31">
        <f t="shared" si="12"/>
        <v>379</v>
      </c>
      <c r="L180" s="31">
        <f t="shared" si="13"/>
        <v>395</v>
      </c>
      <c r="M180" s="31">
        <f t="shared" si="14"/>
        <v>390</v>
      </c>
      <c r="N180" s="31">
        <f t="shared" si="15"/>
        <v>357</v>
      </c>
      <c r="O180" s="31">
        <f t="shared" si="16"/>
        <v>384</v>
      </c>
      <c r="P180" s="31">
        <f t="shared" si="17"/>
        <v>354</v>
      </c>
    </row>
    <row r="181" spans="1:16">
      <c r="A181" s="2" t="str">
        <f>'01_원자료'!A178</f>
        <v>PAT-12</v>
      </c>
      <c r="B181" s="2" t="str">
        <f>'01_원자료'!B178</f>
        <v>mistral</v>
      </c>
      <c r="C181" s="2" t="str">
        <f>'01_원자료'!C178</f>
        <v>qwen</v>
      </c>
      <c r="E181" s="17">
        <f>'01_원자료'!P178*'03_가중치민감도'!$B$5+'01_원자료'!Q178*'03_가중치민감도'!$C$5+'01_원자료'!R178*'03_가중치민감도'!$D$5</f>
        <v>0.66550289492523118</v>
      </c>
      <c r="F181" s="17">
        <f>'01_원자료'!P178*'03_가중치민감도'!$B$6+'01_원자료'!Q178*'03_가중치민감도'!$C$6+'01_원자료'!R178*'03_가중치민감도'!$D$6</f>
        <v>0.5949301111074089</v>
      </c>
      <c r="G181" s="17">
        <f>'01_원자료'!P178*'03_가중치민감도'!$B$7+'01_원자료'!Q178*'03_가중치민감도'!$C$7+'01_원자료'!R178*'03_가중치민감도'!$D$7</f>
        <v>0.66878044376165846</v>
      </c>
      <c r="H181" s="17">
        <f>'01_원자료'!P178*'03_가중치민감도'!$B$8+'01_원자료'!Q178*'03_가중치민감도'!$C$8+'01_원자료'!R178*'03_가중치민감도'!$D$8</f>
        <v>0.64911515074309434</v>
      </c>
      <c r="I181" s="17">
        <f>'01_원자료'!P178*'03_가중치민감도'!$B$9+'01_원자료'!Q178*'03_가중치민감도'!$C$9+'01_원자료'!R178*'03_가중치민감도'!$D$9</f>
        <v>0.61736185610120653</v>
      </c>
      <c r="J181" s="17">
        <f>'01_원자료'!P178*'03_가중치민감도'!$B$10+'01_원자료'!Q178*'03_가중치민감도'!$C$10+'01_원자료'!R178*'03_가중치민감도'!$D$10</f>
        <v>0.72952058107019868</v>
      </c>
      <c r="K181" s="31">
        <f t="shared" si="12"/>
        <v>695</v>
      </c>
      <c r="L181" s="31">
        <f t="shared" si="13"/>
        <v>786</v>
      </c>
      <c r="M181" s="31">
        <f t="shared" si="14"/>
        <v>713</v>
      </c>
      <c r="N181" s="31">
        <f t="shared" si="15"/>
        <v>639</v>
      </c>
      <c r="O181" s="31">
        <f t="shared" si="16"/>
        <v>756</v>
      </c>
      <c r="P181" s="31">
        <f t="shared" si="17"/>
        <v>576</v>
      </c>
    </row>
    <row r="182" spans="1:16">
      <c r="A182" s="2" t="str">
        <f>'01_원자료'!A179</f>
        <v>PAT-12</v>
      </c>
      <c r="B182" s="2" t="str">
        <f>'01_원자료'!B179</f>
        <v>qwen3_6</v>
      </c>
      <c r="C182" s="2" t="str">
        <f>'01_원자료'!C179</f>
        <v>gemma</v>
      </c>
      <c r="E182" s="17">
        <f>'01_원자료'!P179*'03_가중치민감도'!$B$5+'01_원자료'!Q179*'03_가중치민감도'!$C$5+'01_원자료'!R179*'03_가중치민감도'!$D$5</f>
        <v>0.7242402761296679</v>
      </c>
      <c r="F182" s="17">
        <f>'01_원자료'!P179*'03_가중치민감도'!$B$6+'01_원자료'!Q179*'03_가중치민감도'!$C$6+'01_원자료'!R179*'03_가중치민감도'!$D$6</f>
        <v>0.61948897662970215</v>
      </c>
      <c r="G182" s="17">
        <f>'01_원자료'!P179*'03_가중치민감도'!$B$7+'01_원자료'!Q179*'03_가중치민감도'!$C$7+'01_원자료'!R179*'03_가중치민감도'!$D$7</f>
        <v>0.71577991851149769</v>
      </c>
      <c r="H182" s="17">
        <f>'01_원자료'!P179*'03_가중치민감도'!$B$8+'01_원자료'!Q179*'03_가중치민감도'!$C$8+'01_원자료'!R179*'03_가중치민감도'!$D$8</f>
        <v>0.76654206422051896</v>
      </c>
      <c r="I182" s="17">
        <f>'01_원자료'!P179*'03_가중치민감도'!$B$9+'01_원자료'!Q179*'03_가중치민감도'!$C$9+'01_원자료'!R179*'03_가중치민감도'!$D$9</f>
        <v>0.65722619566908014</v>
      </c>
      <c r="J182" s="17">
        <f>'01_원자료'!P179*'03_가중치민감도'!$B$10+'01_원자료'!Q179*'03_가중치민감도'!$C$10+'01_원자료'!R179*'03_가중치민감도'!$D$10</f>
        <v>0.84591229086597408</v>
      </c>
      <c r="K182" s="31">
        <f t="shared" si="12"/>
        <v>892</v>
      </c>
      <c r="L182" s="31">
        <f t="shared" si="13"/>
        <v>890</v>
      </c>
      <c r="M182" s="31">
        <f t="shared" si="14"/>
        <v>890</v>
      </c>
      <c r="N182" s="31">
        <f t="shared" si="15"/>
        <v>884</v>
      </c>
      <c r="O182" s="31">
        <f t="shared" si="16"/>
        <v>898</v>
      </c>
      <c r="P182" s="31">
        <f t="shared" si="17"/>
        <v>877</v>
      </c>
    </row>
    <row r="183" spans="1:16">
      <c r="A183" s="2" t="str">
        <f>'01_원자료'!A180</f>
        <v>PAT-12</v>
      </c>
      <c r="B183" s="2" t="str">
        <f>'01_원자료'!B180</f>
        <v>qwen3_6</v>
      </c>
      <c r="C183" s="2" t="str">
        <f>'01_원자료'!C180</f>
        <v>ministral</v>
      </c>
      <c r="E183" s="17">
        <f>'01_원자료'!P180*'03_가중치민감도'!$B$5+'01_원자료'!Q180*'03_가중치민감도'!$C$5+'01_원자료'!R180*'03_가중치민감도'!$D$5</f>
        <v>0.61137388135801352</v>
      </c>
      <c r="F183" s="17">
        <f>'01_원자료'!P180*'03_가중치민감도'!$B$6+'01_원자료'!Q180*'03_가중치민감도'!$C$6+'01_원자료'!R180*'03_가중치민감도'!$D$6</f>
        <v>0.51833582230107134</v>
      </c>
      <c r="G183" s="17">
        <f>'01_원자료'!P180*'03_가중치민감도'!$B$7+'01_원자료'!Q180*'03_가중치민감도'!$C$7+'01_원자료'!R180*'03_가중치민감도'!$D$7</f>
        <v>0.61711267962508676</v>
      </c>
      <c r="H183" s="17">
        <f>'01_원자료'!P180*'03_가중치민감도'!$B$8+'01_원자료'!Q180*'03_가중치민감도'!$C$8+'01_원자료'!R180*'03_가중치민감도'!$D$8</f>
        <v>0.58267989002264786</v>
      </c>
      <c r="I183" s="17">
        <f>'01_원자료'!P180*'03_가중치민감도'!$B$9+'01_원자료'!Q180*'03_가중치민감도'!$C$9+'01_원자료'!R180*'03_가중치민감도'!$D$9</f>
        <v>0.54743557589769376</v>
      </c>
      <c r="J183" s="17">
        <f>'01_원자료'!P180*'03_가중치민감도'!$B$10+'01_원자료'!Q180*'03_가중치민감도'!$C$10+'01_원자료'!R180*'03_가중치민감도'!$D$10</f>
        <v>0.69293434388080954</v>
      </c>
      <c r="K183" s="31">
        <f t="shared" si="12"/>
        <v>437</v>
      </c>
      <c r="L183" s="31">
        <f t="shared" si="13"/>
        <v>456</v>
      </c>
      <c r="M183" s="31">
        <f t="shared" si="14"/>
        <v>446</v>
      </c>
      <c r="N183" s="31">
        <f t="shared" si="15"/>
        <v>435</v>
      </c>
      <c r="O183" s="31">
        <f t="shared" si="16"/>
        <v>451</v>
      </c>
      <c r="P183" s="31">
        <f t="shared" si="17"/>
        <v>434</v>
      </c>
    </row>
    <row r="184" spans="1:16">
      <c r="A184" s="2" t="str">
        <f>'01_원자료'!A181</f>
        <v>PAT-12</v>
      </c>
      <c r="B184" s="2" t="str">
        <f>'01_원자료'!B181</f>
        <v>qwen3_6</v>
      </c>
      <c r="C184" s="2" t="str">
        <f>'01_원자료'!C181</f>
        <v>qwen</v>
      </c>
      <c r="E184" s="17">
        <f>'01_원자료'!P181*'03_가중치민감도'!$B$5+'01_원자료'!Q181*'03_가중치민감도'!$C$5+'01_원자료'!R181*'03_가중치민감도'!$D$5</f>
        <v>0.7623880798865057</v>
      </c>
      <c r="F184" s="17">
        <f>'01_원자료'!P181*'03_가중치민감도'!$B$6+'01_원자료'!Q181*'03_가중치민감도'!$C$6+'01_원자료'!R181*'03_가중치민감도'!$D$6</f>
        <v>0.68441717922382606</v>
      </c>
      <c r="G184" s="17">
        <f>'01_원자료'!P181*'03_가중치민감도'!$B$7+'01_원자료'!Q181*'03_가중치민감도'!$C$7+'01_원자료'!R181*'03_가중치민감도'!$D$7</f>
        <v>0.75399553041167577</v>
      </c>
      <c r="H184" s="17">
        <f>'01_원자료'!P181*'03_가중치민감도'!$B$8+'01_원자료'!Q181*'03_가중치민감도'!$C$8+'01_원자료'!R181*'03_가중치민감도'!$D$8</f>
        <v>0.80435082726065521</v>
      </c>
      <c r="I184" s="17">
        <f>'01_원자료'!P181*'03_가중치민감도'!$B$9+'01_원자료'!Q181*'03_가중치민감도'!$C$9+'01_원자료'!R181*'03_가중치민감도'!$D$9</f>
        <v>0.71320499593632847</v>
      </c>
      <c r="J184" s="17">
        <f>'01_원자료'!P181*'03_가중치민감도'!$B$10+'01_원자료'!Q181*'03_가중치민감도'!$C$10+'01_원자료'!R181*'03_가중치민감도'!$D$10</f>
        <v>0.85714407949884519</v>
      </c>
      <c r="K184" s="31">
        <f t="shared" si="12"/>
        <v>968</v>
      </c>
      <c r="L184" s="31">
        <f t="shared" si="13"/>
        <v>973</v>
      </c>
      <c r="M184" s="31">
        <f t="shared" si="14"/>
        <v>963</v>
      </c>
      <c r="N184" s="31">
        <f t="shared" si="15"/>
        <v>971</v>
      </c>
      <c r="O184" s="31">
        <f t="shared" si="16"/>
        <v>971</v>
      </c>
      <c r="P184" s="31">
        <f t="shared" si="17"/>
        <v>906</v>
      </c>
    </row>
    <row r="185" spans="1:16">
      <c r="A185" s="2" t="str">
        <f>'01_원자료'!A182</f>
        <v>PAT-13</v>
      </c>
      <c r="B185" s="2" t="str">
        <f>'01_원자료'!B182</f>
        <v>chatgpt</v>
      </c>
      <c r="C185" s="2" t="str">
        <f>'01_원자료'!C182</f>
        <v>gemma</v>
      </c>
      <c r="E185" s="17">
        <f>'01_원자료'!P182*'03_가중치민감도'!$B$5+'01_원자료'!Q182*'03_가중치민감도'!$C$5+'01_원자료'!R182*'03_가중치민감도'!$D$5</f>
        <v>0.55557569868458878</v>
      </c>
      <c r="F185" s="17">
        <f>'01_원자료'!P182*'03_가중치민감도'!$B$6+'01_원자료'!Q182*'03_가중치민감도'!$C$6+'01_원자료'!R182*'03_가중치민감도'!$D$6</f>
        <v>0.47507833199266519</v>
      </c>
      <c r="G185" s="17">
        <f>'01_원자료'!P182*'03_가중치민감도'!$B$7+'01_원자료'!Q182*'03_가중치민감도'!$C$7+'01_원자료'!R182*'03_가중치민감도'!$D$7</f>
        <v>0.55873119790046644</v>
      </c>
      <c r="H185" s="17">
        <f>'01_원자료'!P182*'03_가중치민감도'!$B$8+'01_원자료'!Q182*'03_가중치민감도'!$C$8+'01_원자료'!R182*'03_가중치민감도'!$D$8</f>
        <v>0.53979820260520017</v>
      </c>
      <c r="I185" s="17">
        <f>'01_원자료'!P182*'03_가중치민감도'!$B$9+'01_원자료'!Q182*'03_가중치민감도'!$C$9+'01_원자료'!R182*'03_가중치민감도'!$D$9</f>
        <v>0.50085895448467987</v>
      </c>
      <c r="J185" s="17">
        <f>'01_원자료'!P182*'03_가중치민감도'!$B$10+'01_원자료'!Q182*'03_가중치민감도'!$C$10+'01_원자료'!R182*'03_가중치민감도'!$D$10</f>
        <v>0.62976206694475678</v>
      </c>
      <c r="K185" s="31">
        <f t="shared" si="12"/>
        <v>233</v>
      </c>
      <c r="L185" s="31">
        <f t="shared" si="13"/>
        <v>242</v>
      </c>
      <c r="M185" s="31">
        <f t="shared" si="14"/>
        <v>197</v>
      </c>
      <c r="N185" s="31">
        <f t="shared" si="15"/>
        <v>303</v>
      </c>
      <c r="O185" s="31">
        <f t="shared" si="16"/>
        <v>250</v>
      </c>
      <c r="P185" s="31">
        <f t="shared" si="17"/>
        <v>263</v>
      </c>
    </row>
    <row r="186" spans="1:16">
      <c r="A186" s="2" t="str">
        <f>'01_원자료'!A183</f>
        <v>PAT-13</v>
      </c>
      <c r="B186" s="2" t="str">
        <f>'01_원자료'!B183</f>
        <v>chatgpt</v>
      </c>
      <c r="C186" s="2" t="str">
        <f>'01_원자료'!C183</f>
        <v>ministral</v>
      </c>
      <c r="E186" s="17">
        <f>'01_원자료'!P183*'03_가중치민감도'!$B$5+'01_원자료'!Q183*'03_가중치민감도'!$C$5+'01_원자료'!R183*'03_가중치민감도'!$D$5</f>
        <v>0.53554264402505314</v>
      </c>
      <c r="F186" s="17">
        <f>'01_원자료'!P183*'03_가중치민감도'!$B$6+'01_원자료'!Q183*'03_가중치민감도'!$C$6+'01_원자료'!R183*'03_가중치민감도'!$D$6</f>
        <v>0.45540298791648615</v>
      </c>
      <c r="G186" s="17">
        <f>'01_원자료'!P183*'03_가중치민감도'!$B$7+'01_원자료'!Q183*'03_가중치민감도'!$C$7+'01_원자료'!R183*'03_가중치민감도'!$D$7</f>
        <v>0.5458021166336906</v>
      </c>
      <c r="H186" s="17">
        <f>'01_원자료'!P183*'03_가중치민감도'!$B$8+'01_원자료'!Q183*'03_가중치민감도'!$C$8+'01_원자료'!R183*'03_가중치민감도'!$D$8</f>
        <v>0.48424528098186537</v>
      </c>
      <c r="I186" s="17">
        <f>'01_원자료'!P183*'03_가중치민감도'!$B$9+'01_원자료'!Q183*'03_가중치민감도'!$C$9+'01_원자료'!R183*'03_가중치민감도'!$D$9</f>
        <v>0.47869638241646217</v>
      </c>
      <c r="J186" s="17">
        <f>'01_원자료'!P183*'03_가중치민감도'!$B$10+'01_원자료'!Q183*'03_가중치민감도'!$C$10+'01_원자료'!R183*'03_가중치민감도'!$D$10</f>
        <v>0.59516335491634498</v>
      </c>
      <c r="K186" s="31">
        <f t="shared" si="12"/>
        <v>155</v>
      </c>
      <c r="L186" s="31">
        <f t="shared" si="13"/>
        <v>157</v>
      </c>
      <c r="M186" s="31">
        <f t="shared" si="14"/>
        <v>134</v>
      </c>
      <c r="N186" s="31">
        <f t="shared" si="15"/>
        <v>184</v>
      </c>
      <c r="O186" s="31">
        <f t="shared" si="16"/>
        <v>161</v>
      </c>
      <c r="P186" s="31">
        <f t="shared" si="17"/>
        <v>171</v>
      </c>
    </row>
    <row r="187" spans="1:16">
      <c r="A187" s="2" t="str">
        <f>'01_원자료'!A184</f>
        <v>PAT-13</v>
      </c>
      <c r="B187" s="2" t="str">
        <f>'01_원자료'!B184</f>
        <v>chatgpt</v>
      </c>
      <c r="C187" s="2" t="str">
        <f>'01_원자료'!C184</f>
        <v>qwen</v>
      </c>
      <c r="E187" s="17">
        <f>'01_원자료'!P184*'03_가중치민감도'!$B$5+'01_원자료'!Q184*'03_가중치민감도'!$C$5+'01_원자료'!R184*'03_가중치민감도'!$D$5</f>
        <v>0.55279906706553694</v>
      </c>
      <c r="F187" s="17">
        <f>'01_원자료'!P184*'03_가중치민감도'!$B$6+'01_원자료'!Q184*'03_가중치민감도'!$C$6+'01_원자료'!R184*'03_가중치민감도'!$D$6</f>
        <v>0.48957095568269837</v>
      </c>
      <c r="G187" s="17">
        <f>'01_원자료'!P184*'03_가중치민감도'!$B$7+'01_원자료'!Q184*'03_가중치민감도'!$C$7+'01_원자료'!R184*'03_가중치민감도'!$D$7</f>
        <v>0.56292789558597744</v>
      </c>
      <c r="H187" s="17">
        <f>'01_원자료'!P184*'03_가중치민감도'!$B$8+'01_원자료'!Q184*'03_가중치민감도'!$C$8+'01_원자료'!R184*'03_가중치민감도'!$D$8</f>
        <v>0.50215492446333498</v>
      </c>
      <c r="I187" s="17">
        <f>'01_원자료'!P184*'03_가중치민감도'!$B$9+'01_원자료'!Q184*'03_가중치민감도'!$C$9+'01_원자료'!R184*'03_가중치민감도'!$D$9</f>
        <v>0.50727071663683054</v>
      </c>
      <c r="J187" s="17">
        <f>'01_원자료'!P184*'03_가중치민감도'!$B$10+'01_원자료'!Q184*'03_가중치민감도'!$C$10+'01_원자료'!R184*'03_가중치민감도'!$D$10</f>
        <v>0.59576952140749484</v>
      </c>
      <c r="K187" s="31">
        <f t="shared" si="12"/>
        <v>217</v>
      </c>
      <c r="L187" s="31">
        <f t="shared" si="13"/>
        <v>311</v>
      </c>
      <c r="M187" s="31">
        <f t="shared" si="14"/>
        <v>213</v>
      </c>
      <c r="N187" s="31">
        <f t="shared" si="15"/>
        <v>230</v>
      </c>
      <c r="O187" s="31">
        <f t="shared" si="16"/>
        <v>274</v>
      </c>
      <c r="P187" s="31">
        <f t="shared" si="17"/>
        <v>174</v>
      </c>
    </row>
    <row r="188" spans="1:16">
      <c r="A188" s="2" t="str">
        <f>'01_원자료'!A185</f>
        <v>PAT-13</v>
      </c>
      <c r="B188" s="2" t="str">
        <f>'01_원자료'!B185</f>
        <v>claude</v>
      </c>
      <c r="C188" s="2" t="str">
        <f>'01_원자료'!C185</f>
        <v>gemma</v>
      </c>
      <c r="E188" s="17">
        <f>'01_원자료'!P185*'03_가중치민감도'!$B$5+'01_원자료'!Q185*'03_가중치민감도'!$C$5+'01_원자료'!R185*'03_가중치민감도'!$D$5</f>
        <v>0.61821952072583319</v>
      </c>
      <c r="F188" s="17">
        <f>'01_원자료'!P185*'03_가중치민감도'!$B$6+'01_원자료'!Q185*'03_가중치민감도'!$C$6+'01_원자료'!R185*'03_가중치민감도'!$D$6</f>
        <v>0.52321893518966311</v>
      </c>
      <c r="G188" s="17">
        <f>'01_원자료'!P185*'03_가중치민감도'!$B$7+'01_원자료'!Q185*'03_가중치민감도'!$C$7+'01_원자료'!R185*'03_가중치민감도'!$D$7</f>
        <v>0.61964481384554482</v>
      </c>
      <c r="H188" s="17">
        <f>'01_원자료'!P185*'03_가중치민감도'!$B$8+'01_원자료'!Q185*'03_가중치민감도'!$C$8+'01_원자료'!R185*'03_가중치민감도'!$D$8</f>
        <v>0.61109305512727463</v>
      </c>
      <c r="I188" s="17">
        <f>'01_원자료'!P185*'03_가중치민감도'!$B$9+'01_원자료'!Q185*'03_가중치민감도'!$C$9+'01_원자료'!R185*'03_가중치민감도'!$D$9</f>
        <v>0.55441069932848197</v>
      </c>
      <c r="J188" s="17">
        <f>'01_원자료'!P185*'03_가중치민감도'!$B$10+'01_원자료'!Q185*'03_가중치민감도'!$C$10+'01_원자료'!R185*'03_가중치민감도'!$D$10</f>
        <v>0.71036952002257969</v>
      </c>
      <c r="K188" s="31">
        <f t="shared" si="12"/>
        <v>481</v>
      </c>
      <c r="L188" s="31">
        <f t="shared" si="13"/>
        <v>468</v>
      </c>
      <c r="M188" s="31">
        <f t="shared" si="14"/>
        <v>465</v>
      </c>
      <c r="N188" s="31">
        <f t="shared" si="15"/>
        <v>524</v>
      </c>
      <c r="O188" s="31">
        <f t="shared" si="16"/>
        <v>474</v>
      </c>
      <c r="P188" s="31">
        <f t="shared" si="17"/>
        <v>499</v>
      </c>
    </row>
    <row r="189" spans="1:16">
      <c r="A189" s="2" t="str">
        <f>'01_원자료'!A186</f>
        <v>PAT-13</v>
      </c>
      <c r="B189" s="2" t="str">
        <f>'01_원자료'!B186</f>
        <v>claude</v>
      </c>
      <c r="C189" s="2" t="str">
        <f>'01_원자료'!C186</f>
        <v>ministral</v>
      </c>
      <c r="E189" s="17">
        <f>'01_원자료'!P186*'03_가중치민감도'!$B$5+'01_원자료'!Q186*'03_가중치민감도'!$C$5+'01_원자료'!R186*'03_가중치민감도'!$D$5</f>
        <v>0.62584282288491411</v>
      </c>
      <c r="F189" s="17">
        <f>'01_원자료'!P186*'03_가중치민감도'!$B$6+'01_원자료'!Q186*'03_가중치민감도'!$C$6+'01_원자료'!R186*'03_가중치민감도'!$D$6</f>
        <v>0.53643300887728207</v>
      </c>
      <c r="G189" s="17">
        <f>'01_원자료'!P186*'03_가중치민감도'!$B$7+'01_원자료'!Q186*'03_가중치민감도'!$C$7+'01_원자료'!R186*'03_가중치민감도'!$D$7</f>
        <v>0.62821549273184296</v>
      </c>
      <c r="H189" s="17">
        <f>'01_원자료'!P186*'03_가중치민감도'!$B$8+'01_원자료'!Q186*'03_가중치민감도'!$C$8+'01_원자료'!R186*'03_가중치민감도'!$D$8</f>
        <v>0.61397947365026972</v>
      </c>
      <c r="I189" s="17">
        <f>'01_원자료'!P186*'03_가중치민감도'!$B$9+'01_원자료'!Q186*'03_가중치민감도'!$C$9+'01_원자료'!R186*'03_가중치민감도'!$D$9</f>
        <v>0.56544539026418261</v>
      </c>
      <c r="J189" s="17">
        <f>'01_원자료'!P186*'03_가중치민감도'!$B$10+'01_원자료'!Q186*'03_가중치민감도'!$C$10+'01_원자료'!R186*'03_가중치민감도'!$D$10</f>
        <v>0.71050729719868833</v>
      </c>
      <c r="K189" s="31">
        <f t="shared" si="12"/>
        <v>513</v>
      </c>
      <c r="L189" s="31">
        <f t="shared" si="13"/>
        <v>530</v>
      </c>
      <c r="M189" s="31">
        <f t="shared" si="14"/>
        <v>505</v>
      </c>
      <c r="N189" s="31">
        <f t="shared" si="15"/>
        <v>531</v>
      </c>
      <c r="O189" s="31">
        <f t="shared" si="16"/>
        <v>529</v>
      </c>
      <c r="P189" s="31">
        <f t="shared" si="17"/>
        <v>500</v>
      </c>
    </row>
    <row r="190" spans="1:16">
      <c r="A190" s="2" t="str">
        <f>'01_원자료'!A187</f>
        <v>PAT-13</v>
      </c>
      <c r="B190" s="2" t="str">
        <f>'01_원자료'!B187</f>
        <v>claude</v>
      </c>
      <c r="C190" s="2" t="str">
        <f>'01_원자료'!C187</f>
        <v>qwen</v>
      </c>
      <c r="E190" s="17">
        <f>'01_원자료'!P187*'03_가중치민감도'!$B$5+'01_원자료'!Q187*'03_가중치민감도'!$C$5+'01_원자료'!R187*'03_가중치민감도'!$D$5</f>
        <v>0.69706383764828717</v>
      </c>
      <c r="F190" s="17">
        <f>'01_원자료'!P187*'03_가중치민감도'!$B$6+'01_원자료'!Q187*'03_가중치민감도'!$C$6+'01_원자료'!R187*'03_가중치민감도'!$D$6</f>
        <v>0.6250291414921868</v>
      </c>
      <c r="G190" s="17">
        <f>'01_원자료'!P187*'03_가중치민감도'!$B$7+'01_원자료'!Q187*'03_가중치민감도'!$C$7+'01_원자료'!R187*'03_가중치민감도'!$D$7</f>
        <v>0.69367859034279167</v>
      </c>
      <c r="H190" s="17">
        <f>'01_원자료'!P187*'03_가중치민감도'!$B$8+'01_원자료'!Q187*'03_가중치민감도'!$C$8+'01_원자료'!R187*'03_가중치민감도'!$D$8</f>
        <v>0.71399007417576477</v>
      </c>
      <c r="I190" s="17">
        <f>'01_원자료'!P187*'03_가중치민감도'!$B$9+'01_원자료'!Q187*'03_가중치민감도'!$C$9+'01_원자료'!R187*'03_가중치민감도'!$D$9</f>
        <v>0.65016912264605142</v>
      </c>
      <c r="J190" s="17">
        <f>'01_원자료'!P187*'03_가중치민감도'!$B$10+'01_원자료'!Q187*'03_가중치민감도'!$C$10+'01_원자료'!R187*'03_가중치민감도'!$D$10</f>
        <v>0.77586902841537853</v>
      </c>
      <c r="K190" s="31">
        <f t="shared" si="12"/>
        <v>815</v>
      </c>
      <c r="L190" s="31">
        <f t="shared" si="13"/>
        <v>913</v>
      </c>
      <c r="M190" s="31">
        <f t="shared" si="14"/>
        <v>811</v>
      </c>
      <c r="N190" s="31">
        <f t="shared" si="15"/>
        <v>818</v>
      </c>
      <c r="O190" s="31">
        <f t="shared" si="16"/>
        <v>865</v>
      </c>
      <c r="P190" s="31">
        <f t="shared" si="17"/>
        <v>744</v>
      </c>
    </row>
    <row r="191" spans="1:16">
      <c r="A191" s="2" t="str">
        <f>'01_원자료'!A188</f>
        <v>PAT-13</v>
      </c>
      <c r="B191" s="2" t="str">
        <f>'01_원자료'!B188</f>
        <v>gemini</v>
      </c>
      <c r="C191" s="2" t="str">
        <f>'01_원자료'!C188</f>
        <v>gemma</v>
      </c>
      <c r="E191" s="17">
        <f>'01_원자료'!P188*'03_가중치민감도'!$B$5+'01_원자료'!Q188*'03_가중치민감도'!$C$5+'01_원자료'!R188*'03_가중치민감도'!$D$5</f>
        <v>0.73141026311042656</v>
      </c>
      <c r="F191" s="17">
        <f>'01_원자료'!P188*'03_가중치민감도'!$B$6+'01_원자료'!Q188*'03_가중치민감도'!$C$6+'01_원자료'!R188*'03_가중치민감도'!$D$6</f>
        <v>0.61480411272643842</v>
      </c>
      <c r="G191" s="17">
        <f>'01_원자료'!P188*'03_가중치민감도'!$B$7+'01_원자료'!Q188*'03_가중치민감도'!$C$7+'01_원자료'!R188*'03_가중치민감도'!$D$7</f>
        <v>0.72365583304769909</v>
      </c>
      <c r="H191" s="17">
        <f>'01_원자료'!P188*'03_가중치민감도'!$B$8+'01_원자료'!Q188*'03_가중치민감도'!$C$8+'01_원자료'!R188*'03_가중치민감도'!$D$8</f>
        <v>0.77018241342406379</v>
      </c>
      <c r="I191" s="17">
        <f>'01_원자료'!P188*'03_가중치민감도'!$B$9+'01_원자료'!Q188*'03_가중치민감도'!$C$9+'01_원자료'!R188*'03_가중치민감도'!$D$9</f>
        <v>0.65625763954200966</v>
      </c>
      <c r="J191" s="17">
        <f>'01_원자료'!P188*'03_가중치민감도'!$B$10+'01_원자료'!Q188*'03_가중치민감도'!$C$10+'01_원자료'!R188*'03_가중치민감도'!$D$10</f>
        <v>0.86352527361986964</v>
      </c>
      <c r="K191" s="31">
        <f t="shared" si="12"/>
        <v>905</v>
      </c>
      <c r="L191" s="31">
        <f t="shared" si="13"/>
        <v>876</v>
      </c>
      <c r="M191" s="31">
        <f t="shared" si="14"/>
        <v>905</v>
      </c>
      <c r="N191" s="31">
        <f t="shared" si="15"/>
        <v>899</v>
      </c>
      <c r="O191" s="31">
        <f t="shared" si="16"/>
        <v>892</v>
      </c>
      <c r="P191" s="31">
        <f t="shared" si="17"/>
        <v>928</v>
      </c>
    </row>
    <row r="192" spans="1:16">
      <c r="A192" s="2" t="str">
        <f>'01_원자료'!A189</f>
        <v>PAT-13</v>
      </c>
      <c r="B192" s="2" t="str">
        <f>'01_원자료'!B189</f>
        <v>gemini</v>
      </c>
      <c r="C192" s="2" t="str">
        <f>'01_원자료'!C189</f>
        <v>ministral</v>
      </c>
      <c r="E192" s="17">
        <f>'01_원자료'!P189*'03_가중치민감도'!$B$5+'01_원자료'!Q189*'03_가중치민감도'!$C$5+'01_원자료'!R189*'03_가중치민감도'!$D$5</f>
        <v>0.63060715069551154</v>
      </c>
      <c r="F192" s="17">
        <f>'01_원자료'!P189*'03_가중치민감도'!$B$6+'01_원자료'!Q189*'03_가중치민감도'!$C$6+'01_원자료'!R189*'03_가중치민감도'!$D$6</f>
        <v>0.53016591862282947</v>
      </c>
      <c r="G192" s="17">
        <f>'01_원자료'!P189*'03_가중치민감도'!$B$7+'01_원자료'!Q189*'03_가중치민감도'!$C$7+'01_원자료'!R189*'03_가중치민감도'!$D$7</f>
        <v>0.6396225347742146</v>
      </c>
      <c r="H192" s="17">
        <f>'01_원자료'!P189*'03_가중치민감도'!$B$8+'01_원자료'!Q189*'03_가중치민감도'!$C$8+'01_원자료'!R189*'03_가중치민감도'!$D$8</f>
        <v>0.58553023030199625</v>
      </c>
      <c r="I192" s="17">
        <f>'01_원자료'!P189*'03_가중치민감도'!$B$9+'01_원자료'!Q189*'03_가중치민감도'!$C$9+'01_원자료'!R189*'03_가중치민감도'!$D$9</f>
        <v>0.56064120128748862</v>
      </c>
      <c r="J192" s="17">
        <f>'01_원자료'!P189*'03_가중치민감도'!$B$10+'01_원자료'!Q189*'03_가중치민감도'!$C$10+'01_원자료'!R189*'03_가중치민감도'!$D$10</f>
        <v>0.7130176146107875</v>
      </c>
      <c r="K192" s="31">
        <f t="shared" si="12"/>
        <v>529</v>
      </c>
      <c r="L192" s="31">
        <f t="shared" si="13"/>
        <v>498</v>
      </c>
      <c r="M192" s="31">
        <f t="shared" si="14"/>
        <v>562</v>
      </c>
      <c r="N192" s="31">
        <f t="shared" si="15"/>
        <v>450</v>
      </c>
      <c r="O192" s="31">
        <f t="shared" si="16"/>
        <v>504</v>
      </c>
      <c r="P192" s="31">
        <f t="shared" si="17"/>
        <v>507</v>
      </c>
    </row>
    <row r="193" spans="1:16">
      <c r="A193" s="2" t="str">
        <f>'01_원자료'!A190</f>
        <v>PAT-13</v>
      </c>
      <c r="B193" s="2" t="str">
        <f>'01_원자료'!B190</f>
        <v>gemini</v>
      </c>
      <c r="C193" s="2" t="str">
        <f>'01_원자료'!C190</f>
        <v>qwen</v>
      </c>
      <c r="E193" s="17">
        <f>'01_원자료'!P190*'03_가중치민감도'!$B$5+'01_원자료'!Q190*'03_가중치민감도'!$C$5+'01_원자료'!R190*'03_가중치민감도'!$D$5</f>
        <v>0.7130531250872203</v>
      </c>
      <c r="F193" s="17">
        <f>'01_원자료'!P190*'03_가중치민감도'!$B$6+'01_원자료'!Q190*'03_가중치민감도'!$C$6+'01_원자료'!R190*'03_가중치민감도'!$D$6</f>
        <v>0.62624822872967723</v>
      </c>
      <c r="G193" s="17">
        <f>'01_원자료'!P190*'03_가중치민감도'!$B$7+'01_원자료'!Q190*'03_가중치민감도'!$C$7+'01_원자료'!R190*'03_가중치민감도'!$D$7</f>
        <v>0.71354376864084923</v>
      </c>
      <c r="H193" s="17">
        <f>'01_원자료'!P190*'03_가중치민감도'!$B$8+'01_원자료'!Q190*'03_가중치민감도'!$C$8+'01_원자료'!R190*'03_가중치민감도'!$D$8</f>
        <v>0.71059990731907585</v>
      </c>
      <c r="I193" s="17">
        <f>'01_원자료'!P190*'03_가중치민감도'!$B$9+'01_원자료'!Q190*'03_가중치민감도'!$C$9+'01_원자료'!R190*'03_가중치민감도'!$D$9</f>
        <v>0.65501964633098131</v>
      </c>
      <c r="J193" s="17">
        <f>'01_원자료'!P190*'03_가중치민감도'!$B$10+'01_원자료'!Q190*'03_가중치민감도'!$C$10+'01_원자료'!R190*'03_가중치민감도'!$D$10</f>
        <v>0.79887673433750561</v>
      </c>
      <c r="K193" s="31">
        <f t="shared" si="12"/>
        <v>855</v>
      </c>
      <c r="L193" s="31">
        <f t="shared" si="13"/>
        <v>915</v>
      </c>
      <c r="M193" s="31">
        <f t="shared" si="14"/>
        <v>881</v>
      </c>
      <c r="N193" s="31">
        <f t="shared" si="15"/>
        <v>814</v>
      </c>
      <c r="O193" s="31">
        <f t="shared" si="16"/>
        <v>888</v>
      </c>
      <c r="P193" s="31">
        <f t="shared" si="17"/>
        <v>813</v>
      </c>
    </row>
    <row r="194" spans="1:16">
      <c r="A194" s="2" t="str">
        <f>'01_원자료'!A191</f>
        <v>PAT-13</v>
      </c>
      <c r="B194" s="2" t="str">
        <f>'01_원자료'!B191</f>
        <v>mistral</v>
      </c>
      <c r="C194" s="2" t="str">
        <f>'01_원자료'!C191</f>
        <v>gemma</v>
      </c>
      <c r="E194" s="17">
        <f>'01_원자료'!P191*'03_가중치민감도'!$B$5+'01_원자료'!Q191*'03_가중치민감도'!$C$5+'01_원자료'!R191*'03_가중치민감도'!$D$5</f>
        <v>0.5773120502011384</v>
      </c>
      <c r="F194" s="17">
        <f>'01_원자료'!P191*'03_가중치민감도'!$B$6+'01_원자료'!Q191*'03_가중치민감도'!$C$6+'01_원자료'!R191*'03_가중치민감도'!$D$6</f>
        <v>0.49166284174283648</v>
      </c>
      <c r="G194" s="17">
        <f>'01_원자료'!P191*'03_가중치민감도'!$B$7+'01_원자료'!Q191*'03_가중치민감도'!$C$7+'01_원자료'!R191*'03_가중치민감도'!$D$7</f>
        <v>0.58241067360794363</v>
      </c>
      <c r="H194" s="17">
        <f>'01_원자료'!P191*'03_가중치민감도'!$B$8+'01_원자료'!Q191*'03_가중치민감도'!$C$8+'01_원자료'!R191*'03_가중치민감도'!$D$8</f>
        <v>0.55181893316711239</v>
      </c>
      <c r="I194" s="17">
        <f>'01_원자료'!P191*'03_가중치민감도'!$B$9+'01_원자료'!Q191*'03_가중치민감도'!$C$9+'01_원자료'!R191*'03_가중치민감도'!$D$9</f>
        <v>0.51851303676000149</v>
      </c>
      <c r="J194" s="17">
        <f>'01_원자료'!P191*'03_가중치민감도'!$B$10+'01_원자료'!Q191*'03_가중치민감도'!$C$10+'01_원자료'!R191*'03_가중치민감도'!$D$10</f>
        <v>0.65276401184582977</v>
      </c>
      <c r="K194" s="31">
        <f t="shared" si="12"/>
        <v>313</v>
      </c>
      <c r="L194" s="31">
        <f t="shared" si="13"/>
        <v>323</v>
      </c>
      <c r="M194" s="31">
        <f t="shared" si="14"/>
        <v>302</v>
      </c>
      <c r="N194" s="31">
        <f t="shared" si="15"/>
        <v>344</v>
      </c>
      <c r="O194" s="31">
        <f t="shared" si="16"/>
        <v>319</v>
      </c>
      <c r="P194" s="31">
        <f t="shared" si="17"/>
        <v>313</v>
      </c>
    </row>
    <row r="195" spans="1:16">
      <c r="A195" s="2" t="str">
        <f>'01_원자료'!A192</f>
        <v>PAT-13</v>
      </c>
      <c r="B195" s="2" t="str">
        <f>'01_원자료'!B192</f>
        <v>mistral</v>
      </c>
      <c r="C195" s="2" t="str">
        <f>'01_원자료'!C192</f>
        <v>ministral</v>
      </c>
      <c r="E195" s="17">
        <f>'01_원자료'!P192*'03_가중치민감도'!$B$5+'01_원자료'!Q192*'03_가중치민감도'!$C$5+'01_원자료'!R192*'03_가중치민감도'!$D$5</f>
        <v>0.67831800055815239</v>
      </c>
      <c r="F195" s="17">
        <f>'01_원자료'!P192*'03_가중치민감도'!$B$6+'01_원자료'!Q192*'03_가중치민감도'!$C$6+'01_원자료'!R192*'03_가중치민감도'!$D$6</f>
        <v>0.58910293754293663</v>
      </c>
      <c r="G195" s="17">
        <f>'01_원자료'!P192*'03_가중치민감도'!$B$7+'01_원자료'!Q192*'03_가중치민감도'!$C$7+'01_원자료'!R192*'03_가중치민감도'!$D$7</f>
        <v>0.67528600481858869</v>
      </c>
      <c r="H195" s="17">
        <f>'01_원자료'!P192*'03_가중치민감도'!$B$8+'01_원자료'!Q192*'03_가중치민감도'!$C$8+'01_원자료'!R192*'03_가중치민감도'!$D$8</f>
        <v>0.69347797925597088</v>
      </c>
      <c r="I195" s="17">
        <f>'01_원자료'!P192*'03_가중치민감도'!$B$9+'01_원자료'!Q192*'03_가중치민감도'!$C$9+'01_원자료'!R192*'03_가중치민감도'!$D$9</f>
        <v>0.61985195712786245</v>
      </c>
      <c r="J195" s="17">
        <f>'01_원자료'!P192*'03_가중치민감도'!$B$10+'01_원자료'!Q192*'03_가중치민감도'!$C$10+'01_원자료'!R192*'03_가중치민감도'!$D$10</f>
        <v>0.77359705505249554</v>
      </c>
      <c r="K195" s="31">
        <f t="shared" si="12"/>
        <v>752</v>
      </c>
      <c r="L195" s="31">
        <f t="shared" si="13"/>
        <v>767</v>
      </c>
      <c r="M195" s="31">
        <f t="shared" si="14"/>
        <v>742</v>
      </c>
      <c r="N195" s="31">
        <f t="shared" si="15"/>
        <v>763</v>
      </c>
      <c r="O195" s="31">
        <f t="shared" si="16"/>
        <v>766</v>
      </c>
      <c r="P195" s="31">
        <f t="shared" si="17"/>
        <v>737</v>
      </c>
    </row>
    <row r="196" spans="1:16">
      <c r="A196" s="2" t="str">
        <f>'01_원자료'!A193</f>
        <v>PAT-13</v>
      </c>
      <c r="B196" s="2" t="str">
        <f>'01_원자료'!B193</f>
        <v>mistral</v>
      </c>
      <c r="C196" s="2" t="str">
        <f>'01_원자료'!C193</f>
        <v>qwen</v>
      </c>
      <c r="E196" s="17">
        <f>'01_원자료'!P193*'03_가중치민감도'!$B$5+'01_원자료'!Q193*'03_가중치민감도'!$C$5+'01_원자료'!R193*'03_가중치민감도'!$D$5</f>
        <v>0.63384500030355173</v>
      </c>
      <c r="F196" s="17">
        <f>'01_원자료'!P193*'03_가중치민감도'!$B$6+'01_원자료'!Q193*'03_가중치민감도'!$C$6+'01_원자료'!R193*'03_가중치민감도'!$D$6</f>
        <v>0.54740219211374774</v>
      </c>
      <c r="G196" s="17">
        <f>'01_원자료'!P193*'03_가중치민감도'!$B$7+'01_원자료'!Q193*'03_가중치민감도'!$C$7+'01_원자료'!R193*'03_가중치민감도'!$D$7</f>
        <v>0.63569614483849179</v>
      </c>
      <c r="H196" s="17">
        <f>'01_원자료'!P193*'03_가중치민감도'!$B$8+'01_원자료'!Q193*'03_가중치민감도'!$C$8+'01_원자료'!R193*'03_가중치민감도'!$D$8</f>
        <v>0.62458927762885108</v>
      </c>
      <c r="I196" s="17">
        <f>'01_원자료'!P193*'03_가중치민감도'!$B$9+'01_원자료'!Q193*'03_가중치민감도'!$C$9+'01_원자료'!R193*'03_가중치민감도'!$D$9</f>
        <v>0.57559941333203501</v>
      </c>
      <c r="J196" s="17">
        <f>'01_원자료'!P193*'03_가중치민감도'!$B$10+'01_원자료'!Q193*'03_가중치민감도'!$C$10+'01_원자료'!R193*'03_가중치민감도'!$D$10</f>
        <v>0.71658551942347537</v>
      </c>
      <c r="K196" s="31">
        <f t="shared" si="12"/>
        <v>546</v>
      </c>
      <c r="L196" s="31">
        <f t="shared" si="13"/>
        <v>574</v>
      </c>
      <c r="M196" s="31">
        <f t="shared" si="14"/>
        <v>540</v>
      </c>
      <c r="N196" s="31">
        <f t="shared" si="15"/>
        <v>562</v>
      </c>
      <c r="O196" s="31">
        <f t="shared" si="16"/>
        <v>568</v>
      </c>
      <c r="P196" s="31">
        <f t="shared" si="17"/>
        <v>526</v>
      </c>
    </row>
    <row r="197" spans="1:16">
      <c r="A197" s="2" t="str">
        <f>'01_원자료'!A194</f>
        <v>PAT-13</v>
      </c>
      <c r="B197" s="2" t="str">
        <f>'01_원자료'!B194</f>
        <v>qwen3_6</v>
      </c>
      <c r="C197" s="2" t="str">
        <f>'01_원자료'!C194</f>
        <v>gemma</v>
      </c>
      <c r="E197" s="17">
        <f>'01_원자료'!P194*'03_가중치민감도'!$B$5+'01_원자료'!Q194*'03_가중치민감도'!$C$5+'01_원자료'!R194*'03_가중치민감도'!$D$5</f>
        <v>0.7158146559577705</v>
      </c>
      <c r="F197" s="17">
        <f>'01_원자료'!P194*'03_가중치민감도'!$B$6+'01_원자료'!Q194*'03_가중치민감도'!$C$6+'01_원자료'!R194*'03_가중치민감도'!$D$6</f>
        <v>0.61247232587358458</v>
      </c>
      <c r="G197" s="17">
        <f>'01_원자료'!P194*'03_가중치민감도'!$B$7+'01_원자료'!Q194*'03_가중치민감도'!$C$7+'01_원자료'!R194*'03_가중치민감도'!$D$7</f>
        <v>0.70565527360733804</v>
      </c>
      <c r="H197" s="17">
        <f>'01_원자료'!P194*'03_가중치민감도'!$B$8+'01_원자료'!Q194*'03_가중치민감도'!$C$8+'01_원자료'!R194*'03_가중치민감도'!$D$8</f>
        <v>0.76661156770993211</v>
      </c>
      <c r="I197" s="17">
        <f>'01_원자료'!P194*'03_가중치민감도'!$B$9+'01_원자료'!Q194*'03_가중치민감도'!$C$9+'01_원자료'!R194*'03_가중치민감도'!$D$9</f>
        <v>0.65030623001845655</v>
      </c>
      <c r="J197" s="17">
        <f>'01_원자료'!P194*'03_가중치민감도'!$B$10+'01_원자료'!Q194*'03_가중치민감도'!$C$10+'01_원자료'!R194*'03_가중치민감도'!$D$10</f>
        <v>0.83947575074282099</v>
      </c>
      <c r="K197" s="31">
        <f t="shared" ref="K197:K260" si="18">COUNTIF($E$5:$E$979,"&lt;"&amp;E197)+(COUNTIF($E$5:$E$979,"="&amp;E197)+1)/2</f>
        <v>862</v>
      </c>
      <c r="L197" s="31">
        <f t="shared" ref="L197:L260" si="19">COUNTIF($F$5:$F$979,"&lt;"&amp;F197)+(COUNTIF($F$5:$F$979,"="&amp;F197)+1)/2</f>
        <v>865</v>
      </c>
      <c r="M197" s="31">
        <f t="shared" ref="M197:M260" si="20">COUNTIF($G$5:$G$979,"&lt;"&amp;G197)+(COUNTIF($G$5:$G$979,"="&amp;G197)+1)/2</f>
        <v>850</v>
      </c>
      <c r="N197" s="31">
        <f t="shared" ref="N197:N260" si="21">COUNTIF($H$5:$H$979,"&lt;"&amp;H197)+(COUNTIF($H$5:$H$979,"="&amp;H197)+1)/2</f>
        <v>886</v>
      </c>
      <c r="O197" s="31">
        <f t="shared" ref="O197:O260" si="22">COUNTIF($I$5:$I$979,"&lt;"&amp;I197)+(COUNTIF($I$5:$I$979,"="&amp;I197)+1)/2</f>
        <v>867</v>
      </c>
      <c r="P197" s="31">
        <f t="shared" ref="P197:P260" si="23">COUNTIF($J$5:$J$979,"&lt;"&amp;J197)+(COUNTIF($J$5:$J$979,"="&amp;J197)+1)/2</f>
        <v>860</v>
      </c>
    </row>
    <row r="198" spans="1:16">
      <c r="A198" s="2" t="str">
        <f>'01_원자료'!A195</f>
        <v>PAT-13</v>
      </c>
      <c r="B198" s="2" t="str">
        <f>'01_원자료'!B195</f>
        <v>qwen3_6</v>
      </c>
      <c r="C198" s="2" t="str">
        <f>'01_원자료'!C195</f>
        <v>ministral</v>
      </c>
      <c r="E198" s="17">
        <f>'01_원자료'!P195*'03_가중치민감도'!$B$5+'01_원자료'!Q195*'03_가중치민감도'!$C$5+'01_원자료'!R195*'03_가중치민감도'!$D$5</f>
        <v>0.61298448335204214</v>
      </c>
      <c r="F198" s="17">
        <f>'01_원자료'!P195*'03_가중치민감도'!$B$6+'01_원자료'!Q195*'03_가중치민감도'!$C$6+'01_원자료'!R195*'03_가중치민감도'!$D$6</f>
        <v>0.52803121571884415</v>
      </c>
      <c r="G198" s="17">
        <f>'01_원자료'!P195*'03_가중치민감도'!$B$7+'01_원자료'!Q195*'03_가중치민감도'!$C$7+'01_원자료'!R195*'03_가중치민감도'!$D$7</f>
        <v>0.61924064811549906</v>
      </c>
      <c r="H198" s="17">
        <f>'01_원자료'!P195*'03_가중치민감도'!$B$8+'01_원자료'!Q195*'03_가중치민감도'!$C$8+'01_원자료'!R195*'03_가중치민감도'!$D$8</f>
        <v>0.58170365953475756</v>
      </c>
      <c r="I198" s="17">
        <f>'01_원자료'!P195*'03_가중치민감도'!$B$9+'01_원자료'!Q195*'03_가중치민감도'!$C$9+'01_원자료'!R195*'03_가중치민감도'!$D$9</f>
        <v>0.55426358334209058</v>
      </c>
      <c r="J198" s="17">
        <f>'01_원자료'!P195*'03_가중치민감도'!$B$10+'01_원자료'!Q195*'03_가중치민감도'!$C$10+'01_원자료'!R195*'03_가중치민감도'!$D$10</f>
        <v>0.68542542145832619</v>
      </c>
      <c r="K198" s="31">
        <f t="shared" si="18"/>
        <v>451</v>
      </c>
      <c r="L198" s="31">
        <f t="shared" si="19"/>
        <v>489</v>
      </c>
      <c r="M198" s="31">
        <f t="shared" si="20"/>
        <v>463</v>
      </c>
      <c r="N198" s="31">
        <f t="shared" si="21"/>
        <v>433</v>
      </c>
      <c r="O198" s="31">
        <f t="shared" si="22"/>
        <v>472</v>
      </c>
      <c r="P198" s="31">
        <f t="shared" si="23"/>
        <v>412</v>
      </c>
    </row>
    <row r="199" spans="1:16">
      <c r="A199" s="2" t="str">
        <f>'01_원자료'!A196</f>
        <v>PAT-13</v>
      </c>
      <c r="B199" s="2" t="str">
        <f>'01_원자료'!B196</f>
        <v>qwen3_6</v>
      </c>
      <c r="C199" s="2" t="str">
        <f>'01_원자료'!C196</f>
        <v>qwen</v>
      </c>
      <c r="E199" s="17">
        <f>'01_원자료'!P196*'03_가중치민감도'!$B$5+'01_원자료'!Q196*'03_가중치민감도'!$C$5+'01_원자료'!R196*'03_가중치민감도'!$D$5</f>
        <v>0.71319038160580794</v>
      </c>
      <c r="F199" s="17">
        <f>'01_원자료'!P196*'03_가중치민감도'!$B$6+'01_원자료'!Q196*'03_가중치민감도'!$C$6+'01_원자료'!R196*'03_가중치민감도'!$D$6</f>
        <v>0.64394168883063052</v>
      </c>
      <c r="G199" s="17">
        <f>'01_원자료'!P196*'03_가중치민감도'!$B$7+'01_원자료'!Q196*'03_가중치민감도'!$C$7+'01_원자료'!R196*'03_가중치민감도'!$D$7</f>
        <v>0.71222944623745532</v>
      </c>
      <c r="H199" s="17">
        <f>'01_원자료'!P196*'03_가중치민감도'!$B$8+'01_원자료'!Q196*'03_가중치민감도'!$C$8+'01_원자료'!R196*'03_가중치민감도'!$D$8</f>
        <v>0.71799505844757094</v>
      </c>
      <c r="I199" s="17">
        <f>'01_원자료'!P196*'03_가중치민감도'!$B$9+'01_원자료'!Q196*'03_가중치민감도'!$C$9+'01_원자료'!R196*'03_가중치민감도'!$D$9</f>
        <v>0.66734489821180643</v>
      </c>
      <c r="J199" s="17">
        <f>'01_원자료'!P196*'03_가중치민감도'!$B$10+'01_원자료'!Q196*'03_가중치민감도'!$C$10+'01_원자료'!R196*'03_가중치민감도'!$D$10</f>
        <v>0.78436094511769061</v>
      </c>
      <c r="K199" s="31">
        <f t="shared" si="18"/>
        <v>856</v>
      </c>
      <c r="L199" s="31">
        <f t="shared" si="19"/>
        <v>947</v>
      </c>
      <c r="M199" s="31">
        <f t="shared" si="20"/>
        <v>877</v>
      </c>
      <c r="N199" s="31">
        <f t="shared" si="21"/>
        <v>826</v>
      </c>
      <c r="O199" s="31">
        <f t="shared" si="22"/>
        <v>921</v>
      </c>
      <c r="P199" s="31">
        <f t="shared" si="23"/>
        <v>770</v>
      </c>
    </row>
    <row r="200" spans="1:16">
      <c r="A200" s="2" t="str">
        <f>'01_원자료'!A197</f>
        <v>PAT-14</v>
      </c>
      <c r="B200" s="2" t="str">
        <f>'01_원자료'!B197</f>
        <v>chatgpt</v>
      </c>
      <c r="C200" s="2" t="str">
        <f>'01_원자료'!C197</f>
        <v>gemma</v>
      </c>
      <c r="E200" s="17">
        <f>'01_원자료'!P197*'03_가중치민감도'!$B$5+'01_원자료'!Q197*'03_가중치민감도'!$C$5+'01_원자료'!R197*'03_가중치민감도'!$D$5</f>
        <v>0.56498563086471076</v>
      </c>
      <c r="F200" s="17">
        <f>'01_원자료'!P197*'03_가중치민감도'!$B$6+'01_원자료'!Q197*'03_가중치민감도'!$C$6+'01_원자료'!R197*'03_가중치민감도'!$D$6</f>
        <v>0.48428395582810052</v>
      </c>
      <c r="G200" s="17">
        <f>'01_원자료'!P197*'03_가중치민감도'!$B$7+'01_원자료'!Q197*'03_가중치민감도'!$C$7+'01_원자료'!R197*'03_가중치민감도'!$D$7</f>
        <v>0.56894231679098928</v>
      </c>
      <c r="H200" s="17">
        <f>'01_원자료'!P197*'03_가중치민감도'!$B$8+'01_원자료'!Q197*'03_가중치민감도'!$C$8+'01_원자료'!R197*'03_가중치민감도'!$D$8</f>
        <v>0.54520220123331853</v>
      </c>
      <c r="I200" s="17">
        <f>'01_원자료'!P197*'03_가중치민감도'!$B$9+'01_원자료'!Q197*'03_가중치민감도'!$C$9+'01_원자료'!R197*'03_가중치민감도'!$D$9</f>
        <v>0.50986561886487725</v>
      </c>
      <c r="J200" s="17">
        <f>'01_원자료'!P197*'03_가중치민감도'!$B$10+'01_원자료'!Q197*'03_가중치민감도'!$C$10+'01_원자료'!R197*'03_가중치민감도'!$D$10</f>
        <v>0.63777393404876415</v>
      </c>
      <c r="K200" s="31">
        <f t="shared" si="18"/>
        <v>268</v>
      </c>
      <c r="L200" s="31">
        <f t="shared" si="19"/>
        <v>291</v>
      </c>
      <c r="M200" s="31">
        <f t="shared" si="20"/>
        <v>242</v>
      </c>
      <c r="N200" s="31">
        <f t="shared" si="21"/>
        <v>324</v>
      </c>
      <c r="O200" s="31">
        <f t="shared" si="22"/>
        <v>289</v>
      </c>
      <c r="P200" s="31">
        <f t="shared" si="23"/>
        <v>281</v>
      </c>
    </row>
    <row r="201" spans="1:16">
      <c r="A201" s="2" t="str">
        <f>'01_원자료'!A198</f>
        <v>PAT-14</v>
      </c>
      <c r="B201" s="2" t="str">
        <f>'01_원자료'!B198</f>
        <v>chatgpt</v>
      </c>
      <c r="C201" s="2" t="str">
        <f>'01_원자료'!C198</f>
        <v>ministral</v>
      </c>
      <c r="E201" s="17">
        <f>'01_원자료'!P198*'03_가중치민감도'!$B$5+'01_원자료'!Q198*'03_가중치민감도'!$C$5+'01_원자료'!R198*'03_가중치민감도'!$D$5</f>
        <v>0.47559474117376488</v>
      </c>
      <c r="F201" s="17">
        <f>'01_원자료'!P198*'03_가중치민감도'!$B$6+'01_원자료'!Q198*'03_가중치민감도'!$C$6+'01_원자료'!R198*'03_가중치민감도'!$D$6</f>
        <v>0.40538144860095826</v>
      </c>
      <c r="G201" s="17">
        <f>'01_원자료'!P198*'03_가중치민감도'!$B$7+'01_원자료'!Q198*'03_가중치민감도'!$C$7+'01_원자료'!R198*'03_가중치민감도'!$D$7</f>
        <v>0.49565170120171353</v>
      </c>
      <c r="H201" s="17">
        <f>'01_원자료'!P198*'03_가중치민감도'!$B$8+'01_원자료'!Q198*'03_가중치민감도'!$C$8+'01_원자료'!R198*'03_가중치민감도'!$D$8</f>
        <v>0.37530994103402165</v>
      </c>
      <c r="I201" s="17">
        <f>'01_원자료'!P198*'03_가중치민감도'!$B$9+'01_원자료'!Q198*'03_가중치민감도'!$C$9+'01_원자료'!R198*'03_가중치민감도'!$D$9</f>
        <v>0.42210022611591047</v>
      </c>
      <c r="J201" s="17">
        <f>'01_원자료'!P198*'03_가중치민감도'!$B$10+'01_원자료'!Q198*'03_가중치민감도'!$C$10+'01_원자료'!R198*'03_가중치민감도'!$D$10</f>
        <v>0.50569411369067419</v>
      </c>
      <c r="K201" s="31">
        <f t="shared" si="18"/>
        <v>13</v>
      </c>
      <c r="L201" s="31">
        <f t="shared" si="19"/>
        <v>25</v>
      </c>
      <c r="M201" s="31">
        <f t="shared" si="20"/>
        <v>13</v>
      </c>
      <c r="N201" s="31">
        <f t="shared" si="21"/>
        <v>13</v>
      </c>
      <c r="O201" s="31">
        <f t="shared" si="22"/>
        <v>20</v>
      </c>
      <c r="P201" s="31">
        <f t="shared" si="23"/>
        <v>11</v>
      </c>
    </row>
    <row r="202" spans="1:16">
      <c r="A202" s="2" t="str">
        <f>'01_원자료'!A199</f>
        <v>PAT-14</v>
      </c>
      <c r="B202" s="2" t="str">
        <f>'01_원자료'!B199</f>
        <v>chatgpt</v>
      </c>
      <c r="C202" s="2" t="str">
        <f>'01_원자료'!C199</f>
        <v>qwen</v>
      </c>
      <c r="E202" s="17">
        <f>'01_원자료'!P199*'03_가중치민감도'!$B$5+'01_원자료'!Q199*'03_가중치민감도'!$C$5+'01_원자료'!R199*'03_가중치민감도'!$D$5</f>
        <v>0.27500213944419905</v>
      </c>
      <c r="F202" s="17">
        <f>'01_원자료'!P199*'03_가중치민감도'!$B$6+'01_원자료'!Q199*'03_가중치민감도'!$C$6+'01_원자료'!R199*'03_가중치민감도'!$D$6</f>
        <v>0.20096109647810931</v>
      </c>
      <c r="G202" s="17">
        <f>'01_원자료'!P199*'03_가중치민감도'!$B$7+'01_원자료'!Q199*'03_가중치민감도'!$C$7+'01_원자료'!R199*'03_가중치민감도'!$D$7</f>
        <v>0.30372115372526248</v>
      </c>
      <c r="H202" s="17">
        <f>'01_원자료'!P199*'03_가중치민감도'!$B$8+'01_원자료'!Q199*'03_가중치민감도'!$C$8+'01_원자료'!R199*'03_가중치민감도'!$D$8</f>
        <v>0.13140706803888189</v>
      </c>
      <c r="I202" s="17">
        <f>'01_원자료'!P199*'03_가중치민감도'!$B$9+'01_원자료'!Q199*'03_가중치민감도'!$C$9+'01_원자료'!R199*'03_가중치민감도'!$D$9</f>
        <v>0.21606843937311784</v>
      </c>
      <c r="J202" s="17">
        <f>'01_원자료'!P199*'03_가중치민감도'!$B$10+'01_원자료'!Q199*'03_가중치민감도'!$C$10+'01_원자료'!R199*'03_가중치민감도'!$D$10</f>
        <v>0.29160515384816194</v>
      </c>
      <c r="K202" s="31">
        <f t="shared" si="18"/>
        <v>1</v>
      </c>
      <c r="L202" s="31">
        <f t="shared" si="19"/>
        <v>1</v>
      </c>
      <c r="M202" s="31">
        <f t="shared" si="20"/>
        <v>1</v>
      </c>
      <c r="N202" s="31">
        <f t="shared" si="21"/>
        <v>1</v>
      </c>
      <c r="O202" s="31">
        <f t="shared" si="22"/>
        <v>1</v>
      </c>
      <c r="P202" s="31">
        <f t="shared" si="23"/>
        <v>1</v>
      </c>
    </row>
    <row r="203" spans="1:16">
      <c r="A203" s="2" t="str">
        <f>'01_원자료'!A200</f>
        <v>PAT-14</v>
      </c>
      <c r="B203" s="2" t="str">
        <f>'01_원자료'!B200</f>
        <v>claude</v>
      </c>
      <c r="C203" s="2" t="str">
        <f>'01_원자료'!C200</f>
        <v>gemma</v>
      </c>
      <c r="E203" s="17">
        <f>'01_원자료'!P200*'03_가중치민감도'!$B$5+'01_원자료'!Q200*'03_가중치민감도'!$C$5+'01_원자료'!R200*'03_가중치민감도'!$D$5</f>
        <v>0.62906688120561416</v>
      </c>
      <c r="F203" s="17">
        <f>'01_원자료'!P200*'03_가중치민감도'!$B$6+'01_원자료'!Q200*'03_가중치민감도'!$C$6+'01_원자료'!R200*'03_가중치민감도'!$D$6</f>
        <v>0.53286572845944957</v>
      </c>
      <c r="G203" s="17">
        <f>'01_원자료'!P200*'03_가중치민감도'!$B$7+'01_원자료'!Q200*'03_가중치민감도'!$C$7+'01_원자료'!R200*'03_가중치민감도'!$D$7</f>
        <v>0.63149616829947375</v>
      </c>
      <c r="H203" s="17">
        <f>'01_원자료'!P200*'03_가중치민감도'!$B$8+'01_원자료'!Q200*'03_가중치민감도'!$C$8+'01_원자료'!R200*'03_가중치민감도'!$D$8</f>
        <v>0.61692044573631577</v>
      </c>
      <c r="I203" s="17">
        <f>'01_원자료'!P200*'03_가중치민감도'!$B$9+'01_원자료'!Q200*'03_가중치민감도'!$C$9+'01_원자료'!R200*'03_가중치민감도'!$D$9</f>
        <v>0.56412301701021728</v>
      </c>
      <c r="J203" s="17">
        <f>'01_원자료'!P200*'03_가중치민감도'!$B$10+'01_원자료'!Q200*'03_가중치민감도'!$C$10+'01_원자료'!R200*'03_가중치민감도'!$D$10</f>
        <v>0.72040945976405935</v>
      </c>
      <c r="K203" s="31">
        <f t="shared" si="18"/>
        <v>524</v>
      </c>
      <c r="L203" s="31">
        <f t="shared" si="19"/>
        <v>516</v>
      </c>
      <c r="M203" s="31">
        <f t="shared" si="20"/>
        <v>526</v>
      </c>
      <c r="N203" s="31">
        <f t="shared" si="21"/>
        <v>539</v>
      </c>
      <c r="O203" s="31">
        <f t="shared" si="22"/>
        <v>519</v>
      </c>
      <c r="P203" s="31">
        <f t="shared" si="23"/>
        <v>551</v>
      </c>
    </row>
    <row r="204" spans="1:16">
      <c r="A204" s="2" t="str">
        <f>'01_원자료'!A201</f>
        <v>PAT-14</v>
      </c>
      <c r="B204" s="2" t="str">
        <f>'01_원자료'!B201</f>
        <v>claude</v>
      </c>
      <c r="C204" s="2" t="str">
        <f>'01_원자료'!C201</f>
        <v>ministral</v>
      </c>
      <c r="E204" s="17">
        <f>'01_원자료'!P201*'03_가중치민감도'!$B$5+'01_원자료'!Q201*'03_가중치민감도'!$C$5+'01_원자료'!R201*'03_가중치민감도'!$D$5</f>
        <v>0.52136556502304465</v>
      </c>
      <c r="F204" s="17">
        <f>'01_원자료'!P201*'03_가중치민감도'!$B$6+'01_원자료'!Q201*'03_가중치민감도'!$C$6+'01_원자료'!R201*'03_가중치민감도'!$D$6</f>
        <v>0.44280074236502331</v>
      </c>
      <c r="G204" s="17">
        <f>'01_원자료'!P201*'03_가중치민감도'!$B$7+'01_원자료'!Q201*'03_가중치민감도'!$C$7+'01_원자료'!R201*'03_가중치민감도'!$D$7</f>
        <v>0.53851968507576087</v>
      </c>
      <c r="H204" s="17">
        <f>'01_원자료'!P201*'03_가중치민감도'!$B$8+'01_원자료'!Q201*'03_가중치민감도'!$C$8+'01_원자료'!R201*'03_가중치민감도'!$D$8</f>
        <v>0.43559496475946397</v>
      </c>
      <c r="I204" s="17">
        <f>'01_원자료'!P201*'03_가중치민감도'!$B$9+'01_원자료'!Q201*'03_가중치민감도'!$C$9+'01_원자료'!R201*'03_가중치민감도'!$D$9</f>
        <v>0.46327097656679128</v>
      </c>
      <c r="J204" s="17">
        <f>'01_원자료'!P201*'03_가중치민감도'!$B$10+'01_원자료'!Q201*'03_가중치민감도'!$C$10+'01_원자료'!R201*'03_가중치민감도'!$D$10</f>
        <v>0.56562214757563378</v>
      </c>
      <c r="K204" s="31">
        <f t="shared" si="18"/>
        <v>98</v>
      </c>
      <c r="L204" s="31">
        <f t="shared" si="19"/>
        <v>106</v>
      </c>
      <c r="M204" s="31">
        <f t="shared" si="20"/>
        <v>101</v>
      </c>
      <c r="N204" s="31">
        <f t="shared" si="21"/>
        <v>117</v>
      </c>
      <c r="O204" s="31">
        <f t="shared" si="22"/>
        <v>103</v>
      </c>
      <c r="P204" s="31">
        <f t="shared" si="23"/>
        <v>103</v>
      </c>
    </row>
    <row r="205" spans="1:16">
      <c r="A205" s="2" t="str">
        <f>'01_원자료'!A202</f>
        <v>PAT-14</v>
      </c>
      <c r="B205" s="2" t="str">
        <f>'01_원자료'!B202</f>
        <v>claude</v>
      </c>
      <c r="C205" s="2" t="str">
        <f>'01_원자료'!C202</f>
        <v>qwen</v>
      </c>
      <c r="E205" s="17">
        <f>'01_원자료'!P202*'03_가중치민감도'!$B$5+'01_원자료'!Q202*'03_가중치민감도'!$C$5+'01_원자료'!R202*'03_가중치민감도'!$D$5</f>
        <v>0.29634315808194683</v>
      </c>
      <c r="F205" s="17">
        <f>'01_원자료'!P202*'03_가중치민감도'!$B$6+'01_원자료'!Q202*'03_가중치민감도'!$C$6+'01_원자료'!R202*'03_가중치민감도'!$D$6</f>
        <v>0.22177932258939292</v>
      </c>
      <c r="G205" s="17">
        <f>'01_원자료'!P202*'03_가중치민감도'!$B$7+'01_원자료'!Q202*'03_가중치민감도'!$C$7+'01_원자료'!R202*'03_가중치민감도'!$D$7</f>
        <v>0.32691332082562136</v>
      </c>
      <c r="H205" s="17">
        <f>'01_원자료'!P202*'03_가중치민감도'!$B$8+'01_원자료'!Q202*'03_가중치민감도'!$C$8+'01_원자료'!R202*'03_가중치민감도'!$D$8</f>
        <v>0.14349234436357425</v>
      </c>
      <c r="I205" s="17">
        <f>'01_원자료'!P202*'03_가중치민감도'!$B$9+'01_원자료'!Q202*'03_가중치민감도'!$C$9+'01_원자료'!R202*'03_가중치민감도'!$D$9</f>
        <v>0.23644388017235249</v>
      </c>
      <c r="J205" s="17">
        <f>'01_원자료'!P202*'03_가중치민감도'!$B$10+'01_원자료'!Q202*'03_가중치민감도'!$C$10+'01_원자료'!R202*'03_가중치민감도'!$D$10</f>
        <v>0.3097666680871517</v>
      </c>
      <c r="K205" s="31">
        <f t="shared" si="18"/>
        <v>3</v>
      </c>
      <c r="L205" s="31">
        <f t="shared" si="19"/>
        <v>3</v>
      </c>
      <c r="M205" s="31">
        <f t="shared" si="20"/>
        <v>3</v>
      </c>
      <c r="N205" s="31">
        <f t="shared" si="21"/>
        <v>3</v>
      </c>
      <c r="O205" s="31">
        <f t="shared" si="22"/>
        <v>3</v>
      </c>
      <c r="P205" s="31">
        <f t="shared" si="23"/>
        <v>3</v>
      </c>
    </row>
    <row r="206" spans="1:16">
      <c r="A206" s="2" t="str">
        <f>'01_원자료'!A203</f>
        <v>PAT-14</v>
      </c>
      <c r="B206" s="2" t="str">
        <f>'01_원자료'!B203</f>
        <v>gemini</v>
      </c>
      <c r="C206" s="2" t="str">
        <f>'01_원자료'!C203</f>
        <v>gemma</v>
      </c>
      <c r="E206" s="17">
        <f>'01_원자료'!P203*'03_가중치민감도'!$B$5+'01_원자료'!Q203*'03_가중치민감도'!$C$5+'01_원자료'!R203*'03_가중치민감도'!$D$5</f>
        <v>0.73182685350008381</v>
      </c>
      <c r="F206" s="17">
        <f>'01_원자료'!P203*'03_가중치민감도'!$B$6+'01_원자료'!Q203*'03_가중치민감도'!$C$6+'01_원자료'!R203*'03_가중치민감도'!$D$6</f>
        <v>0.60958080476016185</v>
      </c>
      <c r="G206" s="17">
        <f>'01_원자료'!P203*'03_가중치민감도'!$B$7+'01_원자료'!Q203*'03_가중치민감도'!$C$7+'01_원자료'!R203*'03_가중치민감도'!$D$7</f>
        <v>0.72457713083282227</v>
      </c>
      <c r="H206" s="17">
        <f>'01_원자료'!P203*'03_가중치민감도'!$B$8+'01_원자료'!Q203*'03_가중치민감도'!$C$8+'01_원자료'!R203*'03_가중치민감도'!$D$8</f>
        <v>0.7680754668363915</v>
      </c>
      <c r="I206" s="17">
        <f>'01_원자료'!P203*'03_가중치민감도'!$B$9+'01_원자료'!Q203*'03_가중치민감도'!$C$9+'01_원자료'!R203*'03_가중치민감도'!$D$9</f>
        <v>0.65274606189588902</v>
      </c>
      <c r="J206" s="17">
        <f>'01_원자료'!P203*'03_가중치민감도'!$B$10+'01_원자료'!Q203*'03_가중치민감도'!$C$10+'01_원자료'!R203*'03_가중치민감도'!$D$10</f>
        <v>0.86857234757452884</v>
      </c>
      <c r="K206" s="31">
        <f t="shared" si="18"/>
        <v>907</v>
      </c>
      <c r="L206" s="31">
        <f t="shared" si="19"/>
        <v>856</v>
      </c>
      <c r="M206" s="31">
        <f t="shared" si="20"/>
        <v>906</v>
      </c>
      <c r="N206" s="31">
        <f t="shared" si="21"/>
        <v>892</v>
      </c>
      <c r="O206" s="31">
        <f t="shared" si="22"/>
        <v>879</v>
      </c>
      <c r="P206" s="31">
        <f t="shared" si="23"/>
        <v>943</v>
      </c>
    </row>
    <row r="207" spans="1:16">
      <c r="A207" s="2" t="str">
        <f>'01_원자료'!A204</f>
        <v>PAT-14</v>
      </c>
      <c r="B207" s="2" t="str">
        <f>'01_원자료'!B204</f>
        <v>gemini</v>
      </c>
      <c r="C207" s="2" t="str">
        <f>'01_원자료'!C204</f>
        <v>ministral</v>
      </c>
      <c r="E207" s="17">
        <f>'01_원자료'!P204*'03_가중치민감도'!$B$5+'01_원자료'!Q204*'03_가중치민감도'!$C$5+'01_원자료'!R204*'03_가중치민감도'!$D$5</f>
        <v>0.5217083585807214</v>
      </c>
      <c r="F207" s="17">
        <f>'01_원자료'!P204*'03_가중치민감도'!$B$6+'01_원자료'!Q204*'03_가중치민감도'!$C$6+'01_원자료'!R204*'03_가중치민감도'!$D$6</f>
        <v>0.42800909324194708</v>
      </c>
      <c r="G207" s="17">
        <f>'01_원자료'!P204*'03_가중치민감도'!$B$7+'01_원자료'!Q204*'03_가중치민감도'!$C$7+'01_원자료'!R204*'03_가중치민감도'!$D$7</f>
        <v>0.54333079160489961</v>
      </c>
      <c r="H207" s="17">
        <f>'01_원자료'!P204*'03_가중치민감도'!$B$8+'01_원자료'!Q204*'03_가중치민감도'!$C$8+'01_원자료'!R204*'03_가중치민감도'!$D$8</f>
        <v>0.41359619345983029</v>
      </c>
      <c r="I207" s="17">
        <f>'01_원자료'!P204*'03_가중치민감도'!$B$9+'01_원자료'!Q204*'03_가중치민감도'!$C$9+'01_원자료'!R204*'03_가중치민감도'!$D$9</f>
        <v>0.45203470401347867</v>
      </c>
      <c r="J207" s="17">
        <f>'01_원자료'!P204*'03_가중치민감도'!$B$10+'01_원자료'!Q204*'03_가중치민감도'!$C$10+'01_원자료'!R204*'03_가중치민감도'!$D$10</f>
        <v>0.57216275787113935</v>
      </c>
      <c r="K207" s="31">
        <f t="shared" si="18"/>
        <v>99</v>
      </c>
      <c r="L207" s="31">
        <f t="shared" si="19"/>
        <v>63</v>
      </c>
      <c r="M207" s="31">
        <f t="shared" si="20"/>
        <v>121</v>
      </c>
      <c r="N207" s="31">
        <f t="shared" si="21"/>
        <v>73</v>
      </c>
      <c r="O207" s="31">
        <f t="shared" si="22"/>
        <v>74</v>
      </c>
      <c r="P207" s="31">
        <f t="shared" si="23"/>
        <v>112</v>
      </c>
    </row>
    <row r="208" spans="1:16">
      <c r="A208" s="2" t="str">
        <f>'01_원자료'!A205</f>
        <v>PAT-14</v>
      </c>
      <c r="B208" s="2" t="str">
        <f>'01_원자료'!B205</f>
        <v>gemini</v>
      </c>
      <c r="C208" s="2" t="str">
        <f>'01_원자료'!C205</f>
        <v>qwen</v>
      </c>
      <c r="E208" s="17">
        <f>'01_원자료'!P205*'03_가중치민감도'!$B$5+'01_원자료'!Q205*'03_가중치민감도'!$C$5+'01_원자료'!R205*'03_가중치민감도'!$D$5</f>
        <v>0.3131931199634469</v>
      </c>
      <c r="F208" s="17">
        <f>'01_원자료'!P205*'03_가중치민감도'!$B$6+'01_원자료'!Q205*'03_가중치민감도'!$C$6+'01_원자료'!R205*'03_가중치민감도'!$D$6</f>
        <v>0.23280936781298664</v>
      </c>
      <c r="G208" s="17">
        <f>'01_원자료'!P205*'03_가중치민감도'!$B$7+'01_원자료'!Q205*'03_가중치민감도'!$C$7+'01_원자료'!R205*'03_가중치민감도'!$D$7</f>
        <v>0.34484571726732632</v>
      </c>
      <c r="H208" s="17">
        <f>'01_원자료'!P205*'03_가중치민감도'!$B$8+'01_원자료'!Q205*'03_가중치민감도'!$C$8+'01_원자료'!R205*'03_가중치민감도'!$D$8</f>
        <v>0.15493013344404974</v>
      </c>
      <c r="I208" s="17">
        <f>'01_원자료'!P205*'03_가중치민감도'!$B$9+'01_원자료'!Q205*'03_가중치민감도'!$C$9+'01_원자료'!R205*'03_가중치민감도'!$D$9</f>
        <v>0.24905308609517998</v>
      </c>
      <c r="J208" s="17">
        <f>'01_원자료'!P205*'03_가중치민감도'!$B$10+'01_원자료'!Q205*'03_가중치민감도'!$C$10+'01_원자료'!R205*'03_가중치민감도'!$D$10</f>
        <v>0.33027167750614828</v>
      </c>
      <c r="K208" s="31">
        <f t="shared" si="18"/>
        <v>5</v>
      </c>
      <c r="L208" s="31">
        <f t="shared" si="19"/>
        <v>5</v>
      </c>
      <c r="M208" s="31">
        <f t="shared" si="20"/>
        <v>5</v>
      </c>
      <c r="N208" s="31">
        <f t="shared" si="21"/>
        <v>5</v>
      </c>
      <c r="O208" s="31">
        <f t="shared" si="22"/>
        <v>5</v>
      </c>
      <c r="P208" s="31">
        <f t="shared" si="23"/>
        <v>5</v>
      </c>
    </row>
    <row r="209" spans="1:16">
      <c r="A209" s="2" t="str">
        <f>'01_원자료'!A206</f>
        <v>PAT-14</v>
      </c>
      <c r="B209" s="2" t="str">
        <f>'01_원자료'!B206</f>
        <v>mistral</v>
      </c>
      <c r="C209" s="2" t="str">
        <f>'01_원자료'!C206</f>
        <v>gemma</v>
      </c>
      <c r="E209" s="17">
        <f>'01_원자료'!P206*'03_가중치민감도'!$B$5+'01_원자료'!Q206*'03_가중치민감도'!$C$5+'01_원자료'!R206*'03_가중치민감도'!$D$5</f>
        <v>0.65424786335883245</v>
      </c>
      <c r="F209" s="17">
        <f>'01_원자료'!P206*'03_가중치민감도'!$B$6+'01_원자료'!Q206*'03_가중치민감도'!$C$6+'01_원자료'!R206*'03_가중치민감도'!$D$6</f>
        <v>0.54629295727347427</v>
      </c>
      <c r="G209" s="17">
        <f>'01_원자료'!P206*'03_가중치민감도'!$B$7+'01_원자료'!Q206*'03_가중치민감도'!$C$7+'01_원자료'!R206*'03_가중치민감도'!$D$7</f>
        <v>0.64858911075451209</v>
      </c>
      <c r="H209" s="17">
        <f>'01_원자료'!P206*'03_가중치민감도'!$B$8+'01_원자료'!Q206*'03_가중치민감도'!$C$8+'01_원자료'!R206*'03_가중치민감도'!$D$8</f>
        <v>0.6825416263804347</v>
      </c>
      <c r="I209" s="17">
        <f>'01_원자료'!P206*'03_가중치민감도'!$B$9+'01_원자료'!Q206*'03_가중치민감도'!$C$9+'01_원자료'!R206*'03_가중치민감도'!$D$9</f>
        <v>0.58416417683669986</v>
      </c>
      <c r="J209" s="17">
        <f>'01_원자료'!P206*'03_가중치민감도'!$B$10+'01_원자료'!Q206*'03_가중치민감도'!$C$10+'01_원자료'!R206*'03_가중치민감도'!$D$10</f>
        <v>0.77352027465283169</v>
      </c>
      <c r="K209" s="31">
        <f t="shared" si="18"/>
        <v>638</v>
      </c>
      <c r="L209" s="31">
        <f t="shared" si="19"/>
        <v>568</v>
      </c>
      <c r="M209" s="31">
        <f t="shared" si="20"/>
        <v>611</v>
      </c>
      <c r="N209" s="31">
        <f t="shared" si="21"/>
        <v>724</v>
      </c>
      <c r="O209" s="31">
        <f t="shared" si="22"/>
        <v>601</v>
      </c>
      <c r="P209" s="31">
        <f t="shared" si="23"/>
        <v>736</v>
      </c>
    </row>
    <row r="210" spans="1:16">
      <c r="A210" s="2" t="str">
        <f>'01_원자료'!A207</f>
        <v>PAT-14</v>
      </c>
      <c r="B210" s="2" t="str">
        <f>'01_원자료'!B207</f>
        <v>mistral</v>
      </c>
      <c r="C210" s="2" t="str">
        <f>'01_원자료'!C207</f>
        <v>ministral</v>
      </c>
      <c r="E210" s="17">
        <f>'01_원자료'!P207*'03_가중치민감도'!$B$5+'01_원자료'!Q207*'03_가중치민감도'!$C$5+'01_원자료'!R207*'03_가중치민감도'!$D$5</f>
        <v>0.4925664866224973</v>
      </c>
      <c r="F210" s="17">
        <f>'01_원자료'!P207*'03_가중치민감도'!$B$6+'01_원자료'!Q207*'03_가중치민감도'!$C$6+'01_원자료'!R207*'03_가중치민감도'!$D$6</f>
        <v>0.41155191360987564</v>
      </c>
      <c r="G210" s="17">
        <f>'01_원자료'!P207*'03_가중치민감도'!$B$7+'01_원자료'!Q207*'03_가중치민감도'!$C$7+'01_원자료'!R207*'03_가중치민감도'!$D$7</f>
        <v>0.51083395913654273</v>
      </c>
      <c r="H210" s="17">
        <f>'01_원자료'!P207*'03_가중치민감도'!$B$8+'01_원자료'!Q207*'03_가중치민감도'!$C$8+'01_원자료'!R207*'03_가중치민감도'!$D$8</f>
        <v>0.40122912405227018</v>
      </c>
      <c r="I210" s="17">
        <f>'01_원자료'!P207*'03_가중치민감도'!$B$9+'01_원자료'!Q207*'03_가중치민감도'!$C$9+'01_원자료'!R207*'03_가중치민감도'!$D$9</f>
        <v>0.43246761377606724</v>
      </c>
      <c r="J210" s="17">
        <f>'01_원자료'!P207*'03_가중치민감도'!$B$10+'01_원자료'!Q207*'03_가중치민감도'!$C$10+'01_원자료'!R207*'03_가중치민감도'!$D$10</f>
        <v>0.53704611460702811</v>
      </c>
      <c r="K210" s="31">
        <f t="shared" si="18"/>
        <v>35</v>
      </c>
      <c r="L210" s="31">
        <f t="shared" si="19"/>
        <v>35</v>
      </c>
      <c r="M210" s="31">
        <f t="shared" si="20"/>
        <v>33</v>
      </c>
      <c r="N210" s="31">
        <f t="shared" si="21"/>
        <v>45</v>
      </c>
      <c r="O210" s="31">
        <f t="shared" si="22"/>
        <v>36</v>
      </c>
      <c r="P210" s="31">
        <f t="shared" si="23"/>
        <v>44</v>
      </c>
    </row>
    <row r="211" spans="1:16">
      <c r="A211" s="2" t="str">
        <f>'01_원자료'!A208</f>
        <v>PAT-14</v>
      </c>
      <c r="B211" s="2" t="str">
        <f>'01_원자료'!B208</f>
        <v>mistral</v>
      </c>
      <c r="C211" s="2" t="str">
        <f>'01_원자료'!C208</f>
        <v>qwen</v>
      </c>
      <c r="E211" s="17">
        <f>'01_원자료'!P208*'03_가중치민감도'!$B$5+'01_원자료'!Q208*'03_가중치민감도'!$C$5+'01_원자료'!R208*'03_가중치민감도'!$D$5</f>
        <v>0.28268508337113435</v>
      </c>
      <c r="F211" s="17">
        <f>'01_원자료'!P208*'03_가중치민감도'!$B$6+'01_원자료'!Q208*'03_가중치민감도'!$C$6+'01_원자료'!R208*'03_가중치민감도'!$D$6</f>
        <v>0.20314334621955393</v>
      </c>
      <c r="G211" s="17">
        <f>'01_원자료'!P208*'03_가중치민감도'!$B$7+'01_원자료'!Q208*'03_가중치민감도'!$C$7+'01_원자료'!R208*'03_가중치민감도'!$D$7</f>
        <v>0.31240379833999737</v>
      </c>
      <c r="H211" s="17">
        <f>'01_원자료'!P208*'03_가중치민감도'!$B$8+'01_원자료'!Q208*'03_가중치민감도'!$C$8+'01_원자료'!R208*'03_가중치민감도'!$D$8</f>
        <v>0.13409150852681928</v>
      </c>
      <c r="I211" s="17">
        <f>'01_원자료'!P208*'03_가중치민감도'!$B$9+'01_원자료'!Q208*'03_가중치민감도'!$C$9+'01_원자료'!R208*'03_가중치민감도'!$D$9</f>
        <v>0.21975102028045948</v>
      </c>
      <c r="J211" s="17">
        <f>'01_원자료'!P208*'03_가중치민감도'!$B$10+'01_원자료'!Q208*'03_가중치민감도'!$C$10+'01_원자료'!R208*'03_가중치민감도'!$D$10</f>
        <v>0.30278939058498877</v>
      </c>
      <c r="K211" s="31">
        <f t="shared" si="18"/>
        <v>2</v>
      </c>
      <c r="L211" s="31">
        <f t="shared" si="19"/>
        <v>2</v>
      </c>
      <c r="M211" s="31">
        <f t="shared" si="20"/>
        <v>2</v>
      </c>
      <c r="N211" s="31">
        <f t="shared" si="21"/>
        <v>2</v>
      </c>
      <c r="O211" s="31">
        <f t="shared" si="22"/>
        <v>2</v>
      </c>
      <c r="P211" s="31">
        <f t="shared" si="23"/>
        <v>2</v>
      </c>
    </row>
    <row r="212" spans="1:16">
      <c r="A212" s="2" t="str">
        <f>'01_원자료'!A209</f>
        <v>PAT-14</v>
      </c>
      <c r="B212" s="2" t="str">
        <f>'01_원자료'!B209</f>
        <v>qwen3_6</v>
      </c>
      <c r="C212" s="2" t="str">
        <f>'01_원자료'!C209</f>
        <v>gemma</v>
      </c>
      <c r="E212" s="17">
        <f>'01_원자료'!P209*'03_가중치민감도'!$B$5+'01_원자료'!Q209*'03_가중치민감도'!$C$5+'01_원자료'!R209*'03_가중치민감도'!$D$5</f>
        <v>0.71930353553742921</v>
      </c>
      <c r="F212" s="17">
        <f>'01_원자료'!P209*'03_가중치민감도'!$B$6+'01_원자료'!Q209*'03_가중치민감도'!$C$6+'01_원자료'!R209*'03_가중치민감도'!$D$6</f>
        <v>0.60921028670831334</v>
      </c>
      <c r="G212" s="17">
        <f>'01_원자료'!P209*'03_가중치민감도'!$B$7+'01_원자료'!Q209*'03_가중치민감도'!$C$7+'01_원자료'!R209*'03_가중치민감도'!$D$7</f>
        <v>0.71097964347659359</v>
      </c>
      <c r="H212" s="17">
        <f>'01_원자료'!P209*'03_가중치민감도'!$B$8+'01_원자료'!Q209*'03_가중치민감도'!$C$8+'01_원자료'!R209*'03_가중치민감도'!$D$8</f>
        <v>0.76092299584160772</v>
      </c>
      <c r="I212" s="17">
        <f>'01_원자료'!P209*'03_가중치민감도'!$B$9+'01_원자료'!Q209*'03_가중치민감도'!$C$9+'01_원자료'!R209*'03_가중치민감도'!$D$9</f>
        <v>0.64868266700496324</v>
      </c>
      <c r="J212" s="17">
        <f>'01_원자료'!P209*'03_가중치민감도'!$B$10+'01_원자료'!Q209*'03_가중치민감도'!$C$10+'01_원자료'!R209*'03_가중치민감도'!$D$10</f>
        <v>0.84604456848821652</v>
      </c>
      <c r="K212" s="31">
        <f t="shared" si="18"/>
        <v>876</v>
      </c>
      <c r="L212" s="31">
        <f t="shared" si="19"/>
        <v>853</v>
      </c>
      <c r="M212" s="31">
        <f t="shared" si="20"/>
        <v>874</v>
      </c>
      <c r="N212" s="31">
        <f t="shared" si="21"/>
        <v>870</v>
      </c>
      <c r="O212" s="31">
        <f t="shared" si="22"/>
        <v>861</v>
      </c>
      <c r="P212" s="31">
        <f t="shared" si="23"/>
        <v>878</v>
      </c>
    </row>
    <row r="213" spans="1:16">
      <c r="A213" s="2" t="str">
        <f>'01_원자료'!A210</f>
        <v>PAT-14</v>
      </c>
      <c r="B213" s="2" t="str">
        <f>'01_원자료'!B210</f>
        <v>qwen3_6</v>
      </c>
      <c r="C213" s="2" t="str">
        <f>'01_원자료'!C210</f>
        <v>ministral</v>
      </c>
      <c r="E213" s="17">
        <f>'01_원자료'!P210*'03_가중치민감도'!$B$5+'01_원자료'!Q210*'03_가중치민감도'!$C$5+'01_원자료'!R210*'03_가중치민감도'!$D$5</f>
        <v>0.50305129602591536</v>
      </c>
      <c r="F213" s="17">
        <f>'01_원자료'!P210*'03_가중치민감도'!$B$6+'01_원자료'!Q210*'03_가중치민감도'!$C$6+'01_원자료'!R210*'03_가중치민감도'!$D$6</f>
        <v>0.42223941194508219</v>
      </c>
      <c r="G213" s="17">
        <f>'01_원자료'!P210*'03_가중치민감도'!$B$7+'01_원자료'!Q210*'03_가중치민감도'!$C$7+'01_원자료'!R210*'03_가중치민감도'!$D$7</f>
        <v>0.5216909783428566</v>
      </c>
      <c r="H213" s="17">
        <f>'01_원자료'!P210*'03_가중치민감도'!$B$8+'01_원자료'!Q210*'03_가중치민감도'!$C$8+'01_원자료'!R210*'03_가중치민감도'!$D$8</f>
        <v>0.40985288444120899</v>
      </c>
      <c r="I213" s="17">
        <f>'01_원자료'!P210*'03_가중치민감도'!$B$9+'01_원자료'!Q210*'03_가중치민감도'!$C$9+'01_원자료'!R210*'03_가중치민감도'!$D$9</f>
        <v>0.44296347919971235</v>
      </c>
      <c r="J213" s="17">
        <f>'01_원자료'!P210*'03_가중치민감도'!$B$10+'01_원자료'!Q210*'03_가중치민감도'!$C$10+'01_원자료'!R210*'03_가중치민감도'!$D$10</f>
        <v>0.54658381547286594</v>
      </c>
      <c r="K213" s="31">
        <f t="shared" si="18"/>
        <v>50</v>
      </c>
      <c r="L213" s="31">
        <f t="shared" si="19"/>
        <v>52</v>
      </c>
      <c r="M213" s="31">
        <f t="shared" si="20"/>
        <v>52</v>
      </c>
      <c r="N213" s="31">
        <f t="shared" si="21"/>
        <v>64</v>
      </c>
      <c r="O213" s="31">
        <f t="shared" si="22"/>
        <v>51</v>
      </c>
      <c r="P213" s="31">
        <f t="shared" si="23"/>
        <v>62</v>
      </c>
    </row>
    <row r="214" spans="1:16">
      <c r="A214" s="2" t="str">
        <f>'01_원자료'!A211</f>
        <v>PAT-14</v>
      </c>
      <c r="B214" s="2" t="str">
        <f>'01_원자료'!B211</f>
        <v>qwen3_6</v>
      </c>
      <c r="C214" s="2" t="str">
        <f>'01_원자료'!C211</f>
        <v>qwen</v>
      </c>
      <c r="E214" s="17">
        <f>'01_원자료'!P211*'03_가중치민감도'!$B$5+'01_원자료'!Q211*'03_가중치민감도'!$C$5+'01_원자료'!R211*'03_가중치민감도'!$D$5</f>
        <v>0.30290716255551026</v>
      </c>
      <c r="F214" s="17">
        <f>'01_원자료'!P211*'03_가중치민감도'!$B$6+'01_원자료'!Q211*'03_가중치민감도'!$C$6+'01_원자료'!R211*'03_가중치민감도'!$D$6</f>
        <v>0.2301704762827245</v>
      </c>
      <c r="G214" s="17">
        <f>'01_원자료'!P211*'03_가중치민감도'!$B$7+'01_원자료'!Q211*'03_가중치민감도'!$C$7+'01_원자료'!R211*'03_가중치민감도'!$D$7</f>
        <v>0.33311070661353376</v>
      </c>
      <c r="H214" s="17">
        <f>'01_원자료'!P211*'03_가중치민감도'!$B$8+'01_원자료'!Q211*'03_가중치민감도'!$C$8+'01_원자료'!R211*'03_가중치민감도'!$D$8</f>
        <v>0.15188944226539242</v>
      </c>
      <c r="I214" s="17">
        <f>'01_원자료'!P211*'03_가중치민감도'!$B$9+'01_원자료'!Q211*'03_가중치민감도'!$C$9+'01_원자료'!R211*'03_가중치민감도'!$D$9</f>
        <v>0.24434819035431163</v>
      </c>
      <c r="J214" s="17">
        <f>'01_원자료'!P211*'03_가중치민감도'!$B$10+'01_원자료'!Q211*'03_가중치민감도'!$C$10+'01_원자료'!R211*'03_가중치민감도'!$D$10</f>
        <v>0.31523676071224876</v>
      </c>
      <c r="K214" s="31">
        <f t="shared" si="18"/>
        <v>4</v>
      </c>
      <c r="L214" s="31">
        <f t="shared" si="19"/>
        <v>4</v>
      </c>
      <c r="M214" s="31">
        <f t="shared" si="20"/>
        <v>4</v>
      </c>
      <c r="N214" s="31">
        <f t="shared" si="21"/>
        <v>4</v>
      </c>
      <c r="O214" s="31">
        <f t="shared" si="22"/>
        <v>4</v>
      </c>
      <c r="P214" s="31">
        <f t="shared" si="23"/>
        <v>4</v>
      </c>
    </row>
    <row r="215" spans="1:16">
      <c r="A215" s="2" t="str">
        <f>'01_원자료'!A212</f>
        <v>PAT-15</v>
      </c>
      <c r="B215" s="2" t="str">
        <f>'01_원자료'!B212</f>
        <v>chatgpt</v>
      </c>
      <c r="C215" s="2" t="str">
        <f>'01_원자료'!C212</f>
        <v>gemma</v>
      </c>
      <c r="E215" s="17">
        <f>'01_원자료'!P212*'03_가중치민감도'!$B$5+'01_원자료'!Q212*'03_가중치민감도'!$C$5+'01_원자료'!R212*'03_가중치민감도'!$D$5</f>
        <v>0.56695368647975775</v>
      </c>
      <c r="F215" s="17">
        <f>'01_원자료'!P212*'03_가중치민감도'!$B$6+'01_원자료'!Q212*'03_가중치민감도'!$C$6+'01_원자료'!R212*'03_가중치민감도'!$D$6</f>
        <v>0.48310512638687536</v>
      </c>
      <c r="G215" s="17">
        <f>'01_원자료'!P212*'03_가중치민감도'!$B$7+'01_원자료'!Q212*'03_가중치민감도'!$C$7+'01_원자료'!R212*'03_가중치민감도'!$D$7</f>
        <v>0.57133661746197939</v>
      </c>
      <c r="H215" s="17">
        <f>'01_원자료'!P212*'03_가중치민감도'!$B$8+'01_원자료'!Q212*'03_가중치민감도'!$C$8+'01_원자료'!R212*'03_가중치민감도'!$D$8</f>
        <v>0.54503903156864919</v>
      </c>
      <c r="I215" s="17">
        <f>'01_원자료'!P212*'03_가중치민감도'!$B$9+'01_원자료'!Q212*'03_가중치민감도'!$C$9+'01_원자료'!R212*'03_가중치민감도'!$D$9</f>
        <v>0.50959366942376172</v>
      </c>
      <c r="J215" s="17">
        <f>'01_원자료'!P212*'03_가중치민감도'!$B$10+'01_원자료'!Q212*'03_가중치민감도'!$C$10+'01_원자료'!R212*'03_가중치민감도'!$D$10</f>
        <v>0.64203638460819668</v>
      </c>
      <c r="K215" s="31">
        <f t="shared" si="18"/>
        <v>272</v>
      </c>
      <c r="L215" s="31">
        <f t="shared" si="19"/>
        <v>287</v>
      </c>
      <c r="M215" s="31">
        <f t="shared" si="20"/>
        <v>251</v>
      </c>
      <c r="N215" s="31">
        <f t="shared" si="21"/>
        <v>323</v>
      </c>
      <c r="O215" s="31">
        <f t="shared" si="22"/>
        <v>286</v>
      </c>
      <c r="P215" s="31">
        <f t="shared" si="23"/>
        <v>292</v>
      </c>
    </row>
    <row r="216" spans="1:16">
      <c r="A216" s="2" t="str">
        <f>'01_원자료'!A213</f>
        <v>PAT-15</v>
      </c>
      <c r="B216" s="2" t="str">
        <f>'01_원자료'!B213</f>
        <v>chatgpt</v>
      </c>
      <c r="C216" s="2" t="str">
        <f>'01_원자료'!C213</f>
        <v>ministral</v>
      </c>
      <c r="E216" s="17">
        <f>'01_원자료'!P213*'03_가중치민감도'!$B$5+'01_원자료'!Q213*'03_가중치민감도'!$C$5+'01_원자료'!R213*'03_가중치민감도'!$D$5</f>
        <v>0.54012844897208145</v>
      </c>
      <c r="F216" s="17">
        <f>'01_원자료'!P213*'03_가중치민감도'!$B$6+'01_원자료'!Q213*'03_가중치민감도'!$C$6+'01_원자료'!R213*'03_가중치민감도'!$D$6</f>
        <v>0.44716772693282936</v>
      </c>
      <c r="G216" s="17">
        <f>'01_원자료'!P213*'03_가중치민감도'!$B$7+'01_원자료'!Q213*'03_가중치민감도'!$C$7+'01_원자료'!R213*'03_가중치민감도'!$D$7</f>
        <v>0.54995051664182948</v>
      </c>
      <c r="H216" s="17">
        <f>'01_원자료'!P213*'03_가중치민감도'!$B$8+'01_원자료'!Q213*'03_가중치민감도'!$C$8+'01_원자료'!R213*'03_가중치민감도'!$D$8</f>
        <v>0.49101811062334211</v>
      </c>
      <c r="I216" s="17">
        <f>'01_원자료'!P213*'03_가중치민감도'!$B$9+'01_원자료'!Q213*'03_가중치민감도'!$C$9+'01_원자료'!R213*'03_가중치민감도'!$D$9</f>
        <v>0.4748806117226636</v>
      </c>
      <c r="J216" s="17">
        <f>'01_원자료'!P213*'03_가중치민감도'!$B$10+'01_원자료'!Q213*'03_가중치민감도'!$C$10+'01_원자료'!R213*'03_가중치민감도'!$D$10</f>
        <v>0.61344503567183795</v>
      </c>
      <c r="K216" s="31">
        <f t="shared" si="18"/>
        <v>170</v>
      </c>
      <c r="L216" s="31">
        <f t="shared" si="19"/>
        <v>128</v>
      </c>
      <c r="M216" s="31">
        <f t="shared" si="20"/>
        <v>159</v>
      </c>
      <c r="N216" s="31">
        <f t="shared" si="21"/>
        <v>204</v>
      </c>
      <c r="O216" s="31">
        <f t="shared" si="22"/>
        <v>152</v>
      </c>
      <c r="P216" s="31">
        <f t="shared" si="23"/>
        <v>221</v>
      </c>
    </row>
    <row r="217" spans="1:16">
      <c r="A217" s="2" t="str">
        <f>'01_원자료'!A214</f>
        <v>PAT-15</v>
      </c>
      <c r="B217" s="2" t="str">
        <f>'01_원자료'!B214</f>
        <v>chatgpt</v>
      </c>
      <c r="C217" s="2" t="str">
        <f>'01_원자료'!C214</f>
        <v>qwen</v>
      </c>
      <c r="E217" s="17">
        <f>'01_원자료'!P214*'03_가중치민감도'!$B$5+'01_원자료'!Q214*'03_가중치민감도'!$C$5+'01_원자료'!R214*'03_가중치민감도'!$D$5</f>
        <v>0.55727593017443433</v>
      </c>
      <c r="F217" s="17">
        <f>'01_원자료'!P214*'03_가중치민감도'!$B$6+'01_원자료'!Q214*'03_가중치민감도'!$C$6+'01_원자료'!R214*'03_가중치민감도'!$D$6</f>
        <v>0.48223788065831108</v>
      </c>
      <c r="G217" s="17">
        <f>'01_원자료'!P214*'03_가중치민감도'!$B$7+'01_원자료'!Q214*'03_가중치민감도'!$C$7+'01_원자료'!R214*'03_가중치민감도'!$D$7</f>
        <v>0.56425051489774558</v>
      </c>
      <c r="H217" s="17">
        <f>'01_원자료'!P214*'03_가중치민감도'!$B$8+'01_원자료'!Q214*'03_가중치민감도'!$C$8+'01_원자료'!R214*'03_가중치민감도'!$D$8</f>
        <v>0.52240300655787786</v>
      </c>
      <c r="I217" s="17">
        <f>'01_원자료'!P214*'03_가중치민감도'!$B$9+'01_원자료'!Q214*'03_가중치민감도'!$C$9+'01_원자료'!R214*'03_가중치민감도'!$D$9</f>
        <v>0.50492570225591449</v>
      </c>
      <c r="J217" s="17">
        <f>'01_원자료'!P214*'03_가중치민감도'!$B$10+'01_원자료'!Q214*'03_가중치민감도'!$C$10+'01_원자료'!R214*'03_가중치민감도'!$D$10</f>
        <v>0.61836481024393497</v>
      </c>
      <c r="K217" s="31">
        <f t="shared" si="18"/>
        <v>238</v>
      </c>
      <c r="L217" s="31">
        <f t="shared" si="19"/>
        <v>281</v>
      </c>
      <c r="M217" s="31">
        <f t="shared" si="20"/>
        <v>218</v>
      </c>
      <c r="N217" s="31">
        <f t="shared" si="21"/>
        <v>262</v>
      </c>
      <c r="O217" s="31">
        <f t="shared" si="22"/>
        <v>263</v>
      </c>
      <c r="P217" s="31">
        <f t="shared" si="23"/>
        <v>236</v>
      </c>
    </row>
    <row r="218" spans="1:16">
      <c r="A218" s="2" t="str">
        <f>'01_원자료'!A215</f>
        <v>PAT-15</v>
      </c>
      <c r="B218" s="2" t="str">
        <f>'01_원자료'!B215</f>
        <v>claude</v>
      </c>
      <c r="C218" s="2" t="str">
        <f>'01_원자료'!C215</f>
        <v>gemma</v>
      </c>
      <c r="E218" s="17">
        <f>'01_원자료'!P215*'03_가중치민감도'!$B$5+'01_원자료'!Q215*'03_가중치민감도'!$C$5+'01_원자료'!R215*'03_가중치민감도'!$D$5</f>
        <v>0.67252080625424449</v>
      </c>
      <c r="F218" s="17">
        <f>'01_원자료'!P215*'03_가중치민감도'!$B$6+'01_원자료'!Q215*'03_가중치민감도'!$C$6+'01_원자료'!R215*'03_가중치민감도'!$D$6</f>
        <v>0.56807969552553994</v>
      </c>
      <c r="G218" s="17">
        <f>'01_원자료'!P215*'03_가중치민감도'!$B$7+'01_원자료'!Q215*'03_가중치민감도'!$C$7+'01_원자료'!R215*'03_가중치민감도'!$D$7</f>
        <v>0.66824722859870267</v>
      </c>
      <c r="H218" s="17">
        <f>'01_원자료'!P215*'03_가중치민감도'!$B$8+'01_원자료'!Q215*'03_가중치민감도'!$C$8+'01_원자료'!R215*'03_가중치민감도'!$D$8</f>
        <v>0.69388869453195356</v>
      </c>
      <c r="I218" s="17">
        <f>'01_원자료'!P215*'03_가중치민감도'!$B$9+'01_원자료'!Q215*'03_가중치민감도'!$C$9+'01_원자료'!R215*'03_가중치민감도'!$D$9</f>
        <v>0.6043179249869548</v>
      </c>
      <c r="J218" s="17">
        <f>'01_원자료'!P215*'03_가중치민감도'!$B$10+'01_원자료'!Q215*'03_가중치민감도'!$C$10+'01_원자료'!R215*'03_가중치민감도'!$D$10</f>
        <v>0.78550907229403277</v>
      </c>
      <c r="K218" s="31">
        <f t="shared" si="18"/>
        <v>727</v>
      </c>
      <c r="L218" s="31">
        <f t="shared" si="19"/>
        <v>682</v>
      </c>
      <c r="M218" s="31">
        <f t="shared" si="20"/>
        <v>711</v>
      </c>
      <c r="N218" s="31">
        <f t="shared" si="21"/>
        <v>764</v>
      </c>
      <c r="O218" s="31">
        <f t="shared" si="22"/>
        <v>707</v>
      </c>
      <c r="P218" s="31">
        <f t="shared" si="23"/>
        <v>774</v>
      </c>
    </row>
    <row r="219" spans="1:16">
      <c r="A219" s="2" t="str">
        <f>'01_원자료'!A216</f>
        <v>PAT-15</v>
      </c>
      <c r="B219" s="2" t="str">
        <f>'01_원자료'!B216</f>
        <v>claude</v>
      </c>
      <c r="C219" s="2" t="str">
        <f>'01_원자료'!C216</f>
        <v>ministral</v>
      </c>
      <c r="E219" s="17">
        <f>'01_원자료'!P216*'03_가중치민감도'!$B$5+'01_원자료'!Q216*'03_가중치민감도'!$C$5+'01_원자료'!R216*'03_가중치민감도'!$D$5</f>
        <v>0.59451143968984854</v>
      </c>
      <c r="F219" s="17">
        <f>'01_원자료'!P216*'03_가중치민감도'!$B$6+'01_원자료'!Q216*'03_가중치민감도'!$C$6+'01_원자료'!R216*'03_가중치민감도'!$D$6</f>
        <v>0.49107906606238938</v>
      </c>
      <c r="G219" s="17">
        <f>'01_원자료'!P216*'03_가중치민감도'!$B$7+'01_원자료'!Q216*'03_가중치민감도'!$C$7+'01_원자료'!R216*'03_가중치민감도'!$D$7</f>
        <v>0.59751850960304298</v>
      </c>
      <c r="H219" s="17">
        <f>'01_원자료'!P216*'03_가중치민감도'!$B$8+'01_원자료'!Q216*'03_가중치민감도'!$C$8+'01_원자료'!R216*'03_가중치민감도'!$D$8</f>
        <v>0.57947609012387635</v>
      </c>
      <c r="I219" s="17">
        <f>'01_원자료'!P216*'03_가중치민감도'!$B$9+'01_원자료'!Q216*'03_가중치민감도'!$C$9+'01_원자료'!R216*'03_가중치민감도'!$D$9</f>
        <v>0.5245541673004771</v>
      </c>
      <c r="J219" s="17">
        <f>'01_원자료'!P216*'03_가중치민감도'!$B$10+'01_원자료'!Q216*'03_가중치민감도'!$C$10+'01_원자료'!R216*'03_가중치민감도'!$D$10</f>
        <v>0.69192967349091872</v>
      </c>
      <c r="K219" s="31">
        <f t="shared" si="18"/>
        <v>363</v>
      </c>
      <c r="L219" s="31">
        <f t="shared" si="19"/>
        <v>317</v>
      </c>
      <c r="M219" s="31">
        <f t="shared" si="20"/>
        <v>354</v>
      </c>
      <c r="N219" s="31">
        <f t="shared" si="21"/>
        <v>420</v>
      </c>
      <c r="O219" s="31">
        <f t="shared" si="22"/>
        <v>340</v>
      </c>
      <c r="P219" s="31">
        <f t="shared" si="23"/>
        <v>430</v>
      </c>
    </row>
    <row r="220" spans="1:16">
      <c r="A220" s="2" t="str">
        <f>'01_원자료'!A217</f>
        <v>PAT-15</v>
      </c>
      <c r="B220" s="2" t="str">
        <f>'01_원자료'!B217</f>
        <v>claude</v>
      </c>
      <c r="C220" s="2" t="str">
        <f>'01_원자료'!C217</f>
        <v>qwen</v>
      </c>
      <c r="E220" s="17">
        <f>'01_원자료'!P217*'03_가중치민감도'!$B$5+'01_원자료'!Q217*'03_가중치민감도'!$C$5+'01_원자료'!R217*'03_가중치민감도'!$D$5</f>
        <v>0.66723469178087569</v>
      </c>
      <c r="F220" s="17">
        <f>'01_원자료'!P217*'03_가중치민감도'!$B$6+'01_원자료'!Q217*'03_가중치민감도'!$C$6+'01_원자료'!R217*'03_가중치민감도'!$D$6</f>
        <v>0.59187106060706329</v>
      </c>
      <c r="G220" s="17">
        <f>'01_원자료'!P217*'03_가중치민감도'!$B$7+'01_원자료'!Q217*'03_가중치민감도'!$C$7+'01_원자료'!R217*'03_가중치민감도'!$D$7</f>
        <v>0.66846499474463172</v>
      </c>
      <c r="H220" s="17">
        <f>'01_원자료'!P217*'03_가중치민감도'!$B$8+'01_원자료'!Q217*'03_가중치민감도'!$C$8+'01_원자료'!R217*'03_가중치민감도'!$D$8</f>
        <v>0.66108317696209529</v>
      </c>
      <c r="I220" s="17">
        <f>'01_원자료'!P217*'03_가중치민감도'!$B$9+'01_원자료'!Q217*'03_가중치민감도'!$C$9+'01_원자료'!R217*'03_가중치민감도'!$D$9</f>
        <v>0.61658217001041482</v>
      </c>
      <c r="J220" s="17">
        <f>'01_원자료'!P217*'03_가중치민감도'!$B$10+'01_원자료'!Q217*'03_가중치민감도'!$C$10+'01_원자료'!R217*'03_가중치민감도'!$D$10</f>
        <v>0.7401377170271759</v>
      </c>
      <c r="K220" s="31">
        <f t="shared" si="18"/>
        <v>703</v>
      </c>
      <c r="L220" s="31">
        <f t="shared" si="19"/>
        <v>776</v>
      </c>
      <c r="M220" s="31">
        <f t="shared" si="20"/>
        <v>712</v>
      </c>
      <c r="N220" s="31">
        <f t="shared" si="21"/>
        <v>673</v>
      </c>
      <c r="O220" s="31">
        <f t="shared" si="22"/>
        <v>753</v>
      </c>
      <c r="P220" s="31">
        <f t="shared" si="23"/>
        <v>624</v>
      </c>
    </row>
    <row r="221" spans="1:16">
      <c r="A221" s="2" t="str">
        <f>'01_원자료'!A218</f>
        <v>PAT-15</v>
      </c>
      <c r="B221" s="2" t="str">
        <f>'01_원자료'!B218</f>
        <v>gemini</v>
      </c>
      <c r="C221" s="2" t="str">
        <f>'01_원자료'!C218</f>
        <v>gemma</v>
      </c>
      <c r="E221" s="17">
        <f>'01_원자료'!P218*'03_가중치민감도'!$B$5+'01_원자료'!Q218*'03_가중치민감도'!$C$5+'01_원자료'!R218*'03_가중치민감도'!$D$5</f>
        <v>0.7322747240613432</v>
      </c>
      <c r="F221" s="17">
        <f>'01_원자료'!P218*'03_가중치민감도'!$B$6+'01_원자료'!Q218*'03_가중치민감도'!$C$6+'01_원자료'!R218*'03_가중치민감도'!$D$6</f>
        <v>0.61372559207660349</v>
      </c>
      <c r="G221" s="17">
        <f>'01_원자료'!P218*'03_가중치민감도'!$B$7+'01_원자료'!Q218*'03_가중치민감도'!$C$7+'01_원자료'!R218*'03_가중치민감도'!$D$7</f>
        <v>0.72475424754458806</v>
      </c>
      <c r="H221" s="17">
        <f>'01_원자료'!P218*'03_가중치민감도'!$B$8+'01_원자료'!Q218*'03_가중치민감도'!$C$8+'01_원자료'!R218*'03_가중치민감도'!$D$8</f>
        <v>0.76987710664511877</v>
      </c>
      <c r="I221" s="17">
        <f>'01_원자료'!P218*'03_가중치민감도'!$B$9+'01_원자료'!Q218*'03_가중치민감도'!$C$9+'01_원자료'!R218*'03_가중치민감도'!$D$9</f>
        <v>0.65574879491043436</v>
      </c>
      <c r="J221" s="17">
        <f>'01_원자료'!P218*'03_가중치민감도'!$B$10+'01_원자료'!Q218*'03_가중치민감도'!$C$10+'01_원자료'!R218*'03_가중치민감도'!$D$10</f>
        <v>0.86586480907959307</v>
      </c>
      <c r="K221" s="31">
        <f t="shared" si="18"/>
        <v>909</v>
      </c>
      <c r="L221" s="31">
        <f t="shared" si="19"/>
        <v>867</v>
      </c>
      <c r="M221" s="31">
        <f t="shared" si="20"/>
        <v>907</v>
      </c>
      <c r="N221" s="31">
        <f t="shared" si="21"/>
        <v>897</v>
      </c>
      <c r="O221" s="31">
        <f t="shared" si="22"/>
        <v>890</v>
      </c>
      <c r="P221" s="31">
        <f t="shared" si="23"/>
        <v>936</v>
      </c>
    </row>
    <row r="222" spans="1:16">
      <c r="A222" s="2" t="str">
        <f>'01_원자료'!A219</f>
        <v>PAT-15</v>
      </c>
      <c r="B222" s="2" t="str">
        <f>'01_원자료'!B219</f>
        <v>gemini</v>
      </c>
      <c r="C222" s="2" t="str">
        <f>'01_원자료'!C219</f>
        <v>ministral</v>
      </c>
      <c r="E222" s="17">
        <f>'01_원자료'!P219*'03_가중치민감도'!$B$5+'01_원자료'!Q219*'03_가중치민감도'!$C$5+'01_원자료'!R219*'03_가중치민감도'!$D$5</f>
        <v>0.63138291980619976</v>
      </c>
      <c r="F222" s="17">
        <f>'01_원자료'!P219*'03_가중치민감도'!$B$6+'01_원자료'!Q219*'03_가중치민감도'!$C$6+'01_원자료'!R219*'03_가중치민감도'!$D$6</f>
        <v>0.52229377341094907</v>
      </c>
      <c r="G222" s="17">
        <f>'01_원자료'!P219*'03_가중치민감도'!$B$7+'01_원자료'!Q219*'03_가중치민감도'!$C$7+'01_원자료'!R219*'03_가중치민감도'!$D$7</f>
        <v>0.636442735864298</v>
      </c>
      <c r="H222" s="17">
        <f>'01_원자료'!P219*'03_가중치민감도'!$B$8+'01_원자료'!Q219*'03_가중치민감도'!$C$8+'01_원자료'!R219*'03_가중치민감도'!$D$8</f>
        <v>0.60608383951570954</v>
      </c>
      <c r="I222" s="17">
        <f>'01_원자료'!P219*'03_가중치민감도'!$B$9+'01_원자료'!Q219*'03_가중치민감도'!$C$9+'01_원자료'!R219*'03_가중치민감도'!$D$9</f>
        <v>0.55697021685666603</v>
      </c>
      <c r="J222" s="17">
        <f>'01_원자료'!P219*'03_가중치민감도'!$B$10+'01_원자료'!Q219*'03_가중치민감도'!$C$10+'01_원자료'!R219*'03_가중치민감도'!$D$10</f>
        <v>0.73035243408525452</v>
      </c>
      <c r="K222" s="31">
        <f t="shared" si="18"/>
        <v>535</v>
      </c>
      <c r="L222" s="31">
        <f t="shared" si="19"/>
        <v>466</v>
      </c>
      <c r="M222" s="31">
        <f t="shared" si="20"/>
        <v>547</v>
      </c>
      <c r="N222" s="31">
        <f t="shared" si="21"/>
        <v>509</v>
      </c>
      <c r="O222" s="31">
        <f t="shared" si="22"/>
        <v>489</v>
      </c>
      <c r="P222" s="31">
        <f t="shared" si="23"/>
        <v>582</v>
      </c>
    </row>
    <row r="223" spans="1:16">
      <c r="A223" s="2" t="str">
        <f>'01_원자료'!A220</f>
        <v>PAT-15</v>
      </c>
      <c r="B223" s="2" t="str">
        <f>'01_원자료'!B220</f>
        <v>gemini</v>
      </c>
      <c r="C223" s="2" t="str">
        <f>'01_원자료'!C220</f>
        <v>qwen</v>
      </c>
      <c r="E223" s="17">
        <f>'01_원자료'!P220*'03_가중치민감도'!$B$5+'01_원자료'!Q220*'03_가중치민감도'!$C$5+'01_원자료'!R220*'03_가중치민감도'!$D$5</f>
        <v>0.71457794149718978</v>
      </c>
      <c r="F223" s="17">
        <f>'01_원자료'!P220*'03_가중치민감도'!$B$6+'01_원자료'!Q220*'03_가중치민감도'!$C$6+'01_원자료'!R220*'03_가중치민감도'!$D$6</f>
        <v>0.63685039762823803</v>
      </c>
      <c r="G223" s="17">
        <f>'01_원자료'!P220*'03_가중치민감도'!$B$7+'01_원자료'!Q220*'03_가중치민감도'!$C$7+'01_원자료'!R220*'03_가중치민감도'!$D$7</f>
        <v>0.71463976189059852</v>
      </c>
      <c r="H223" s="17">
        <f>'01_원자료'!P220*'03_가중치민감도'!$B$8+'01_원자료'!Q220*'03_가중치민감도'!$C$8+'01_원자료'!R220*'03_가중치민감도'!$D$8</f>
        <v>0.71426883953014642</v>
      </c>
      <c r="I223" s="17">
        <f>'01_원자료'!P220*'03_가중치민감도'!$B$9+'01_원자료'!Q220*'03_가중치민감도'!$C$9+'01_원자료'!R220*'03_가중치민감도'!$D$9</f>
        <v>0.66273897212008515</v>
      </c>
      <c r="J223" s="17">
        <f>'01_원자료'!P220*'03_가중치민감도'!$B$10+'01_원자료'!Q220*'03_가중치민감도'!$C$10+'01_원자료'!R220*'03_가중치민감도'!$D$10</f>
        <v>0.79218184457932428</v>
      </c>
      <c r="K223" s="31">
        <f t="shared" si="18"/>
        <v>859</v>
      </c>
      <c r="L223" s="31">
        <f t="shared" si="19"/>
        <v>935</v>
      </c>
      <c r="M223" s="31">
        <f t="shared" si="20"/>
        <v>886</v>
      </c>
      <c r="N223" s="31">
        <f t="shared" si="21"/>
        <v>819</v>
      </c>
      <c r="O223" s="31">
        <f t="shared" si="22"/>
        <v>914</v>
      </c>
      <c r="P223" s="31">
        <f t="shared" si="23"/>
        <v>792</v>
      </c>
    </row>
    <row r="224" spans="1:16">
      <c r="A224" s="2" t="str">
        <f>'01_원자료'!A221</f>
        <v>PAT-15</v>
      </c>
      <c r="B224" s="2" t="str">
        <f>'01_원자료'!B221</f>
        <v>mistral</v>
      </c>
      <c r="C224" s="2" t="str">
        <f>'01_원자료'!C221</f>
        <v>gemma</v>
      </c>
      <c r="E224" s="17">
        <f>'01_원자료'!P221*'03_가중치민감도'!$B$5+'01_원자료'!Q221*'03_가중치민감도'!$C$5+'01_원자료'!R221*'03_가중치민감도'!$D$5</f>
        <v>0.62215127802064374</v>
      </c>
      <c r="F224" s="17">
        <f>'01_원자료'!P221*'03_가중치민감도'!$B$6+'01_원자료'!Q221*'03_가중치민감도'!$C$6+'01_원자료'!R221*'03_가중치민감도'!$D$6</f>
        <v>0.52610358391876466</v>
      </c>
      <c r="G224" s="17">
        <f>'01_원자료'!P221*'03_가중치민감도'!$B$7+'01_원자료'!Q221*'03_가중치민감도'!$C$7+'01_원자료'!R221*'03_가중치민감도'!$D$7</f>
        <v>0.62591931754567665</v>
      </c>
      <c r="H224" s="17">
        <f>'01_원자료'!P221*'03_가중치민감도'!$B$8+'01_원자료'!Q221*'03_가중치민감도'!$C$8+'01_원자료'!R221*'03_가중치민감도'!$D$8</f>
        <v>0.60331108039547898</v>
      </c>
      <c r="I224" s="17">
        <f>'01_원자료'!P221*'03_가중치민감도'!$B$9+'01_원자료'!Q221*'03_가중치민감도'!$C$9+'01_원자료'!R221*'03_가중치민감도'!$D$9</f>
        <v>0.55686346877771276</v>
      </c>
      <c r="J224" s="17">
        <f>'01_원자료'!P221*'03_가중치민감도'!$B$10+'01_원자료'!Q221*'03_가중치민감도'!$C$10+'01_원자료'!R221*'03_가중치민감도'!$D$10</f>
        <v>0.71066289307245678</v>
      </c>
      <c r="K224" s="31">
        <f t="shared" si="18"/>
        <v>500</v>
      </c>
      <c r="L224" s="31">
        <f t="shared" si="19"/>
        <v>480</v>
      </c>
      <c r="M224" s="31">
        <f t="shared" si="20"/>
        <v>491</v>
      </c>
      <c r="N224" s="31">
        <f t="shared" si="21"/>
        <v>499</v>
      </c>
      <c r="O224" s="31">
        <f t="shared" si="22"/>
        <v>487</v>
      </c>
      <c r="P224" s="31">
        <f t="shared" si="23"/>
        <v>501</v>
      </c>
    </row>
    <row r="225" spans="1:16">
      <c r="A225" s="2" t="str">
        <f>'01_원자료'!A222</f>
        <v>PAT-15</v>
      </c>
      <c r="B225" s="2" t="str">
        <f>'01_원자료'!B222</f>
        <v>mistral</v>
      </c>
      <c r="C225" s="2" t="str">
        <f>'01_원자료'!C222</f>
        <v>ministral</v>
      </c>
      <c r="E225" s="17">
        <f>'01_원자료'!P222*'03_가중치민감도'!$B$5+'01_원자료'!Q222*'03_가중치민감도'!$C$5+'01_원자료'!R222*'03_가중치민감도'!$D$5</f>
        <v>0.60739864857367376</v>
      </c>
      <c r="F225" s="17">
        <f>'01_원자료'!P222*'03_가중치민감도'!$B$6+'01_원자료'!Q222*'03_가중치민감도'!$C$6+'01_원자료'!R222*'03_가중치민감도'!$D$6</f>
        <v>0.50862701213309369</v>
      </c>
      <c r="G225" s="17">
        <f>'01_원자료'!P222*'03_가중치민감도'!$B$7+'01_원자료'!Q222*'03_가중치민감도'!$C$7+'01_원자료'!R222*'03_가중치민감도'!$D$7</f>
        <v>0.61258253272372187</v>
      </c>
      <c r="H225" s="17">
        <f>'01_원자료'!P222*'03_가중치민감도'!$B$8+'01_원자료'!Q222*'03_가중치민감도'!$C$8+'01_원자료'!R222*'03_가중치민감도'!$D$8</f>
        <v>0.58147922782343253</v>
      </c>
      <c r="I225" s="17">
        <f>'01_원자료'!P222*'03_가중치민감도'!$B$9+'01_원자료'!Q222*'03_가중치민감도'!$C$9+'01_원자료'!R222*'03_가중치민감도'!$D$9</f>
        <v>0.53982292956327038</v>
      </c>
      <c r="J225" s="17">
        <f>'01_원자료'!P222*'03_가중치민감도'!$B$10+'01_원자료'!Q222*'03_가중치민감도'!$C$10+'01_원자료'!R222*'03_가중치민감도'!$D$10</f>
        <v>0.69580251671415716</v>
      </c>
      <c r="K225" s="31">
        <f t="shared" si="18"/>
        <v>421</v>
      </c>
      <c r="L225" s="31">
        <f t="shared" si="19"/>
        <v>410</v>
      </c>
      <c r="M225" s="31">
        <f t="shared" si="20"/>
        <v>422</v>
      </c>
      <c r="N225" s="31">
        <f t="shared" si="21"/>
        <v>430</v>
      </c>
      <c r="O225" s="31">
        <f t="shared" si="22"/>
        <v>413</v>
      </c>
      <c r="P225" s="31">
        <f t="shared" si="23"/>
        <v>445</v>
      </c>
    </row>
    <row r="226" spans="1:16">
      <c r="A226" s="2" t="str">
        <f>'01_원자료'!A223</f>
        <v>PAT-15</v>
      </c>
      <c r="B226" s="2" t="str">
        <f>'01_원자료'!B223</f>
        <v>mistral</v>
      </c>
      <c r="C226" s="2" t="str">
        <f>'01_원자료'!C223</f>
        <v>qwen</v>
      </c>
      <c r="E226" s="17">
        <f>'01_원자료'!P223*'03_가중치민감도'!$B$5+'01_원자료'!Q223*'03_가중치민감도'!$C$5+'01_원자료'!R223*'03_가중치민감도'!$D$5</f>
        <v>0.69874260915727437</v>
      </c>
      <c r="F226" s="17">
        <f>'01_원자료'!P223*'03_가중치민감도'!$B$6+'01_원자료'!Q223*'03_가중치민감도'!$C$6+'01_원자료'!R223*'03_가중치민감도'!$D$6</f>
        <v>0.63102494760860195</v>
      </c>
      <c r="G226" s="17">
        <f>'01_원자료'!P223*'03_가중치민감도'!$B$7+'01_원자료'!Q223*'03_가중치민감도'!$C$7+'01_원자료'!R223*'03_가중치민감도'!$D$7</f>
        <v>0.69593014273745957</v>
      </c>
      <c r="H226" s="17">
        <f>'01_원자료'!P223*'03_가중치민감도'!$B$8+'01_원자료'!Q223*'03_가중치민감도'!$C$8+'01_원자료'!R223*'03_가중치민감도'!$D$8</f>
        <v>0.71280494125634808</v>
      </c>
      <c r="I226" s="17">
        <f>'01_원자료'!P223*'03_가중치민감도'!$B$9+'01_원자료'!Q223*'03_가중치민감도'!$C$9+'01_원자료'!R223*'03_가중치민감도'!$D$9</f>
        <v>0.65453499026476369</v>
      </c>
      <c r="J226" s="17">
        <f>'01_원자료'!P223*'03_가중치민감도'!$B$10+'01_원자료'!Q223*'03_가중치민감도'!$C$10+'01_원자료'!R223*'03_가중치민감도'!$D$10</f>
        <v>0.77208520354557608</v>
      </c>
      <c r="K226" s="31">
        <f t="shared" si="18"/>
        <v>820</v>
      </c>
      <c r="L226" s="31">
        <f t="shared" si="19"/>
        <v>926</v>
      </c>
      <c r="M226" s="31">
        <f t="shared" si="20"/>
        <v>819</v>
      </c>
      <c r="N226" s="31">
        <f t="shared" si="21"/>
        <v>817</v>
      </c>
      <c r="O226" s="31">
        <f t="shared" si="22"/>
        <v>886</v>
      </c>
      <c r="P226" s="31">
        <f t="shared" si="23"/>
        <v>728</v>
      </c>
    </row>
    <row r="227" spans="1:16">
      <c r="A227" s="2" t="str">
        <f>'01_원자료'!A224</f>
        <v>PAT-15</v>
      </c>
      <c r="B227" s="2" t="str">
        <f>'01_원자료'!B224</f>
        <v>qwen3_6</v>
      </c>
      <c r="C227" s="2" t="str">
        <f>'01_원자료'!C224</f>
        <v>gemma</v>
      </c>
      <c r="E227" s="17">
        <f>'01_원자료'!P224*'03_가중치민감도'!$B$5+'01_원자료'!Q224*'03_가중치민감도'!$C$5+'01_원자료'!R224*'03_가중치민감도'!$D$5</f>
        <v>0.71826231175049582</v>
      </c>
      <c r="F227" s="17">
        <f>'01_원자료'!P224*'03_가중치민감도'!$B$6+'01_원자료'!Q224*'03_가중치민감도'!$C$6+'01_원자료'!R224*'03_가중치민감도'!$D$6</f>
        <v>0.61414828921609121</v>
      </c>
      <c r="G227" s="17">
        <f>'01_원자료'!P224*'03_가중치민감도'!$B$7+'01_원자료'!Q224*'03_가중치민감도'!$C$7+'01_원자료'!R224*'03_가중치민감도'!$D$7</f>
        <v>0.70837120842030876</v>
      </c>
      <c r="H227" s="17">
        <f>'01_원자료'!P224*'03_가중치민감도'!$B$8+'01_원자료'!Q224*'03_가중치민감도'!$C$8+'01_원자료'!R224*'03_가중치민감도'!$D$8</f>
        <v>0.76771782840143077</v>
      </c>
      <c r="I227" s="17">
        <f>'01_원자료'!P224*'03_가중치민감도'!$B$9+'01_원자료'!Q224*'03_가중치민감도'!$C$9+'01_원자료'!R224*'03_가중치민감도'!$D$9</f>
        <v>0.65214999783762106</v>
      </c>
      <c r="J227" s="17">
        <f>'01_원자료'!P224*'03_가중치민감도'!$B$10+'01_원자료'!Q224*'03_가중치민감도'!$C$10+'01_원자료'!R224*'03_가중치민감도'!$D$10</f>
        <v>0.84215854094527431</v>
      </c>
      <c r="K227" s="31">
        <f t="shared" si="18"/>
        <v>872</v>
      </c>
      <c r="L227" s="31">
        <f t="shared" si="19"/>
        <v>872</v>
      </c>
      <c r="M227" s="31">
        <f t="shared" si="20"/>
        <v>862</v>
      </c>
      <c r="N227" s="31">
        <f t="shared" si="21"/>
        <v>890</v>
      </c>
      <c r="O227" s="31">
        <f t="shared" si="22"/>
        <v>874</v>
      </c>
      <c r="P227" s="31">
        <f t="shared" si="23"/>
        <v>866</v>
      </c>
    </row>
    <row r="228" spans="1:16">
      <c r="A228" s="2" t="str">
        <f>'01_원자료'!A225</f>
        <v>PAT-15</v>
      </c>
      <c r="B228" s="2" t="str">
        <f>'01_원자료'!B225</f>
        <v>qwen3_6</v>
      </c>
      <c r="C228" s="2" t="str">
        <f>'01_원자료'!C225</f>
        <v>ministral</v>
      </c>
      <c r="E228" s="17">
        <f>'01_원자료'!P225*'03_가중치민감도'!$B$5+'01_원자료'!Q225*'03_가중치민감도'!$C$5+'01_원자료'!R225*'03_가중치민감도'!$D$5</f>
        <v>0.60070674357664333</v>
      </c>
      <c r="F228" s="17">
        <f>'01_원자료'!P225*'03_가중치민감도'!$B$6+'01_원자료'!Q225*'03_가중치민감도'!$C$6+'01_원자료'!R225*'03_가중치민감도'!$D$6</f>
        <v>0.49889806618253096</v>
      </c>
      <c r="G228" s="17">
        <f>'01_원자료'!P225*'03_가중치민감도'!$B$7+'01_원자료'!Q225*'03_가중치민감도'!$C$7+'01_원자료'!R225*'03_가중치민감도'!$D$7</f>
        <v>0.60260350586551692</v>
      </c>
      <c r="H228" s="17">
        <f>'01_원자료'!P225*'03_가중치민감도'!$B$8+'01_원자료'!Q225*'03_가중치민감도'!$C$8+'01_원자료'!R225*'03_가중치민감도'!$D$8</f>
        <v>0.59122293213227584</v>
      </c>
      <c r="I228" s="17">
        <f>'01_원자료'!P225*'03_가중치민감도'!$B$9+'01_원자료'!Q225*'03_가중치민감도'!$C$9+'01_원자료'!R225*'03_가중치민감도'!$D$9</f>
        <v>0.53220203788427667</v>
      </c>
      <c r="J228" s="17">
        <f>'01_원자료'!P225*'03_가중치민감도'!$B$10+'01_원자료'!Q225*'03_가중치민감도'!$C$10+'01_원자료'!R225*'03_가중치민감도'!$D$10</f>
        <v>0.69872189639300886</v>
      </c>
      <c r="K228" s="31">
        <f t="shared" si="18"/>
        <v>393</v>
      </c>
      <c r="L228" s="31">
        <f t="shared" si="19"/>
        <v>359</v>
      </c>
      <c r="M228" s="31">
        <f t="shared" si="20"/>
        <v>374</v>
      </c>
      <c r="N228" s="31">
        <f t="shared" si="21"/>
        <v>467</v>
      </c>
      <c r="O228" s="31">
        <f t="shared" si="22"/>
        <v>382</v>
      </c>
      <c r="P228" s="31">
        <f t="shared" si="23"/>
        <v>453</v>
      </c>
    </row>
    <row r="229" spans="1:16">
      <c r="A229" s="2" t="str">
        <f>'01_원자료'!A226</f>
        <v>PAT-15</v>
      </c>
      <c r="B229" s="2" t="str">
        <f>'01_원자료'!B226</f>
        <v>qwen3_6</v>
      </c>
      <c r="C229" s="2" t="str">
        <f>'01_원자료'!C226</f>
        <v>qwen</v>
      </c>
      <c r="E229" s="17">
        <f>'01_원자료'!P226*'03_가중치민감도'!$B$5+'01_원자료'!Q226*'03_가중치민감도'!$C$5+'01_원자료'!R226*'03_가중치민감도'!$D$5</f>
        <v>0.68378883815888847</v>
      </c>
      <c r="F229" s="17">
        <f>'01_원자료'!P226*'03_가중치민감도'!$B$6+'01_원자료'!Q226*'03_가중치민감도'!$C$6+'01_원자료'!R226*'03_가중치민감도'!$D$6</f>
        <v>0.61169313054896224</v>
      </c>
      <c r="G229" s="17">
        <f>'01_원자료'!P226*'03_가중치민감도'!$B$7+'01_원자료'!Q226*'03_가중치민감도'!$C$7+'01_원자료'!R226*'03_가중치민감도'!$D$7</f>
        <v>0.68081558025251998</v>
      </c>
      <c r="H229" s="17">
        <f>'01_원자료'!P226*'03_가중치민감도'!$B$8+'01_원자료'!Q226*'03_가중치민감도'!$C$8+'01_원자료'!R226*'03_가중치민감도'!$D$8</f>
        <v>0.69865512769073124</v>
      </c>
      <c r="I229" s="17">
        <f>'01_원자료'!P226*'03_가중치민감도'!$B$9+'01_원자료'!Q226*'03_가중치민감도'!$C$9+'01_원자료'!R226*'03_가중치민감도'!$D$9</f>
        <v>0.63671611905439318</v>
      </c>
      <c r="J229" s="17">
        <f>'01_원자료'!P226*'03_가중치민감도'!$B$10+'01_원자료'!Q226*'03_가중치민감도'!$C$10+'01_원자료'!R226*'03_가중치민감도'!$D$10</f>
        <v>0.76183106158155178</v>
      </c>
      <c r="K229" s="31">
        <f t="shared" si="18"/>
        <v>766</v>
      </c>
      <c r="L229" s="31">
        <f t="shared" si="19"/>
        <v>864</v>
      </c>
      <c r="M229" s="31">
        <f t="shared" si="20"/>
        <v>766</v>
      </c>
      <c r="N229" s="31">
        <f t="shared" si="21"/>
        <v>784</v>
      </c>
      <c r="O229" s="31">
        <f t="shared" si="22"/>
        <v>823</v>
      </c>
      <c r="P229" s="31">
        <f t="shared" si="23"/>
        <v>697</v>
      </c>
    </row>
    <row r="230" spans="1:16">
      <c r="A230" s="2" t="str">
        <f>'01_원자료'!A227</f>
        <v>PAT-16</v>
      </c>
      <c r="B230" s="2" t="str">
        <f>'01_원자료'!B227</f>
        <v>chatgpt</v>
      </c>
      <c r="C230" s="2" t="str">
        <f>'01_원자료'!C227</f>
        <v>gemma</v>
      </c>
      <c r="E230" s="17">
        <f>'01_원자료'!P227*'03_가중치민감도'!$B$5+'01_원자료'!Q227*'03_가중치민감도'!$C$5+'01_원자료'!R227*'03_가중치민감도'!$D$5</f>
        <v>0.546257292190935</v>
      </c>
      <c r="F230" s="17">
        <f>'01_원자료'!P227*'03_가중치민감도'!$B$6+'01_원자료'!Q227*'03_가중치민감도'!$C$6+'01_원자료'!R227*'03_가중치민감도'!$D$6</f>
        <v>0.45117734771897788</v>
      </c>
      <c r="G230" s="17">
        <f>'01_원자료'!P227*'03_가중치민감도'!$B$7+'01_원자료'!Q227*'03_가중치민감도'!$C$7+'01_원자료'!R227*'03_가중치민감도'!$D$7</f>
        <v>0.55677276898354977</v>
      </c>
      <c r="H230" s="17">
        <f>'01_원자료'!P227*'03_가중치민감도'!$B$8+'01_원자료'!Q227*'03_가중치민감도'!$C$8+'01_원자료'!R227*'03_가중치민감도'!$D$8</f>
        <v>0.49367990822786129</v>
      </c>
      <c r="I230" s="17">
        <f>'01_원자료'!P227*'03_가중치민감도'!$B$9+'01_원자료'!Q227*'03_가중치민감도'!$C$9+'01_원자료'!R227*'03_가중치민감도'!$D$9</f>
        <v>0.47936550361209151</v>
      </c>
      <c r="J230" s="17">
        <f>'01_원자료'!P227*'03_가중치민감도'!$B$10+'01_원자료'!Q227*'03_가중치민감도'!$C$10+'01_원자료'!R227*'03_가중치민감도'!$D$10</f>
        <v>0.62030628307766267</v>
      </c>
      <c r="K230" s="31">
        <f t="shared" si="18"/>
        <v>190</v>
      </c>
      <c r="L230" s="31">
        <f t="shared" si="19"/>
        <v>147</v>
      </c>
      <c r="M230" s="31">
        <f t="shared" si="20"/>
        <v>187</v>
      </c>
      <c r="N230" s="31">
        <f t="shared" si="21"/>
        <v>209</v>
      </c>
      <c r="O230" s="31">
        <f t="shared" si="22"/>
        <v>164</v>
      </c>
      <c r="P230" s="31">
        <f t="shared" si="23"/>
        <v>243</v>
      </c>
    </row>
    <row r="231" spans="1:16">
      <c r="A231" s="2" t="str">
        <f>'01_원자료'!A228</f>
        <v>PAT-16</v>
      </c>
      <c r="B231" s="2" t="str">
        <f>'01_원자료'!B228</f>
        <v>chatgpt</v>
      </c>
      <c r="C231" s="2" t="str">
        <f>'01_원자료'!C228</f>
        <v>ministral</v>
      </c>
      <c r="E231" s="17">
        <f>'01_원자료'!P228*'03_가중치민감도'!$B$5+'01_원자료'!Q228*'03_가중치민감도'!$C$5+'01_원자료'!R228*'03_가중치민감도'!$D$5</f>
        <v>0.48726338443091288</v>
      </c>
      <c r="F231" s="17">
        <f>'01_원자료'!P228*'03_가중치민감도'!$B$6+'01_원자료'!Q228*'03_가중치민감도'!$C$6+'01_원자료'!R228*'03_가중치민감도'!$D$6</f>
        <v>0.40562226679070001</v>
      </c>
      <c r="G231" s="17">
        <f>'01_원자료'!P228*'03_가중치민감도'!$B$7+'01_원자료'!Q228*'03_가중치민감도'!$C$7+'01_원자료'!R228*'03_가중치민감도'!$D$7</f>
        <v>0.50579046492946145</v>
      </c>
      <c r="H231" s="17">
        <f>'01_원자료'!P228*'03_가중치민감도'!$B$8+'01_원자료'!Q228*'03_가중치민감도'!$C$8+'01_원자료'!R228*'03_가중치민감도'!$D$8</f>
        <v>0.39462798193817017</v>
      </c>
      <c r="I231" s="17">
        <f>'01_원자료'!P228*'03_가중치민감도'!$B$9+'01_원자료'!Q228*'03_가중치민감도'!$C$9+'01_원자료'!R228*'03_가중치민감도'!$D$9</f>
        <v>0.42666027917125432</v>
      </c>
      <c r="J231" s="17">
        <f>'01_원자료'!P228*'03_가중치민감도'!$B$10+'01_원자료'!Q228*'03_가중치민감도'!$C$10+'01_원자료'!R228*'03_가중치민감도'!$D$10</f>
        <v>0.53185034107402873</v>
      </c>
      <c r="K231" s="31">
        <f t="shared" si="18"/>
        <v>23</v>
      </c>
      <c r="L231" s="31">
        <f t="shared" si="19"/>
        <v>26</v>
      </c>
      <c r="M231" s="31">
        <f t="shared" si="20"/>
        <v>23</v>
      </c>
      <c r="N231" s="31">
        <f t="shared" si="21"/>
        <v>39</v>
      </c>
      <c r="O231" s="31">
        <f t="shared" si="22"/>
        <v>24</v>
      </c>
      <c r="P231" s="31">
        <f t="shared" si="23"/>
        <v>33</v>
      </c>
    </row>
    <row r="232" spans="1:16">
      <c r="A232" s="2" t="str">
        <f>'01_원자료'!A229</f>
        <v>PAT-16</v>
      </c>
      <c r="B232" s="2" t="str">
        <f>'01_원자료'!B229</f>
        <v>chatgpt</v>
      </c>
      <c r="C232" s="2" t="str">
        <f>'01_원자료'!C229</f>
        <v>qwen</v>
      </c>
      <c r="E232" s="17">
        <f>'01_원자료'!P229*'03_가중치민감도'!$B$5+'01_원자료'!Q229*'03_가중치민감도'!$C$5+'01_원자료'!R229*'03_가중치민감도'!$D$5</f>
        <v>0.6291399832850868</v>
      </c>
      <c r="F232" s="17">
        <f>'01_원자료'!P229*'03_가중치민감도'!$B$6+'01_원자료'!Q229*'03_가중치민감도'!$C$6+'01_원자료'!R229*'03_가중치민감도'!$D$6</f>
        <v>0.55118254154053525</v>
      </c>
      <c r="G232" s="17">
        <f>'01_원자료'!P229*'03_가중치민감도'!$B$7+'01_원자료'!Q229*'03_가중치민감도'!$C$7+'01_원자료'!R229*'03_가중치민감도'!$D$7</f>
        <v>0.63149025160339045</v>
      </c>
      <c r="H232" s="17">
        <f>'01_원자료'!P229*'03_가중치민감도'!$B$8+'01_원자료'!Q229*'03_가중치민감도'!$C$8+'01_원자료'!R229*'03_가중치민감도'!$D$8</f>
        <v>0.61738864169356855</v>
      </c>
      <c r="I232" s="17">
        <f>'01_원자료'!P229*'03_가중치민감도'!$B$9+'01_원자료'!Q229*'03_가중치민감도'!$C$9+'01_원자료'!R229*'03_가중치민감도'!$D$9</f>
        <v>0.57638493268261737</v>
      </c>
      <c r="J232" s="17">
        <f>'01_원자료'!P229*'03_가중치민감도'!$B$10+'01_원자료'!Q229*'03_가중치민감도'!$C$10+'01_원자료'!R229*'03_가중치민감도'!$D$10</f>
        <v>0.70239688839303105</v>
      </c>
      <c r="K232" s="31">
        <f t="shared" si="18"/>
        <v>525</v>
      </c>
      <c r="L232" s="31">
        <f t="shared" si="19"/>
        <v>594</v>
      </c>
      <c r="M232" s="31">
        <f t="shared" si="20"/>
        <v>525</v>
      </c>
      <c r="N232" s="31">
        <f t="shared" si="21"/>
        <v>542</v>
      </c>
      <c r="O232" s="31">
        <f t="shared" si="22"/>
        <v>574</v>
      </c>
      <c r="P232" s="31">
        <f t="shared" si="23"/>
        <v>468</v>
      </c>
    </row>
    <row r="233" spans="1:16">
      <c r="A233" s="2" t="str">
        <f>'01_원자료'!A230</f>
        <v>PAT-16</v>
      </c>
      <c r="B233" s="2" t="str">
        <f>'01_원자료'!B230</f>
        <v>claude</v>
      </c>
      <c r="C233" s="2" t="str">
        <f>'01_원자료'!C230</f>
        <v>gemma</v>
      </c>
      <c r="E233" s="17">
        <f>'01_원자료'!P230*'03_가중치민감도'!$B$5+'01_원자료'!Q230*'03_가중치민감도'!$C$5+'01_원자료'!R230*'03_가중치민감도'!$D$5</f>
        <v>0.64421132715312668</v>
      </c>
      <c r="F233" s="17">
        <f>'01_원자료'!P230*'03_가중치민감도'!$B$6+'01_원자료'!Q230*'03_가중치민감도'!$C$6+'01_원자료'!R230*'03_가중치민감도'!$D$6</f>
        <v>0.52780959998312393</v>
      </c>
      <c r="G233" s="17">
        <f>'01_원자료'!P230*'03_가중치민감도'!$B$7+'01_원자료'!Q230*'03_가중치민감도'!$C$7+'01_원자료'!R230*'03_가중치민감도'!$D$7</f>
        <v>0.63998956439046895</v>
      </c>
      <c r="H233" s="17">
        <f>'01_원자료'!P230*'03_가중치민감도'!$B$8+'01_원자료'!Q230*'03_가중치민감도'!$C$8+'01_원자료'!R230*'03_가중치민감도'!$D$8</f>
        <v>0.66532014096641512</v>
      </c>
      <c r="I233" s="17">
        <f>'01_원자료'!P230*'03_가중치민감도'!$B$9+'01_원자료'!Q230*'03_가중치민감도'!$C$9+'01_원자료'!R230*'03_가중치민감도'!$D$9</f>
        <v>0.56801742996067683</v>
      </c>
      <c r="J233" s="17">
        <f>'01_원자료'!P230*'03_가중치민감도'!$B$10+'01_원자료'!Q230*'03_가중치민감도'!$C$10+'01_원자료'!R230*'03_가중치민감도'!$D$10</f>
        <v>0.76905657984844478</v>
      </c>
      <c r="K233" s="31">
        <f t="shared" si="18"/>
        <v>593</v>
      </c>
      <c r="L233" s="31">
        <f t="shared" si="19"/>
        <v>488</v>
      </c>
      <c r="M233" s="31">
        <f t="shared" si="20"/>
        <v>563</v>
      </c>
      <c r="N233" s="31">
        <f t="shared" si="21"/>
        <v>685</v>
      </c>
      <c r="O233" s="31">
        <f t="shared" si="22"/>
        <v>539</v>
      </c>
      <c r="P233" s="31">
        <f t="shared" si="23"/>
        <v>717</v>
      </c>
    </row>
    <row r="234" spans="1:16">
      <c r="A234" s="2" t="str">
        <f>'01_원자료'!A231</f>
        <v>PAT-16</v>
      </c>
      <c r="B234" s="2" t="str">
        <f>'01_원자료'!B231</f>
        <v>claude</v>
      </c>
      <c r="C234" s="2" t="str">
        <f>'01_원자료'!C231</f>
        <v>ministral</v>
      </c>
      <c r="E234" s="17">
        <f>'01_원자료'!P231*'03_가중치민감도'!$B$5+'01_원자료'!Q231*'03_가중치민감도'!$C$5+'01_원자료'!R231*'03_가중치민감도'!$D$5</f>
        <v>0.48784573591202263</v>
      </c>
      <c r="F234" s="17">
        <f>'01_원자료'!P231*'03_가중치민감도'!$B$6+'01_원자료'!Q231*'03_가중치민감도'!$C$6+'01_원자료'!R231*'03_가중치민감도'!$D$6</f>
        <v>0.40130858765683303</v>
      </c>
      <c r="G234" s="17">
        <f>'01_원자료'!P231*'03_가중치민감도'!$B$7+'01_원자료'!Q231*'03_가중치민감도'!$C$7+'01_원자료'!R231*'03_가중치민감도'!$D$7</f>
        <v>0.50418070599367704</v>
      </c>
      <c r="H234" s="17">
        <f>'01_원자료'!P231*'03_가중치민감도'!$B$8+'01_원자료'!Q231*'03_가중치민감도'!$C$8+'01_원자료'!R231*'03_가중치민감도'!$D$8</f>
        <v>0.40617088550375058</v>
      </c>
      <c r="I234" s="17">
        <f>'01_원자료'!P231*'03_가중치민감도'!$B$9+'01_원자료'!Q231*'03_가중치민감도'!$C$9+'01_원자료'!R231*'03_가중치민감도'!$D$9</f>
        <v>0.42470931371467768</v>
      </c>
      <c r="J234" s="17">
        <f>'01_원자료'!P231*'03_가중치민감도'!$B$10+'01_원자료'!Q231*'03_가중치민감도'!$C$10+'01_원자료'!R231*'03_가중치민감도'!$D$10</f>
        <v>0.54171294400390346</v>
      </c>
      <c r="K234" s="31">
        <f t="shared" si="18"/>
        <v>24</v>
      </c>
      <c r="L234" s="31">
        <f t="shared" si="19"/>
        <v>20</v>
      </c>
      <c r="M234" s="31">
        <f t="shared" si="20"/>
        <v>21</v>
      </c>
      <c r="N234" s="31">
        <f t="shared" si="21"/>
        <v>54</v>
      </c>
      <c r="O234" s="31">
        <f t="shared" si="22"/>
        <v>21</v>
      </c>
      <c r="P234" s="31">
        <f t="shared" si="23"/>
        <v>53</v>
      </c>
    </row>
    <row r="235" spans="1:16">
      <c r="A235" s="2" t="str">
        <f>'01_원자료'!A232</f>
        <v>PAT-16</v>
      </c>
      <c r="B235" s="2" t="str">
        <f>'01_원자료'!B232</f>
        <v>claude</v>
      </c>
      <c r="C235" s="2" t="str">
        <f>'01_원자료'!C232</f>
        <v>qwen</v>
      </c>
      <c r="E235" s="17">
        <f>'01_원자료'!P232*'03_가중치민감도'!$B$5+'01_원자료'!Q232*'03_가중치민감도'!$C$5+'01_원자료'!R232*'03_가중치민감도'!$D$5</f>
        <v>0.62029210926178691</v>
      </c>
      <c r="F235" s="17">
        <f>'01_원자료'!P232*'03_가중치민감도'!$B$6+'01_원자료'!Q232*'03_가중치민감도'!$C$6+'01_원자료'!R232*'03_가중치민감도'!$D$6</f>
        <v>0.5495744075953215</v>
      </c>
      <c r="G235" s="17">
        <f>'01_원자료'!P232*'03_가중치민감도'!$B$7+'01_원자료'!Q232*'03_가중치민감도'!$C$7+'01_원자료'!R232*'03_가중치민감도'!$D$7</f>
        <v>0.62820409063729143</v>
      </c>
      <c r="H235" s="17">
        <f>'01_원자료'!P232*'03_가중치민감도'!$B$8+'01_원자료'!Q232*'03_가중치민감도'!$C$8+'01_원자료'!R232*'03_가중치민감도'!$D$8</f>
        <v>0.58073220238426448</v>
      </c>
      <c r="I235" s="17">
        <f>'01_원자료'!P232*'03_가중치민감도'!$B$9+'01_원자료'!Q232*'03_가중치민감도'!$C$9+'01_원자료'!R232*'03_가중치민감도'!$D$9</f>
        <v>0.57050964769230783</v>
      </c>
      <c r="J235" s="17">
        <f>'01_원자료'!P232*'03_가중치민감도'!$B$10+'01_원자료'!Q232*'03_가중치민감도'!$C$10+'01_원자료'!R232*'03_가중치민감도'!$D$10</f>
        <v>0.67518584817724348</v>
      </c>
      <c r="K235" s="31">
        <f t="shared" si="18"/>
        <v>489</v>
      </c>
      <c r="L235" s="31">
        <f t="shared" si="19"/>
        <v>589</v>
      </c>
      <c r="M235" s="31">
        <f t="shared" si="20"/>
        <v>504</v>
      </c>
      <c r="N235" s="31">
        <f t="shared" si="21"/>
        <v>427</v>
      </c>
      <c r="O235" s="31">
        <f t="shared" si="22"/>
        <v>547</v>
      </c>
      <c r="P235" s="31">
        <f t="shared" si="23"/>
        <v>371</v>
      </c>
    </row>
    <row r="236" spans="1:16">
      <c r="A236" s="2" t="str">
        <f>'01_원자료'!A233</f>
        <v>PAT-16</v>
      </c>
      <c r="B236" s="2" t="str">
        <f>'01_원자료'!B233</f>
        <v>gemini</v>
      </c>
      <c r="C236" s="2" t="str">
        <f>'01_원자료'!C233</f>
        <v>gemma</v>
      </c>
      <c r="E236" s="17">
        <f>'01_원자료'!P233*'03_가중치민감도'!$B$5+'01_원자료'!Q233*'03_가중치민감도'!$C$5+'01_원자료'!R233*'03_가중치민감도'!$D$5</f>
        <v>0.7203108289755763</v>
      </c>
      <c r="F236" s="17">
        <f>'01_원자료'!P233*'03_가중치민감도'!$B$6+'01_원자료'!Q233*'03_가중치민감도'!$C$6+'01_원자료'!R233*'03_가중치민감도'!$D$6</f>
        <v>0.59399271524774933</v>
      </c>
      <c r="G236" s="17">
        <f>'01_원자료'!P233*'03_가중치민감도'!$B$7+'01_원자료'!Q233*'03_가중치민감도'!$C$7+'01_원자료'!R233*'03_가중치민감도'!$D$7</f>
        <v>0.71244077634693126</v>
      </c>
      <c r="H236" s="17">
        <f>'01_원자료'!P233*'03_가중치민감도'!$B$8+'01_원자료'!Q233*'03_가중치민감도'!$C$8+'01_원자료'!R233*'03_가중치민감도'!$D$8</f>
        <v>0.75966109211880173</v>
      </c>
      <c r="I236" s="17">
        <f>'01_원자료'!P233*'03_가중치민감도'!$B$9+'01_원자료'!Q233*'03_가중치민감도'!$C$9+'01_원자료'!R233*'03_가중치민감도'!$D$9</f>
        <v>0.63872210403323937</v>
      </c>
      <c r="J236" s="17">
        <f>'01_원자료'!P233*'03_가중치민감도'!$B$10+'01_원자료'!Q233*'03_가중치민감도'!$C$10+'01_원자료'!R233*'03_가중치민감도'!$D$10</f>
        <v>0.86236904796069347</v>
      </c>
      <c r="K236" s="31">
        <f t="shared" si="18"/>
        <v>882</v>
      </c>
      <c r="L236" s="31">
        <f t="shared" si="19"/>
        <v>781</v>
      </c>
      <c r="M236" s="31">
        <f t="shared" si="20"/>
        <v>878</v>
      </c>
      <c r="N236" s="31">
        <f t="shared" si="21"/>
        <v>864</v>
      </c>
      <c r="O236" s="31">
        <f t="shared" si="22"/>
        <v>831</v>
      </c>
      <c r="P236" s="31">
        <f t="shared" si="23"/>
        <v>923</v>
      </c>
    </row>
    <row r="237" spans="1:16">
      <c r="A237" s="2" t="str">
        <f>'01_원자료'!A234</f>
        <v>PAT-16</v>
      </c>
      <c r="B237" s="2" t="str">
        <f>'01_원자료'!B234</f>
        <v>gemini</v>
      </c>
      <c r="C237" s="2" t="str">
        <f>'01_원자료'!C234</f>
        <v>ministral</v>
      </c>
      <c r="E237" s="17">
        <f>'01_원자료'!P234*'03_가중치민감도'!$B$5+'01_원자료'!Q234*'03_가중치민감도'!$C$5+'01_원자료'!R234*'03_가중치민감도'!$D$5</f>
        <v>0.52321055378234793</v>
      </c>
      <c r="F237" s="17">
        <f>'01_원자료'!P234*'03_가중치민감도'!$B$6+'01_원자료'!Q234*'03_가중치민감도'!$C$6+'01_원자료'!R234*'03_가중치민감도'!$D$6</f>
        <v>0.42482015952243113</v>
      </c>
      <c r="G237" s="17">
        <f>'01_원자료'!P234*'03_가중치민감도'!$B$7+'01_원자료'!Q234*'03_가중치민감도'!$C$7+'01_원자료'!R234*'03_가중치민감도'!$D$7</f>
        <v>0.54299307297174604</v>
      </c>
      <c r="H237" s="17">
        <f>'01_원자료'!P234*'03_가중치민감도'!$B$8+'01_원자료'!Q234*'03_가중치민감도'!$C$8+'01_원자료'!R234*'03_가중치민감도'!$D$8</f>
        <v>0.42429795783535751</v>
      </c>
      <c r="I237" s="17">
        <f>'01_원자료'!P234*'03_가중치민감도'!$B$9+'01_원자료'!Q234*'03_가중치민감도'!$C$9+'01_원자료'!R234*'03_가중치민감도'!$D$9</f>
        <v>0.45102278454593692</v>
      </c>
      <c r="J237" s="17">
        <f>'01_원자료'!P234*'03_가중치민감도'!$B$10+'01_원자료'!Q234*'03_가중치민감도'!$C$10+'01_원자료'!R234*'03_가중치민감도'!$D$10</f>
        <v>0.58203590966346852</v>
      </c>
      <c r="K237" s="31">
        <f t="shared" si="18"/>
        <v>112</v>
      </c>
      <c r="L237" s="31">
        <f t="shared" si="19"/>
        <v>57</v>
      </c>
      <c r="M237" s="31">
        <f t="shared" si="20"/>
        <v>120</v>
      </c>
      <c r="N237" s="31">
        <f t="shared" si="21"/>
        <v>97</v>
      </c>
      <c r="O237" s="31">
        <f t="shared" si="22"/>
        <v>69</v>
      </c>
      <c r="P237" s="31">
        <f t="shared" si="23"/>
        <v>134</v>
      </c>
    </row>
    <row r="238" spans="1:16">
      <c r="A238" s="2" t="str">
        <f>'01_원자료'!A235</f>
        <v>PAT-16</v>
      </c>
      <c r="B238" s="2" t="str">
        <f>'01_원자료'!B235</f>
        <v>gemini</v>
      </c>
      <c r="C238" s="2" t="str">
        <f>'01_원자료'!C235</f>
        <v>qwen</v>
      </c>
      <c r="E238" s="17">
        <f>'01_원자료'!P235*'03_가중치민감도'!$B$5+'01_원자료'!Q235*'03_가중치민감도'!$C$5+'01_원자료'!R235*'03_가중치민감도'!$D$5</f>
        <v>0.6579492551969004</v>
      </c>
      <c r="F238" s="17">
        <f>'01_원자료'!P235*'03_가중치민감도'!$B$6+'01_원자료'!Q235*'03_가중치민감도'!$C$6+'01_원자료'!R235*'03_가중치민감도'!$D$6</f>
        <v>0.564674786345848</v>
      </c>
      <c r="G238" s="17">
        <f>'01_원자료'!P235*'03_가중치민감도'!$B$7+'01_원자료'!Q235*'03_가중치민감도'!$C$7+'01_원자료'!R235*'03_가중치민감도'!$D$7</f>
        <v>0.66741212540882155</v>
      </c>
      <c r="H238" s="17">
        <f>'01_원자료'!P235*'03_가중치민감도'!$B$8+'01_원자료'!Q235*'03_가중치민감도'!$C$8+'01_원자료'!R235*'03_가중치민감도'!$D$8</f>
        <v>0.61063490413729427</v>
      </c>
      <c r="I238" s="17">
        <f>'01_원자료'!P235*'03_가중치민감도'!$B$9+'01_원자료'!Q235*'03_가중치민감도'!$C$9+'01_원자료'!R235*'03_가중치민감도'!$D$9</f>
        <v>0.59261198589222441</v>
      </c>
      <c r="J238" s="17">
        <f>'01_원자료'!P235*'03_가중치민감도'!$B$10+'01_원자료'!Q235*'03_가중치민감도'!$C$10+'01_원자료'!R235*'03_가중치민감도'!$D$10</f>
        <v>0.73229798362411025</v>
      </c>
      <c r="K238" s="31">
        <f t="shared" si="18"/>
        <v>661</v>
      </c>
      <c r="L238" s="31">
        <f t="shared" si="19"/>
        <v>661</v>
      </c>
      <c r="M238" s="31">
        <f t="shared" si="20"/>
        <v>706</v>
      </c>
      <c r="N238" s="31">
        <f t="shared" si="21"/>
        <v>523</v>
      </c>
      <c r="O238" s="31">
        <f t="shared" si="22"/>
        <v>650</v>
      </c>
      <c r="P238" s="31">
        <f t="shared" si="23"/>
        <v>593</v>
      </c>
    </row>
    <row r="239" spans="1:16">
      <c r="A239" s="2" t="str">
        <f>'01_원자료'!A236</f>
        <v>PAT-16</v>
      </c>
      <c r="B239" s="2" t="str">
        <f>'01_원자료'!B236</f>
        <v>mistral</v>
      </c>
      <c r="C239" s="2" t="str">
        <f>'01_원자료'!C236</f>
        <v>gemma</v>
      </c>
      <c r="E239" s="17">
        <f>'01_원자료'!P236*'03_가중치민감도'!$B$5+'01_원자료'!Q236*'03_가중치민감도'!$C$5+'01_원자료'!R236*'03_가중치민감도'!$D$5</f>
        <v>0.61273683728609363</v>
      </c>
      <c r="F239" s="17">
        <f>'01_원자료'!P236*'03_가중치민감도'!$B$6+'01_원자료'!Q236*'03_가중치민감도'!$C$6+'01_원자료'!R236*'03_가중치민감도'!$D$6</f>
        <v>0.5049744021447512</v>
      </c>
      <c r="G239" s="17">
        <f>'01_원자료'!P236*'03_가중치민감도'!$B$7+'01_원자료'!Q236*'03_가중치민감도'!$C$7+'01_원자료'!R236*'03_가중치민감도'!$D$7</f>
        <v>0.61506540838125168</v>
      </c>
      <c r="H239" s="17">
        <f>'01_원자료'!P236*'03_가중치민감도'!$B$8+'01_원자료'!Q236*'03_가중치민감도'!$C$8+'01_원자료'!R236*'03_가중치민감도'!$D$8</f>
        <v>0.60109398181030382</v>
      </c>
      <c r="I239" s="17">
        <f>'01_원자료'!P236*'03_가중치민감도'!$B$9+'01_원자료'!Q236*'03_가중치민감도'!$C$9+'01_원자료'!R236*'03_가중치민감도'!$D$9</f>
        <v>0.54011902349347873</v>
      </c>
      <c r="J239" s="17">
        <f>'01_원자료'!P236*'03_가중치민감도'!$B$10+'01_원자료'!Q236*'03_가중치민감도'!$C$10+'01_원자료'!R236*'03_가중치민감도'!$D$10</f>
        <v>0.71584213023712018</v>
      </c>
      <c r="K239" s="31">
        <f t="shared" si="18"/>
        <v>450</v>
      </c>
      <c r="L239" s="31">
        <f t="shared" si="19"/>
        <v>390</v>
      </c>
      <c r="M239" s="31">
        <f t="shared" si="20"/>
        <v>436</v>
      </c>
      <c r="N239" s="31">
        <f t="shared" si="21"/>
        <v>491</v>
      </c>
      <c r="O239" s="31">
        <f t="shared" si="22"/>
        <v>416</v>
      </c>
      <c r="P239" s="31">
        <f t="shared" si="23"/>
        <v>524</v>
      </c>
    </row>
    <row r="240" spans="1:16">
      <c r="A240" s="2" t="str">
        <f>'01_원자료'!A237</f>
        <v>PAT-16</v>
      </c>
      <c r="B240" s="2" t="str">
        <f>'01_원자료'!B237</f>
        <v>mistral</v>
      </c>
      <c r="C240" s="2" t="str">
        <f>'01_원자료'!C237</f>
        <v>ministral</v>
      </c>
      <c r="E240" s="17">
        <f>'01_원자료'!P237*'03_가중치민감도'!$B$5+'01_원자료'!Q237*'03_가중치민감도'!$C$5+'01_원자료'!R237*'03_가중치민감도'!$D$5</f>
        <v>0.52463187107898468</v>
      </c>
      <c r="F240" s="17">
        <f>'01_원자료'!P237*'03_가중치민감도'!$B$6+'01_원자료'!Q237*'03_가중치민감도'!$C$6+'01_원자료'!R237*'03_가중치민감도'!$D$6</f>
        <v>0.4399109615808563</v>
      </c>
      <c r="G240" s="17">
        <f>'01_원자료'!P237*'03_가중치민감도'!$B$7+'01_원자료'!Q237*'03_가중치민감도'!$C$7+'01_원자료'!R237*'03_가중치민감도'!$D$7</f>
        <v>0.54088754084858093</v>
      </c>
      <c r="H240" s="17">
        <f>'01_원자료'!P237*'03_가중치민감도'!$B$8+'01_원자료'!Q237*'03_가중치민감도'!$C$8+'01_원자료'!R237*'03_가중치민감도'!$D$8</f>
        <v>0.44335352223100355</v>
      </c>
      <c r="I240" s="17">
        <f>'01_원자료'!P237*'03_가중치민감도'!$B$9+'01_원자료'!Q237*'03_가중치민감도'!$C$9+'01_원자료'!R237*'03_가중치민감도'!$D$9</f>
        <v>0.46273270815703321</v>
      </c>
      <c r="J240" s="17">
        <f>'01_원자료'!P237*'03_가중치민감도'!$B$10+'01_원자료'!Q237*'03_가중치민감도'!$C$10+'01_원자료'!R237*'03_가중치민감도'!$D$10</f>
        <v>0.57684144103792068</v>
      </c>
      <c r="K240" s="31">
        <f t="shared" si="18"/>
        <v>116</v>
      </c>
      <c r="L240" s="31">
        <f t="shared" si="19"/>
        <v>96</v>
      </c>
      <c r="M240" s="31">
        <f t="shared" si="20"/>
        <v>110</v>
      </c>
      <c r="N240" s="31">
        <f t="shared" si="21"/>
        <v>124</v>
      </c>
      <c r="O240" s="31">
        <f t="shared" si="22"/>
        <v>102</v>
      </c>
      <c r="P240" s="31">
        <f t="shared" si="23"/>
        <v>123</v>
      </c>
    </row>
    <row r="241" spans="1:16">
      <c r="A241" s="2" t="str">
        <f>'01_원자료'!A238</f>
        <v>PAT-16</v>
      </c>
      <c r="B241" s="2" t="str">
        <f>'01_원자료'!B238</f>
        <v>mistral</v>
      </c>
      <c r="C241" s="2" t="str">
        <f>'01_원자료'!C238</f>
        <v>qwen</v>
      </c>
      <c r="E241" s="17">
        <f>'01_원자료'!P238*'03_가중치민감도'!$B$5+'01_원자료'!Q238*'03_가중치민감도'!$C$5+'01_원자료'!R238*'03_가중치민감도'!$D$5</f>
        <v>0.6356061879014514</v>
      </c>
      <c r="F241" s="17">
        <f>'01_원자료'!P238*'03_가중치민감도'!$B$6+'01_원자료'!Q238*'03_가중치민감도'!$C$6+'01_원자료'!R238*'03_가중치민감도'!$D$6</f>
        <v>0.57321108992496606</v>
      </c>
      <c r="G241" s="17">
        <f>'01_원자료'!P238*'03_가중치민감도'!$B$7+'01_원자료'!Q238*'03_가중치민감도'!$C$7+'01_원자료'!R238*'03_가중치민감도'!$D$7</f>
        <v>0.6436389675266917</v>
      </c>
      <c r="H241" s="17">
        <f>'01_원자료'!P238*'03_가중치민감도'!$B$8+'01_원자료'!Q238*'03_가중치민감도'!$C$8+'01_원자료'!R238*'03_가중치민감도'!$D$8</f>
        <v>0.59544228977525016</v>
      </c>
      <c r="I241" s="17">
        <f>'01_원자료'!P238*'03_가중치민감도'!$B$9+'01_원자료'!Q238*'03_가중치민감도'!$C$9+'01_원자료'!R238*'03_가중치민감도'!$D$9</f>
        <v>0.59133186270871385</v>
      </c>
      <c r="J241" s="17">
        <f>'01_원자료'!P238*'03_가중치민감도'!$B$10+'01_원자료'!Q238*'03_가중치민감도'!$C$10+'01_원자료'!R238*'03_가중치민감도'!$D$10</f>
        <v>0.68193572662745616</v>
      </c>
      <c r="K241" s="31">
        <f t="shared" si="18"/>
        <v>562</v>
      </c>
      <c r="L241" s="31">
        <f t="shared" si="19"/>
        <v>708</v>
      </c>
      <c r="M241" s="31">
        <f t="shared" si="20"/>
        <v>581</v>
      </c>
      <c r="N241" s="31">
        <f t="shared" si="21"/>
        <v>477</v>
      </c>
      <c r="O241" s="31">
        <f t="shared" si="22"/>
        <v>642</v>
      </c>
      <c r="P241" s="31">
        <f t="shared" si="23"/>
        <v>399</v>
      </c>
    </row>
    <row r="242" spans="1:16">
      <c r="A242" s="2" t="str">
        <f>'01_원자료'!A239</f>
        <v>PAT-16</v>
      </c>
      <c r="B242" s="2" t="str">
        <f>'01_원자료'!B239</f>
        <v>qwen3_6</v>
      </c>
      <c r="C242" s="2" t="str">
        <f>'01_원자료'!C239</f>
        <v>gemma</v>
      </c>
      <c r="E242" s="17">
        <f>'01_원자료'!P239*'03_가중치민감도'!$B$5+'01_원자료'!Q239*'03_가중치민감도'!$C$5+'01_원자료'!R239*'03_가중치민감도'!$D$5</f>
        <v>0.69448804520531071</v>
      </c>
      <c r="F242" s="17">
        <f>'01_원자료'!P239*'03_가중치민감도'!$B$6+'01_원자료'!Q239*'03_가중치민감도'!$C$6+'01_원자료'!R239*'03_가중치민감도'!$D$6</f>
        <v>0.58111532345181816</v>
      </c>
      <c r="G242" s="17">
        <f>'01_원자료'!P239*'03_가중치민감도'!$B$7+'01_원자료'!Q239*'03_가중치민감도'!$C$7+'01_원자료'!R239*'03_가중치민감도'!$D$7</f>
        <v>0.6833873112646156</v>
      </c>
      <c r="H242" s="17">
        <f>'01_원자료'!P239*'03_가중치민감도'!$B$8+'01_원자료'!Q239*'03_가중치민감도'!$C$8+'01_원자료'!R239*'03_가중치민감도'!$D$8</f>
        <v>0.74999171490878613</v>
      </c>
      <c r="I242" s="17">
        <f>'01_원자료'!P239*'03_가중치민감도'!$B$9+'01_원자료'!Q239*'03_가중치민감도'!$C$9+'01_원자료'!R239*'03_가중치민감도'!$D$9</f>
        <v>0.62260647534988012</v>
      </c>
      <c r="J242" s="17">
        <f>'01_원자료'!P239*'03_가중치민감도'!$B$10+'01_원자료'!Q239*'03_가중치민감도'!$C$10+'01_원자료'!R239*'03_가중치민감도'!$D$10</f>
        <v>0.83006223484019337</v>
      </c>
      <c r="K242" s="31">
        <f t="shared" si="18"/>
        <v>803</v>
      </c>
      <c r="L242" s="31">
        <f t="shared" si="19"/>
        <v>740</v>
      </c>
      <c r="M242" s="31">
        <f t="shared" si="20"/>
        <v>772</v>
      </c>
      <c r="N242" s="31">
        <f t="shared" si="21"/>
        <v>847</v>
      </c>
      <c r="O242" s="31">
        <f t="shared" si="22"/>
        <v>770</v>
      </c>
      <c r="P242" s="31">
        <f t="shared" si="23"/>
        <v>851</v>
      </c>
    </row>
    <row r="243" spans="1:16">
      <c r="A243" s="2" t="str">
        <f>'01_원자료'!A240</f>
        <v>PAT-16</v>
      </c>
      <c r="B243" s="2" t="str">
        <f>'01_원자료'!B240</f>
        <v>qwen3_6</v>
      </c>
      <c r="C243" s="2" t="str">
        <f>'01_원자료'!C240</f>
        <v>ministral</v>
      </c>
      <c r="E243" s="17">
        <f>'01_원자료'!P240*'03_가중치민감도'!$B$5+'01_원자료'!Q240*'03_가중치민감도'!$C$5+'01_원자료'!R240*'03_가중치민감도'!$D$5</f>
        <v>0.48786540561763297</v>
      </c>
      <c r="F243" s="17">
        <f>'01_원자료'!P240*'03_가중치민감도'!$B$6+'01_원자료'!Q240*'03_가중치민감도'!$C$6+'01_원자료'!R240*'03_가중치민감도'!$D$6</f>
        <v>0.40433204600951927</v>
      </c>
      <c r="G243" s="17">
        <f>'01_원자료'!P240*'03_가중치민감도'!$B$7+'01_원자료'!Q240*'03_가중치민감도'!$C$7+'01_원자료'!R240*'03_가중치민감도'!$D$7</f>
        <v>0.5034644095723213</v>
      </c>
      <c r="H243" s="17">
        <f>'01_원자료'!P240*'03_가중치민감도'!$B$8+'01_원자료'!Q240*'03_가중치민감도'!$C$8+'01_원자료'!R240*'03_가중치민감도'!$D$8</f>
        <v>0.40987038584419172</v>
      </c>
      <c r="I243" s="17">
        <f>'01_원자료'!P240*'03_가중치민감도'!$B$9+'01_원자료'!Q240*'03_가중치민감도'!$C$9+'01_원자료'!R240*'03_가중치민감도'!$D$9</f>
        <v>0.42697683122732732</v>
      </c>
      <c r="J243" s="17">
        <f>'01_원자료'!P240*'03_가중치민감도'!$B$10+'01_원자료'!Q240*'03_가중치민감도'!$C$10+'01_원자료'!R240*'03_가중치민감도'!$D$10</f>
        <v>0.54020075731637018</v>
      </c>
      <c r="K243" s="31">
        <f t="shared" si="18"/>
        <v>26</v>
      </c>
      <c r="L243" s="31">
        <f t="shared" si="19"/>
        <v>23</v>
      </c>
      <c r="M243" s="31">
        <f t="shared" si="20"/>
        <v>20</v>
      </c>
      <c r="N243" s="31">
        <f t="shared" si="21"/>
        <v>65</v>
      </c>
      <c r="O243" s="31">
        <f t="shared" si="22"/>
        <v>25</v>
      </c>
      <c r="P243" s="31">
        <f t="shared" si="23"/>
        <v>47</v>
      </c>
    </row>
    <row r="244" spans="1:16">
      <c r="A244" s="2" t="str">
        <f>'01_원자료'!A241</f>
        <v>PAT-16</v>
      </c>
      <c r="B244" s="2" t="str">
        <f>'01_원자료'!B241</f>
        <v>qwen3_6</v>
      </c>
      <c r="C244" s="2" t="str">
        <f>'01_원자료'!C241</f>
        <v>qwen</v>
      </c>
      <c r="E244" s="17">
        <f>'01_원자료'!P241*'03_가중치민감도'!$B$5+'01_원자료'!Q241*'03_가중치민감도'!$C$5+'01_원자료'!R241*'03_가중치민감도'!$D$5</f>
        <v>0.63551135438049311</v>
      </c>
      <c r="F244" s="17">
        <f>'01_원자료'!P241*'03_가중치민감도'!$B$6+'01_원자료'!Q241*'03_가중치민감도'!$C$6+'01_원자료'!R241*'03_가중치민감도'!$D$6</f>
        <v>0.56097675527738189</v>
      </c>
      <c r="G244" s="17">
        <f>'01_원자료'!P241*'03_가중치민감도'!$B$7+'01_원자료'!Q241*'03_가중치민감도'!$C$7+'01_원자료'!R241*'03_가중치민감도'!$D$7</f>
        <v>0.64154274371205189</v>
      </c>
      <c r="H244" s="17">
        <f>'01_원자료'!P241*'03_가중치민감도'!$B$8+'01_원자료'!Q241*'03_가중치민감도'!$C$8+'01_원자료'!R241*'03_가중치민감도'!$D$8</f>
        <v>0.60535440772269877</v>
      </c>
      <c r="I244" s="17">
        <f>'01_원자료'!P241*'03_가중치민감도'!$B$9+'01_원자료'!Q241*'03_가중치민감도'!$C$9+'01_원자료'!R241*'03_가중치민감도'!$D$9</f>
        <v>0.58381115853456544</v>
      </c>
      <c r="J244" s="17">
        <f>'01_원자료'!P241*'03_가중치민감도'!$B$10+'01_원자료'!Q241*'03_가중치민감도'!$C$10+'01_원자료'!R241*'03_가중치민감도'!$D$10</f>
        <v>0.69798317482048655</v>
      </c>
      <c r="K244" s="31">
        <f t="shared" si="18"/>
        <v>560</v>
      </c>
      <c r="L244" s="31">
        <f t="shared" si="19"/>
        <v>642</v>
      </c>
      <c r="M244" s="31">
        <f t="shared" si="20"/>
        <v>571</v>
      </c>
      <c r="N244" s="31">
        <f t="shared" si="21"/>
        <v>505</v>
      </c>
      <c r="O244" s="31">
        <f t="shared" si="22"/>
        <v>598</v>
      </c>
      <c r="P244" s="31">
        <f t="shared" si="23"/>
        <v>449</v>
      </c>
    </row>
    <row r="245" spans="1:16">
      <c r="A245" s="2" t="str">
        <f>'01_원자료'!A242</f>
        <v>PAT-17</v>
      </c>
      <c r="B245" s="2" t="str">
        <f>'01_원자료'!B242</f>
        <v>chatgpt</v>
      </c>
      <c r="C245" s="2" t="str">
        <f>'01_원자료'!C242</f>
        <v>gemma</v>
      </c>
      <c r="E245" s="17">
        <f>'01_원자료'!P242*'03_가중치민감도'!$B$5+'01_원자료'!Q242*'03_가중치민감도'!$C$5+'01_원자료'!R242*'03_가중치민감도'!$D$5</f>
        <v>0.58218564019037067</v>
      </c>
      <c r="F245" s="17">
        <f>'01_원자료'!P242*'03_가중치민감도'!$B$6+'01_원자료'!Q242*'03_가중치민감도'!$C$6+'01_원자료'!R242*'03_가중치민감도'!$D$6</f>
        <v>0.49156869934209685</v>
      </c>
      <c r="G245" s="17">
        <f>'01_원자료'!P242*'03_가중치민감도'!$B$7+'01_원자료'!Q242*'03_가중치민감도'!$C$7+'01_원자료'!R242*'03_가중치민감도'!$D$7</f>
        <v>0.58840193237809268</v>
      </c>
      <c r="H245" s="17">
        <f>'01_원자료'!P242*'03_가중치민감도'!$B$8+'01_원자료'!Q242*'03_가중치민감도'!$C$8+'01_원자료'!R242*'03_가중치민감도'!$D$8</f>
        <v>0.55110417925176036</v>
      </c>
      <c r="I245" s="17">
        <f>'01_원자료'!P242*'03_가중치민감도'!$B$9+'01_원자료'!Q242*'03_가중치민감도'!$C$9+'01_원자료'!R242*'03_가중치민감도'!$D$9</f>
        <v>0.51970224889561356</v>
      </c>
      <c r="J245" s="17">
        <f>'01_원자료'!P242*'03_가중치민감도'!$B$10+'01_원자료'!Q242*'03_가중치민감도'!$C$10+'01_원자료'!R242*'03_가중치민감도'!$D$10</f>
        <v>0.66036999666320029</v>
      </c>
      <c r="K245" s="31">
        <f t="shared" si="18"/>
        <v>328</v>
      </c>
      <c r="L245" s="31">
        <f t="shared" si="19"/>
        <v>322</v>
      </c>
      <c r="M245" s="31">
        <f t="shared" si="20"/>
        <v>321</v>
      </c>
      <c r="N245" s="31">
        <f t="shared" si="21"/>
        <v>338</v>
      </c>
      <c r="O245" s="31">
        <f t="shared" si="22"/>
        <v>324</v>
      </c>
      <c r="P245" s="31">
        <f t="shared" si="23"/>
        <v>331</v>
      </c>
    </row>
    <row r="246" spans="1:16">
      <c r="A246" s="2" t="str">
        <f>'01_원자료'!A243</f>
        <v>PAT-17</v>
      </c>
      <c r="B246" s="2" t="str">
        <f>'01_원자료'!B243</f>
        <v>chatgpt</v>
      </c>
      <c r="C246" s="2" t="str">
        <f>'01_원자료'!C243</f>
        <v>ministral</v>
      </c>
      <c r="E246" s="17">
        <f>'01_원자료'!P243*'03_가중치민감도'!$B$5+'01_원자료'!Q243*'03_가중치민감도'!$C$5+'01_원자료'!R243*'03_가중치민감도'!$D$5</f>
        <v>0.47934879373764872</v>
      </c>
      <c r="F246" s="17">
        <f>'01_원자료'!P243*'03_가중치민감도'!$B$6+'01_원자료'!Q243*'03_가중치민감도'!$C$6+'01_원자료'!R243*'03_가중치민감도'!$D$6</f>
        <v>0.39862425346009756</v>
      </c>
      <c r="G246" s="17">
        <f>'01_원자료'!P243*'03_가중치민감도'!$B$7+'01_원자료'!Q243*'03_가중치민감도'!$C$7+'01_원자료'!R243*'03_가중치민감도'!$D$7</f>
        <v>0.50223298437483377</v>
      </c>
      <c r="H246" s="17">
        <f>'01_원자료'!P243*'03_가중치민감도'!$B$8+'01_원자료'!Q243*'03_가중치민감도'!$C$8+'01_원자료'!R243*'03_가중치민감도'!$D$8</f>
        <v>0.36492784055172323</v>
      </c>
      <c r="I246" s="17">
        <f>'01_원자료'!P243*'03_가중치민감도'!$B$9+'01_원자료'!Q243*'03_가중치민감도'!$C$9+'01_원자료'!R243*'03_가중치민감도'!$D$9</f>
        <v>0.41790437000688579</v>
      </c>
      <c r="J246" s="17">
        <f>'01_원자료'!P243*'03_가중치민감도'!$B$10+'01_원자료'!Q243*'03_가중치민감도'!$C$10+'01_원자료'!R243*'03_가중치민감도'!$D$10</f>
        <v>0.51430495274082966</v>
      </c>
      <c r="K246" s="31">
        <f t="shared" si="18"/>
        <v>15</v>
      </c>
      <c r="L246" s="31">
        <f t="shared" si="19"/>
        <v>17</v>
      </c>
      <c r="M246" s="31">
        <f t="shared" si="20"/>
        <v>19</v>
      </c>
      <c r="N246" s="31">
        <f t="shared" si="21"/>
        <v>11</v>
      </c>
      <c r="O246" s="31">
        <f t="shared" si="22"/>
        <v>14</v>
      </c>
      <c r="P246" s="31">
        <f t="shared" si="23"/>
        <v>15</v>
      </c>
    </row>
    <row r="247" spans="1:16">
      <c r="A247" s="2" t="str">
        <f>'01_원자료'!A244</f>
        <v>PAT-17</v>
      </c>
      <c r="B247" s="2" t="str">
        <f>'01_원자료'!B244</f>
        <v>chatgpt</v>
      </c>
      <c r="C247" s="2" t="str">
        <f>'01_원자료'!C244</f>
        <v>qwen</v>
      </c>
      <c r="E247" s="17">
        <f>'01_원자료'!P244*'03_가중치민감도'!$B$5+'01_원자료'!Q244*'03_가중치민감도'!$C$5+'01_원자료'!R244*'03_가중치민감도'!$D$5</f>
        <v>0.55302351674278261</v>
      </c>
      <c r="F247" s="17">
        <f>'01_원자료'!P244*'03_가중치민감도'!$B$6+'01_원자료'!Q244*'03_가중치민감도'!$C$6+'01_원자료'!R244*'03_가중치민감도'!$D$6</f>
        <v>0.47614876778007509</v>
      </c>
      <c r="G247" s="17">
        <f>'01_원자료'!P244*'03_가중치민감도'!$B$7+'01_원자료'!Q244*'03_가중치민감도'!$C$7+'01_원자료'!R244*'03_가중치민감도'!$D$7</f>
        <v>0.56672476932540639</v>
      </c>
      <c r="H247" s="17">
        <f>'01_원자료'!P244*'03_가중치민감도'!$B$8+'01_원자료'!Q244*'03_가중치민감도'!$C$8+'01_원자료'!R244*'03_가중치민감도'!$D$8</f>
        <v>0.48451725382966337</v>
      </c>
      <c r="I247" s="17">
        <f>'01_원자료'!P244*'03_가중치민감도'!$B$9+'01_원자료'!Q244*'03_가중치민감도'!$C$9+'01_원자료'!R244*'03_가중치민감도'!$D$9</f>
        <v>0.49720659990676908</v>
      </c>
      <c r="J247" s="17">
        <f>'01_원자료'!P244*'03_가중치민감도'!$B$10+'01_원자료'!Q244*'03_가중치민감도'!$C$10+'01_원자료'!R244*'03_가중치민감도'!$D$10</f>
        <v>0.60249576054024234</v>
      </c>
      <c r="K247" s="31">
        <f t="shared" si="18"/>
        <v>220</v>
      </c>
      <c r="L247" s="31">
        <f t="shared" si="19"/>
        <v>246</v>
      </c>
      <c r="M247" s="31">
        <f t="shared" si="20"/>
        <v>233</v>
      </c>
      <c r="N247" s="31">
        <f t="shared" si="21"/>
        <v>186</v>
      </c>
      <c r="O247" s="31">
        <f t="shared" si="22"/>
        <v>232</v>
      </c>
      <c r="P247" s="31">
        <f t="shared" si="23"/>
        <v>194</v>
      </c>
    </row>
    <row r="248" spans="1:16">
      <c r="A248" s="2" t="str">
        <f>'01_원자료'!A245</f>
        <v>PAT-17</v>
      </c>
      <c r="B248" s="2" t="str">
        <f>'01_원자료'!B245</f>
        <v>claude</v>
      </c>
      <c r="C248" s="2" t="str">
        <f>'01_원자료'!C245</f>
        <v>gemma</v>
      </c>
      <c r="E248" s="17">
        <f>'01_원자료'!P245*'03_가중치민감도'!$B$5+'01_원자료'!Q245*'03_가중치민감도'!$C$5+'01_원자료'!R245*'03_가중치민감도'!$D$5</f>
        <v>0.66195141743245545</v>
      </c>
      <c r="F248" s="17">
        <f>'01_원자료'!P245*'03_가중치민감도'!$B$6+'01_원자료'!Q245*'03_가중치민감도'!$C$6+'01_원자료'!R245*'03_가중치민감도'!$D$6</f>
        <v>0.55322034457539226</v>
      </c>
      <c r="G248" s="17">
        <f>'01_원자료'!P245*'03_가중치민감도'!$B$7+'01_원자료'!Q245*'03_가중치민감도'!$C$7+'01_원자료'!R245*'03_가중치민감도'!$D$7</f>
        <v>0.65856877433366356</v>
      </c>
      <c r="H248" s="17">
        <f>'01_원자료'!P245*'03_가중치민감도'!$B$8+'01_원자료'!Q245*'03_가중치민감도'!$C$8+'01_원자료'!R245*'03_가중치민감도'!$D$8</f>
        <v>0.67886463292641497</v>
      </c>
      <c r="I248" s="17">
        <f>'01_원자료'!P245*'03_가중치민감도'!$B$9+'01_원자료'!Q245*'03_가중치민감도'!$C$9+'01_원자료'!R245*'03_가중치민감도'!$D$9</f>
        <v>0.5905915832273434</v>
      </c>
      <c r="J248" s="17">
        <f>'01_원자료'!P245*'03_가중치민감도'!$B$10+'01_원자료'!Q245*'03_가중치민감도'!$C$10+'01_원자료'!R245*'03_가중치민감도'!$D$10</f>
        <v>0.77744777648710262</v>
      </c>
      <c r="K248" s="31">
        <f t="shared" si="18"/>
        <v>684</v>
      </c>
      <c r="L248" s="31">
        <f t="shared" si="19"/>
        <v>604</v>
      </c>
      <c r="M248" s="31">
        <f t="shared" si="20"/>
        <v>658</v>
      </c>
      <c r="N248" s="31">
        <f t="shared" si="21"/>
        <v>719</v>
      </c>
      <c r="O248" s="31">
        <f t="shared" si="22"/>
        <v>633</v>
      </c>
      <c r="P248" s="31">
        <f t="shared" si="23"/>
        <v>748</v>
      </c>
    </row>
    <row r="249" spans="1:16">
      <c r="A249" s="2" t="str">
        <f>'01_원자료'!A246</f>
        <v>PAT-17</v>
      </c>
      <c r="B249" s="2" t="str">
        <f>'01_원자료'!B246</f>
        <v>claude</v>
      </c>
      <c r="C249" s="2" t="str">
        <f>'01_원자료'!C246</f>
        <v>ministral</v>
      </c>
      <c r="E249" s="17">
        <f>'01_원자료'!P246*'03_가중치민감도'!$B$5+'01_원자료'!Q246*'03_가중치민감도'!$C$5+'01_원자료'!R246*'03_가중치민감도'!$D$5</f>
        <v>0.49848760674303022</v>
      </c>
      <c r="F249" s="17">
        <f>'01_원자료'!P246*'03_가중치민감도'!$B$6+'01_원자료'!Q246*'03_가중치민감도'!$C$6+'01_원자료'!R246*'03_가중치민감도'!$D$6</f>
        <v>0.4223111989821865</v>
      </c>
      <c r="G249" s="17">
        <f>'01_원자료'!P246*'03_가중치민감도'!$B$7+'01_원자료'!Q246*'03_가중치민감도'!$C$7+'01_원자료'!R246*'03_가중치민감도'!$D$7</f>
        <v>0.51931388353801955</v>
      </c>
      <c r="H249" s="17">
        <f>'01_원자료'!P246*'03_가중치민감도'!$B$8+'01_원자료'!Q246*'03_가중치민감도'!$C$8+'01_원자료'!R246*'03_가중치민감도'!$D$8</f>
        <v>0.39435622276808346</v>
      </c>
      <c r="I249" s="17">
        <f>'01_원자료'!P246*'03_가중치민감도'!$B$9+'01_원자료'!Q246*'03_가중치민감도'!$C$9+'01_원자료'!R246*'03_가중치민감도'!$D$9</f>
        <v>0.4407612426374708</v>
      </c>
      <c r="J249" s="17">
        <f>'01_원자료'!P246*'03_가중치민감도'!$B$10+'01_원자료'!Q246*'03_가중치민감도'!$C$10+'01_원자료'!R246*'03_가중치민감도'!$D$10</f>
        <v>0.53301146091389517</v>
      </c>
      <c r="K249" s="31">
        <f t="shared" si="18"/>
        <v>43</v>
      </c>
      <c r="L249" s="31">
        <f t="shared" si="19"/>
        <v>53</v>
      </c>
      <c r="M249" s="31">
        <f t="shared" si="20"/>
        <v>46</v>
      </c>
      <c r="N249" s="31">
        <f t="shared" si="21"/>
        <v>38</v>
      </c>
      <c r="O249" s="31">
        <f t="shared" si="22"/>
        <v>48</v>
      </c>
      <c r="P249" s="31">
        <f t="shared" si="23"/>
        <v>36</v>
      </c>
    </row>
    <row r="250" spans="1:16">
      <c r="A250" s="2" t="str">
        <f>'01_원자료'!A247</f>
        <v>PAT-17</v>
      </c>
      <c r="B250" s="2" t="str">
        <f>'01_원자료'!B247</f>
        <v>claude</v>
      </c>
      <c r="C250" s="2" t="str">
        <f>'01_원자료'!C247</f>
        <v>qwen</v>
      </c>
      <c r="E250" s="17">
        <f>'01_원자료'!P247*'03_가중치민감도'!$B$5+'01_원자료'!Q247*'03_가중치민감도'!$C$5+'01_원자료'!R247*'03_가중치민감도'!$D$5</f>
        <v>0.63359194262854435</v>
      </c>
      <c r="F250" s="17">
        <f>'01_원자료'!P247*'03_가중치민감도'!$B$6+'01_원자료'!Q247*'03_가중치민감도'!$C$6+'01_원자료'!R247*'03_가중치민감도'!$D$6</f>
        <v>0.55010588800013893</v>
      </c>
      <c r="G250" s="17">
        <f>'01_원자료'!P247*'03_가중치민감도'!$B$7+'01_원자료'!Q247*'03_가중치민감도'!$C$7+'01_원자료'!R247*'03_가중치민감도'!$D$7</f>
        <v>0.64016168446206767</v>
      </c>
      <c r="H250" s="17">
        <f>'01_원자료'!P247*'03_가중치민감도'!$B$8+'01_원자료'!Q247*'03_가중치민감도'!$C$8+'01_원자료'!R247*'03_가중치민감도'!$D$8</f>
        <v>0.60074323346092773</v>
      </c>
      <c r="I250" s="17">
        <f>'01_원자료'!P247*'03_가중치민감도'!$B$9+'01_원자료'!Q247*'03_가중치민감도'!$C$9+'01_원자료'!R247*'03_가중치민감도'!$D$9</f>
        <v>0.57574465893176574</v>
      </c>
      <c r="J250" s="17">
        <f>'01_원자료'!P247*'03_가중치민감도'!$B$10+'01_원자료'!Q247*'03_가중치민감도'!$C$10+'01_원자료'!R247*'03_가중치민감도'!$D$10</f>
        <v>0.70393851358990311</v>
      </c>
      <c r="K250" s="31">
        <f t="shared" si="18"/>
        <v>545</v>
      </c>
      <c r="L250" s="31">
        <f t="shared" si="19"/>
        <v>590</v>
      </c>
      <c r="M250" s="31">
        <f t="shared" si="20"/>
        <v>564</v>
      </c>
      <c r="N250" s="31">
        <f t="shared" si="21"/>
        <v>490</v>
      </c>
      <c r="O250" s="31">
        <f t="shared" si="22"/>
        <v>570</v>
      </c>
      <c r="P250" s="31">
        <f t="shared" si="23"/>
        <v>477</v>
      </c>
    </row>
    <row r="251" spans="1:16">
      <c r="A251" s="2" t="str">
        <f>'01_원자료'!A248</f>
        <v>PAT-17</v>
      </c>
      <c r="B251" s="2" t="str">
        <f>'01_원자료'!B248</f>
        <v>gemini</v>
      </c>
      <c r="C251" s="2" t="str">
        <f>'01_원자료'!C248</f>
        <v>gemma</v>
      </c>
      <c r="E251" s="17">
        <f>'01_원자료'!P248*'03_가중치민감도'!$B$5+'01_원자료'!Q248*'03_가중치민감도'!$C$5+'01_원자료'!R248*'03_가중치민감도'!$D$5</f>
        <v>0.74342480533565913</v>
      </c>
      <c r="F251" s="17">
        <f>'01_원자료'!P248*'03_가중치민감도'!$B$6+'01_원자료'!Q248*'03_가중치민감도'!$C$6+'01_원자료'!R248*'03_가중치민감도'!$D$6</f>
        <v>0.62746693949379928</v>
      </c>
      <c r="G251" s="17">
        <f>'01_원자료'!P248*'03_가중치민감도'!$B$7+'01_원자료'!Q248*'03_가중치민감도'!$C$7+'01_원자료'!R248*'03_가중치민감도'!$D$7</f>
        <v>0.73661756341319029</v>
      </c>
      <c r="H251" s="17">
        <f>'01_원자료'!P248*'03_가중치민감도'!$B$8+'01_원자료'!Q248*'03_가중치민감도'!$C$8+'01_원자료'!R248*'03_가중치민감도'!$D$8</f>
        <v>0.77746101494800302</v>
      </c>
      <c r="I251" s="17">
        <f>'01_원자료'!P248*'03_가중치민감도'!$B$9+'01_원자료'!Q248*'03_가중치민감도'!$C$9+'01_원자료'!R248*'03_가중치민감도'!$D$9</f>
        <v>0.66838864208190807</v>
      </c>
      <c r="J251" s="17">
        <f>'01_원자료'!P248*'03_가중치민감도'!$B$10+'01_원자료'!Q248*'03_가중치민감도'!$C$10+'01_원자료'!R248*'03_가중치민감도'!$D$10</f>
        <v>0.87299715502245645</v>
      </c>
      <c r="K251" s="31">
        <f t="shared" si="18"/>
        <v>939</v>
      </c>
      <c r="L251" s="31">
        <f t="shared" si="19"/>
        <v>918</v>
      </c>
      <c r="M251" s="31">
        <f t="shared" si="20"/>
        <v>938</v>
      </c>
      <c r="N251" s="31">
        <f t="shared" si="21"/>
        <v>927</v>
      </c>
      <c r="O251" s="31">
        <f t="shared" si="22"/>
        <v>925</v>
      </c>
      <c r="P251" s="31">
        <f t="shared" si="23"/>
        <v>952</v>
      </c>
    </row>
    <row r="252" spans="1:16">
      <c r="A252" s="2" t="str">
        <f>'01_원자료'!A249</f>
        <v>PAT-17</v>
      </c>
      <c r="B252" s="2" t="str">
        <f>'01_원자료'!B249</f>
        <v>gemini</v>
      </c>
      <c r="C252" s="2" t="str">
        <f>'01_원자료'!C249</f>
        <v>ministral</v>
      </c>
      <c r="E252" s="17">
        <f>'01_원자료'!P249*'03_가중치민감도'!$B$5+'01_원자료'!Q249*'03_가중치민감도'!$C$5+'01_원자료'!R249*'03_가중치민감도'!$D$5</f>
        <v>0.52205816349070444</v>
      </c>
      <c r="F252" s="17">
        <f>'01_원자료'!P249*'03_가중치민감도'!$B$6+'01_원자료'!Q249*'03_가중치민감도'!$C$6+'01_원자료'!R249*'03_가중치민감도'!$D$6</f>
        <v>0.43059582342287034</v>
      </c>
      <c r="G252" s="17">
        <f>'01_원자료'!P249*'03_가중치민감도'!$B$7+'01_원자료'!Q249*'03_가중치민감도'!$C$7+'01_원자료'!R249*'03_가중치민감도'!$D$7</f>
        <v>0.54600165315601656</v>
      </c>
      <c r="H252" s="17">
        <f>'01_원자료'!P249*'03_가중치민감도'!$B$8+'01_원자료'!Q249*'03_가중치민감도'!$C$8+'01_원자료'!R249*'03_가중치민감도'!$D$8</f>
        <v>0.4023407151641441</v>
      </c>
      <c r="I252" s="17">
        <f>'01_원자료'!P249*'03_가중치민감도'!$B$9+'01_원자료'!Q249*'03_가중치민감도'!$C$9+'01_원자료'!R249*'03_가중치민감도'!$D$9</f>
        <v>0.45310210689037728</v>
      </c>
      <c r="J252" s="17">
        <f>'01_원자료'!P249*'03_가중치민감도'!$B$10+'01_원자료'!Q249*'03_가중치민감도'!$C$10+'01_원자료'!R249*'03_가중치민감도'!$D$10</f>
        <v>0.56563352422791446</v>
      </c>
      <c r="K252" s="31">
        <f t="shared" si="18"/>
        <v>103</v>
      </c>
      <c r="L252" s="31">
        <f t="shared" si="19"/>
        <v>73</v>
      </c>
      <c r="M252" s="31">
        <f t="shared" si="20"/>
        <v>136</v>
      </c>
      <c r="N252" s="31">
        <f t="shared" si="21"/>
        <v>46</v>
      </c>
      <c r="O252" s="31">
        <f t="shared" si="22"/>
        <v>78</v>
      </c>
      <c r="P252" s="31">
        <f t="shared" si="23"/>
        <v>104</v>
      </c>
    </row>
    <row r="253" spans="1:16">
      <c r="A253" s="2" t="str">
        <f>'01_원자료'!A250</f>
        <v>PAT-17</v>
      </c>
      <c r="B253" s="2" t="str">
        <f>'01_원자료'!B250</f>
        <v>gemini</v>
      </c>
      <c r="C253" s="2" t="str">
        <f>'01_원자료'!C250</f>
        <v>qwen</v>
      </c>
      <c r="E253" s="17">
        <f>'01_원자료'!P250*'03_가중치민감도'!$B$5+'01_원자료'!Q250*'03_가중치민감도'!$C$5+'01_원자료'!R250*'03_가중치민감도'!$D$5</f>
        <v>0.66642280889280514</v>
      </c>
      <c r="F253" s="17">
        <f>'01_원자료'!P250*'03_가중치민감도'!$B$6+'01_원자료'!Q250*'03_가중치민감도'!$C$6+'01_원자료'!R250*'03_가중치민감도'!$D$6</f>
        <v>0.57008294814723837</v>
      </c>
      <c r="G253" s="17">
        <f>'01_원자료'!P250*'03_가중치민감도'!$B$7+'01_원자료'!Q250*'03_가중치민감도'!$C$7+'01_원자료'!R250*'03_가중치민감도'!$D$7</f>
        <v>0.67128691515944916</v>
      </c>
      <c r="H253" s="17">
        <f>'01_원자료'!P250*'03_가중치민감도'!$B$8+'01_원자료'!Q250*'03_가중치민감도'!$C$8+'01_원자료'!R250*'03_가중치민감도'!$D$8</f>
        <v>0.64210227755958493</v>
      </c>
      <c r="I253" s="17">
        <f>'01_원자료'!P250*'03_가중치민감도'!$B$9+'01_원자료'!Q250*'03_가중치민감도'!$C$9+'01_원자료'!R250*'03_가중치민감도'!$D$9</f>
        <v>0.60057486630687873</v>
      </c>
      <c r="J253" s="17">
        <f>'01_원자료'!P250*'03_가중치민감도'!$B$10+'01_원자료'!Q250*'03_가중치민감도'!$C$10+'01_원자료'!R250*'03_가중치민감도'!$D$10</f>
        <v>0.75303445710508388</v>
      </c>
      <c r="K253" s="31">
        <f t="shared" si="18"/>
        <v>700</v>
      </c>
      <c r="L253" s="31">
        <f t="shared" si="19"/>
        <v>693</v>
      </c>
      <c r="M253" s="31">
        <f t="shared" si="20"/>
        <v>723</v>
      </c>
      <c r="N253" s="31">
        <f t="shared" si="21"/>
        <v>613</v>
      </c>
      <c r="O253" s="31">
        <f t="shared" si="22"/>
        <v>691</v>
      </c>
      <c r="P253" s="31">
        <f t="shared" si="23"/>
        <v>669</v>
      </c>
    </row>
    <row r="254" spans="1:16">
      <c r="A254" s="2" t="str">
        <f>'01_원자료'!A251</f>
        <v>PAT-17</v>
      </c>
      <c r="B254" s="2" t="str">
        <f>'01_원자료'!B251</f>
        <v>mistral</v>
      </c>
      <c r="C254" s="2" t="str">
        <f>'01_원자료'!C251</f>
        <v>gemma</v>
      </c>
      <c r="E254" s="17">
        <f>'01_원자료'!P251*'03_가중치민감도'!$B$5+'01_원자료'!Q251*'03_가중치민감도'!$C$5+'01_원자료'!R251*'03_가중치민감도'!$D$5</f>
        <v>0.54058385359823746</v>
      </c>
      <c r="F254" s="17">
        <f>'01_원자료'!P251*'03_가중치민감도'!$B$6+'01_원자료'!Q251*'03_가중치민감도'!$C$6+'01_원자료'!R251*'03_가중치민감도'!$D$6</f>
        <v>0.44685962979248411</v>
      </c>
      <c r="G254" s="17">
        <f>'01_원자료'!P251*'03_가중치민감도'!$B$7+'01_원자료'!Q251*'03_가중치민감도'!$C$7+'01_원자료'!R251*'03_가중치민감도'!$D$7</f>
        <v>0.55411226430105498</v>
      </c>
      <c r="H254" s="17">
        <f>'01_원자료'!P251*'03_가중치민감도'!$B$8+'01_원자료'!Q251*'03_가중치민감도'!$C$8+'01_원자료'!R251*'03_가중치민감도'!$D$8</f>
        <v>0.47294180008414949</v>
      </c>
      <c r="I254" s="17">
        <f>'01_원자료'!P251*'03_가중치민감도'!$B$9+'01_원자료'!Q251*'03_가중치민감도'!$C$9+'01_원자료'!R251*'03_가중치민감도'!$D$9</f>
        <v>0.47359156749346221</v>
      </c>
      <c r="J254" s="17">
        <f>'01_원자료'!P251*'03_가중치민감도'!$B$10+'01_원자료'!Q251*'03_가중치민감도'!$C$10+'01_원자료'!R251*'03_가중치민감도'!$D$10</f>
        <v>0.6072512559983555</v>
      </c>
      <c r="K254" s="31">
        <f t="shared" si="18"/>
        <v>172</v>
      </c>
      <c r="L254" s="31">
        <f t="shared" si="19"/>
        <v>122</v>
      </c>
      <c r="M254" s="31">
        <f t="shared" si="20"/>
        <v>179</v>
      </c>
      <c r="N254" s="31">
        <f t="shared" si="21"/>
        <v>161</v>
      </c>
      <c r="O254" s="31">
        <f t="shared" si="22"/>
        <v>144</v>
      </c>
      <c r="P254" s="31">
        <f t="shared" si="23"/>
        <v>205</v>
      </c>
    </row>
    <row r="255" spans="1:16">
      <c r="A255" s="2" t="str">
        <f>'01_원자료'!A252</f>
        <v>PAT-17</v>
      </c>
      <c r="B255" s="2" t="str">
        <f>'01_원자료'!B252</f>
        <v>mistral</v>
      </c>
      <c r="C255" s="2" t="str">
        <f>'01_원자료'!C252</f>
        <v>ministral</v>
      </c>
      <c r="E255" s="17">
        <f>'01_원자료'!P252*'03_가중치민감도'!$B$5+'01_원자료'!Q252*'03_가중치민감도'!$C$5+'01_원자료'!R252*'03_가중치민감도'!$D$5</f>
        <v>0.58914044094008289</v>
      </c>
      <c r="F255" s="17">
        <f>'01_원자료'!P252*'03_가중치민감도'!$B$6+'01_원자료'!Q252*'03_가중치민감도'!$C$6+'01_원자료'!R252*'03_가중치민감도'!$D$6</f>
        <v>0.49882734447091737</v>
      </c>
      <c r="G255" s="17">
        <f>'01_원자료'!P252*'03_가중치민감도'!$B$7+'01_원자료'!Q252*'03_가중치민감도'!$C$7+'01_원자료'!R252*'03_가중치민감도'!$D$7</f>
        <v>0.60054278128741612</v>
      </c>
      <c r="H255" s="17">
        <f>'01_원자료'!P252*'03_가중치민감도'!$B$8+'01_원자료'!Q252*'03_가중치민감도'!$C$8+'01_원자료'!R252*'03_가중치민감도'!$D$8</f>
        <v>0.53212873920341652</v>
      </c>
      <c r="I255" s="17">
        <f>'01_원자료'!P252*'03_가중치민감도'!$B$9+'01_원자료'!Q252*'03_가중치민감도'!$C$9+'01_원자료'!R252*'03_가중치민감도'!$D$9</f>
        <v>0.52513092984486098</v>
      </c>
      <c r="J255" s="17">
        <f>'01_원자료'!P252*'03_가중치민감도'!$B$10+'01_원자료'!Q252*'03_가중치민감도'!$C$10+'01_원자료'!R252*'03_가중치민감도'!$D$10</f>
        <v>0.65664885671458173</v>
      </c>
      <c r="K255" s="31">
        <f t="shared" si="18"/>
        <v>349</v>
      </c>
      <c r="L255" s="31">
        <f t="shared" si="19"/>
        <v>358</v>
      </c>
      <c r="M255" s="31">
        <f t="shared" si="20"/>
        <v>365</v>
      </c>
      <c r="N255" s="31">
        <f t="shared" si="21"/>
        <v>285</v>
      </c>
      <c r="O255" s="31">
        <f t="shared" si="22"/>
        <v>348</v>
      </c>
      <c r="P255" s="31">
        <f t="shared" si="23"/>
        <v>324</v>
      </c>
    </row>
    <row r="256" spans="1:16">
      <c r="A256" s="2" t="str">
        <f>'01_원자료'!A253</f>
        <v>PAT-17</v>
      </c>
      <c r="B256" s="2" t="str">
        <f>'01_원자료'!B253</f>
        <v>mistral</v>
      </c>
      <c r="C256" s="2" t="str">
        <f>'01_원자료'!C253</f>
        <v>qwen</v>
      </c>
      <c r="E256" s="17">
        <f>'01_원자료'!P253*'03_가중치민감도'!$B$5+'01_원자료'!Q253*'03_가중치민감도'!$C$5+'01_원자료'!R253*'03_가중치민감도'!$D$5</f>
        <v>0.55326809170414426</v>
      </c>
      <c r="F256" s="17">
        <f>'01_원자료'!P253*'03_가중치민감도'!$B$6+'01_원자료'!Q253*'03_가중치민감도'!$C$6+'01_원자료'!R253*'03_가중치민감도'!$D$6</f>
        <v>0.47495965871621365</v>
      </c>
      <c r="G256" s="17">
        <f>'01_원자료'!P253*'03_가중치민감도'!$B$7+'01_원자료'!Q253*'03_가중치민감도'!$C$7+'01_원자료'!R253*'03_가중치민감도'!$D$7</f>
        <v>0.56736745117170662</v>
      </c>
      <c r="H256" s="17">
        <f>'01_원자료'!P253*'03_가중치민감도'!$B$8+'01_원자료'!Q253*'03_가중치민감도'!$C$8+'01_원자료'!R253*'03_가중치민감도'!$D$8</f>
        <v>0.48277129436633209</v>
      </c>
      <c r="I256" s="17">
        <f>'01_원자료'!P253*'03_가중치민감도'!$B$9+'01_원자료'!Q253*'03_가중치민감도'!$C$9+'01_원자료'!R253*'03_가중치민감도'!$D$9</f>
        <v>0.49636268322300253</v>
      </c>
      <c r="J256" s="17">
        <f>'01_원자료'!P253*'03_가중치민감도'!$B$10+'01_원자료'!Q253*'03_가중치민감도'!$C$10+'01_원자료'!R253*'03_가중치민감도'!$D$10</f>
        <v>0.60337780575694999</v>
      </c>
      <c r="K256" s="31">
        <f t="shared" si="18"/>
        <v>221</v>
      </c>
      <c r="L256" s="31">
        <f t="shared" si="19"/>
        <v>240</v>
      </c>
      <c r="M256" s="31">
        <f t="shared" si="20"/>
        <v>237</v>
      </c>
      <c r="N256" s="31">
        <f t="shared" si="21"/>
        <v>181</v>
      </c>
      <c r="O256" s="31">
        <f t="shared" si="22"/>
        <v>227</v>
      </c>
      <c r="P256" s="31">
        <f t="shared" si="23"/>
        <v>195</v>
      </c>
    </row>
    <row r="257" spans="1:16">
      <c r="A257" s="2" t="str">
        <f>'01_원자료'!A254</f>
        <v>PAT-17</v>
      </c>
      <c r="B257" s="2" t="str">
        <f>'01_원자료'!B254</f>
        <v>qwen3_6</v>
      </c>
      <c r="C257" s="2" t="str">
        <f>'01_원자료'!C254</f>
        <v>gemma</v>
      </c>
      <c r="E257" s="17">
        <f>'01_원자료'!P254*'03_가중치민감도'!$B$5+'01_원자료'!Q254*'03_가중치민감도'!$C$5+'01_원자료'!R254*'03_가중치민감도'!$D$5</f>
        <v>0.73220714991767777</v>
      </c>
      <c r="F257" s="17">
        <f>'01_원자료'!P254*'03_가중치민감도'!$B$6+'01_원자료'!Q254*'03_가중치민감도'!$C$6+'01_원자료'!R254*'03_가중치민감도'!$D$6</f>
        <v>0.631193085805272</v>
      </c>
      <c r="G257" s="17">
        <f>'01_원자료'!P254*'03_가중치민감도'!$B$7+'01_원자료'!Q254*'03_가중치민감도'!$C$7+'01_원자료'!R254*'03_가중치민감도'!$D$7</f>
        <v>0.72321978656625607</v>
      </c>
      <c r="H257" s="17">
        <f>'01_원자료'!P254*'03_가중치민감도'!$B$8+'01_원자료'!Q254*'03_가중치민감도'!$C$8+'01_원자료'!R254*'03_가중치민감도'!$D$8</f>
        <v>0.77714396667478636</v>
      </c>
      <c r="I257" s="17">
        <f>'01_원자료'!P254*'03_가중치민감도'!$B$9+'01_원자료'!Q254*'03_가중치민감도'!$C$9+'01_원자료'!R254*'03_가중치민감도'!$D$9</f>
        <v>0.66786022829321379</v>
      </c>
      <c r="J257" s="17">
        <f>'01_원자료'!P254*'03_가중치민감도'!$B$10+'01_원자료'!Q254*'03_가중치민감도'!$C$10+'01_원자료'!R254*'03_가중치민감도'!$D$10</f>
        <v>0.85119594073292704</v>
      </c>
      <c r="K257" s="31">
        <f t="shared" si="18"/>
        <v>908</v>
      </c>
      <c r="L257" s="31">
        <f t="shared" si="19"/>
        <v>927</v>
      </c>
      <c r="M257" s="31">
        <f t="shared" si="20"/>
        <v>904</v>
      </c>
      <c r="N257" s="31">
        <f t="shared" si="21"/>
        <v>925</v>
      </c>
      <c r="O257" s="31">
        <f t="shared" si="22"/>
        <v>923</v>
      </c>
      <c r="P257" s="31">
        <f t="shared" si="23"/>
        <v>893</v>
      </c>
    </row>
    <row r="258" spans="1:16">
      <c r="A258" s="2" t="str">
        <f>'01_원자료'!A255</f>
        <v>PAT-17</v>
      </c>
      <c r="B258" s="2" t="str">
        <f>'01_원자료'!B255</f>
        <v>qwen3_6</v>
      </c>
      <c r="C258" s="2" t="str">
        <f>'01_원자료'!C255</f>
        <v>ministral</v>
      </c>
      <c r="E258" s="17">
        <f>'01_원자료'!P255*'03_가중치민감도'!$B$5+'01_원자료'!Q255*'03_가중치민감도'!$C$5+'01_원자료'!R255*'03_가중치민감도'!$D$5</f>
        <v>0.49309674600781583</v>
      </c>
      <c r="F258" s="17">
        <f>'01_원자료'!P255*'03_가중치민감도'!$B$6+'01_원자료'!Q255*'03_가중치민감도'!$C$6+'01_원자료'!R255*'03_가중치민감도'!$D$6</f>
        <v>0.41707095411051626</v>
      </c>
      <c r="G258" s="17">
        <f>'01_원자료'!P255*'03_가중치민감도'!$B$7+'01_원자료'!Q255*'03_가중치민감도'!$C$7+'01_원자료'!R255*'03_가중치민감도'!$D$7</f>
        <v>0.5133404052020093</v>
      </c>
      <c r="H258" s="17">
        <f>'01_원자료'!P255*'03_가중치민감도'!$B$8+'01_원자료'!Q255*'03_가중치민감도'!$C$8+'01_원자료'!R255*'03_가중치민감도'!$D$8</f>
        <v>0.3918784500368484</v>
      </c>
      <c r="I258" s="17">
        <f>'01_원자료'!P255*'03_가중치민감도'!$B$9+'01_원자료'!Q255*'03_가중치민감도'!$C$9+'01_원자료'!R255*'03_가중치민감도'!$D$9</f>
        <v>0.43566499834488448</v>
      </c>
      <c r="J258" s="17">
        <f>'01_원자료'!P255*'03_가중치민감도'!$B$10+'01_원자료'!Q255*'03_가중치민감도'!$C$10+'01_원자료'!R255*'03_가중치민감도'!$D$10</f>
        <v>0.52863521951672843</v>
      </c>
      <c r="K258" s="31">
        <f t="shared" si="18"/>
        <v>36</v>
      </c>
      <c r="L258" s="31">
        <f t="shared" si="19"/>
        <v>44</v>
      </c>
      <c r="M258" s="31">
        <f t="shared" si="20"/>
        <v>36</v>
      </c>
      <c r="N258" s="31">
        <f t="shared" si="21"/>
        <v>33</v>
      </c>
      <c r="O258" s="31">
        <f t="shared" si="22"/>
        <v>42</v>
      </c>
      <c r="P258" s="31">
        <f t="shared" si="23"/>
        <v>28</v>
      </c>
    </row>
    <row r="259" spans="1:16">
      <c r="A259" s="2" t="str">
        <f>'01_원자료'!A256</f>
        <v>PAT-17</v>
      </c>
      <c r="B259" s="2" t="str">
        <f>'01_원자료'!B256</f>
        <v>qwen3_6</v>
      </c>
      <c r="C259" s="2" t="str">
        <f>'01_원자료'!C256</f>
        <v>qwen</v>
      </c>
      <c r="E259" s="17">
        <f>'01_원자료'!P256*'03_가중치민감도'!$B$5+'01_원자료'!Q256*'03_가중치민감도'!$C$5+'01_원자료'!R256*'03_가중치민감도'!$D$5</f>
        <v>0.66047673652902839</v>
      </c>
      <c r="F259" s="17">
        <f>'01_원자료'!P256*'03_가중치민감도'!$B$6+'01_원자료'!Q256*'03_가중치민감도'!$C$6+'01_원자료'!R256*'03_가중치민감도'!$D$6</f>
        <v>0.572797121905263</v>
      </c>
      <c r="G259" s="17">
        <f>'01_원자료'!P256*'03_가중치민감도'!$B$7+'01_원자료'!Q256*'03_가중치민감도'!$C$7+'01_원자료'!R256*'03_가중치민감도'!$D$7</f>
        <v>0.66412364958854087</v>
      </c>
      <c r="H259" s="17">
        <f>'01_원자료'!P256*'03_가중치민감도'!$B$8+'01_원자료'!Q256*'03_가중치민감도'!$C$8+'01_원자료'!R256*'03_가중치민감도'!$D$8</f>
        <v>0.64224217123146565</v>
      </c>
      <c r="I259" s="17">
        <f>'01_원자료'!P256*'03_가중치민감도'!$B$9+'01_원자료'!Q256*'03_가중치민감도'!$C$9+'01_원자료'!R256*'03_가중치민감도'!$D$9</f>
        <v>0.60080802242667997</v>
      </c>
      <c r="J259" s="17">
        <f>'01_원자료'!P256*'03_가중치민감도'!$B$10+'01_원자료'!Q256*'03_가중치민감도'!$C$10+'01_원자료'!R256*'03_가중치민감도'!$D$10</f>
        <v>0.7408625250337687</v>
      </c>
      <c r="K259" s="31">
        <f t="shared" si="18"/>
        <v>674</v>
      </c>
      <c r="L259" s="31">
        <f t="shared" si="19"/>
        <v>705</v>
      </c>
      <c r="M259" s="31">
        <f t="shared" si="20"/>
        <v>689</v>
      </c>
      <c r="N259" s="31">
        <f t="shared" si="21"/>
        <v>616</v>
      </c>
      <c r="O259" s="31">
        <f t="shared" si="22"/>
        <v>692</v>
      </c>
      <c r="P259" s="31">
        <f t="shared" si="23"/>
        <v>629</v>
      </c>
    </row>
    <row r="260" spans="1:16">
      <c r="A260" s="2" t="str">
        <f>'01_원자료'!A257</f>
        <v>PAT-18</v>
      </c>
      <c r="B260" s="2" t="str">
        <f>'01_원자료'!B257</f>
        <v>chatgpt</v>
      </c>
      <c r="C260" s="2" t="str">
        <f>'01_원자료'!C257</f>
        <v>gemma</v>
      </c>
      <c r="E260" s="17">
        <f>'01_원자료'!P257*'03_가중치민감도'!$B$5+'01_원자료'!Q257*'03_가중치민감도'!$C$5+'01_원자료'!R257*'03_가중치민감도'!$D$5</f>
        <v>0.54473265031610096</v>
      </c>
      <c r="F260" s="17">
        <f>'01_원자료'!P257*'03_가중치민감도'!$B$6+'01_원자료'!Q257*'03_가중치민감도'!$C$6+'01_원자료'!R257*'03_가중치민감도'!$D$6</f>
        <v>0.46321591884779378</v>
      </c>
      <c r="G260" s="17">
        <f>'01_원자료'!P257*'03_가중치민감도'!$B$7+'01_원자료'!Q257*'03_가중치민감도'!$C$7+'01_원자료'!R257*'03_가중치민감도'!$D$7</f>
        <v>0.55131459372347635</v>
      </c>
      <c r="H260" s="17">
        <f>'01_원자료'!P257*'03_가중치민감도'!$B$8+'01_원자료'!Q257*'03_가중치민감도'!$C$8+'01_원자료'!R257*'03_가중치민감도'!$D$8</f>
        <v>0.5118229332792239</v>
      </c>
      <c r="I260" s="17">
        <f>'01_원자료'!P257*'03_가중치민감도'!$B$9+'01_원자료'!Q257*'03_가중치민감도'!$C$9+'01_원자료'!R257*'03_가중치민감도'!$D$9</f>
        <v>0.48819418153477051</v>
      </c>
      <c r="J260" s="17">
        <f>'01_원자료'!P257*'03_가중치민감도'!$B$10+'01_원자료'!Q257*'03_가중치민감도'!$C$10+'01_원자료'!R257*'03_가중치민감도'!$D$10</f>
        <v>0.61308549496965714</v>
      </c>
      <c r="K260" s="31">
        <f t="shared" si="18"/>
        <v>186</v>
      </c>
      <c r="L260" s="31">
        <f t="shared" si="19"/>
        <v>191</v>
      </c>
      <c r="M260" s="31">
        <f t="shared" si="20"/>
        <v>165</v>
      </c>
      <c r="N260" s="31">
        <f t="shared" si="21"/>
        <v>246</v>
      </c>
      <c r="O260" s="31">
        <f t="shared" si="22"/>
        <v>191</v>
      </c>
      <c r="P260" s="31">
        <f t="shared" si="23"/>
        <v>219</v>
      </c>
    </row>
    <row r="261" spans="1:16">
      <c r="A261" s="2" t="str">
        <f>'01_원자료'!A258</f>
        <v>PAT-18</v>
      </c>
      <c r="B261" s="2" t="str">
        <f>'01_원자료'!B258</f>
        <v>chatgpt</v>
      </c>
      <c r="C261" s="2" t="str">
        <f>'01_원자료'!C258</f>
        <v>ministral</v>
      </c>
      <c r="E261" s="17">
        <f>'01_원자료'!P258*'03_가중치민감도'!$B$5+'01_원자료'!Q258*'03_가중치민감도'!$C$5+'01_원자료'!R258*'03_가중치민감도'!$D$5</f>
        <v>0.53129242170172164</v>
      </c>
      <c r="F261" s="17">
        <f>'01_원자료'!P258*'03_가중치민감도'!$B$6+'01_원자료'!Q258*'03_가중치민감도'!$C$6+'01_원자료'!R258*'03_가중치민감도'!$D$6</f>
        <v>0.44419416401991663</v>
      </c>
      <c r="G261" s="17">
        <f>'01_원자료'!P258*'03_가중치민감도'!$B$7+'01_원자료'!Q258*'03_가중치민감도'!$C$7+'01_원자료'!R258*'03_가중치민감도'!$D$7</f>
        <v>0.54154102769973167</v>
      </c>
      <c r="H261" s="17">
        <f>'01_원자료'!P258*'03_가중치민감도'!$B$8+'01_원자료'!Q258*'03_가중치민감도'!$C$8+'01_원자료'!R258*'03_가중치민감도'!$D$8</f>
        <v>0.48004939171167194</v>
      </c>
      <c r="I261" s="17">
        <f>'01_원자료'!P258*'03_가중치민감도'!$B$9+'01_원자료'!Q258*'03_가중치민감도'!$C$9+'01_원자료'!R258*'03_가중치민감도'!$D$9</f>
        <v>0.46981071458118118</v>
      </c>
      <c r="J261" s="17">
        <f>'01_원자료'!P258*'03_가중치민감도'!$B$10+'01_원자료'!Q258*'03_가중치민감도'!$C$10+'01_원자료'!R258*'03_가중치민감도'!$D$10</f>
        <v>0.59789346738750682</v>
      </c>
      <c r="K261" s="31">
        <f t="shared" ref="K261:K324" si="24">COUNTIF($E$5:$E$979,"&lt;"&amp;E261)+(COUNTIF($E$5:$E$979,"="&amp;E261)+1)/2</f>
        <v>138</v>
      </c>
      <c r="L261" s="31">
        <f t="shared" ref="L261:L324" si="25">COUNTIF($F$5:$F$979,"&lt;"&amp;F261)+(COUNTIF($F$5:$F$979,"="&amp;F261)+1)/2</f>
        <v>112</v>
      </c>
      <c r="M261" s="31">
        <f t="shared" ref="M261:M324" si="26">COUNTIF($G$5:$G$979,"&lt;"&amp;G261)+(COUNTIF($G$5:$G$979,"="&amp;G261)+1)/2</f>
        <v>114</v>
      </c>
      <c r="N261" s="31">
        <f t="shared" ref="N261:N324" si="27">COUNTIF($H$5:$H$979,"&lt;"&amp;H261)+(COUNTIF($H$5:$H$979,"="&amp;H261)+1)/2</f>
        <v>174</v>
      </c>
      <c r="O261" s="31">
        <f t="shared" ref="O261:O324" si="28">COUNTIF($I$5:$I$979,"&lt;"&amp;I261)+(COUNTIF($I$5:$I$979,"="&amp;I261)+1)/2</f>
        <v>131</v>
      </c>
      <c r="P261" s="31">
        <f t="shared" ref="P261:P324" si="29">COUNTIF($J$5:$J$979,"&lt;"&amp;J261)+(COUNTIF($J$5:$J$979,"="&amp;J261)+1)/2</f>
        <v>181</v>
      </c>
    </row>
    <row r="262" spans="1:16">
      <c r="A262" s="2" t="str">
        <f>'01_원자료'!A259</f>
        <v>PAT-18</v>
      </c>
      <c r="B262" s="2" t="str">
        <f>'01_원자료'!B259</f>
        <v>chatgpt</v>
      </c>
      <c r="C262" s="2" t="str">
        <f>'01_원자료'!C259</f>
        <v>qwen</v>
      </c>
      <c r="E262" s="17">
        <f>'01_원자료'!P259*'03_가중치민감도'!$B$5+'01_원자료'!Q259*'03_가중치민감도'!$C$5+'01_원자료'!R259*'03_가중치민감도'!$D$5</f>
        <v>0.59066372319805494</v>
      </c>
      <c r="F262" s="17">
        <f>'01_원자료'!P259*'03_가중치민감도'!$B$6+'01_원자료'!Q259*'03_가중치민감도'!$C$6+'01_원자료'!R259*'03_가중치민감도'!$D$6</f>
        <v>0.51921130183949238</v>
      </c>
      <c r="G262" s="17">
        <f>'01_원자료'!P259*'03_가중치민감도'!$B$7+'01_원자료'!Q259*'03_가중치민감도'!$C$7+'01_원자료'!R259*'03_가중치민감도'!$D$7</f>
        <v>0.59598947901227461</v>
      </c>
      <c r="H262" s="17">
        <f>'01_원자료'!P259*'03_가중치민감도'!$B$8+'01_원자료'!Q259*'03_가중치민감도'!$C$8+'01_원자료'!R259*'03_가중치민감도'!$D$8</f>
        <v>0.56403494412695587</v>
      </c>
      <c r="I262" s="17">
        <f>'01_원자료'!P259*'03_가중치민감도'!$B$9+'01_원자료'!Q259*'03_가중치민감도'!$C$9+'01_원자료'!R259*'03_가중치민감도'!$D$9</f>
        <v>0.54125352368760604</v>
      </c>
      <c r="J262" s="17">
        <f>'01_원자료'!P259*'03_가중치민감도'!$B$10+'01_원자료'!Q259*'03_가중치민감도'!$C$10+'01_원자료'!R259*'03_가중치민감도'!$D$10</f>
        <v>0.6514646329281778</v>
      </c>
      <c r="K262" s="31">
        <f t="shared" si="24"/>
        <v>352</v>
      </c>
      <c r="L262" s="31">
        <f t="shared" si="25"/>
        <v>458</v>
      </c>
      <c r="M262" s="31">
        <f t="shared" si="26"/>
        <v>347</v>
      </c>
      <c r="N262" s="31">
        <f t="shared" si="27"/>
        <v>380</v>
      </c>
      <c r="O262" s="31">
        <f t="shared" si="28"/>
        <v>421</v>
      </c>
      <c r="P262" s="31">
        <f t="shared" si="29"/>
        <v>309</v>
      </c>
    </row>
    <row r="263" spans="1:16">
      <c r="A263" s="2" t="str">
        <f>'01_원자료'!A260</f>
        <v>PAT-18</v>
      </c>
      <c r="B263" s="2" t="str">
        <f>'01_원자료'!B260</f>
        <v>claude</v>
      </c>
      <c r="C263" s="2" t="str">
        <f>'01_원자료'!C260</f>
        <v>gemma</v>
      </c>
      <c r="E263" s="17">
        <f>'01_원자료'!P260*'03_가중치민감도'!$B$5+'01_원자료'!Q260*'03_가중치민감도'!$C$5+'01_원자료'!R260*'03_가중치민감도'!$D$5</f>
        <v>0.64942126897579522</v>
      </c>
      <c r="F263" s="17">
        <f>'01_원자료'!P260*'03_가중치민감도'!$B$6+'01_원자료'!Q260*'03_가중치민감도'!$C$6+'01_원자료'!R260*'03_가중치민감도'!$D$6</f>
        <v>0.54872037376008631</v>
      </c>
      <c r="G263" s="17">
        <f>'01_원자료'!P260*'03_가중치민감도'!$B$7+'01_원자료'!Q260*'03_가중치민감도'!$C$7+'01_원자료'!R260*'03_가중치민감도'!$D$7</f>
        <v>0.64847704676243878</v>
      </c>
      <c r="H263" s="17">
        <f>'01_원자료'!P260*'03_가중치민감도'!$B$8+'01_원자료'!Q260*'03_가중치민감도'!$C$8+'01_원자료'!R260*'03_가중치민감도'!$D$8</f>
        <v>0.65414238004257808</v>
      </c>
      <c r="I263" s="17">
        <f>'01_원자료'!P260*'03_가중치민감도'!$B$9+'01_원자료'!Q260*'03_가중치민감도'!$C$9+'01_원자료'!R260*'03_가중치민감도'!$D$9</f>
        <v>0.58260207956977417</v>
      </c>
      <c r="J263" s="17">
        <f>'01_원자료'!P260*'03_가중치민감도'!$B$10+'01_원자료'!Q260*'03_가중치민감도'!$C$10+'01_원자료'!R260*'03_가중치민감도'!$D$10</f>
        <v>0.75201060861821745</v>
      </c>
      <c r="K263" s="31">
        <f t="shared" si="24"/>
        <v>614</v>
      </c>
      <c r="L263" s="31">
        <f t="shared" si="25"/>
        <v>584</v>
      </c>
      <c r="M263" s="31">
        <f t="shared" si="26"/>
        <v>610</v>
      </c>
      <c r="N263" s="31">
        <f t="shared" si="27"/>
        <v>652</v>
      </c>
      <c r="O263" s="31">
        <f t="shared" si="28"/>
        <v>590</v>
      </c>
      <c r="P263" s="31">
        <f t="shared" si="29"/>
        <v>662</v>
      </c>
    </row>
    <row r="264" spans="1:16">
      <c r="A264" s="2" t="str">
        <f>'01_원자료'!A261</f>
        <v>PAT-18</v>
      </c>
      <c r="B264" s="2" t="str">
        <f>'01_원자료'!B261</f>
        <v>claude</v>
      </c>
      <c r="C264" s="2" t="str">
        <f>'01_원자료'!C261</f>
        <v>ministral</v>
      </c>
      <c r="E264" s="17">
        <f>'01_원자료'!P261*'03_가중치민감도'!$B$5+'01_원자료'!Q261*'03_가중치민감도'!$C$5+'01_원자료'!R261*'03_가중치민감도'!$D$5</f>
        <v>0.59505886702762334</v>
      </c>
      <c r="F264" s="17">
        <f>'01_원자료'!P261*'03_가중치민감도'!$B$6+'01_원자료'!Q261*'03_가중치민감도'!$C$6+'01_원자료'!R261*'03_가중치민감도'!$D$6</f>
        <v>0.49229021469461731</v>
      </c>
      <c r="G264" s="17">
        <f>'01_원자료'!P261*'03_가중치민감도'!$B$7+'01_원자료'!Q261*'03_가중치민감도'!$C$7+'01_원자료'!R261*'03_가중치민감도'!$D$7</f>
        <v>0.60227288870273754</v>
      </c>
      <c r="H264" s="17">
        <f>'01_원자료'!P261*'03_가중치민감도'!$B$8+'01_원자료'!Q261*'03_가중치민감도'!$C$8+'01_원자료'!R261*'03_가중치민감도'!$D$8</f>
        <v>0.55898875865205255</v>
      </c>
      <c r="I264" s="17">
        <f>'01_원자료'!P261*'03_가중치민감도'!$B$9+'01_원자료'!Q261*'03_가중치민감도'!$C$9+'01_원자료'!R261*'03_가중치민감도'!$D$9</f>
        <v>0.5241417582472474</v>
      </c>
      <c r="J264" s="17">
        <f>'01_원자료'!P261*'03_가중치민감도'!$B$10+'01_원자료'!Q261*'03_가중치민감도'!$C$10+'01_원자료'!R261*'03_가중치민감도'!$D$10</f>
        <v>0.68339947601040119</v>
      </c>
      <c r="K264" s="31">
        <f t="shared" si="24"/>
        <v>369</v>
      </c>
      <c r="L264" s="31">
        <f t="shared" si="25"/>
        <v>326</v>
      </c>
      <c r="M264" s="31">
        <f t="shared" si="26"/>
        <v>373</v>
      </c>
      <c r="N264" s="31">
        <f t="shared" si="27"/>
        <v>368</v>
      </c>
      <c r="O264" s="31">
        <f t="shared" si="28"/>
        <v>338</v>
      </c>
      <c r="P264" s="31">
        <f t="shared" si="29"/>
        <v>404</v>
      </c>
    </row>
    <row r="265" spans="1:16">
      <c r="A265" s="2" t="str">
        <f>'01_원자료'!A262</f>
        <v>PAT-18</v>
      </c>
      <c r="B265" s="2" t="str">
        <f>'01_원자료'!B262</f>
        <v>claude</v>
      </c>
      <c r="C265" s="2" t="str">
        <f>'01_원자료'!C262</f>
        <v>qwen</v>
      </c>
      <c r="E265" s="17">
        <f>'01_원자료'!P262*'03_가중치민감도'!$B$5+'01_원자료'!Q262*'03_가중치민감도'!$C$5+'01_원자료'!R262*'03_가중치민감도'!$D$5</f>
        <v>0.70254016535301544</v>
      </c>
      <c r="F265" s="17">
        <f>'01_원자료'!P262*'03_가중치민감도'!$B$6+'01_원자료'!Q262*'03_가중치민감도'!$C$6+'01_원자료'!R262*'03_가중치민감도'!$D$6</f>
        <v>0.59961640390296167</v>
      </c>
      <c r="G265" s="17">
        <f>'01_원자료'!P262*'03_가중치민감도'!$B$7+'01_원자료'!Q262*'03_가중치민감도'!$C$7+'01_원자료'!R262*'03_가중치민감도'!$D$7</f>
        <v>0.69865970518630105</v>
      </c>
      <c r="H265" s="17">
        <f>'01_원자료'!P262*'03_가중치민감도'!$B$8+'01_원자료'!Q262*'03_가중치민감도'!$C$8+'01_원자료'!R262*'03_가중치민감도'!$D$8</f>
        <v>0.72194246618658764</v>
      </c>
      <c r="I265" s="17">
        <f>'01_원자료'!P262*'03_가중치민감도'!$B$9+'01_원자료'!Q262*'03_가중치민감도'!$C$9+'01_원자료'!R262*'03_가중치민감도'!$D$9</f>
        <v>0.63521781110855047</v>
      </c>
      <c r="J265" s="17">
        <f>'01_원자료'!P262*'03_가중치민감도'!$B$10+'01_원자료'!Q262*'03_가중치민감도'!$C$10+'01_원자료'!R262*'03_가중치민감도'!$D$10</f>
        <v>0.81322484713649801</v>
      </c>
      <c r="K265" s="31">
        <f t="shared" si="24"/>
        <v>829</v>
      </c>
      <c r="L265" s="31">
        <f t="shared" si="25"/>
        <v>808</v>
      </c>
      <c r="M265" s="31">
        <f t="shared" si="26"/>
        <v>830</v>
      </c>
      <c r="N265" s="31">
        <f t="shared" si="27"/>
        <v>828</v>
      </c>
      <c r="O265" s="31">
        <f t="shared" si="28"/>
        <v>816</v>
      </c>
      <c r="P265" s="31">
        <f t="shared" si="29"/>
        <v>838</v>
      </c>
    </row>
    <row r="266" spans="1:16">
      <c r="A266" s="2" t="str">
        <f>'01_원자료'!A263</f>
        <v>PAT-18</v>
      </c>
      <c r="B266" s="2" t="str">
        <f>'01_원자료'!B263</f>
        <v>gemini</v>
      </c>
      <c r="C266" s="2" t="str">
        <f>'01_원자료'!C263</f>
        <v>gemma</v>
      </c>
      <c r="E266" s="17">
        <f>'01_원자료'!P263*'03_가중치민감도'!$B$5+'01_원자료'!Q263*'03_가중치민감도'!$C$5+'01_원자료'!R263*'03_가중치민감도'!$D$5</f>
        <v>0.69727675607959172</v>
      </c>
      <c r="F266" s="17">
        <f>'01_원자료'!P263*'03_가중치민감도'!$B$6+'01_원자료'!Q263*'03_가중치민감도'!$C$6+'01_원자료'!R263*'03_가중치민감도'!$D$6</f>
        <v>0.58282870994781522</v>
      </c>
      <c r="G266" s="17">
        <f>'01_원자료'!P263*'03_가중치민감도'!$B$7+'01_원자료'!Q263*'03_가중치민감도'!$C$7+'01_원자료'!R263*'03_가중치민감도'!$D$7</f>
        <v>0.69860350110723846</v>
      </c>
      <c r="H266" s="17">
        <f>'01_원자료'!P263*'03_가중치민감도'!$B$8+'01_원자료'!Q263*'03_가중치민감도'!$C$8+'01_원자료'!R263*'03_가중치민감도'!$D$8</f>
        <v>0.69064303094135804</v>
      </c>
      <c r="I266" s="17">
        <f>'01_원자료'!P263*'03_가중치민감도'!$B$9+'01_원자료'!Q263*'03_가중치민감도'!$C$9+'01_원자료'!R263*'03_가중치민감도'!$D$9</f>
        <v>0.62053581031585781</v>
      </c>
      <c r="J266" s="17">
        <f>'01_원자료'!P263*'03_가중치민감도'!$B$10+'01_원자료'!Q263*'03_가중치민감도'!$C$10+'01_원자료'!R263*'03_가중치민감도'!$D$10</f>
        <v>0.80907131215607475</v>
      </c>
      <c r="K266" s="31">
        <f t="shared" si="24"/>
        <v>817</v>
      </c>
      <c r="L266" s="31">
        <f t="shared" si="25"/>
        <v>749</v>
      </c>
      <c r="M266" s="31">
        <f t="shared" si="26"/>
        <v>829</v>
      </c>
      <c r="N266" s="31">
        <f t="shared" si="27"/>
        <v>751</v>
      </c>
      <c r="O266" s="31">
        <f t="shared" si="28"/>
        <v>767</v>
      </c>
      <c r="P266" s="31">
        <f t="shared" si="29"/>
        <v>833</v>
      </c>
    </row>
    <row r="267" spans="1:16">
      <c r="A267" s="2" t="str">
        <f>'01_원자료'!A264</f>
        <v>PAT-18</v>
      </c>
      <c r="B267" s="2" t="str">
        <f>'01_원자료'!B264</f>
        <v>gemini</v>
      </c>
      <c r="C267" s="2" t="str">
        <f>'01_원자료'!C264</f>
        <v>ministral</v>
      </c>
      <c r="E267" s="17">
        <f>'01_원자료'!P264*'03_가중치민감도'!$B$5+'01_원자료'!Q264*'03_가중치민감도'!$C$5+'01_원자료'!R264*'03_가중치민감도'!$D$5</f>
        <v>0.62146040183844709</v>
      </c>
      <c r="F267" s="17">
        <f>'01_원자료'!P264*'03_가중치민감도'!$B$6+'01_원자료'!Q264*'03_가중치민감도'!$C$6+'01_원자료'!R264*'03_가중치민감도'!$D$6</f>
        <v>0.50419768815851362</v>
      </c>
      <c r="G267" s="17">
        <f>'01_원자료'!P264*'03_가중치민감도'!$B$7+'01_원자료'!Q264*'03_가중치민감도'!$C$7+'01_원자료'!R264*'03_가중치민감도'!$D$7</f>
        <v>0.63104535282300345</v>
      </c>
      <c r="H267" s="17">
        <f>'01_원자료'!P264*'03_가중치민감도'!$B$8+'01_원자료'!Q264*'03_가중치민감도'!$C$8+'01_원자료'!R264*'03_가중치민감도'!$D$8</f>
        <v>0.57353564691566505</v>
      </c>
      <c r="I267" s="17">
        <f>'01_원자료'!P264*'03_가중치민감도'!$B$9+'01_원자료'!Q264*'03_가중치민감도'!$C$9+'01_원자료'!R264*'03_가중치민감도'!$D$9</f>
        <v>0.54009027572363877</v>
      </c>
      <c r="J267" s="17">
        <f>'01_원자료'!P264*'03_가중치민감도'!$B$10+'01_원자료'!Q264*'03_가중치민감도'!$C$10+'01_원자료'!R264*'03_가중치민감도'!$D$10</f>
        <v>0.71955321354926771</v>
      </c>
      <c r="K267" s="31">
        <f t="shared" si="24"/>
        <v>493</v>
      </c>
      <c r="L267" s="31">
        <f t="shared" si="25"/>
        <v>383</v>
      </c>
      <c r="M267" s="31">
        <f t="shared" si="26"/>
        <v>520</v>
      </c>
      <c r="N267" s="31">
        <f t="shared" si="27"/>
        <v>410</v>
      </c>
      <c r="O267" s="31">
        <f t="shared" si="28"/>
        <v>415</v>
      </c>
      <c r="P267" s="31">
        <f t="shared" si="29"/>
        <v>541</v>
      </c>
    </row>
    <row r="268" spans="1:16">
      <c r="A268" s="2" t="str">
        <f>'01_원자료'!A265</f>
        <v>PAT-18</v>
      </c>
      <c r="B268" s="2" t="str">
        <f>'01_원자료'!B265</f>
        <v>gemini</v>
      </c>
      <c r="C268" s="2" t="str">
        <f>'01_원자료'!C265</f>
        <v>qwen</v>
      </c>
      <c r="E268" s="17">
        <f>'01_원자료'!P265*'03_가중치민감도'!$B$5+'01_원자료'!Q265*'03_가중치민감도'!$C$5+'01_원자료'!R265*'03_가중치민감도'!$D$5</f>
        <v>0.76159520400954961</v>
      </c>
      <c r="F268" s="17">
        <f>'01_원자료'!P265*'03_가중치민감도'!$B$6+'01_원자료'!Q265*'03_가중치민감도'!$C$6+'01_원자료'!R265*'03_가중치민감도'!$D$6</f>
        <v>0.66385485866229155</v>
      </c>
      <c r="G268" s="17">
        <f>'01_원자료'!P265*'03_가중치민감도'!$B$7+'01_원자료'!Q265*'03_가중치민감도'!$C$7+'01_원자료'!R265*'03_가중치민감도'!$D$7</f>
        <v>0.7547840352686882</v>
      </c>
      <c r="H268" s="17">
        <f>'01_원자료'!P265*'03_가중치민감도'!$B$8+'01_원자료'!Q265*'03_가중치민감도'!$C$8+'01_원자료'!R265*'03_가중치민감도'!$D$8</f>
        <v>0.79565104771385653</v>
      </c>
      <c r="I268" s="17">
        <f>'01_원자료'!P265*'03_가중치민감도'!$B$9+'01_원자료'!Q265*'03_가중치민감도'!$C$9+'01_원자료'!R265*'03_가중치민감도'!$D$9</f>
        <v>0.69870536335833067</v>
      </c>
      <c r="J268" s="17">
        <f>'01_원자료'!P265*'03_가중치민감도'!$B$10+'01_원자료'!Q265*'03_가중치민감도'!$C$10+'01_원자료'!R265*'03_가중치민감도'!$D$10</f>
        <v>0.87295788683853048</v>
      </c>
      <c r="K268" s="31">
        <f t="shared" si="24"/>
        <v>967</v>
      </c>
      <c r="L268" s="31">
        <f t="shared" si="25"/>
        <v>964</v>
      </c>
      <c r="M268" s="31">
        <f t="shared" si="26"/>
        <v>968</v>
      </c>
      <c r="N268" s="31">
        <f t="shared" si="27"/>
        <v>967</v>
      </c>
      <c r="O268" s="31">
        <f t="shared" si="28"/>
        <v>967</v>
      </c>
      <c r="P268" s="31">
        <f t="shared" si="29"/>
        <v>951</v>
      </c>
    </row>
    <row r="269" spans="1:16">
      <c r="A269" s="2" t="str">
        <f>'01_원자료'!A266</f>
        <v>PAT-18</v>
      </c>
      <c r="B269" s="2" t="str">
        <f>'01_원자료'!B266</f>
        <v>mistral</v>
      </c>
      <c r="C269" s="2" t="str">
        <f>'01_원자료'!C266</f>
        <v>gemma</v>
      </c>
      <c r="E269" s="17">
        <f>'01_원자료'!P266*'03_가중치민감도'!$B$5+'01_원자료'!Q266*'03_가중치민감도'!$C$5+'01_원자료'!R266*'03_가중치민감도'!$D$5</f>
        <v>0.64509480615192571</v>
      </c>
      <c r="F269" s="17">
        <f>'01_원자료'!P266*'03_가중치민감도'!$B$6+'01_원자료'!Q266*'03_가중치민감도'!$C$6+'01_원자료'!R266*'03_가중치민감도'!$D$6</f>
        <v>0.54956287255065284</v>
      </c>
      <c r="G269" s="17">
        <f>'01_원자료'!P266*'03_가중치민감도'!$B$7+'01_원자료'!Q266*'03_가중치민감도'!$C$7+'01_원자료'!R266*'03_가중치민감도'!$D$7</f>
        <v>0.64361048986207203</v>
      </c>
      <c r="H269" s="17">
        <f>'01_원자료'!P266*'03_가중치민감도'!$B$8+'01_원자료'!Q266*'03_가중치민감도'!$C$8+'01_원자료'!R266*'03_가중치민감도'!$D$8</f>
        <v>0.65251638760119479</v>
      </c>
      <c r="I269" s="17">
        <f>'01_원자료'!P266*'03_가중치민감도'!$B$9+'01_원자료'!Q266*'03_가중치민감도'!$C$9+'01_원자료'!R266*'03_가중치민감도'!$D$9</f>
        <v>0.58190162251436117</v>
      </c>
      <c r="J269" s="17">
        <f>'01_원자료'!P266*'03_가중치민감도'!$B$10+'01_원자료'!Q266*'03_가중치민감도'!$C$10+'01_원자료'!R266*'03_가중치민감도'!$D$10</f>
        <v>0.74359537233290629</v>
      </c>
      <c r="K269" s="31">
        <f t="shared" si="24"/>
        <v>596</v>
      </c>
      <c r="L269" s="31">
        <f t="shared" si="25"/>
        <v>588</v>
      </c>
      <c r="M269" s="31">
        <f t="shared" si="26"/>
        <v>579</v>
      </c>
      <c r="N269" s="31">
        <f t="shared" si="27"/>
        <v>649</v>
      </c>
      <c r="O269" s="31">
        <f t="shared" si="28"/>
        <v>585</v>
      </c>
      <c r="P269" s="31">
        <f t="shared" si="29"/>
        <v>640</v>
      </c>
    </row>
    <row r="270" spans="1:16">
      <c r="A270" s="2" t="str">
        <f>'01_원자료'!A267</f>
        <v>PAT-18</v>
      </c>
      <c r="B270" s="2" t="str">
        <f>'01_원자료'!B267</f>
        <v>mistral</v>
      </c>
      <c r="C270" s="2" t="str">
        <f>'01_원자료'!C267</f>
        <v>ministral</v>
      </c>
      <c r="E270" s="17">
        <f>'01_원자료'!P267*'03_가중치민감도'!$B$5+'01_원자료'!Q267*'03_가중치민감도'!$C$5+'01_원자료'!R267*'03_가중치민감도'!$D$5</f>
        <v>0.58447148222945677</v>
      </c>
      <c r="F270" s="17">
        <f>'01_원자료'!P267*'03_가중치민감도'!$B$6+'01_원자료'!Q267*'03_가중치민감도'!$C$6+'01_원자료'!R267*'03_가중치민감도'!$D$6</f>
        <v>0.48971152986368882</v>
      </c>
      <c r="G270" s="17">
        <f>'01_원자료'!P267*'03_가중치민감도'!$B$7+'01_원자료'!Q267*'03_가중치민감도'!$C$7+'01_원자료'!R267*'03_가중치민감도'!$D$7</f>
        <v>0.59102471906300935</v>
      </c>
      <c r="H270" s="17">
        <f>'01_원자료'!P267*'03_가중치민감도'!$B$8+'01_원자료'!Q267*'03_가중치민감도'!$C$8+'01_원자료'!R267*'03_가중치민감도'!$D$8</f>
        <v>0.55170529806169344</v>
      </c>
      <c r="I270" s="17">
        <f>'01_원자료'!P267*'03_가중치민감도'!$B$9+'01_원자료'!Q267*'03_가중치민감도'!$C$9+'01_원자료'!R267*'03_가중치민감도'!$D$9</f>
        <v>0.51911376837442669</v>
      </c>
      <c r="J270" s="17">
        <f>'01_원자료'!P267*'03_가중치민감도'!$B$10+'01_원자료'!Q267*'03_가중치민감도'!$C$10+'01_원자료'!R267*'03_가중치민감도'!$D$10</f>
        <v>0.66612496092811924</v>
      </c>
      <c r="K270" s="31">
        <f t="shared" si="24"/>
        <v>333</v>
      </c>
      <c r="L270" s="31">
        <f t="shared" si="25"/>
        <v>312</v>
      </c>
      <c r="M270" s="31">
        <f t="shared" si="26"/>
        <v>326</v>
      </c>
      <c r="N270" s="31">
        <f t="shared" si="27"/>
        <v>341</v>
      </c>
      <c r="O270" s="31">
        <f t="shared" si="28"/>
        <v>322</v>
      </c>
      <c r="P270" s="31">
        <f t="shared" si="29"/>
        <v>346</v>
      </c>
    </row>
    <row r="271" spans="1:16">
      <c r="A271" s="2" t="str">
        <f>'01_원자료'!A268</f>
        <v>PAT-18</v>
      </c>
      <c r="B271" s="2" t="str">
        <f>'01_원자료'!B268</f>
        <v>mistral</v>
      </c>
      <c r="C271" s="2" t="str">
        <f>'01_원자료'!C268</f>
        <v>qwen</v>
      </c>
      <c r="E271" s="17">
        <f>'01_원자료'!P268*'03_가중치민감도'!$B$5+'01_원자료'!Q268*'03_가중치민감도'!$C$5+'01_원자료'!R268*'03_가중치민감도'!$D$5</f>
        <v>0.67644987908093301</v>
      </c>
      <c r="F271" s="17">
        <f>'01_원자료'!P268*'03_가중치민감도'!$B$6+'01_원자료'!Q268*'03_가중치민감도'!$C$6+'01_원자료'!R268*'03_가중치민감도'!$D$6</f>
        <v>0.57742689826577487</v>
      </c>
      <c r="G271" s="17">
        <f>'01_원자료'!P268*'03_가중치민감도'!$B$7+'01_원자료'!Q268*'03_가중치민감도'!$C$7+'01_원자료'!R268*'03_가중치민감도'!$D$7</f>
        <v>0.67189696734760429</v>
      </c>
      <c r="H271" s="17">
        <f>'01_원자료'!P268*'03_가중치민감도'!$B$8+'01_원자료'!Q268*'03_가중치민감도'!$C$8+'01_원자료'!R268*'03_가중치민감도'!$D$8</f>
        <v>0.69921443774757663</v>
      </c>
      <c r="I271" s="17">
        <f>'01_원자료'!P268*'03_가중치민감도'!$B$9+'01_원자료'!Q268*'03_가중치민감도'!$C$9+'01_원자료'!R268*'03_가중치민감도'!$D$9</f>
        <v>0.6119521957819366</v>
      </c>
      <c r="J271" s="17">
        <f>'01_원자료'!P268*'03_가중치민감도'!$B$10+'01_원자료'!Q268*'03_가중치민감도'!$C$10+'01_원자료'!R268*'03_가중치민감도'!$D$10</f>
        <v>0.78457868336274872</v>
      </c>
      <c r="K271" s="31">
        <f t="shared" si="24"/>
        <v>741</v>
      </c>
      <c r="L271" s="31">
        <f t="shared" si="25"/>
        <v>726</v>
      </c>
      <c r="M271" s="31">
        <f t="shared" si="26"/>
        <v>724</v>
      </c>
      <c r="N271" s="31">
        <f t="shared" si="27"/>
        <v>785</v>
      </c>
      <c r="O271" s="31">
        <f t="shared" si="28"/>
        <v>731</v>
      </c>
      <c r="P271" s="31">
        <f t="shared" si="29"/>
        <v>772</v>
      </c>
    </row>
    <row r="272" spans="1:16">
      <c r="A272" s="2" t="str">
        <f>'01_원자료'!A269</f>
        <v>PAT-18</v>
      </c>
      <c r="B272" s="2" t="str">
        <f>'01_원자료'!B269</f>
        <v>qwen3_6</v>
      </c>
      <c r="C272" s="2" t="str">
        <f>'01_원자료'!C269</f>
        <v>gemma</v>
      </c>
      <c r="E272" s="17">
        <f>'01_원자료'!P269*'03_가중치민감도'!$B$5+'01_원자료'!Q269*'03_가중치민감도'!$C$5+'01_원자료'!R269*'03_가중치민감도'!$D$5</f>
        <v>0.67448533999673743</v>
      </c>
      <c r="F272" s="17">
        <f>'01_원자료'!P269*'03_가중치민감도'!$B$6+'01_원자료'!Q269*'03_가중치민감도'!$C$6+'01_원자료'!R269*'03_가중치민감도'!$D$6</f>
        <v>0.57314825159084237</v>
      </c>
      <c r="G272" s="17">
        <f>'01_원자료'!P269*'03_가중치민감도'!$B$7+'01_원자료'!Q269*'03_가중치민감도'!$C$7+'01_원자료'!R269*'03_가중치민감도'!$D$7</f>
        <v>0.67282022054032287</v>
      </c>
      <c r="H272" s="17">
        <f>'01_원자료'!P269*'03_가중치민감도'!$B$8+'01_원자료'!Q269*'03_가중치민감도'!$C$8+'01_원자료'!R269*'03_가중치민감도'!$D$8</f>
        <v>0.68281093727881026</v>
      </c>
      <c r="I272" s="17">
        <f>'01_원자료'!P269*'03_가중치민감도'!$B$9+'01_원자료'!Q269*'03_가중치민감도'!$C$9+'01_원자료'!R269*'03_가중치민감도'!$D$9</f>
        <v>0.60748232087827825</v>
      </c>
      <c r="J272" s="17">
        <f>'01_원자료'!P269*'03_가중치민감도'!$B$10+'01_원자료'!Q269*'03_가중치민감도'!$C$10+'01_원자료'!R269*'03_가중치민감도'!$D$10</f>
        <v>0.77915266731546173</v>
      </c>
      <c r="K272" s="31">
        <f t="shared" si="24"/>
        <v>736</v>
      </c>
      <c r="L272" s="31">
        <f t="shared" si="25"/>
        <v>706</v>
      </c>
      <c r="M272" s="31">
        <f t="shared" si="26"/>
        <v>733</v>
      </c>
      <c r="N272" s="31">
        <f t="shared" si="27"/>
        <v>725</v>
      </c>
      <c r="O272" s="31">
        <f t="shared" si="28"/>
        <v>724</v>
      </c>
      <c r="P272" s="31">
        <f t="shared" si="29"/>
        <v>752</v>
      </c>
    </row>
    <row r="273" spans="1:16">
      <c r="A273" s="2" t="str">
        <f>'01_원자료'!A270</f>
        <v>PAT-18</v>
      </c>
      <c r="B273" s="2" t="str">
        <f>'01_원자료'!B270</f>
        <v>qwen3_6</v>
      </c>
      <c r="C273" s="2" t="str">
        <f>'01_원자료'!C270</f>
        <v>ministral</v>
      </c>
      <c r="E273" s="17">
        <f>'01_원자료'!P270*'03_가중치민감도'!$B$5+'01_원자료'!Q270*'03_가중치민감도'!$C$5+'01_원자료'!R270*'03_가중치민감도'!$D$5</f>
        <v>0.60541065760394153</v>
      </c>
      <c r="F273" s="17">
        <f>'01_원자료'!P270*'03_가중치민감도'!$B$6+'01_원자료'!Q270*'03_가중치민감도'!$C$6+'01_원자료'!R270*'03_가중치민감도'!$D$6</f>
        <v>0.50822881584346857</v>
      </c>
      <c r="G273" s="17">
        <f>'01_원자료'!P270*'03_가중치민감도'!$B$7+'01_원자료'!Q270*'03_가중치민감도'!$C$7+'01_원자료'!R270*'03_가중치민감도'!$D$7</f>
        <v>0.61198472390900083</v>
      </c>
      <c r="H273" s="17">
        <f>'01_원자료'!P270*'03_가중치민감도'!$B$8+'01_원자료'!Q270*'03_가중치민감도'!$C$8+'01_원자료'!R270*'03_가중치민감도'!$D$8</f>
        <v>0.57254032607864536</v>
      </c>
      <c r="I273" s="17">
        <f>'01_원자료'!P270*'03_가중치민감도'!$B$9+'01_원자료'!Q270*'03_가중치민감도'!$C$9+'01_원자료'!R270*'03_가중치민감도'!$D$9</f>
        <v>0.5384314076619392</v>
      </c>
      <c r="J273" s="17">
        <f>'01_원자료'!P270*'03_가중치민감도'!$B$10+'01_원자료'!Q270*'03_가중치민감도'!$C$10+'01_원자료'!R270*'03_가중치민감도'!$D$10</f>
        <v>0.68944436675429621</v>
      </c>
      <c r="K273" s="31">
        <f t="shared" si="24"/>
        <v>415</v>
      </c>
      <c r="L273" s="31">
        <f t="shared" si="25"/>
        <v>409</v>
      </c>
      <c r="M273" s="31">
        <f t="shared" si="26"/>
        <v>420</v>
      </c>
      <c r="N273" s="31">
        <f t="shared" si="27"/>
        <v>407</v>
      </c>
      <c r="O273" s="31">
        <f t="shared" si="28"/>
        <v>409</v>
      </c>
      <c r="P273" s="31">
        <f t="shared" si="29"/>
        <v>423</v>
      </c>
    </row>
    <row r="274" spans="1:16">
      <c r="A274" s="2" t="str">
        <f>'01_원자료'!A271</f>
        <v>PAT-18</v>
      </c>
      <c r="B274" s="2" t="str">
        <f>'01_원자료'!B271</f>
        <v>qwen3_6</v>
      </c>
      <c r="C274" s="2" t="str">
        <f>'01_원자료'!C271</f>
        <v>qwen</v>
      </c>
      <c r="E274" s="17">
        <f>'01_원자료'!P271*'03_가중치민감도'!$B$5+'01_원자료'!Q271*'03_가중치민감도'!$C$5+'01_원자료'!R271*'03_가중치민감도'!$D$5</f>
        <v>0.75589199487706049</v>
      </c>
      <c r="F274" s="17">
        <f>'01_원자료'!P271*'03_가중치민감도'!$B$6+'01_원자료'!Q271*'03_가중치민감도'!$C$6+'01_원자료'!R271*'03_가중치민감도'!$D$6</f>
        <v>0.66366700298233838</v>
      </c>
      <c r="G274" s="17">
        <f>'01_원자료'!P271*'03_가중치민감도'!$B$7+'01_원자료'!Q271*'03_가중치민감도'!$C$7+'01_원자료'!R271*'03_가중치민감도'!$D$7</f>
        <v>0.74814594592078032</v>
      </c>
      <c r="H274" s="17">
        <f>'01_원자료'!P271*'03_가중치민감도'!$B$8+'01_원자료'!Q271*'03_가중치민감도'!$C$8+'01_원자료'!R271*'03_가중치민감도'!$D$8</f>
        <v>0.79462223965846124</v>
      </c>
      <c r="I274" s="17">
        <f>'01_원자료'!P271*'03_가중치민감도'!$B$9+'01_원자료'!Q271*'03_가중치민감도'!$C$9+'01_원자료'!R271*'03_가중치민감도'!$D$9</f>
        <v>0.69699068326600511</v>
      </c>
      <c r="J274" s="17">
        <f>'01_원자료'!P271*'03_가중치민감도'!$B$10+'01_원자료'!Q271*'03_가중치민감도'!$C$10+'01_원자료'!R271*'03_가중치민감도'!$D$10</f>
        <v>0.86360908468434283</v>
      </c>
      <c r="K274" s="31">
        <f t="shared" si="24"/>
        <v>961</v>
      </c>
      <c r="L274" s="31">
        <f t="shared" si="25"/>
        <v>963</v>
      </c>
      <c r="M274" s="31">
        <f t="shared" si="26"/>
        <v>961</v>
      </c>
      <c r="N274" s="31">
        <f t="shared" si="27"/>
        <v>963</v>
      </c>
      <c r="O274" s="31">
        <f t="shared" si="28"/>
        <v>963</v>
      </c>
      <c r="P274" s="31">
        <f t="shared" si="29"/>
        <v>930</v>
      </c>
    </row>
    <row r="275" spans="1:16">
      <c r="A275" s="2" t="str">
        <f>'01_원자료'!A272</f>
        <v>PAT-19</v>
      </c>
      <c r="B275" s="2" t="str">
        <f>'01_원자료'!B272</f>
        <v>chatgpt</v>
      </c>
      <c r="C275" s="2" t="str">
        <f>'01_원자료'!C272</f>
        <v>gemma</v>
      </c>
      <c r="E275" s="17">
        <f>'01_원자료'!P272*'03_가중치민감도'!$B$5+'01_원자료'!Q272*'03_가중치민감도'!$C$5+'01_원자료'!R272*'03_가중치민감도'!$D$5</f>
        <v>0.55528535204467477</v>
      </c>
      <c r="F275" s="17">
        <f>'01_원자료'!P272*'03_가중치민감도'!$B$6+'01_원자료'!Q272*'03_가중치민감도'!$C$6+'01_원자료'!R272*'03_가중치민감도'!$D$6</f>
        <v>0.45911455648327421</v>
      </c>
      <c r="G275" s="17">
        <f>'01_원자료'!P272*'03_가중치민감도'!$B$7+'01_원자료'!Q272*'03_가중치민감도'!$C$7+'01_원자료'!R272*'03_가중치민감도'!$D$7</f>
        <v>0.55972277477968269</v>
      </c>
      <c r="H275" s="17">
        <f>'01_원자료'!P272*'03_가중치민감도'!$B$8+'01_원자료'!Q272*'03_가중치민감도'!$C$8+'01_원자료'!R272*'03_가중치민감도'!$D$8</f>
        <v>0.53309823836963488</v>
      </c>
      <c r="I275" s="17">
        <f>'01_원자료'!P272*'03_가중치민감도'!$B$9+'01_원자료'!Q272*'03_가중치민감도'!$C$9+'01_원자료'!R272*'03_가중치민감도'!$D$9</f>
        <v>0.48969234742540457</v>
      </c>
      <c r="J275" s="17">
        <f>'01_원자료'!P272*'03_가중치민감도'!$B$10+'01_원자료'!Q272*'03_가중치민감도'!$C$10+'01_원자료'!R272*'03_가중치민감도'!$D$10</f>
        <v>0.64258130213605935</v>
      </c>
      <c r="K275" s="31">
        <f t="shared" si="24"/>
        <v>230</v>
      </c>
      <c r="L275" s="31">
        <f t="shared" si="25"/>
        <v>172</v>
      </c>
      <c r="M275" s="31">
        <f t="shared" si="26"/>
        <v>198</v>
      </c>
      <c r="N275" s="31">
        <f t="shared" si="27"/>
        <v>288</v>
      </c>
      <c r="O275" s="31">
        <f t="shared" si="28"/>
        <v>199</v>
      </c>
      <c r="P275" s="31">
        <f t="shared" si="29"/>
        <v>293</v>
      </c>
    </row>
    <row r="276" spans="1:16">
      <c r="A276" s="2" t="str">
        <f>'01_원자료'!A273</f>
        <v>PAT-19</v>
      </c>
      <c r="B276" s="2" t="str">
        <f>'01_원자료'!B273</f>
        <v>chatgpt</v>
      </c>
      <c r="C276" s="2" t="str">
        <f>'01_원자료'!C273</f>
        <v>ministral</v>
      </c>
      <c r="E276" s="17">
        <f>'01_원자료'!P273*'03_가중치민감도'!$B$5+'01_원자료'!Q273*'03_가중치민감도'!$C$5+'01_원자료'!R273*'03_가중치민감도'!$D$5</f>
        <v>0.48582041938335929</v>
      </c>
      <c r="F276" s="17">
        <f>'01_원자료'!P273*'03_가중치민감도'!$B$6+'01_원자료'!Q273*'03_가중치민감도'!$C$6+'01_원자료'!R273*'03_가중치민감도'!$D$6</f>
        <v>0.39785425642071393</v>
      </c>
      <c r="G276" s="17">
        <f>'01_원자료'!P273*'03_가중치민감도'!$B$7+'01_원자료'!Q273*'03_가중치민감도'!$C$7+'01_원자료'!R273*'03_가중치민감도'!$D$7</f>
        <v>0.50762119993487742</v>
      </c>
      <c r="H276" s="17">
        <f>'01_원자료'!P273*'03_가중치민감도'!$B$8+'01_원자료'!Q273*'03_가중치민감도'!$C$8+'01_원자료'!R273*'03_가중치민감도'!$D$8</f>
        <v>0.37681651662576832</v>
      </c>
      <c r="I276" s="17">
        <f>'01_원자료'!P273*'03_가중치민감도'!$B$9+'01_원자료'!Q273*'03_가중치민감도'!$C$9+'01_원자료'!R273*'03_가중치민감도'!$D$9</f>
        <v>0.41990938389108923</v>
      </c>
      <c r="J276" s="17">
        <f>'01_원자료'!P273*'03_가중치민감도'!$B$10+'01_원자료'!Q273*'03_가중치민감도'!$C$10+'01_원자료'!R273*'03_가중치민감도'!$D$10</f>
        <v>0.53018502124296818</v>
      </c>
      <c r="K276" s="31">
        <f t="shared" si="24"/>
        <v>21</v>
      </c>
      <c r="L276" s="31">
        <f t="shared" si="25"/>
        <v>16</v>
      </c>
      <c r="M276" s="31">
        <f t="shared" si="26"/>
        <v>25</v>
      </c>
      <c r="N276" s="31">
        <f t="shared" si="27"/>
        <v>15</v>
      </c>
      <c r="O276" s="31">
        <f t="shared" si="28"/>
        <v>17</v>
      </c>
      <c r="P276" s="31">
        <f t="shared" si="29"/>
        <v>30</v>
      </c>
    </row>
    <row r="277" spans="1:16">
      <c r="A277" s="2" t="str">
        <f>'01_원자료'!A274</f>
        <v>PAT-19</v>
      </c>
      <c r="B277" s="2" t="str">
        <f>'01_원자료'!B274</f>
        <v>chatgpt</v>
      </c>
      <c r="C277" s="2" t="str">
        <f>'01_원자료'!C274</f>
        <v>qwen</v>
      </c>
      <c r="E277" s="17">
        <f>'01_원자료'!P274*'03_가중치민감도'!$B$5+'01_원자료'!Q274*'03_가중치민감도'!$C$5+'01_원자료'!R274*'03_가중치민감도'!$D$5</f>
        <v>0.56353853866851367</v>
      </c>
      <c r="F277" s="17">
        <f>'01_원자료'!P274*'03_가중치민감도'!$B$6+'01_원자료'!Q274*'03_가중치민감도'!$C$6+'01_원자료'!R274*'03_가중치민감도'!$D$6</f>
        <v>0.48890578495122972</v>
      </c>
      <c r="G277" s="17">
        <f>'01_원자료'!P274*'03_가중치민감도'!$B$7+'01_원자료'!Q274*'03_가중치민감도'!$C$7+'01_원자료'!R274*'03_가중치민감도'!$D$7</f>
        <v>0.57532875122384231</v>
      </c>
      <c r="H277" s="17">
        <f>'01_원자료'!P274*'03_가중치민감도'!$B$8+'01_원자료'!Q274*'03_가중치민감도'!$C$8+'01_원자료'!R274*'03_가중치민감도'!$D$8</f>
        <v>0.5045874758918707</v>
      </c>
      <c r="I277" s="17">
        <f>'01_원자료'!P274*'03_가중치민감도'!$B$9+'01_원자료'!Q274*'03_가중치민감도'!$C$9+'01_원자료'!R274*'03_가중치민감도'!$D$9</f>
        <v>0.50985329867188089</v>
      </c>
      <c r="J277" s="17">
        <f>'01_원자료'!P274*'03_가중치민감도'!$B$10+'01_원자료'!Q274*'03_가중치민감도'!$C$10+'01_원자료'!R274*'03_가중치민감도'!$D$10</f>
        <v>0.61459086727514045</v>
      </c>
      <c r="K277" s="31">
        <f t="shared" si="24"/>
        <v>263</v>
      </c>
      <c r="L277" s="31">
        <f t="shared" si="25"/>
        <v>310</v>
      </c>
      <c r="M277" s="31">
        <f t="shared" si="26"/>
        <v>271</v>
      </c>
      <c r="N277" s="31">
        <f t="shared" si="27"/>
        <v>236</v>
      </c>
      <c r="O277" s="31">
        <f t="shared" si="28"/>
        <v>288</v>
      </c>
      <c r="P277" s="31">
        <f t="shared" si="29"/>
        <v>224</v>
      </c>
    </row>
    <row r="278" spans="1:16">
      <c r="A278" s="2" t="str">
        <f>'01_원자료'!A275</f>
        <v>PAT-19</v>
      </c>
      <c r="B278" s="2" t="str">
        <f>'01_원자료'!B275</f>
        <v>claude</v>
      </c>
      <c r="C278" s="2" t="str">
        <f>'01_원자료'!C275</f>
        <v>gemma</v>
      </c>
      <c r="E278" s="17">
        <f>'01_원자료'!P275*'03_가중치민감도'!$B$5+'01_원자료'!Q275*'03_가중치민감도'!$C$5+'01_원자료'!R275*'03_가중치민감도'!$D$5</f>
        <v>0.60507310640547762</v>
      </c>
      <c r="F278" s="17">
        <f>'01_원자료'!P275*'03_가중치민감도'!$B$6+'01_원자료'!Q275*'03_가중치민감도'!$C$6+'01_원자료'!R275*'03_가중치민감도'!$D$6</f>
        <v>0.50530280769792146</v>
      </c>
      <c r="G278" s="17">
        <f>'01_원자료'!P275*'03_가중치민감도'!$B$7+'01_원자료'!Q275*'03_가중치민감도'!$C$7+'01_원자료'!R275*'03_가중치민감도'!$D$7</f>
        <v>0.60647732992636871</v>
      </c>
      <c r="H278" s="17">
        <f>'01_원자료'!P275*'03_가중치민감도'!$B$8+'01_원자료'!Q275*'03_가중치민감도'!$C$8+'01_원자료'!R275*'03_가중치민감도'!$D$8</f>
        <v>0.59805198880102228</v>
      </c>
      <c r="I278" s="17">
        <f>'01_원자료'!P275*'03_가중치민감도'!$B$9+'01_원자료'!Q275*'03_가중치민감도'!$C$9+'01_원자료'!R275*'03_가중치민감도'!$D$9</f>
        <v>0.53809149942680923</v>
      </c>
      <c r="J278" s="17">
        <f>'01_원자료'!P275*'03_가중치민감도'!$B$10+'01_원자료'!Q275*'03_가중치민감도'!$C$10+'01_원자료'!R275*'03_가중치민감도'!$D$10</f>
        <v>0.70203495807125171</v>
      </c>
      <c r="K278" s="31">
        <f t="shared" si="24"/>
        <v>413</v>
      </c>
      <c r="L278" s="31">
        <f t="shared" si="25"/>
        <v>393</v>
      </c>
      <c r="M278" s="31">
        <f t="shared" si="26"/>
        <v>399</v>
      </c>
      <c r="N278" s="31">
        <f t="shared" si="27"/>
        <v>481</v>
      </c>
      <c r="O278" s="31">
        <f t="shared" si="28"/>
        <v>406</v>
      </c>
      <c r="P278" s="31">
        <f t="shared" si="29"/>
        <v>466</v>
      </c>
    </row>
    <row r="279" spans="1:16">
      <c r="A279" s="2" t="str">
        <f>'01_원자료'!A276</f>
        <v>PAT-19</v>
      </c>
      <c r="B279" s="2" t="str">
        <f>'01_원자료'!B276</f>
        <v>claude</v>
      </c>
      <c r="C279" s="2" t="str">
        <f>'01_원자료'!C276</f>
        <v>ministral</v>
      </c>
      <c r="E279" s="17">
        <f>'01_원자료'!P276*'03_가중치민감도'!$B$5+'01_원자료'!Q276*'03_가중치민감도'!$C$5+'01_원자료'!R276*'03_가중치민감도'!$D$5</f>
        <v>0.51144866132715816</v>
      </c>
      <c r="F279" s="17">
        <f>'01_원자료'!P276*'03_가중치민감도'!$B$6+'01_원자료'!Q276*'03_가중치민감도'!$C$6+'01_원자료'!R276*'03_가중치민감도'!$D$6</f>
        <v>0.42619636302621705</v>
      </c>
      <c r="G279" s="17">
        <f>'01_원자료'!P276*'03_가중치민감도'!$B$7+'01_원자료'!Q276*'03_가중치민감도'!$C$7+'01_원자료'!R276*'03_가중치민감도'!$D$7</f>
        <v>0.52829460838403886</v>
      </c>
      <c r="H279" s="17">
        <f>'01_원자료'!P276*'03_가중치민감도'!$B$8+'01_원자료'!Q276*'03_가중치민감도'!$C$8+'01_원자료'!R276*'03_가중치민감도'!$D$8</f>
        <v>0.42721892604275469</v>
      </c>
      <c r="I279" s="17">
        <f>'01_원자료'!P276*'03_가중치민감도'!$B$9+'01_원자료'!Q276*'03_가중치민감도'!$C$9+'01_원자료'!R276*'03_가중치민감도'!$D$9</f>
        <v>0.44899848010757004</v>
      </c>
      <c r="J279" s="17">
        <f>'01_원자료'!P276*'03_가중치민감도'!$B$10+'01_원자료'!Q276*'03_가중치민감도'!$C$10+'01_원자료'!R276*'03_가중치민감도'!$D$10</f>
        <v>0.56300906551433794</v>
      </c>
      <c r="K279" s="31">
        <f t="shared" si="24"/>
        <v>72</v>
      </c>
      <c r="L279" s="31">
        <f t="shared" si="25"/>
        <v>60</v>
      </c>
      <c r="M279" s="31">
        <f t="shared" si="26"/>
        <v>66</v>
      </c>
      <c r="N279" s="31">
        <f t="shared" si="27"/>
        <v>102</v>
      </c>
      <c r="O279" s="31">
        <f t="shared" si="28"/>
        <v>61</v>
      </c>
      <c r="P279" s="31">
        <f t="shared" si="29"/>
        <v>94</v>
      </c>
    </row>
    <row r="280" spans="1:16">
      <c r="A280" s="2" t="str">
        <f>'01_원자료'!A277</f>
        <v>PAT-19</v>
      </c>
      <c r="B280" s="2" t="str">
        <f>'01_원자료'!B277</f>
        <v>claude</v>
      </c>
      <c r="C280" s="2" t="str">
        <f>'01_원자료'!C277</f>
        <v>qwen</v>
      </c>
      <c r="E280" s="17">
        <f>'01_원자료'!P277*'03_가중치민감도'!$B$5+'01_원자료'!Q277*'03_가중치민감도'!$C$5+'01_원자료'!R277*'03_가중치민감도'!$D$5</f>
        <v>0.67655484099281216</v>
      </c>
      <c r="F280" s="17">
        <f>'01_원자료'!P277*'03_가중치민감도'!$B$6+'01_원자료'!Q277*'03_가중치민감도'!$C$6+'01_원자료'!R277*'03_가중치민감도'!$D$6</f>
        <v>0.58863213430343186</v>
      </c>
      <c r="G280" s="17">
        <f>'01_원자료'!P277*'03_가중치민감도'!$B$7+'01_원자료'!Q277*'03_가중치민감도'!$C$7+'01_원자료'!R277*'03_가중치민감도'!$D$7</f>
        <v>0.67278943482718667</v>
      </c>
      <c r="H280" s="17">
        <f>'01_원자료'!P277*'03_가중치민감도'!$B$8+'01_원자료'!Q277*'03_가중치민감도'!$C$8+'01_원자료'!R277*'03_가중치민감도'!$D$8</f>
        <v>0.69538187182093969</v>
      </c>
      <c r="I280" s="17">
        <f>'01_원자료'!P277*'03_가중치민감도'!$B$9+'01_원자료'!Q277*'03_가중치민감도'!$C$9+'01_원자료'!R277*'03_가중치민감도'!$D$9</f>
        <v>0.61919483858843316</v>
      </c>
      <c r="J280" s="17">
        <f>'01_원자료'!P277*'03_가중치민감도'!$B$10+'01_원자료'!Q277*'03_가중치민감도'!$C$10+'01_원자료'!R277*'03_가중치민감도'!$D$10</f>
        <v>0.77200836001344353</v>
      </c>
      <c r="K280" s="31">
        <f t="shared" si="24"/>
        <v>742</v>
      </c>
      <c r="L280" s="31">
        <f t="shared" si="25"/>
        <v>765</v>
      </c>
      <c r="M280" s="31">
        <f t="shared" si="26"/>
        <v>732</v>
      </c>
      <c r="N280" s="31">
        <f t="shared" si="27"/>
        <v>771</v>
      </c>
      <c r="O280" s="31">
        <f t="shared" si="28"/>
        <v>762</v>
      </c>
      <c r="P280" s="31">
        <f t="shared" si="29"/>
        <v>727</v>
      </c>
    </row>
    <row r="281" spans="1:16">
      <c r="A281" s="2" t="str">
        <f>'01_원자료'!A278</f>
        <v>PAT-19</v>
      </c>
      <c r="B281" s="2" t="str">
        <f>'01_원자료'!B278</f>
        <v>gemini</v>
      </c>
      <c r="C281" s="2" t="str">
        <f>'01_원자료'!C278</f>
        <v>gemma</v>
      </c>
      <c r="E281" s="17">
        <f>'01_원자료'!P278*'03_가중치민감도'!$B$5+'01_원자료'!Q278*'03_가중치민감도'!$C$5+'01_원자료'!R278*'03_가중치민감도'!$D$5</f>
        <v>0.7262365794590776</v>
      </c>
      <c r="F281" s="17">
        <f>'01_원자료'!P278*'03_가중치민감도'!$B$6+'01_원자료'!Q278*'03_가중치민감도'!$C$6+'01_원자료'!R278*'03_가중치민감도'!$D$6</f>
        <v>0.59651174439983778</v>
      </c>
      <c r="G281" s="17">
        <f>'01_원자료'!P278*'03_가중치민감도'!$B$7+'01_원자료'!Q278*'03_가중치민감도'!$C$7+'01_원자료'!R278*'03_가중치민감도'!$D$7</f>
        <v>0.71914423281500861</v>
      </c>
      <c r="H281" s="17">
        <f>'01_원자료'!P278*'03_가중치민감도'!$B$8+'01_원자료'!Q278*'03_가중치민감도'!$C$8+'01_원자료'!R278*'03_가중치민감도'!$D$8</f>
        <v>0.76169831267942212</v>
      </c>
      <c r="I281" s="17">
        <f>'01_원자료'!P278*'03_가중치민감도'!$B$9+'01_원자료'!Q278*'03_가중치민감도'!$C$9+'01_원자료'!R278*'03_가중치민감도'!$D$9</f>
        <v>0.64211747163427335</v>
      </c>
      <c r="J281" s="17">
        <f>'01_원자료'!P278*'03_가중치민감도'!$B$10+'01_원자료'!Q278*'03_가중치민감도'!$C$10+'01_원자료'!R278*'03_가중치민감도'!$D$10</f>
        <v>0.87014610780645518</v>
      </c>
      <c r="K281" s="31">
        <f t="shared" si="24"/>
        <v>898</v>
      </c>
      <c r="L281" s="31">
        <f t="shared" si="25"/>
        <v>793</v>
      </c>
      <c r="M281" s="31">
        <f t="shared" si="26"/>
        <v>898</v>
      </c>
      <c r="N281" s="31">
        <f t="shared" si="27"/>
        <v>873</v>
      </c>
      <c r="O281" s="31">
        <f t="shared" si="28"/>
        <v>847</v>
      </c>
      <c r="P281" s="31">
        <f t="shared" si="29"/>
        <v>947</v>
      </c>
    </row>
    <row r="282" spans="1:16">
      <c r="A282" s="2" t="str">
        <f>'01_원자료'!A279</f>
        <v>PAT-19</v>
      </c>
      <c r="B282" s="2" t="str">
        <f>'01_원자료'!B279</f>
        <v>gemini</v>
      </c>
      <c r="C282" s="2" t="str">
        <f>'01_원자료'!C279</f>
        <v>ministral</v>
      </c>
      <c r="E282" s="17">
        <f>'01_원자료'!P279*'03_가중치민감도'!$B$5+'01_원자료'!Q279*'03_가중치민감도'!$C$5+'01_원자료'!R279*'03_가중치민감도'!$D$5</f>
        <v>0.51565596939280423</v>
      </c>
      <c r="F282" s="17">
        <f>'01_원자료'!P279*'03_가중치민감도'!$B$6+'01_원자료'!Q279*'03_가중치민감도'!$C$6+'01_원자료'!R279*'03_가중치민감도'!$D$6</f>
        <v>0.41557151880104759</v>
      </c>
      <c r="G282" s="17">
        <f>'01_원자료'!P279*'03_가중치민감도'!$B$7+'01_원자료'!Q279*'03_가중치민감도'!$C$7+'01_원자료'!R279*'03_가중치민감도'!$D$7</f>
        <v>0.53884642022061868</v>
      </c>
      <c r="H282" s="17">
        <f>'01_원자료'!P279*'03_가중치민감도'!$B$8+'01_원자료'!Q279*'03_가중치민감도'!$C$8+'01_원자료'!R279*'03_가중치민감도'!$D$8</f>
        <v>0.39970371525373249</v>
      </c>
      <c r="I282" s="17">
        <f>'01_원자료'!P279*'03_가중치민감도'!$B$9+'01_원자료'!Q279*'03_가중치민감도'!$C$9+'01_원자료'!R279*'03_가중치민감도'!$D$9</f>
        <v>0.44120285205569465</v>
      </c>
      <c r="J282" s="17">
        <f>'01_원자료'!P279*'03_가중치민감도'!$B$10+'01_원자료'!Q279*'03_가중치민감도'!$C$10+'01_원자료'!R279*'03_가중치민감도'!$D$10</f>
        <v>0.56935951832893217</v>
      </c>
      <c r="K282" s="31">
        <f t="shared" si="24"/>
        <v>83</v>
      </c>
      <c r="L282" s="31">
        <f t="shared" si="25"/>
        <v>43</v>
      </c>
      <c r="M282" s="31">
        <f t="shared" si="26"/>
        <v>103</v>
      </c>
      <c r="N282" s="31">
        <f t="shared" si="27"/>
        <v>44</v>
      </c>
      <c r="O282" s="31">
        <f t="shared" si="28"/>
        <v>49</v>
      </c>
      <c r="P282" s="31">
        <f t="shared" si="29"/>
        <v>110</v>
      </c>
    </row>
    <row r="283" spans="1:16">
      <c r="A283" s="2" t="str">
        <f>'01_원자료'!A280</f>
        <v>PAT-19</v>
      </c>
      <c r="B283" s="2" t="str">
        <f>'01_원자료'!B280</f>
        <v>gemini</v>
      </c>
      <c r="C283" s="2" t="str">
        <f>'01_원자료'!C280</f>
        <v>qwen</v>
      </c>
      <c r="E283" s="17">
        <f>'01_원자료'!P280*'03_가중치민감도'!$B$5+'01_원자료'!Q280*'03_가중치민감도'!$C$5+'01_원자료'!R280*'03_가중치민감도'!$D$5</f>
        <v>0.71026287942866018</v>
      </c>
      <c r="F283" s="17">
        <f>'01_원자료'!P280*'03_가중치민감도'!$B$6+'01_원자료'!Q280*'03_가중치민감도'!$C$6+'01_원자료'!R280*'03_가중치민감도'!$D$6</f>
        <v>0.61384463062619332</v>
      </c>
      <c r="G283" s="17">
        <f>'01_원자료'!P280*'03_가중치민감도'!$B$7+'01_원자료'!Q280*'03_가중치민감도'!$C$7+'01_원자료'!R280*'03_가중치민감도'!$D$7</f>
        <v>0.71079921527798617</v>
      </c>
      <c r="H283" s="17">
        <f>'01_원자료'!P280*'03_가중치민감도'!$B$8+'01_원자료'!Q280*'03_가중치민감도'!$C$8+'01_원자료'!R280*'03_가중치민감도'!$D$8</f>
        <v>0.70758120018203052</v>
      </c>
      <c r="I283" s="17">
        <f>'01_원자료'!P280*'03_가중치민감도'!$B$9+'01_원자료'!Q280*'03_가중치민감도'!$C$9+'01_원자료'!R280*'03_가중치민감도'!$D$9</f>
        <v>0.64580526827723972</v>
      </c>
      <c r="J283" s="17">
        <f>'01_원자료'!P280*'03_가중치민감도'!$B$10+'01_원자료'!Q280*'03_가중치민감도'!$C$10+'01_원자료'!R280*'03_가중치민감도'!$D$10</f>
        <v>0.80560845653247515</v>
      </c>
      <c r="K283" s="31">
        <f t="shared" si="24"/>
        <v>845</v>
      </c>
      <c r="L283" s="31">
        <f t="shared" si="25"/>
        <v>869</v>
      </c>
      <c r="M283" s="31">
        <f t="shared" si="26"/>
        <v>872</v>
      </c>
      <c r="N283" s="31">
        <f t="shared" si="27"/>
        <v>807</v>
      </c>
      <c r="O283" s="31">
        <f t="shared" si="28"/>
        <v>853</v>
      </c>
      <c r="P283" s="31">
        <f t="shared" si="29"/>
        <v>825</v>
      </c>
    </row>
    <row r="284" spans="1:16">
      <c r="A284" s="2" t="str">
        <f>'01_원자료'!A281</f>
        <v>PAT-19</v>
      </c>
      <c r="B284" s="2" t="str">
        <f>'01_원자료'!B281</f>
        <v>mistral</v>
      </c>
      <c r="C284" s="2" t="str">
        <f>'01_원자료'!C281</f>
        <v>gemma</v>
      </c>
      <c r="E284" s="17">
        <f>'01_원자료'!P281*'03_가중치민감도'!$B$5+'01_원자료'!Q281*'03_가중치민감도'!$C$5+'01_원자료'!R281*'03_가중치민감도'!$D$5</f>
        <v>0.54955383413669834</v>
      </c>
      <c r="F284" s="17">
        <f>'01_원자료'!P281*'03_가중치민감도'!$B$6+'01_원자료'!Q281*'03_가중치민감도'!$C$6+'01_원자료'!R281*'03_가중치민감도'!$D$6</f>
        <v>0.46052071454240728</v>
      </c>
      <c r="G284" s="17">
        <f>'01_원자료'!P281*'03_가중치민감도'!$B$7+'01_원자료'!Q281*'03_가중치민감도'!$C$7+'01_원자료'!R281*'03_가중치민감도'!$D$7</f>
        <v>0.55460863323787324</v>
      </c>
      <c r="H284" s="17">
        <f>'01_원자료'!P281*'03_가중치민감도'!$B$8+'01_원자료'!Q281*'03_가중치민감도'!$C$8+'01_원자료'!R281*'03_가중치민감도'!$D$8</f>
        <v>0.52427983863082406</v>
      </c>
      <c r="I284" s="17">
        <f>'01_원자료'!P281*'03_가중치민감도'!$B$9+'01_원자료'!Q281*'03_가중치민감도'!$C$9+'01_원자료'!R281*'03_가중치민감도'!$D$9</f>
        <v>0.48851348804011219</v>
      </c>
      <c r="J284" s="17">
        <f>'01_원자료'!P281*'03_가중치민감도'!$B$10+'01_원자료'!Q281*'03_가중치민감도'!$C$10+'01_원자료'!R281*'03_가중치민감도'!$D$10</f>
        <v>0.62847735552863959</v>
      </c>
      <c r="K284" s="31">
        <f t="shared" si="24"/>
        <v>204</v>
      </c>
      <c r="L284" s="31">
        <f t="shared" si="25"/>
        <v>180</v>
      </c>
      <c r="M284" s="31">
        <f t="shared" si="26"/>
        <v>180</v>
      </c>
      <c r="N284" s="31">
        <f t="shared" si="27"/>
        <v>267</v>
      </c>
      <c r="O284" s="31">
        <f t="shared" si="28"/>
        <v>194</v>
      </c>
      <c r="P284" s="31">
        <f t="shared" si="29"/>
        <v>259</v>
      </c>
    </row>
    <row r="285" spans="1:16">
      <c r="A285" s="2" t="str">
        <f>'01_원자료'!A282</f>
        <v>PAT-19</v>
      </c>
      <c r="B285" s="2" t="str">
        <f>'01_원자료'!B282</f>
        <v>mistral</v>
      </c>
      <c r="C285" s="2" t="str">
        <f>'01_원자료'!C282</f>
        <v>ministral</v>
      </c>
      <c r="E285" s="17">
        <f>'01_원자료'!P282*'03_가중치민감도'!$B$5+'01_원자료'!Q282*'03_가중치민감도'!$C$5+'01_원자료'!R282*'03_가중치민감도'!$D$5</f>
        <v>0.53372785990056903</v>
      </c>
      <c r="F285" s="17">
        <f>'01_원자료'!P282*'03_가중치민감도'!$B$6+'01_원자료'!Q282*'03_가중치민감도'!$C$6+'01_원자료'!R282*'03_가중치민감도'!$D$6</f>
        <v>0.45561931953170515</v>
      </c>
      <c r="G285" s="17">
        <f>'01_원자료'!P282*'03_가중치민감도'!$B$7+'01_원자료'!Q282*'03_가중치민감도'!$C$7+'01_원자료'!R282*'03_가중치민감도'!$D$7</f>
        <v>0.5470706002514556</v>
      </c>
      <c r="H285" s="17">
        <f>'01_원자료'!P282*'03_가중치민감도'!$B$8+'01_원자료'!Q282*'03_가중치민감도'!$C$8+'01_원자료'!R282*'03_가중치민감도'!$D$8</f>
        <v>0.46701415814613656</v>
      </c>
      <c r="I285" s="17">
        <f>'01_원자료'!P282*'03_가중치민감도'!$B$9+'01_원자료'!Q282*'03_가중치민감도'!$C$9+'01_원자료'!R282*'03_가중치민감도'!$D$9</f>
        <v>0.47720791953769714</v>
      </c>
      <c r="J285" s="17">
        <f>'01_원자료'!P282*'03_가중치민감도'!$B$10+'01_원자료'!Q282*'03_가중치민감도'!$C$10+'01_원자료'!R282*'03_가중치민감도'!$D$10</f>
        <v>0.58515091956765997</v>
      </c>
      <c r="K285" s="31">
        <f t="shared" si="24"/>
        <v>145</v>
      </c>
      <c r="L285" s="31">
        <f t="shared" si="25"/>
        <v>159</v>
      </c>
      <c r="M285" s="31">
        <f t="shared" si="26"/>
        <v>139</v>
      </c>
      <c r="N285" s="31">
        <f t="shared" si="27"/>
        <v>156</v>
      </c>
      <c r="O285" s="31">
        <f t="shared" si="28"/>
        <v>159</v>
      </c>
      <c r="P285" s="31">
        <f t="shared" si="29"/>
        <v>144</v>
      </c>
    </row>
    <row r="286" spans="1:16">
      <c r="A286" s="2" t="str">
        <f>'01_원자료'!A283</f>
        <v>PAT-19</v>
      </c>
      <c r="B286" s="2" t="str">
        <f>'01_원자료'!B283</f>
        <v>mistral</v>
      </c>
      <c r="C286" s="2" t="str">
        <f>'01_원자료'!C283</f>
        <v>qwen</v>
      </c>
      <c r="E286" s="17">
        <f>'01_원자료'!P283*'03_가중치민감도'!$B$5+'01_원자료'!Q283*'03_가중치민감도'!$C$5+'01_원자료'!R283*'03_가중치민감도'!$D$5</f>
        <v>0.62241710617440638</v>
      </c>
      <c r="F286" s="17">
        <f>'01_원자료'!P283*'03_가중치민감도'!$B$6+'01_원자료'!Q283*'03_가중치민감도'!$C$6+'01_원자료'!R283*'03_가중치민감도'!$D$6</f>
        <v>0.53409757490561571</v>
      </c>
      <c r="G286" s="17">
        <f>'01_원자료'!P283*'03_가중치민감도'!$B$7+'01_원자료'!Q283*'03_가중치민감도'!$C$7+'01_원자료'!R283*'03_가중치민감도'!$D$7</f>
        <v>0.62616424872428667</v>
      </c>
      <c r="H286" s="17">
        <f>'01_원자료'!P283*'03_가중치민감도'!$B$8+'01_원자료'!Q283*'03_가중치민감도'!$C$8+'01_원자료'!R283*'03_가중치민감도'!$D$8</f>
        <v>0.60368139342500504</v>
      </c>
      <c r="I286" s="17">
        <f>'01_원자료'!P283*'03_가중치민감도'!$B$9+'01_원자료'!Q283*'03_가중치민감도'!$C$9+'01_원자료'!R283*'03_가중치민감도'!$D$9</f>
        <v>0.56228837114525199</v>
      </c>
      <c r="J286" s="17">
        <f>'01_원자료'!P283*'03_가중치민감도'!$B$10+'01_원자료'!Q283*'03_가중치민감도'!$C$10+'01_원자료'!R283*'03_가중치민감도'!$D$10</f>
        <v>0.70324235234343657</v>
      </c>
      <c r="K286" s="31">
        <f t="shared" si="24"/>
        <v>501</v>
      </c>
      <c r="L286" s="31">
        <f t="shared" si="25"/>
        <v>522</v>
      </c>
      <c r="M286" s="31">
        <f t="shared" si="26"/>
        <v>494</v>
      </c>
      <c r="N286" s="31">
        <f t="shared" si="27"/>
        <v>500</v>
      </c>
      <c r="O286" s="31">
        <f t="shared" si="28"/>
        <v>514</v>
      </c>
      <c r="P286" s="31">
        <f t="shared" si="29"/>
        <v>474</v>
      </c>
    </row>
    <row r="287" spans="1:16">
      <c r="A287" s="2" t="str">
        <f>'01_원자료'!A284</f>
        <v>PAT-19</v>
      </c>
      <c r="B287" s="2" t="str">
        <f>'01_원자료'!B284</f>
        <v>qwen3_6</v>
      </c>
      <c r="C287" s="2" t="str">
        <f>'01_원자료'!C284</f>
        <v>gemma</v>
      </c>
      <c r="E287" s="17">
        <f>'01_원자료'!P284*'03_가중치민감도'!$B$5+'01_원자료'!Q284*'03_가중치민감도'!$C$5+'01_원자료'!R284*'03_가중치민감도'!$D$5</f>
        <v>0.68882347244745468</v>
      </c>
      <c r="F287" s="17">
        <f>'01_원자료'!P284*'03_가중치민감도'!$B$6+'01_원자료'!Q284*'03_가중치민감도'!$C$6+'01_원자료'!R284*'03_가중치민감도'!$D$6</f>
        <v>0.57162058202294719</v>
      </c>
      <c r="G287" s="17">
        <f>'01_원자료'!P284*'03_가중치민감도'!$B$7+'01_원자료'!Q284*'03_가중치민감도'!$C$7+'01_원자료'!R284*'03_가중치민감도'!$D$7</f>
        <v>0.67756987149952286</v>
      </c>
      <c r="H287" s="17">
        <f>'01_원자료'!P284*'03_가중치민감도'!$B$8+'01_원자료'!Q284*'03_가중치민감도'!$C$8+'01_원자료'!R284*'03_가중치민감도'!$D$8</f>
        <v>0.74509147718711388</v>
      </c>
      <c r="I287" s="17">
        <f>'01_원자료'!P284*'03_가중치민감도'!$B$9+'01_원자료'!Q284*'03_가중치민감도'!$C$9+'01_원자료'!R284*'03_가중치민감도'!$D$9</f>
        <v>0.61443941248042644</v>
      </c>
      <c r="J287" s="17">
        <f>'01_원자료'!P284*'03_가중치민감도'!$B$10+'01_원자료'!Q284*'03_가중치민감도'!$C$10+'01_원자료'!R284*'03_가중치민감도'!$D$10</f>
        <v>0.8285335647678258</v>
      </c>
      <c r="K287" s="31">
        <f t="shared" si="24"/>
        <v>782</v>
      </c>
      <c r="L287" s="31">
        <f t="shared" si="25"/>
        <v>702</v>
      </c>
      <c r="M287" s="31">
        <f t="shared" si="26"/>
        <v>754</v>
      </c>
      <c r="N287" s="31">
        <f t="shared" si="27"/>
        <v>844</v>
      </c>
      <c r="O287" s="31">
        <f t="shared" si="28"/>
        <v>747</v>
      </c>
      <c r="P287" s="31">
        <f t="shared" si="29"/>
        <v>849</v>
      </c>
    </row>
    <row r="288" spans="1:16">
      <c r="A288" s="2" t="str">
        <f>'01_원자료'!A285</f>
        <v>PAT-19</v>
      </c>
      <c r="B288" s="2" t="str">
        <f>'01_원자료'!B285</f>
        <v>qwen3_6</v>
      </c>
      <c r="C288" s="2" t="str">
        <f>'01_원자료'!C285</f>
        <v>ministral</v>
      </c>
      <c r="E288" s="17">
        <f>'01_원자료'!P285*'03_가중치민감도'!$B$5+'01_원자료'!Q285*'03_가중치민감도'!$C$5+'01_원자료'!R285*'03_가중치민감도'!$D$5</f>
        <v>0.48553603870242562</v>
      </c>
      <c r="F288" s="17">
        <f>'01_원자료'!P285*'03_가중치민감도'!$B$6+'01_원자료'!Q285*'03_가중치민감도'!$C$6+'01_원자료'!R285*'03_가중치민감도'!$D$6</f>
        <v>0.39608438873105245</v>
      </c>
      <c r="G288" s="17">
        <f>'01_원자료'!P285*'03_가중치민감도'!$B$7+'01_원자료'!Q285*'03_가중치민감도'!$C$7+'01_원자료'!R285*'03_가중치민감도'!$D$7</f>
        <v>0.50533042858767652</v>
      </c>
      <c r="H288" s="17">
        <f>'01_원자료'!P285*'03_가중치민감도'!$B$8+'01_원자료'!Q285*'03_가중치민감도'!$C$8+'01_원자료'!R285*'03_가중치민감도'!$D$8</f>
        <v>0.38656408927617136</v>
      </c>
      <c r="I288" s="17">
        <f>'01_원자료'!P285*'03_가중치민감도'!$B$9+'01_원자료'!Q285*'03_가중치민감도'!$C$9+'01_원자료'!R285*'03_가중치민감도'!$D$9</f>
        <v>0.4193034754264261</v>
      </c>
      <c r="J288" s="17">
        <f>'01_원자료'!P285*'03_가중치민감도'!$B$10+'01_원자료'!Q285*'03_가중치민감도'!$C$10+'01_원자료'!R285*'03_가중치민감도'!$D$10</f>
        <v>0.53539890890329722</v>
      </c>
      <c r="K288" s="31">
        <f t="shared" si="24"/>
        <v>20</v>
      </c>
      <c r="L288" s="31">
        <f t="shared" si="25"/>
        <v>14</v>
      </c>
      <c r="M288" s="31">
        <f t="shared" si="26"/>
        <v>22</v>
      </c>
      <c r="N288" s="31">
        <f t="shared" si="27"/>
        <v>25</v>
      </c>
      <c r="O288" s="31">
        <f t="shared" si="28"/>
        <v>16</v>
      </c>
      <c r="P288" s="31">
        <f t="shared" si="29"/>
        <v>42</v>
      </c>
    </row>
    <row r="289" spans="1:16">
      <c r="A289" s="2" t="str">
        <f>'01_원자료'!A286</f>
        <v>PAT-19</v>
      </c>
      <c r="B289" s="2" t="str">
        <f>'01_원자료'!B286</f>
        <v>qwen3_6</v>
      </c>
      <c r="C289" s="2" t="str">
        <f>'01_원자료'!C286</f>
        <v>qwen</v>
      </c>
      <c r="E289" s="17">
        <f>'01_원자료'!P286*'03_가중치민감도'!$B$5+'01_원자료'!Q286*'03_가중치민감도'!$C$5+'01_원자료'!R286*'03_가중치민감도'!$D$5</f>
        <v>0.68930589751592364</v>
      </c>
      <c r="F289" s="17">
        <f>'01_원자료'!P286*'03_가중치민감도'!$B$6+'01_원자료'!Q286*'03_가중치민감도'!$C$6+'01_원자료'!R286*'03_가중치민감도'!$D$6</f>
        <v>0.59589886652184876</v>
      </c>
      <c r="G289" s="17">
        <f>'01_원자료'!P286*'03_가중치민감도'!$B$7+'01_원자료'!Q286*'03_가중치민감도'!$C$7+'01_원자료'!R286*'03_가중치민감도'!$D$7</f>
        <v>0.68784488338848893</v>
      </c>
      <c r="H289" s="17">
        <f>'01_원자료'!P286*'03_가중치민감도'!$B$8+'01_원자료'!Q286*'03_가중치민감도'!$C$8+'01_원자료'!R286*'03_가중치민감도'!$D$8</f>
        <v>0.69661096815309742</v>
      </c>
      <c r="I289" s="17">
        <f>'01_원자료'!P286*'03_가중치민감도'!$B$9+'01_원자료'!Q286*'03_가중치민감도'!$C$9+'01_원자료'!R286*'03_가중치민감도'!$D$9</f>
        <v>0.62752154822901796</v>
      </c>
      <c r="J289" s="17">
        <f>'01_원자료'!P286*'03_가중치민감도'!$B$10+'01_원자료'!Q286*'03_가중치민감도'!$C$10+'01_원자료'!R286*'03_가중치민감도'!$D$10</f>
        <v>0.78563495676486816</v>
      </c>
      <c r="K289" s="31">
        <f t="shared" si="24"/>
        <v>784</v>
      </c>
      <c r="L289" s="31">
        <f t="shared" si="25"/>
        <v>791</v>
      </c>
      <c r="M289" s="31">
        <f t="shared" si="26"/>
        <v>788</v>
      </c>
      <c r="N289" s="31">
        <f t="shared" si="27"/>
        <v>777</v>
      </c>
      <c r="O289" s="31">
        <f t="shared" si="28"/>
        <v>783</v>
      </c>
      <c r="P289" s="31">
        <f t="shared" si="29"/>
        <v>775</v>
      </c>
    </row>
    <row r="290" spans="1:16">
      <c r="A290" s="2" t="str">
        <f>'01_원자료'!A287</f>
        <v>PAT-20</v>
      </c>
      <c r="B290" s="2" t="str">
        <f>'01_원자료'!B287</f>
        <v>chatgpt</v>
      </c>
      <c r="C290" s="2" t="str">
        <f>'01_원자료'!C287</f>
        <v>gemma</v>
      </c>
      <c r="E290" s="17">
        <f>'01_원자료'!P287*'03_가중치민감도'!$B$5+'01_원자료'!Q287*'03_가중치민감도'!$C$5+'01_원자료'!R287*'03_가중치민감도'!$D$5</f>
        <v>0.56720631045330994</v>
      </c>
      <c r="F290" s="17">
        <f>'01_원자료'!P287*'03_가중치민감도'!$B$6+'01_원자료'!Q287*'03_가중치민감도'!$C$6+'01_원자료'!R287*'03_가중치민감도'!$D$6</f>
        <v>0.47730042245157783</v>
      </c>
      <c r="G290" s="17">
        <f>'01_원자료'!P287*'03_가중치민감도'!$B$7+'01_원자료'!Q287*'03_가중치민감도'!$C$7+'01_원자료'!R287*'03_가중치민감도'!$D$7</f>
        <v>0.5721150707590652</v>
      </c>
      <c r="H290" s="17">
        <f>'01_원자료'!P287*'03_가중치민감도'!$B$8+'01_원자료'!Q287*'03_가중치민감도'!$C$8+'01_원자료'!R287*'03_가중치민감도'!$D$8</f>
        <v>0.54266250892453394</v>
      </c>
      <c r="I290" s="17">
        <f>'01_원자료'!P287*'03_가중치민감도'!$B$9+'01_원자료'!Q287*'03_가중치민감도'!$C$9+'01_원자료'!R287*'03_가중치민감도'!$D$9</f>
        <v>0.50563279835023633</v>
      </c>
      <c r="J290" s="17">
        <f>'01_원자료'!P287*'03_가중치민감도'!$B$10+'01_원자료'!Q287*'03_가중치민감도'!$C$10+'01_원자료'!R287*'03_가중치민감도'!$D$10</f>
        <v>0.64729467784353156</v>
      </c>
      <c r="K290" s="31">
        <f t="shared" si="24"/>
        <v>273</v>
      </c>
      <c r="L290" s="31">
        <f t="shared" si="25"/>
        <v>256</v>
      </c>
      <c r="M290" s="31">
        <f t="shared" si="26"/>
        <v>256</v>
      </c>
      <c r="N290" s="31">
        <f t="shared" si="27"/>
        <v>313</v>
      </c>
      <c r="O290" s="31">
        <f t="shared" si="28"/>
        <v>265</v>
      </c>
      <c r="P290" s="31">
        <f t="shared" si="29"/>
        <v>300</v>
      </c>
    </row>
    <row r="291" spans="1:16">
      <c r="A291" s="2" t="str">
        <f>'01_원자료'!A288</f>
        <v>PAT-20</v>
      </c>
      <c r="B291" s="2" t="str">
        <f>'01_원자료'!B288</f>
        <v>chatgpt</v>
      </c>
      <c r="C291" s="2" t="str">
        <f>'01_원자료'!C288</f>
        <v>ministral</v>
      </c>
      <c r="E291" s="17">
        <f>'01_원자료'!P288*'03_가중치민감도'!$B$5+'01_원자료'!Q288*'03_가중치민감도'!$C$5+'01_원자료'!R288*'03_가중치민감도'!$D$5</f>
        <v>0.54879468501173256</v>
      </c>
      <c r="F291" s="17">
        <f>'01_원자료'!P288*'03_가중치민감도'!$B$6+'01_원자료'!Q288*'03_가중치민감도'!$C$6+'01_원자료'!R288*'03_가중치민감도'!$D$6</f>
        <v>0.45593737671461104</v>
      </c>
      <c r="G291" s="17">
        <f>'01_원자료'!P288*'03_가중치민감도'!$B$7+'01_원자료'!Q288*'03_가중치민감도'!$C$7+'01_원자료'!R288*'03_가중치민감도'!$D$7</f>
        <v>0.56182473471624017</v>
      </c>
      <c r="H291" s="17">
        <f>'01_원자료'!P288*'03_가중치민감도'!$B$8+'01_원자료'!Q288*'03_가중치민감도'!$C$8+'01_원자료'!R288*'03_가중치민감도'!$D$8</f>
        <v>0.48364443648919503</v>
      </c>
      <c r="I291" s="17">
        <f>'01_원자료'!P288*'03_가중치민감도'!$B$9+'01_원자료'!Q288*'03_가중치민감도'!$C$9+'01_원자료'!R288*'03_가중치민감도'!$D$9</f>
        <v>0.48254646291214853</v>
      </c>
      <c r="J291" s="17">
        <f>'01_원자료'!P288*'03_가중치민감도'!$B$10+'01_원자료'!Q288*'03_가중치민감도'!$C$10+'01_원자료'!R288*'03_가중치민감도'!$D$10</f>
        <v>0.61559189389983915</v>
      </c>
      <c r="K291" s="31">
        <f t="shared" si="24"/>
        <v>201</v>
      </c>
      <c r="L291" s="31">
        <f t="shared" si="25"/>
        <v>161</v>
      </c>
      <c r="M291" s="31">
        <f t="shared" si="26"/>
        <v>208</v>
      </c>
      <c r="N291" s="31">
        <f t="shared" si="27"/>
        <v>183</v>
      </c>
      <c r="O291" s="31">
        <f t="shared" si="28"/>
        <v>170</v>
      </c>
      <c r="P291" s="31">
        <f t="shared" si="29"/>
        <v>228</v>
      </c>
    </row>
    <row r="292" spans="1:16">
      <c r="A292" s="2" t="str">
        <f>'01_원자료'!A289</f>
        <v>PAT-20</v>
      </c>
      <c r="B292" s="2" t="str">
        <f>'01_원자료'!B289</f>
        <v>chatgpt</v>
      </c>
      <c r="C292" s="2" t="str">
        <f>'01_원자료'!C289</f>
        <v>qwen</v>
      </c>
      <c r="E292" s="17">
        <f>'01_원자료'!P289*'03_가중치민감도'!$B$5+'01_원자료'!Q289*'03_가중치민감도'!$C$5+'01_원자료'!R289*'03_가중치민감도'!$D$5</f>
        <v>0.52744551173450327</v>
      </c>
      <c r="F292" s="17">
        <f>'01_원자료'!P289*'03_가중치민감도'!$B$6+'01_원자료'!Q289*'03_가중치민감도'!$C$6+'01_원자료'!R289*'03_가중치민감도'!$D$6</f>
        <v>0.4449296116418664</v>
      </c>
      <c r="G292" s="17">
        <f>'01_원자료'!P289*'03_가중치민감도'!$B$7+'01_원자료'!Q289*'03_가중치민감도'!$C$7+'01_원자료'!R289*'03_가중치민감도'!$D$7</f>
        <v>0.53807462436163922</v>
      </c>
      <c r="H292" s="17">
        <f>'01_원자료'!P289*'03_가중치민감도'!$B$8+'01_원자료'!Q289*'03_가중치민감도'!$C$8+'01_원자료'!R289*'03_가중치민감도'!$D$8</f>
        <v>0.47429994859882307</v>
      </c>
      <c r="I292" s="17">
        <f>'01_원자료'!P289*'03_가중치민감도'!$B$9+'01_원자료'!Q289*'03_가중치민감도'!$C$9+'01_원자료'!R289*'03_가중치민감도'!$D$9</f>
        <v>0.46889187413036615</v>
      </c>
      <c r="J292" s="17">
        <f>'01_원자료'!P289*'03_가중치민감도'!$B$10+'01_원자료'!Q289*'03_가중치민감도'!$C$10+'01_원자료'!R289*'03_가중치민감도'!$D$10</f>
        <v>0.58870318657286802</v>
      </c>
      <c r="K292" s="31">
        <f t="shared" si="24"/>
        <v>122</v>
      </c>
      <c r="L292" s="31">
        <f t="shared" si="25"/>
        <v>117</v>
      </c>
      <c r="M292" s="31">
        <f t="shared" si="26"/>
        <v>99</v>
      </c>
      <c r="N292" s="31">
        <f t="shared" si="27"/>
        <v>164</v>
      </c>
      <c r="O292" s="31">
        <f t="shared" si="28"/>
        <v>127</v>
      </c>
      <c r="P292" s="31">
        <f t="shared" si="29"/>
        <v>154</v>
      </c>
    </row>
    <row r="293" spans="1:16">
      <c r="A293" s="2" t="str">
        <f>'01_원자료'!A290</f>
        <v>PAT-20</v>
      </c>
      <c r="B293" s="2" t="str">
        <f>'01_원자료'!B290</f>
        <v>claude</v>
      </c>
      <c r="C293" s="2" t="str">
        <f>'01_원자료'!C290</f>
        <v>gemma</v>
      </c>
      <c r="E293" s="17">
        <f>'01_원자료'!P290*'03_가중치민감도'!$B$5+'01_원자료'!Q290*'03_가중치민감도'!$C$5+'01_원자료'!R290*'03_가중치민감도'!$D$5</f>
        <v>0.64235015742976387</v>
      </c>
      <c r="F293" s="17">
        <f>'01_원자료'!P290*'03_가중치민감도'!$B$6+'01_원자료'!Q290*'03_가중치민감도'!$C$6+'01_원자료'!R290*'03_가중치민감도'!$D$6</f>
        <v>0.53916655863974405</v>
      </c>
      <c r="G293" s="17">
        <f>'01_원자료'!P290*'03_가중치민감도'!$B$7+'01_원자료'!Q290*'03_가중치민감도'!$C$7+'01_원자료'!R290*'03_가중치민감도'!$D$7</f>
        <v>0.64164889572876072</v>
      </c>
      <c r="H293" s="17">
        <f>'01_원자료'!P290*'03_가중치민감도'!$B$8+'01_원자료'!Q290*'03_가중치민감도'!$C$8+'01_원자료'!R290*'03_가중치민감도'!$D$8</f>
        <v>0.6458564659347803</v>
      </c>
      <c r="I293" s="17">
        <f>'01_원자료'!P290*'03_가중치민감도'!$B$9+'01_원자료'!Q290*'03_가중치민감도'!$C$9+'01_원자료'!R290*'03_가중치민감도'!$D$9</f>
        <v>0.57379484547008452</v>
      </c>
      <c r="J293" s="17">
        <f>'01_원자료'!P290*'03_가중치민감도'!$B$10+'01_원자료'!Q290*'03_가중치민감도'!$C$10+'01_원자료'!R290*'03_가중치민감도'!$D$10</f>
        <v>0.74693627962179043</v>
      </c>
      <c r="K293" s="31">
        <f t="shared" si="24"/>
        <v>585</v>
      </c>
      <c r="L293" s="31">
        <f t="shared" si="25"/>
        <v>542</v>
      </c>
      <c r="M293" s="31">
        <f t="shared" si="26"/>
        <v>572</v>
      </c>
      <c r="N293" s="31">
        <f t="shared" si="27"/>
        <v>634</v>
      </c>
      <c r="O293" s="31">
        <f t="shared" si="28"/>
        <v>557</v>
      </c>
      <c r="P293" s="31">
        <f t="shared" si="29"/>
        <v>646</v>
      </c>
    </row>
    <row r="294" spans="1:16">
      <c r="A294" s="2" t="str">
        <f>'01_원자료'!A291</f>
        <v>PAT-20</v>
      </c>
      <c r="B294" s="2" t="str">
        <f>'01_원자료'!B291</f>
        <v>claude</v>
      </c>
      <c r="C294" s="2" t="str">
        <f>'01_원자료'!C291</f>
        <v>ministral</v>
      </c>
      <c r="E294" s="17">
        <f>'01_원자료'!P291*'03_가중치민감도'!$B$5+'01_원자료'!Q291*'03_가중치민감도'!$C$5+'01_원자료'!R291*'03_가중치민감도'!$D$5</f>
        <v>0.63122874999674328</v>
      </c>
      <c r="F294" s="17">
        <f>'01_원자료'!P291*'03_가중치민감도'!$B$6+'01_원자료'!Q291*'03_가중치민감도'!$C$6+'01_원자료'!R291*'03_가중치민감도'!$D$6</f>
        <v>0.53091853162123381</v>
      </c>
      <c r="G294" s="17">
        <f>'01_원자료'!P291*'03_가중치민감도'!$B$7+'01_원자료'!Q291*'03_가중치민감도'!$C$7+'01_원자료'!R291*'03_가중치민감도'!$D$7</f>
        <v>0.63274434446768624</v>
      </c>
      <c r="H294" s="17">
        <f>'01_원자료'!P291*'03_가중치민감도'!$B$8+'01_원자료'!Q291*'03_가중치민감도'!$C$8+'01_원자료'!R291*'03_가중치민감도'!$D$8</f>
        <v>0.62365077764202859</v>
      </c>
      <c r="I294" s="17">
        <f>'01_원자료'!P291*'03_가중치민감도'!$B$9+'01_원자료'!Q291*'03_가중치민감도'!$C$9+'01_원자료'!R291*'03_가중치민감도'!$D$9</f>
        <v>0.56385007292275535</v>
      </c>
      <c r="J294" s="17">
        <f>'01_원자료'!P291*'03_가중치민감도'!$B$10+'01_원자료'!Q291*'03_가중치민감도'!$C$10+'01_원자료'!R291*'03_가중치민감도'!$D$10</f>
        <v>0.72850777943036693</v>
      </c>
      <c r="K294" s="31">
        <f t="shared" si="24"/>
        <v>533</v>
      </c>
      <c r="L294" s="31">
        <f t="shared" si="25"/>
        <v>503</v>
      </c>
      <c r="M294" s="31">
        <f t="shared" si="26"/>
        <v>530</v>
      </c>
      <c r="N294" s="31">
        <f t="shared" si="27"/>
        <v>559</v>
      </c>
      <c r="O294" s="31">
        <f t="shared" si="28"/>
        <v>518</v>
      </c>
      <c r="P294" s="31">
        <f t="shared" si="29"/>
        <v>573</v>
      </c>
    </row>
    <row r="295" spans="1:16">
      <c r="A295" s="2" t="str">
        <f>'01_원자료'!A292</f>
        <v>PAT-20</v>
      </c>
      <c r="B295" s="2" t="str">
        <f>'01_원자료'!B292</f>
        <v>claude</v>
      </c>
      <c r="C295" s="2" t="str">
        <f>'01_원자료'!C292</f>
        <v>qwen</v>
      </c>
      <c r="E295" s="17">
        <f>'01_원자료'!P292*'03_가중치민감도'!$B$5+'01_원자료'!Q292*'03_가중치민감도'!$C$5+'01_원자료'!R292*'03_가중치민감도'!$D$5</f>
        <v>0.64810755232076755</v>
      </c>
      <c r="F295" s="17">
        <f>'01_원자료'!P292*'03_가중치민감도'!$B$6+'01_원자료'!Q292*'03_가중치민감도'!$C$6+'01_원자료'!R292*'03_가중치민감도'!$D$6</f>
        <v>0.55777470501699478</v>
      </c>
      <c r="G295" s="17">
        <f>'01_원자료'!P292*'03_가중치민감도'!$B$7+'01_원자료'!Q292*'03_가중치민감도'!$C$7+'01_원자료'!R292*'03_가중치민감도'!$D$7</f>
        <v>0.64744332031913943</v>
      </c>
      <c r="H295" s="17">
        <f>'01_원자료'!P292*'03_가중치민감도'!$B$8+'01_원자료'!Q292*'03_가중치민감도'!$C$8+'01_원자료'!R292*'03_가중치민감도'!$D$8</f>
        <v>0.65142871232890787</v>
      </c>
      <c r="I295" s="17">
        <f>'01_원자료'!P292*'03_가중치민감도'!$B$9+'01_원자료'!Q292*'03_가중치민감도'!$C$9+'01_원자료'!R292*'03_가중치민감도'!$D$9</f>
        <v>0.58810706478546115</v>
      </c>
      <c r="J295" s="17">
        <f>'01_원자료'!P292*'03_가중치민감도'!$B$10+'01_원자료'!Q292*'03_가중치민감도'!$C$10+'01_원자료'!R292*'03_가중치민감도'!$D$10</f>
        <v>0.73976886362779637</v>
      </c>
      <c r="K295" s="31">
        <f t="shared" si="24"/>
        <v>610</v>
      </c>
      <c r="L295" s="31">
        <f t="shared" si="25"/>
        <v>628</v>
      </c>
      <c r="M295" s="31">
        <f t="shared" si="26"/>
        <v>602</v>
      </c>
      <c r="N295" s="31">
        <f t="shared" si="27"/>
        <v>645</v>
      </c>
      <c r="O295" s="31">
        <f t="shared" si="28"/>
        <v>618</v>
      </c>
      <c r="P295" s="31">
        <f t="shared" si="29"/>
        <v>621</v>
      </c>
    </row>
    <row r="296" spans="1:16">
      <c r="A296" s="2" t="str">
        <f>'01_원자료'!A293</f>
        <v>PAT-20</v>
      </c>
      <c r="B296" s="2" t="str">
        <f>'01_원자료'!B293</f>
        <v>gemini</v>
      </c>
      <c r="C296" s="2" t="str">
        <f>'01_원자료'!C293</f>
        <v>gemma</v>
      </c>
      <c r="E296" s="17">
        <f>'01_원자료'!P293*'03_가중치민감도'!$B$5+'01_원자료'!Q293*'03_가중치민감도'!$C$5+'01_원자료'!R293*'03_가중치민감도'!$D$5</f>
        <v>0.74806618384752244</v>
      </c>
      <c r="F296" s="17">
        <f>'01_원자료'!P293*'03_가중치민감도'!$B$6+'01_원자료'!Q293*'03_가중치민감도'!$C$6+'01_원자료'!R293*'03_가중치민감도'!$D$6</f>
        <v>0.6306773149707261</v>
      </c>
      <c r="G296" s="17">
        <f>'01_원자료'!P293*'03_가중치민감도'!$B$7+'01_원자료'!Q293*'03_가중치민감도'!$C$7+'01_원자료'!R293*'03_가중치민감도'!$D$7</f>
        <v>0.74176497372062022</v>
      </c>
      <c r="H296" s="17">
        <f>'01_원자료'!P293*'03_가중치민감도'!$B$8+'01_원자료'!Q293*'03_가중치민감도'!$C$8+'01_원자료'!R293*'03_가중치민감도'!$D$8</f>
        <v>0.77957223448203306</v>
      </c>
      <c r="I296" s="17">
        <f>'01_원자료'!P293*'03_가중치민감도'!$B$9+'01_원자료'!Q293*'03_가중치민감도'!$C$9+'01_원자료'!R293*'03_가중치민감도'!$D$9</f>
        <v>0.67190734130529151</v>
      </c>
      <c r="J296" s="17">
        <f>'01_원자료'!P293*'03_가중치민감도'!$B$10+'01_원자료'!Q293*'03_가중치민감도'!$C$10+'01_원자료'!R293*'03_가중치민감도'!$D$10</f>
        <v>0.87805747297812298</v>
      </c>
      <c r="K296" s="31">
        <f t="shared" si="24"/>
        <v>948</v>
      </c>
      <c r="L296" s="31">
        <f t="shared" si="25"/>
        <v>924</v>
      </c>
      <c r="M296" s="31">
        <f t="shared" si="26"/>
        <v>951</v>
      </c>
      <c r="N296" s="31">
        <f t="shared" si="27"/>
        <v>936</v>
      </c>
      <c r="O296" s="31">
        <f t="shared" si="28"/>
        <v>933</v>
      </c>
      <c r="P296" s="31">
        <f t="shared" si="29"/>
        <v>963</v>
      </c>
    </row>
    <row r="297" spans="1:16">
      <c r="A297" s="2" t="str">
        <f>'01_원자료'!A294</f>
        <v>PAT-20</v>
      </c>
      <c r="B297" s="2" t="str">
        <f>'01_원자료'!B294</f>
        <v>gemini</v>
      </c>
      <c r="C297" s="2" t="str">
        <f>'01_원자료'!C294</f>
        <v>ministral</v>
      </c>
      <c r="E297" s="17">
        <f>'01_원자료'!P294*'03_가중치민감도'!$B$5+'01_원자료'!Q294*'03_가중치민감도'!$C$5+'01_원자료'!R294*'03_가중치민감도'!$D$5</f>
        <v>0.61657552438048957</v>
      </c>
      <c r="F297" s="17">
        <f>'01_원자료'!P294*'03_가중치민감도'!$B$6+'01_원자료'!Q294*'03_가중치민감도'!$C$6+'01_원자료'!R294*'03_가중치민감도'!$D$6</f>
        <v>0.51572850271182202</v>
      </c>
      <c r="G297" s="17">
        <f>'01_원자료'!P294*'03_가중치민감도'!$B$7+'01_원자료'!Q294*'03_가중치민감도'!$C$7+'01_원자료'!R294*'03_가중치민감도'!$D$7</f>
        <v>0.62383221357869623</v>
      </c>
      <c r="H297" s="17">
        <f>'01_원자료'!P294*'03_가중치민감도'!$B$8+'01_원자료'!Q294*'03_가중치민감도'!$C$8+'01_원자료'!R294*'03_가중치민감도'!$D$8</f>
        <v>0.58029207838945551</v>
      </c>
      <c r="I297" s="17">
        <f>'01_원자료'!P294*'03_가중치민감도'!$B$9+'01_원자료'!Q294*'03_가중치민감도'!$C$9+'01_원자료'!R294*'03_가중치민감도'!$D$9</f>
        <v>0.54692528020197506</v>
      </c>
      <c r="J297" s="17">
        <f>'01_원자료'!P294*'03_가중치민감도'!$B$10+'01_원자료'!Q294*'03_가중치민감도'!$C$10+'01_원자료'!R294*'03_가중치민감도'!$D$10</f>
        <v>0.70290916765274325</v>
      </c>
      <c r="K297" s="31">
        <f t="shared" si="24"/>
        <v>469</v>
      </c>
      <c r="L297" s="31">
        <f t="shared" si="25"/>
        <v>443</v>
      </c>
      <c r="M297" s="31">
        <f t="shared" si="26"/>
        <v>482</v>
      </c>
      <c r="N297" s="31">
        <f t="shared" si="27"/>
        <v>423</v>
      </c>
      <c r="O297" s="31">
        <f t="shared" si="28"/>
        <v>450</v>
      </c>
      <c r="P297" s="31">
        <f t="shared" si="29"/>
        <v>473</v>
      </c>
    </row>
    <row r="298" spans="1:16">
      <c r="A298" s="2" t="str">
        <f>'01_원자료'!A295</f>
        <v>PAT-20</v>
      </c>
      <c r="B298" s="2" t="str">
        <f>'01_원자료'!B295</f>
        <v>gemini</v>
      </c>
      <c r="C298" s="2" t="str">
        <f>'01_원자료'!C295</f>
        <v>qwen</v>
      </c>
      <c r="E298" s="17">
        <f>'01_원자료'!P295*'03_가중치민감도'!$B$5+'01_원자료'!Q295*'03_가중치민감도'!$C$5+'01_원자료'!R295*'03_가중치민감도'!$D$5</f>
        <v>0.65249569464582047</v>
      </c>
      <c r="F298" s="17">
        <f>'01_원자료'!P295*'03_가중치민감도'!$B$6+'01_원자료'!Q295*'03_가중치민감도'!$C$6+'01_원자료'!R295*'03_가중치민감도'!$D$6</f>
        <v>0.55162539782321907</v>
      </c>
      <c r="G298" s="17">
        <f>'01_원자료'!P295*'03_가중치민감도'!$B$7+'01_원자료'!Q295*'03_가중치민감도'!$C$7+'01_원자료'!R295*'03_가중치민감도'!$D$7</f>
        <v>0.65968019733712147</v>
      </c>
      <c r="H298" s="17">
        <f>'01_원자료'!P295*'03_가중치민감도'!$B$8+'01_원자료'!Q295*'03_가중치민감도'!$C$8+'01_원자료'!R295*'03_가중치민감도'!$D$8</f>
        <v>0.61657318118931603</v>
      </c>
      <c r="I298" s="17">
        <f>'01_원자료'!P295*'03_가중치민감도'!$B$9+'01_원자료'!Q295*'03_가중치민감도'!$C$9+'01_원자료'!R295*'03_가중치민감도'!$D$9</f>
        <v>0.58285399586698539</v>
      </c>
      <c r="J298" s="17">
        <f>'01_원자료'!P295*'03_가중치민감도'!$B$10+'01_원자료'!Q295*'03_가중치민감도'!$C$10+'01_원자료'!R295*'03_가중치민감도'!$D$10</f>
        <v>0.7389969860858201</v>
      </c>
      <c r="K298" s="31">
        <f t="shared" si="24"/>
        <v>630</v>
      </c>
      <c r="L298" s="31">
        <f t="shared" si="25"/>
        <v>596</v>
      </c>
      <c r="M298" s="31">
        <f t="shared" si="26"/>
        <v>667</v>
      </c>
      <c r="N298" s="31">
        <f t="shared" si="27"/>
        <v>538</v>
      </c>
      <c r="O298" s="31">
        <f t="shared" si="28"/>
        <v>593</v>
      </c>
      <c r="P298" s="31">
        <f t="shared" si="29"/>
        <v>619</v>
      </c>
    </row>
    <row r="299" spans="1:16">
      <c r="A299" s="2" t="str">
        <f>'01_원자료'!A296</f>
        <v>PAT-20</v>
      </c>
      <c r="B299" s="2" t="str">
        <f>'01_원자료'!B296</f>
        <v>mistral</v>
      </c>
      <c r="C299" s="2" t="str">
        <f>'01_원자료'!C296</f>
        <v>gemma</v>
      </c>
      <c r="E299" s="17">
        <f>'01_원자료'!P296*'03_가중치민감도'!$B$5+'01_원자료'!Q296*'03_가중치민감도'!$C$5+'01_원자료'!R296*'03_가중치민감도'!$D$5</f>
        <v>0.57702890990599642</v>
      </c>
      <c r="F299" s="17">
        <f>'01_원자료'!P296*'03_가중치민감도'!$B$6+'01_원자료'!Q296*'03_가중치민감도'!$C$6+'01_원자료'!R296*'03_가중치민감도'!$D$6</f>
        <v>0.48295674370208519</v>
      </c>
      <c r="G299" s="17">
        <f>'01_원자료'!P296*'03_가중치민감도'!$B$7+'01_원자료'!Q296*'03_가중치민감도'!$C$7+'01_원자료'!R296*'03_가중치민감도'!$D$7</f>
        <v>0.58479321920541438</v>
      </c>
      <c r="H299" s="17">
        <f>'01_원자료'!P296*'03_가중치민감도'!$B$8+'01_원자료'!Q296*'03_가중치민감도'!$C$8+'01_원자료'!R296*'03_가중치민감도'!$D$8</f>
        <v>0.53820736340890618</v>
      </c>
      <c r="I299" s="17">
        <f>'01_원자료'!P296*'03_가중치민감도'!$B$9+'01_원자료'!Q296*'03_가중치민감도'!$C$9+'01_원자료'!R296*'03_가중치민감도'!$D$9</f>
        <v>0.51172602933691569</v>
      </c>
      <c r="J299" s="17">
        <f>'01_원자료'!P296*'03_가중치민감도'!$B$10+'01_원자료'!Q296*'03_가중치민감도'!$C$10+'01_원자료'!R296*'03_가중치민감도'!$D$10</f>
        <v>0.65557245751107152</v>
      </c>
      <c r="K299" s="31">
        <f t="shared" si="24"/>
        <v>312</v>
      </c>
      <c r="L299" s="31">
        <f t="shared" si="25"/>
        <v>285</v>
      </c>
      <c r="M299" s="31">
        <f t="shared" si="26"/>
        <v>315</v>
      </c>
      <c r="N299" s="31">
        <f t="shared" si="27"/>
        <v>299</v>
      </c>
      <c r="O299" s="31">
        <f t="shared" si="28"/>
        <v>295</v>
      </c>
      <c r="P299" s="31">
        <f t="shared" si="29"/>
        <v>322</v>
      </c>
    </row>
    <row r="300" spans="1:16">
      <c r="A300" s="2" t="str">
        <f>'01_원자료'!A297</f>
        <v>PAT-20</v>
      </c>
      <c r="B300" s="2" t="str">
        <f>'01_원자료'!B297</f>
        <v>mistral</v>
      </c>
      <c r="C300" s="2" t="str">
        <f>'01_원자료'!C297</f>
        <v>ministral</v>
      </c>
      <c r="E300" s="17">
        <f>'01_원자료'!P297*'03_가중치민감도'!$B$5+'01_원자료'!Q297*'03_가중치민감도'!$C$5+'01_원자료'!R297*'03_가중치민감도'!$D$5</f>
        <v>0.67874631211084924</v>
      </c>
      <c r="F300" s="17">
        <f>'01_원자료'!P297*'03_가중치민감도'!$B$6+'01_원자료'!Q297*'03_가중치민감도'!$C$6+'01_원자료'!R297*'03_가중치민감도'!$D$6</f>
        <v>0.58889430996399184</v>
      </c>
      <c r="G300" s="17">
        <f>'01_원자료'!P297*'03_가중치민감도'!$B$7+'01_원자료'!Q297*'03_가중치민감도'!$C$7+'01_원자료'!R297*'03_가중치민감도'!$D$7</f>
        <v>0.67895502272296193</v>
      </c>
      <c r="H300" s="17">
        <f>'01_원자료'!P297*'03_가중치민감도'!$B$8+'01_원자료'!Q297*'03_가중치민감도'!$C$8+'01_원자료'!R297*'03_가중치민감도'!$D$8</f>
        <v>0.67770275905028621</v>
      </c>
      <c r="I300" s="17">
        <f>'01_원자료'!P297*'03_가중치민감도'!$B$9+'01_원자료'!Q297*'03_가중치민감도'!$C$9+'01_원자료'!R297*'03_가중치민감도'!$D$9</f>
        <v>0.61877540714223955</v>
      </c>
      <c r="J300" s="17">
        <f>'01_원자료'!P297*'03_가중치민감도'!$B$10+'01_원자료'!Q297*'03_가중치민감도'!$C$10+'01_원자료'!R297*'03_가중치민감도'!$D$10</f>
        <v>0.76818089303348147</v>
      </c>
      <c r="K300" s="31">
        <f t="shared" si="24"/>
        <v>755</v>
      </c>
      <c r="L300" s="31">
        <f t="shared" si="25"/>
        <v>766</v>
      </c>
      <c r="M300" s="31">
        <f t="shared" si="26"/>
        <v>758</v>
      </c>
      <c r="N300" s="31">
        <f t="shared" si="27"/>
        <v>717</v>
      </c>
      <c r="O300" s="31">
        <f t="shared" si="28"/>
        <v>758</v>
      </c>
      <c r="P300" s="31">
        <f t="shared" si="29"/>
        <v>714</v>
      </c>
    </row>
    <row r="301" spans="1:16">
      <c r="A301" s="2" t="str">
        <f>'01_원자료'!A298</f>
        <v>PAT-20</v>
      </c>
      <c r="B301" s="2" t="str">
        <f>'01_원자료'!B298</f>
        <v>mistral</v>
      </c>
      <c r="C301" s="2" t="str">
        <f>'01_원자료'!C298</f>
        <v>qwen</v>
      </c>
      <c r="E301" s="17">
        <f>'01_원자료'!P298*'03_가중치민감도'!$B$5+'01_원자료'!Q298*'03_가중치민감도'!$C$5+'01_원자료'!R298*'03_가중치민감도'!$D$5</f>
        <v>0.67857041116504613</v>
      </c>
      <c r="F301" s="17">
        <f>'01_원자료'!P298*'03_가중치민감도'!$B$6+'01_원자료'!Q298*'03_가중치민감도'!$C$6+'01_원자료'!R298*'03_가중치민감도'!$D$6</f>
        <v>0.59399342332490468</v>
      </c>
      <c r="G301" s="17">
        <f>'01_원자료'!P298*'03_가중치민감도'!$B$7+'01_원자료'!Q298*'03_가중치민감도'!$C$7+'01_원자료'!R298*'03_가중치민감도'!$D$7</f>
        <v>0.67577792632350264</v>
      </c>
      <c r="H301" s="17">
        <f>'01_원자료'!P298*'03_가중치민감도'!$B$8+'01_원자료'!Q298*'03_가중치민감도'!$C$8+'01_원자료'!R298*'03_가중치민감도'!$D$8</f>
        <v>0.69253283537276333</v>
      </c>
      <c r="I301" s="17">
        <f>'01_원자료'!P298*'03_가중치민감도'!$B$9+'01_원자료'!Q298*'03_가중치민감도'!$C$9+'01_원자료'!R298*'03_가중치민감도'!$D$9</f>
        <v>0.62311658088546562</v>
      </c>
      <c r="J301" s="17">
        <f>'01_원자료'!P298*'03_가중치민감도'!$B$10+'01_원자료'!Q298*'03_가중치민감도'!$C$10+'01_원자료'!R298*'03_가중치민감도'!$D$10</f>
        <v>0.76873236868827433</v>
      </c>
      <c r="K301" s="31">
        <f t="shared" si="24"/>
        <v>754</v>
      </c>
      <c r="L301" s="31">
        <f t="shared" si="25"/>
        <v>782</v>
      </c>
      <c r="M301" s="31">
        <f t="shared" si="26"/>
        <v>746</v>
      </c>
      <c r="N301" s="31">
        <f t="shared" si="27"/>
        <v>756</v>
      </c>
      <c r="O301" s="31">
        <f t="shared" si="28"/>
        <v>772</v>
      </c>
      <c r="P301" s="31">
        <f t="shared" si="29"/>
        <v>716</v>
      </c>
    </row>
    <row r="302" spans="1:16">
      <c r="A302" s="2" t="str">
        <f>'01_원자료'!A299</f>
        <v>PAT-20</v>
      </c>
      <c r="B302" s="2" t="str">
        <f>'01_원자료'!B299</f>
        <v>qwen3_6</v>
      </c>
      <c r="C302" s="2" t="str">
        <f>'01_원자료'!C299</f>
        <v>gemma</v>
      </c>
      <c r="E302" s="17">
        <f>'01_원자료'!P299*'03_가중치민감도'!$B$5+'01_원자료'!Q299*'03_가중치민감도'!$C$5+'01_원자료'!R299*'03_가중치민감도'!$D$5</f>
        <v>0.71927078695554425</v>
      </c>
      <c r="F302" s="17">
        <f>'01_원자료'!P299*'03_가중치민감도'!$B$6+'01_원자료'!Q299*'03_가중치민감도'!$C$6+'01_원자료'!R299*'03_가중치민감도'!$D$6</f>
        <v>0.6097729155775522</v>
      </c>
      <c r="G302" s="17">
        <f>'01_원자료'!P299*'03_가중치민감도'!$B$7+'01_원자료'!Q299*'03_가중치민감도'!$C$7+'01_원자료'!R299*'03_가중치민감도'!$D$7</f>
        <v>0.70991237729607692</v>
      </c>
      <c r="H302" s="17">
        <f>'01_원자료'!P299*'03_가중치민감도'!$B$8+'01_원자료'!Q299*'03_가중치민감도'!$C$8+'01_원자료'!R299*'03_가중치민감도'!$D$8</f>
        <v>0.76606283525288088</v>
      </c>
      <c r="I302" s="17">
        <f>'01_원자료'!P299*'03_가중치민감도'!$B$9+'01_원자료'!Q299*'03_가중치민감도'!$C$9+'01_원자료'!R299*'03_가중치민감도'!$D$9</f>
        <v>0.64939167592337133</v>
      </c>
      <c r="J302" s="17">
        <f>'01_원자료'!P299*'03_가중치민감도'!$B$10+'01_원자료'!Q299*'03_가중치민감도'!$C$10+'01_원자료'!R299*'03_가중치민감도'!$D$10</f>
        <v>0.84748547765247095</v>
      </c>
      <c r="K302" s="31">
        <f t="shared" si="24"/>
        <v>875</v>
      </c>
      <c r="L302" s="31">
        <f t="shared" si="25"/>
        <v>857</v>
      </c>
      <c r="M302" s="31">
        <f t="shared" si="26"/>
        <v>868</v>
      </c>
      <c r="N302" s="31">
        <f t="shared" si="27"/>
        <v>882</v>
      </c>
      <c r="O302" s="31">
        <f t="shared" si="28"/>
        <v>863</v>
      </c>
      <c r="P302" s="31">
        <f t="shared" si="29"/>
        <v>883</v>
      </c>
    </row>
    <row r="303" spans="1:16">
      <c r="A303" s="2" t="str">
        <f>'01_원자료'!A300</f>
        <v>PAT-20</v>
      </c>
      <c r="B303" s="2" t="str">
        <f>'01_원자료'!B300</f>
        <v>qwen3_6</v>
      </c>
      <c r="C303" s="2" t="str">
        <f>'01_원자료'!C300</f>
        <v>ministral</v>
      </c>
      <c r="E303" s="17">
        <f>'01_원자료'!P300*'03_가중치민감도'!$B$5+'01_원자료'!Q300*'03_가중치민감도'!$C$5+'01_원자료'!R300*'03_가중치민감도'!$D$5</f>
        <v>0.60095178831697715</v>
      </c>
      <c r="F303" s="17">
        <f>'01_원자료'!P300*'03_가중치민감도'!$B$6+'01_원자료'!Q300*'03_가중치민감도'!$C$6+'01_원자료'!R300*'03_가중치민감도'!$D$6</f>
        <v>0.50741670460906307</v>
      </c>
      <c r="G303" s="17">
        <f>'01_원자료'!P300*'03_가중치민감도'!$B$7+'01_원자료'!Q300*'03_가중치민감도'!$C$7+'01_원자료'!R300*'03_가중치민감도'!$D$7</f>
        <v>0.60629717134649519</v>
      </c>
      <c r="H303" s="17">
        <f>'01_원자료'!P300*'03_가중치민감도'!$B$8+'01_원자료'!Q300*'03_가중치민감도'!$C$8+'01_원자료'!R300*'03_가중치민감도'!$D$8</f>
        <v>0.5742248731693872</v>
      </c>
      <c r="I303" s="17">
        <f>'01_원자료'!P300*'03_가중치민감도'!$B$9+'01_원자료'!Q300*'03_가중치민감도'!$C$9+'01_원자료'!R300*'03_가중치민감도'!$D$9</f>
        <v>0.5368132715018612</v>
      </c>
      <c r="J303" s="17">
        <f>'01_원자료'!P300*'03_가중치민감도'!$B$10+'01_원자료'!Q300*'03_가중치민감도'!$C$10+'01_원자료'!R300*'03_가중치민감도'!$D$10</f>
        <v>0.68379610596585527</v>
      </c>
      <c r="K303" s="31">
        <f t="shared" si="24"/>
        <v>395</v>
      </c>
      <c r="L303" s="31">
        <f t="shared" si="25"/>
        <v>404</v>
      </c>
      <c r="M303" s="31">
        <f t="shared" si="26"/>
        <v>397</v>
      </c>
      <c r="N303" s="31">
        <f t="shared" si="27"/>
        <v>412</v>
      </c>
      <c r="O303" s="31">
        <f t="shared" si="28"/>
        <v>399</v>
      </c>
      <c r="P303" s="31">
        <f t="shared" si="29"/>
        <v>406</v>
      </c>
    </row>
    <row r="304" spans="1:16">
      <c r="A304" s="2" t="str">
        <f>'01_원자료'!A301</f>
        <v>PAT-20</v>
      </c>
      <c r="B304" s="2" t="str">
        <f>'01_원자료'!B301</f>
        <v>qwen3_6</v>
      </c>
      <c r="C304" s="2" t="str">
        <f>'01_원자료'!C301</f>
        <v>qwen</v>
      </c>
      <c r="E304" s="17">
        <f>'01_원자료'!P301*'03_가중치민감도'!$B$5+'01_원자료'!Q301*'03_가중치민감도'!$C$5+'01_원자료'!R301*'03_가중치민감도'!$D$5</f>
        <v>0.63295793310241311</v>
      </c>
      <c r="F304" s="17">
        <f>'01_원자료'!P301*'03_가중치민감도'!$B$6+'01_원자료'!Q301*'03_가중치민감도'!$C$6+'01_원자료'!R301*'03_가중치민감도'!$D$6</f>
        <v>0.54864316291880044</v>
      </c>
      <c r="G304" s="17">
        <f>'01_원자료'!P301*'03_가중치민감도'!$B$7+'01_원자료'!Q301*'03_가중치민감도'!$C$7+'01_원자료'!R301*'03_가중치민감도'!$D$7</f>
        <v>0.63713466177851441</v>
      </c>
      <c r="H304" s="17">
        <f>'01_원자료'!P301*'03_가중치민감도'!$B$8+'01_원자료'!Q301*'03_가중치민감도'!$C$8+'01_원자료'!R301*'03_가중치민감도'!$D$8</f>
        <v>0.61207428972190703</v>
      </c>
      <c r="I304" s="17">
        <f>'01_원자료'!P301*'03_가중치민감도'!$B$9+'01_원자료'!Q301*'03_가중치민감도'!$C$9+'01_원자료'!R301*'03_가중치민감도'!$D$9</f>
        <v>0.57535584342130375</v>
      </c>
      <c r="J304" s="17">
        <f>'01_원자료'!P301*'03_가중치민감도'!$B$10+'01_원자료'!Q301*'03_가중치민감도'!$C$10+'01_원자료'!R301*'03_가중치민감도'!$D$10</f>
        <v>0.70891924593382338</v>
      </c>
      <c r="K304" s="31">
        <f t="shared" si="24"/>
        <v>543</v>
      </c>
      <c r="L304" s="31">
        <f t="shared" si="25"/>
        <v>582</v>
      </c>
      <c r="M304" s="31">
        <f t="shared" si="26"/>
        <v>552</v>
      </c>
      <c r="N304" s="31">
        <f t="shared" si="27"/>
        <v>528</v>
      </c>
      <c r="O304" s="31">
        <f t="shared" si="28"/>
        <v>566</v>
      </c>
      <c r="P304" s="31">
        <f t="shared" si="29"/>
        <v>493</v>
      </c>
    </row>
    <row r="305" spans="1:16">
      <c r="A305" s="2" t="str">
        <f>'01_원자료'!A302</f>
        <v>PAT-21</v>
      </c>
      <c r="B305" s="2" t="str">
        <f>'01_원자료'!B302</f>
        <v>chatgpt</v>
      </c>
      <c r="C305" s="2" t="str">
        <f>'01_원자료'!C302</f>
        <v>gemma</v>
      </c>
      <c r="E305" s="17">
        <f>'01_원자료'!P302*'03_가중치민감도'!$B$5+'01_원자료'!Q302*'03_가중치민감도'!$C$5+'01_원자료'!R302*'03_가중치민감도'!$D$5</f>
        <v>0.56449959289699825</v>
      </c>
      <c r="F305" s="17">
        <f>'01_원자료'!P302*'03_가중치민감도'!$B$6+'01_원자료'!Q302*'03_가중치민감도'!$C$6+'01_원자료'!R302*'03_가중치민감도'!$D$6</f>
        <v>0.48085759414637447</v>
      </c>
      <c r="G305" s="17">
        <f>'01_원자료'!P302*'03_가중치민감도'!$B$7+'01_원자료'!Q302*'03_가중치민감도'!$C$7+'01_원자료'!R302*'03_가중치민감도'!$D$7</f>
        <v>0.56866080263546848</v>
      </c>
      <c r="H305" s="17">
        <f>'01_원자료'!P302*'03_가중치민감도'!$B$8+'01_원자료'!Q302*'03_가중치민감도'!$C$8+'01_원자료'!R302*'03_가중치민감도'!$D$8</f>
        <v>0.54369354420464733</v>
      </c>
      <c r="I305" s="17">
        <f>'01_원자료'!P302*'03_가중치민감도'!$B$9+'01_원자료'!Q302*'03_가중치민감도'!$C$9+'01_원자료'!R302*'03_가중치민감도'!$D$9</f>
        <v>0.50735119048375854</v>
      </c>
      <c r="J305" s="17">
        <f>'01_원자료'!P302*'03_가중치민감도'!$B$10+'01_원자료'!Q302*'03_가중치민감도'!$C$10+'01_원자료'!R302*'03_가중치민감도'!$D$10</f>
        <v>0.63981917217068163</v>
      </c>
      <c r="K305" s="31">
        <f t="shared" si="24"/>
        <v>267</v>
      </c>
      <c r="L305" s="31">
        <f t="shared" si="25"/>
        <v>271</v>
      </c>
      <c r="M305" s="31">
        <f t="shared" si="26"/>
        <v>241</v>
      </c>
      <c r="N305" s="31">
        <f t="shared" si="27"/>
        <v>318</v>
      </c>
      <c r="O305" s="31">
        <f t="shared" si="28"/>
        <v>275</v>
      </c>
      <c r="P305" s="31">
        <f t="shared" si="29"/>
        <v>287</v>
      </c>
    </row>
    <row r="306" spans="1:16">
      <c r="A306" s="2" t="str">
        <f>'01_원자료'!A303</f>
        <v>PAT-21</v>
      </c>
      <c r="B306" s="2" t="str">
        <f>'01_원자료'!B303</f>
        <v>chatgpt</v>
      </c>
      <c r="C306" s="2" t="str">
        <f>'01_원자료'!C303</f>
        <v>ministral</v>
      </c>
      <c r="E306" s="17">
        <f>'01_원자료'!P303*'03_가중치민감도'!$B$5+'01_원자료'!Q303*'03_가중치민감도'!$C$5+'01_원자료'!R303*'03_가중치민감도'!$D$5</f>
        <v>0.55167374812408521</v>
      </c>
      <c r="F306" s="17">
        <f>'01_원자료'!P303*'03_가중치민감도'!$B$6+'01_원자료'!Q303*'03_가중치민감도'!$C$6+'01_원자료'!R303*'03_가중치민감도'!$D$6</f>
        <v>0.46138053943071611</v>
      </c>
      <c r="G306" s="17">
        <f>'01_원자료'!P303*'03_가중치민감도'!$B$7+'01_원자료'!Q303*'03_가중치민감도'!$C$7+'01_원자료'!R303*'03_가중치민감도'!$D$7</f>
        <v>0.56412360878970902</v>
      </c>
      <c r="H306" s="17">
        <f>'01_원자료'!P303*'03_가중치민감도'!$B$8+'01_원자료'!Q303*'03_가중치민감도'!$C$8+'01_원자료'!R303*'03_가중치민감도'!$D$8</f>
        <v>0.48942444479596653</v>
      </c>
      <c r="I306" s="17">
        <f>'01_원자료'!P303*'03_가중치민감도'!$B$9+'01_원자료'!Q303*'03_가중치민감도'!$C$9+'01_원자료'!R303*'03_가중치민감도'!$D$9</f>
        <v>0.48732832210663074</v>
      </c>
      <c r="J306" s="17">
        <f>'01_원자료'!P303*'03_가중치민감도'!$B$10+'01_원자료'!Q303*'03_가중치민감도'!$C$10+'01_원자료'!R303*'03_가중치민감도'!$D$10</f>
        <v>0.6170672354862069</v>
      </c>
      <c r="K306" s="31">
        <f t="shared" si="24"/>
        <v>211</v>
      </c>
      <c r="L306" s="31">
        <f t="shared" si="25"/>
        <v>182</v>
      </c>
      <c r="M306" s="31">
        <f t="shared" si="26"/>
        <v>216</v>
      </c>
      <c r="N306" s="31">
        <f t="shared" si="27"/>
        <v>194</v>
      </c>
      <c r="O306" s="31">
        <f t="shared" si="28"/>
        <v>187</v>
      </c>
      <c r="P306" s="31">
        <f t="shared" si="29"/>
        <v>231</v>
      </c>
    </row>
    <row r="307" spans="1:16">
      <c r="A307" s="2" t="str">
        <f>'01_원자료'!A304</f>
        <v>PAT-21</v>
      </c>
      <c r="B307" s="2" t="str">
        <f>'01_원자료'!B304</f>
        <v>chatgpt</v>
      </c>
      <c r="C307" s="2" t="str">
        <f>'01_원자료'!C304</f>
        <v>qwen</v>
      </c>
      <c r="E307" s="17">
        <f>'01_원자료'!P304*'03_가중치민감도'!$B$5+'01_원자료'!Q304*'03_가중치민감도'!$C$5+'01_원자료'!R304*'03_가중치민감도'!$D$5</f>
        <v>0.53297305540677586</v>
      </c>
      <c r="F307" s="17">
        <f>'01_원자료'!P304*'03_가중치민감도'!$B$6+'01_원자료'!Q304*'03_가중치민감도'!$C$6+'01_원자료'!R304*'03_가중치민감도'!$D$6</f>
        <v>0.45799100762987005</v>
      </c>
      <c r="G307" s="17">
        <f>'01_원자료'!P304*'03_가중치민감도'!$B$7+'01_원자료'!Q304*'03_가중치민감도'!$C$7+'01_원자료'!R304*'03_가중치민감도'!$D$7</f>
        <v>0.54464962589625421</v>
      </c>
      <c r="H307" s="17">
        <f>'01_원자료'!P304*'03_가중치민감도'!$B$8+'01_원자료'!Q304*'03_가중치민감도'!$C$8+'01_원자료'!R304*'03_가중치민감도'!$D$8</f>
        <v>0.4745902029593842</v>
      </c>
      <c r="I307" s="17">
        <f>'01_원자료'!P304*'03_가중치민감도'!$B$9+'01_원자료'!Q304*'03_가중치민감도'!$C$9+'01_원자료'!R304*'03_가중치민감도'!$D$9</f>
        <v>0.47909283339234537</v>
      </c>
      <c r="J307" s="17">
        <f>'01_원자료'!P304*'03_가중치민감도'!$B$10+'01_원자료'!Q304*'03_가중치민감도'!$C$10+'01_원자료'!R304*'03_가중치민감도'!$D$10</f>
        <v>0.58460196220472505</v>
      </c>
      <c r="K307" s="31">
        <f t="shared" si="24"/>
        <v>143</v>
      </c>
      <c r="L307" s="31">
        <f t="shared" si="25"/>
        <v>169</v>
      </c>
      <c r="M307" s="31">
        <f t="shared" si="26"/>
        <v>128</v>
      </c>
      <c r="N307" s="31">
        <f t="shared" si="27"/>
        <v>165</v>
      </c>
      <c r="O307" s="31">
        <f t="shared" si="28"/>
        <v>162</v>
      </c>
      <c r="P307" s="31">
        <f t="shared" si="29"/>
        <v>143</v>
      </c>
    </row>
    <row r="308" spans="1:16">
      <c r="A308" s="2" t="str">
        <f>'01_원자료'!A305</f>
        <v>PAT-21</v>
      </c>
      <c r="B308" s="2" t="str">
        <f>'01_원자료'!B305</f>
        <v>claude</v>
      </c>
      <c r="C308" s="2" t="str">
        <f>'01_원자료'!C305</f>
        <v>gemma</v>
      </c>
      <c r="E308" s="17">
        <f>'01_원자료'!P305*'03_가중치민감도'!$B$5+'01_원자료'!Q305*'03_가중치민감도'!$C$5+'01_원자료'!R305*'03_가중치민감도'!$D$5</f>
        <v>0.61193715354068789</v>
      </c>
      <c r="F308" s="17">
        <f>'01_원자료'!P305*'03_가중치민감도'!$B$6+'01_원자료'!Q305*'03_가중치민감도'!$C$6+'01_원자료'!R305*'03_가중치민감도'!$D$6</f>
        <v>0.51471128685696876</v>
      </c>
      <c r="G308" s="17">
        <f>'01_원자료'!P305*'03_가중치민감도'!$B$7+'01_원자료'!Q305*'03_가중치민감도'!$C$7+'01_원자료'!R305*'03_가중치민감도'!$D$7</f>
        <v>0.61582051967725093</v>
      </c>
      <c r="H308" s="17">
        <f>'01_원자료'!P305*'03_가중치민감도'!$B$8+'01_원자료'!Q305*'03_가중치민감도'!$C$8+'01_원자료'!R305*'03_가중치민감도'!$D$8</f>
        <v>0.59252032285787315</v>
      </c>
      <c r="I308" s="17">
        <f>'01_원자료'!P305*'03_가중치민감도'!$B$9+'01_원자료'!Q305*'03_가중치민감도'!$C$9+'01_원자료'!R305*'03_가중치민감도'!$D$9</f>
        <v>0.54582545370602031</v>
      </c>
      <c r="J308" s="17">
        <f>'01_원자료'!P305*'03_가중치민감도'!$B$10+'01_원자료'!Q305*'03_가중치민감도'!$C$10+'01_원자료'!R305*'03_가중치민감도'!$D$10</f>
        <v>0.70139628795128117</v>
      </c>
      <c r="K308" s="31">
        <f t="shared" si="24"/>
        <v>445</v>
      </c>
      <c r="L308" s="31">
        <f t="shared" si="25"/>
        <v>438</v>
      </c>
      <c r="M308" s="31">
        <f t="shared" si="26"/>
        <v>440</v>
      </c>
      <c r="N308" s="31">
        <f t="shared" si="27"/>
        <v>469</v>
      </c>
      <c r="O308" s="31">
        <f t="shared" si="28"/>
        <v>443</v>
      </c>
      <c r="P308" s="31">
        <f t="shared" si="29"/>
        <v>462</v>
      </c>
    </row>
    <row r="309" spans="1:16">
      <c r="A309" s="2" t="str">
        <f>'01_원자료'!A306</f>
        <v>PAT-21</v>
      </c>
      <c r="B309" s="2" t="str">
        <f>'01_원자료'!B306</f>
        <v>claude</v>
      </c>
      <c r="C309" s="2" t="str">
        <f>'01_원자료'!C306</f>
        <v>ministral</v>
      </c>
      <c r="E309" s="17">
        <f>'01_원자료'!P306*'03_가중치민감도'!$B$5+'01_원자료'!Q306*'03_가중치민감도'!$C$5+'01_원자료'!R306*'03_가중치민감도'!$D$5</f>
        <v>0.65579683486752516</v>
      </c>
      <c r="F309" s="17">
        <f>'01_원자료'!P306*'03_가중치민감도'!$B$6+'01_원자료'!Q306*'03_가중치민감도'!$C$6+'01_원자료'!R306*'03_가중치민감도'!$D$6</f>
        <v>0.55112455238864533</v>
      </c>
      <c r="G309" s="17">
        <f>'01_원자료'!P306*'03_가중치민감도'!$B$7+'01_원자료'!Q306*'03_가중치민감도'!$C$7+'01_원자료'!R306*'03_가중치민감도'!$D$7</f>
        <v>0.65374721256764012</v>
      </c>
      <c r="H309" s="17">
        <f>'01_원자료'!P306*'03_가중치민감도'!$B$8+'01_원자료'!Q306*'03_가중치민감도'!$C$8+'01_원자료'!R306*'03_가중치민감도'!$D$8</f>
        <v>0.66604494636695089</v>
      </c>
      <c r="I309" s="17">
        <f>'01_원자료'!P306*'03_가중치민감도'!$B$9+'01_원자료'!Q306*'03_가중치민감도'!$C$9+'01_원자료'!R306*'03_가중치민감도'!$D$9</f>
        <v>0.58669852064823313</v>
      </c>
      <c r="J309" s="17">
        <f>'01_원자료'!P306*'03_가중치민감도'!$B$10+'01_원자료'!Q306*'03_가중치민감도'!$C$10+'01_원자료'!R306*'03_가중치민감도'!$D$10</f>
        <v>0.76456836194617539</v>
      </c>
      <c r="K309" s="31">
        <f t="shared" si="24"/>
        <v>648</v>
      </c>
      <c r="L309" s="31">
        <f t="shared" si="25"/>
        <v>593</v>
      </c>
      <c r="M309" s="31">
        <f t="shared" si="26"/>
        <v>634</v>
      </c>
      <c r="N309" s="31">
        <f t="shared" si="27"/>
        <v>692</v>
      </c>
      <c r="O309" s="31">
        <f t="shared" si="28"/>
        <v>616</v>
      </c>
      <c r="P309" s="31">
        <f t="shared" si="29"/>
        <v>705</v>
      </c>
    </row>
    <row r="310" spans="1:16">
      <c r="A310" s="2" t="str">
        <f>'01_원자료'!A307</f>
        <v>PAT-21</v>
      </c>
      <c r="B310" s="2" t="str">
        <f>'01_원자료'!B307</f>
        <v>claude</v>
      </c>
      <c r="C310" s="2" t="str">
        <f>'01_원자료'!C307</f>
        <v>qwen</v>
      </c>
      <c r="E310" s="17">
        <f>'01_원자료'!P307*'03_가중치민감도'!$B$5+'01_원자료'!Q307*'03_가중치민감도'!$C$5+'01_원자료'!R307*'03_가중치민감도'!$D$5</f>
        <v>0.70422762216836243</v>
      </c>
      <c r="F310" s="17">
        <f>'01_원자료'!P307*'03_가중치민감도'!$B$6+'01_원자료'!Q307*'03_가중치민감도'!$C$6+'01_원자료'!R307*'03_가중치민감도'!$D$6</f>
        <v>0.60363750999299071</v>
      </c>
      <c r="G310" s="17">
        <f>'01_원자료'!P307*'03_가중치민감도'!$B$7+'01_원자료'!Q307*'03_가중치민감도'!$C$7+'01_원자료'!R307*'03_가중치민감도'!$D$7</f>
        <v>0.69770138561941508</v>
      </c>
      <c r="H310" s="17">
        <f>'01_원자료'!P307*'03_가중치민감도'!$B$8+'01_원자료'!Q307*'03_가중치민감도'!$C$8+'01_원자료'!R307*'03_가중치민감도'!$D$8</f>
        <v>0.73685880491309907</v>
      </c>
      <c r="I310" s="17">
        <f>'01_원자료'!P307*'03_가중치민감도'!$B$9+'01_원자료'!Q307*'03_가중치민감도'!$C$9+'01_원자료'!R307*'03_가중치민감도'!$D$9</f>
        <v>0.6393429595677631</v>
      </c>
      <c r="J310" s="17">
        <f>'01_원자료'!P307*'03_가중치민감도'!$B$10+'01_원자료'!Q307*'03_가중치민감도'!$C$10+'01_원자료'!R307*'03_가중치민감도'!$D$10</f>
        <v>0.81787020744162864</v>
      </c>
      <c r="K310" s="31">
        <f t="shared" si="24"/>
        <v>834</v>
      </c>
      <c r="L310" s="31">
        <f t="shared" si="25"/>
        <v>826</v>
      </c>
      <c r="M310" s="31">
        <f t="shared" si="26"/>
        <v>824</v>
      </c>
      <c r="N310" s="31">
        <f t="shared" si="27"/>
        <v>840</v>
      </c>
      <c r="O310" s="31">
        <f t="shared" si="28"/>
        <v>833</v>
      </c>
      <c r="P310" s="31">
        <f t="shared" si="29"/>
        <v>840</v>
      </c>
    </row>
    <row r="311" spans="1:16">
      <c r="A311" s="2" t="str">
        <f>'01_원자료'!A308</f>
        <v>PAT-21</v>
      </c>
      <c r="B311" s="2" t="str">
        <f>'01_원자료'!B308</f>
        <v>gemini</v>
      </c>
      <c r="C311" s="2" t="str">
        <f>'01_원자료'!C308</f>
        <v>gemma</v>
      </c>
      <c r="E311" s="17">
        <f>'01_원자료'!P308*'03_가중치민감도'!$B$5+'01_원자료'!Q308*'03_가중치민감도'!$C$5+'01_원자료'!R308*'03_가중치민감도'!$D$5</f>
        <v>0.72333012631552174</v>
      </c>
      <c r="F311" s="17">
        <f>'01_원자료'!P308*'03_가중치민감도'!$B$6+'01_원자료'!Q308*'03_가중치민감도'!$C$6+'01_원자료'!R308*'03_가중치민감도'!$D$6</f>
        <v>0.60771722167296582</v>
      </c>
      <c r="G311" s="17">
        <f>'01_원자료'!P308*'03_가중치민감도'!$B$7+'01_원자료'!Q308*'03_가중치민감도'!$C$7+'01_원자료'!R308*'03_가중치민감도'!$D$7</f>
        <v>0.71481958104143284</v>
      </c>
      <c r="H311" s="17">
        <f>'01_원자료'!P308*'03_가중치민감도'!$B$8+'01_원자료'!Q308*'03_가중치민감도'!$C$8+'01_원자료'!R308*'03_가중치민감도'!$D$8</f>
        <v>0.76588285268596623</v>
      </c>
      <c r="I311" s="17">
        <f>'01_원자료'!P308*'03_가중치민감도'!$B$9+'01_원자료'!Q308*'03_가중치민감도'!$C$9+'01_원자료'!R308*'03_가중치민감도'!$D$9</f>
        <v>0.64909170497851343</v>
      </c>
      <c r="J311" s="17">
        <f>'01_원자료'!P308*'03_가중치민감도'!$B$10+'01_원자료'!Q308*'03_가중치민감도'!$C$10+'01_원자료'!R308*'03_가중치민감도'!$D$10</f>
        <v>0.85596412150625545</v>
      </c>
      <c r="K311" s="31">
        <f t="shared" si="24"/>
        <v>891</v>
      </c>
      <c r="L311" s="31">
        <f t="shared" si="25"/>
        <v>847</v>
      </c>
      <c r="M311" s="31">
        <f t="shared" si="26"/>
        <v>888</v>
      </c>
      <c r="N311" s="31">
        <f t="shared" si="27"/>
        <v>881</v>
      </c>
      <c r="O311" s="31">
        <f t="shared" si="28"/>
        <v>862</v>
      </c>
      <c r="P311" s="31">
        <f t="shared" si="29"/>
        <v>904</v>
      </c>
    </row>
    <row r="312" spans="1:16">
      <c r="A312" s="2" t="str">
        <f>'01_원자료'!A309</f>
        <v>PAT-21</v>
      </c>
      <c r="B312" s="2" t="str">
        <f>'01_원자료'!B309</f>
        <v>gemini</v>
      </c>
      <c r="C312" s="2" t="str">
        <f>'01_원자료'!C309</f>
        <v>ministral</v>
      </c>
      <c r="E312" s="17">
        <f>'01_원자료'!P309*'03_가중치민감도'!$B$5+'01_원자료'!Q309*'03_가중치민감도'!$C$5+'01_원자료'!R309*'03_가중치민감도'!$D$5</f>
        <v>0.6143214034708625</v>
      </c>
      <c r="F312" s="17">
        <f>'01_원자료'!P309*'03_가중치민감도'!$B$6+'01_원자료'!Q309*'03_가중치민감도'!$C$6+'01_원자료'!R309*'03_가중치민감도'!$D$6</f>
        <v>0.50172987044105144</v>
      </c>
      <c r="G312" s="17">
        <f>'01_원자료'!P309*'03_가중치민감도'!$B$7+'01_원자료'!Q309*'03_가중치민감도'!$C$7+'01_원자료'!R309*'03_가중치민감도'!$D$7</f>
        <v>0.62299216702727223</v>
      </c>
      <c r="H312" s="17">
        <f>'01_원자료'!P309*'03_가중치민감도'!$B$8+'01_원자료'!Q309*'03_가중치민감도'!$C$8+'01_원자료'!R309*'03_가중치민감도'!$D$8</f>
        <v>0.57096758568881389</v>
      </c>
      <c r="I312" s="17">
        <f>'01_원자료'!P309*'03_가중치민감도'!$B$9+'01_원자료'!Q309*'03_가중치민감도'!$C$9+'01_원자료'!R309*'03_가중치민감도'!$D$9</f>
        <v>0.53637012693218455</v>
      </c>
      <c r="J312" s="17">
        <f>'01_원자료'!P309*'03_가중치민감도'!$B$10+'01_원자료'!Q309*'03_가중치민감도'!$C$10+'01_원자료'!R309*'03_가중치민감도'!$D$10</f>
        <v>0.70957140938785424</v>
      </c>
      <c r="K312" s="31">
        <f t="shared" si="24"/>
        <v>459</v>
      </c>
      <c r="L312" s="31">
        <f t="shared" si="25"/>
        <v>369</v>
      </c>
      <c r="M312" s="31">
        <f t="shared" si="26"/>
        <v>478</v>
      </c>
      <c r="N312" s="31">
        <f t="shared" si="27"/>
        <v>404</v>
      </c>
      <c r="O312" s="31">
        <f t="shared" si="28"/>
        <v>395</v>
      </c>
      <c r="P312" s="31">
        <f t="shared" si="29"/>
        <v>495</v>
      </c>
    </row>
    <row r="313" spans="1:16">
      <c r="A313" s="2" t="str">
        <f>'01_원자료'!A310</f>
        <v>PAT-21</v>
      </c>
      <c r="B313" s="2" t="str">
        <f>'01_원자료'!B310</f>
        <v>gemini</v>
      </c>
      <c r="C313" s="2" t="str">
        <f>'01_원자료'!C310</f>
        <v>qwen</v>
      </c>
      <c r="E313" s="17">
        <f>'01_원자료'!P310*'03_가중치민감도'!$B$5+'01_원자료'!Q310*'03_가중치민감도'!$C$5+'01_원자료'!R310*'03_가중치민감도'!$D$5</f>
        <v>0.65669833663850008</v>
      </c>
      <c r="F313" s="17">
        <f>'01_원자료'!P310*'03_가중치민감도'!$B$6+'01_원자료'!Q310*'03_가중치민감도'!$C$6+'01_원자료'!R310*'03_가중치민감도'!$D$6</f>
        <v>0.55188712148570129</v>
      </c>
      <c r="G313" s="17">
        <f>'01_원자료'!P310*'03_가중치민감도'!$B$7+'01_원자료'!Q310*'03_가중치민감도'!$C$7+'01_원자료'!R310*'03_가중치민감도'!$D$7</f>
        <v>0.66178990916242564</v>
      </c>
      <c r="H313" s="17">
        <f>'01_원자료'!P310*'03_가중치민감도'!$B$8+'01_원자료'!Q310*'03_가중치민감도'!$C$8+'01_원자료'!R310*'03_가중치민감도'!$D$8</f>
        <v>0.63124047401887218</v>
      </c>
      <c r="I313" s="17">
        <f>'01_원자료'!P310*'03_가중치민감도'!$B$9+'01_원자료'!Q310*'03_가중치민감도'!$C$9+'01_원자료'!R310*'03_가중치민감도'!$D$9</f>
        <v>0.58512700236199167</v>
      </c>
      <c r="J313" s="17">
        <f>'01_원자료'!P310*'03_가중치민감도'!$B$10+'01_원자료'!Q310*'03_가중치민감도'!$C$10+'01_원자료'!R310*'03_가중치민감도'!$D$10</f>
        <v>0.75132640674344775</v>
      </c>
      <c r="K313" s="31">
        <f t="shared" si="24"/>
        <v>652</v>
      </c>
      <c r="L313" s="31">
        <f t="shared" si="25"/>
        <v>599</v>
      </c>
      <c r="M313" s="31">
        <f t="shared" si="26"/>
        <v>677</v>
      </c>
      <c r="N313" s="31">
        <f t="shared" si="27"/>
        <v>579</v>
      </c>
      <c r="O313" s="31">
        <f t="shared" si="28"/>
        <v>605</v>
      </c>
      <c r="P313" s="31">
        <f t="shared" si="29"/>
        <v>660</v>
      </c>
    </row>
    <row r="314" spans="1:16">
      <c r="A314" s="2" t="str">
        <f>'01_원자료'!A311</f>
        <v>PAT-21</v>
      </c>
      <c r="B314" s="2" t="str">
        <f>'01_원자료'!B311</f>
        <v>mistral</v>
      </c>
      <c r="C314" s="2" t="str">
        <f>'01_원자료'!C311</f>
        <v>gemma</v>
      </c>
      <c r="E314" s="17">
        <f>'01_원자료'!P311*'03_가중치민감도'!$B$5+'01_원자료'!Q311*'03_가중치민감도'!$C$5+'01_원자료'!R311*'03_가중치민감도'!$D$5</f>
        <v>0.56925415711845162</v>
      </c>
      <c r="F314" s="17">
        <f>'01_원자료'!P311*'03_가중치민감도'!$B$6+'01_원자료'!Q311*'03_가중치민감도'!$C$6+'01_원자료'!R311*'03_가중치민감도'!$D$6</f>
        <v>0.48027088556650877</v>
      </c>
      <c r="G314" s="17">
        <f>'01_원자료'!P311*'03_가중치민감도'!$B$7+'01_원자료'!Q311*'03_가중치민감도'!$C$7+'01_원자료'!R311*'03_가중치민감도'!$D$7</f>
        <v>0.57812216047012877</v>
      </c>
      <c r="H314" s="17">
        <f>'01_원자료'!P311*'03_가중치민감도'!$B$8+'01_원자료'!Q311*'03_가중치민감도'!$C$8+'01_원자료'!R311*'03_가중치민감도'!$D$8</f>
        <v>0.52491414036006578</v>
      </c>
      <c r="I314" s="17">
        <f>'01_원자료'!P311*'03_가중치민감도'!$B$9+'01_원자료'!Q311*'03_가중치민감도'!$C$9+'01_원자료'!R311*'03_가중치민감도'!$D$9</f>
        <v>0.50697597496659685</v>
      </c>
      <c r="J314" s="17">
        <f>'01_원자료'!P311*'03_가중치민감도'!$B$10+'01_원자료'!Q311*'03_가중치민감도'!$C$10+'01_원자료'!R311*'03_가중치민감도'!$D$10</f>
        <v>0.64050142196704019</v>
      </c>
      <c r="K314" s="31">
        <f t="shared" si="24"/>
        <v>283</v>
      </c>
      <c r="L314" s="31">
        <f t="shared" si="25"/>
        <v>267</v>
      </c>
      <c r="M314" s="31">
        <f t="shared" si="26"/>
        <v>284</v>
      </c>
      <c r="N314" s="31">
        <f t="shared" si="27"/>
        <v>269</v>
      </c>
      <c r="O314" s="31">
        <f t="shared" si="28"/>
        <v>272</v>
      </c>
      <c r="P314" s="31">
        <f t="shared" si="29"/>
        <v>288</v>
      </c>
    </row>
    <row r="315" spans="1:16">
      <c r="A315" s="2" t="str">
        <f>'01_원자료'!A312</f>
        <v>PAT-21</v>
      </c>
      <c r="B315" s="2" t="str">
        <f>'01_원자료'!B312</f>
        <v>mistral</v>
      </c>
      <c r="C315" s="2" t="str">
        <f>'01_원자료'!C312</f>
        <v>ministral</v>
      </c>
      <c r="E315" s="17">
        <f>'01_원자료'!P312*'03_가중치민감도'!$B$5+'01_원자료'!Q312*'03_가중치민감도'!$C$5+'01_원자료'!R312*'03_가중치민감도'!$D$5</f>
        <v>0.66503799145793008</v>
      </c>
      <c r="F315" s="17">
        <f>'01_원자료'!P312*'03_가중치민감도'!$B$6+'01_원자료'!Q312*'03_가중치민감도'!$C$6+'01_원자료'!R312*'03_가중치민감도'!$D$6</f>
        <v>0.574873044327045</v>
      </c>
      <c r="G315" s="17">
        <f>'01_원자료'!P312*'03_가중치민감도'!$B$7+'01_원자료'!Q312*'03_가중치민감도'!$C$7+'01_원자료'!R312*'03_가중치민감도'!$D$7</f>
        <v>0.66605274198217079</v>
      </c>
      <c r="H315" s="17">
        <f>'01_원자료'!P312*'03_가중치민감도'!$B$8+'01_원자료'!Q312*'03_가중치민감도'!$C$8+'01_원자료'!R312*'03_가중치민감도'!$D$8</f>
        <v>0.6599642388367265</v>
      </c>
      <c r="I315" s="17">
        <f>'01_원자료'!P312*'03_가중치민감도'!$B$9+'01_원자료'!Q312*'03_가중치민감도'!$C$9+'01_원자료'!R312*'03_가중치민감도'!$D$9</f>
        <v>0.60458977652925916</v>
      </c>
      <c r="J315" s="17">
        <f>'01_원자료'!P312*'03_가중치민감도'!$B$10+'01_원자료'!Q312*'03_가중치민감도'!$C$10+'01_원자료'!R312*'03_가중치민감도'!$D$10</f>
        <v>0.75317343754033383</v>
      </c>
      <c r="K315" s="31">
        <f t="shared" si="24"/>
        <v>693</v>
      </c>
      <c r="L315" s="31">
        <f t="shared" si="25"/>
        <v>720</v>
      </c>
      <c r="M315" s="31">
        <f t="shared" si="26"/>
        <v>699</v>
      </c>
      <c r="N315" s="31">
        <f t="shared" si="27"/>
        <v>667</v>
      </c>
      <c r="O315" s="31">
        <f t="shared" si="28"/>
        <v>708</v>
      </c>
      <c r="P315" s="31">
        <f t="shared" si="29"/>
        <v>670</v>
      </c>
    </row>
    <row r="316" spans="1:16">
      <c r="A316" s="2" t="str">
        <f>'01_원자료'!A313</f>
        <v>PAT-21</v>
      </c>
      <c r="B316" s="2" t="str">
        <f>'01_원자료'!B313</f>
        <v>mistral</v>
      </c>
      <c r="C316" s="2" t="str">
        <f>'01_원자료'!C313</f>
        <v>qwen</v>
      </c>
      <c r="E316" s="17">
        <f>'01_원자료'!P313*'03_가중치민감도'!$B$5+'01_원자료'!Q313*'03_가중치민감도'!$C$5+'01_원자료'!R313*'03_가중치민감도'!$D$5</f>
        <v>0.64609502715451361</v>
      </c>
      <c r="F316" s="17">
        <f>'01_원자료'!P313*'03_가중치민감도'!$B$6+'01_원자료'!Q313*'03_가중치민감도'!$C$6+'01_원자료'!R313*'03_가중치민감도'!$D$6</f>
        <v>0.56285866742676482</v>
      </c>
      <c r="G316" s="17">
        <f>'01_원자료'!P313*'03_가중치민감도'!$B$7+'01_원자료'!Q313*'03_가중치민감도'!$C$7+'01_원자료'!R313*'03_가중치민감도'!$D$7</f>
        <v>0.64761172500278741</v>
      </c>
      <c r="H316" s="17">
        <f>'01_원자료'!P313*'03_가중치민감도'!$B$8+'01_원자료'!Q313*'03_가중치민감도'!$C$8+'01_원자료'!R313*'03_가중치민감도'!$D$8</f>
        <v>0.63851153791314452</v>
      </c>
      <c r="I316" s="17">
        <f>'01_원자료'!P313*'03_가중치민감도'!$B$9+'01_원자료'!Q313*'03_가중치민감도'!$C$9+'01_원자료'!R313*'03_가중치민감도'!$D$9</f>
        <v>0.59009855471992245</v>
      </c>
      <c r="J316" s="17">
        <f>'01_원자료'!P313*'03_가중치민감도'!$B$10+'01_원자료'!Q313*'03_가중치민감도'!$C$10+'01_원자료'!R313*'03_가중치민감도'!$D$10</f>
        <v>0.72629799118571481</v>
      </c>
      <c r="K316" s="31">
        <f t="shared" si="24"/>
        <v>600</v>
      </c>
      <c r="L316" s="31">
        <f t="shared" si="25"/>
        <v>650</v>
      </c>
      <c r="M316" s="31">
        <f t="shared" si="26"/>
        <v>604</v>
      </c>
      <c r="N316" s="31">
        <f t="shared" si="27"/>
        <v>602</v>
      </c>
      <c r="O316" s="31">
        <f t="shared" si="28"/>
        <v>631</v>
      </c>
      <c r="P316" s="31">
        <f t="shared" si="29"/>
        <v>570</v>
      </c>
    </row>
    <row r="317" spans="1:16">
      <c r="A317" s="2" t="str">
        <f>'01_원자료'!A314</f>
        <v>PAT-21</v>
      </c>
      <c r="B317" s="2" t="str">
        <f>'01_원자료'!B314</f>
        <v>qwen3_6</v>
      </c>
      <c r="C317" s="2" t="str">
        <f>'01_원자료'!C314</f>
        <v>gemma</v>
      </c>
      <c r="E317" s="17">
        <f>'01_원자료'!P314*'03_가중치민감도'!$B$5+'01_원자료'!Q314*'03_가중치민감도'!$C$5+'01_원자료'!R314*'03_가중치민감도'!$D$5</f>
        <v>0.72278938823412431</v>
      </c>
      <c r="F317" s="17">
        <f>'01_원자료'!P314*'03_가중치민감도'!$B$6+'01_원자료'!Q314*'03_가중치민감도'!$C$6+'01_원자료'!R314*'03_가중치민감도'!$D$6</f>
        <v>0.61273980866162692</v>
      </c>
      <c r="G317" s="17">
        <f>'01_원자료'!P314*'03_가중치민감도'!$B$7+'01_원자료'!Q314*'03_가중치민감도'!$C$7+'01_원자료'!R314*'03_가중치민감도'!$D$7</f>
        <v>0.71377017103074736</v>
      </c>
      <c r="H317" s="17">
        <f>'01_원자료'!P314*'03_가중치민감도'!$B$8+'01_원자료'!Q314*'03_가중치민감도'!$C$8+'01_원자료'!R314*'03_가중치민감도'!$D$8</f>
        <v>0.76788547425100873</v>
      </c>
      <c r="I317" s="17">
        <f>'01_원자료'!P314*'03_가중치민감도'!$B$9+'01_원자료'!Q314*'03_가중치민감도'!$C$9+'01_원자료'!R314*'03_가중치민감도'!$D$9</f>
        <v>0.6524294075869177</v>
      </c>
      <c r="J317" s="17">
        <f>'01_원자료'!P314*'03_가중치민감도'!$B$10+'01_원자료'!Q314*'03_가중치민감도'!$C$10+'01_원자료'!R314*'03_가중치민감도'!$D$10</f>
        <v>0.85087740221337549</v>
      </c>
      <c r="K317" s="31">
        <f t="shared" si="24"/>
        <v>888</v>
      </c>
      <c r="L317" s="31">
        <f t="shared" si="25"/>
        <v>866</v>
      </c>
      <c r="M317" s="31">
        <f t="shared" si="26"/>
        <v>883</v>
      </c>
      <c r="N317" s="31">
        <f t="shared" si="27"/>
        <v>891</v>
      </c>
      <c r="O317" s="31">
        <f t="shared" si="28"/>
        <v>878</v>
      </c>
      <c r="P317" s="31">
        <f t="shared" si="29"/>
        <v>892</v>
      </c>
    </row>
    <row r="318" spans="1:16">
      <c r="A318" s="2" t="str">
        <f>'01_원자료'!A315</f>
        <v>PAT-21</v>
      </c>
      <c r="B318" s="2" t="str">
        <f>'01_원자료'!B315</f>
        <v>qwen3_6</v>
      </c>
      <c r="C318" s="2" t="str">
        <f>'01_원자료'!C315</f>
        <v>ministral</v>
      </c>
      <c r="E318" s="17">
        <f>'01_원자료'!P315*'03_가중치민감도'!$B$5+'01_원자료'!Q315*'03_가중치민감도'!$C$5+'01_원자료'!R315*'03_가중치민감도'!$D$5</f>
        <v>0.60269119767634705</v>
      </c>
      <c r="F318" s="17">
        <f>'01_원자료'!P315*'03_가중치민감도'!$B$6+'01_원자료'!Q315*'03_가중치민감도'!$C$6+'01_원자료'!R315*'03_가중치민감도'!$D$6</f>
        <v>0.50489338659134042</v>
      </c>
      <c r="G318" s="17">
        <f>'01_원자료'!P315*'03_가중치민감도'!$B$7+'01_원자료'!Q315*'03_가중치민감도'!$C$7+'01_원자료'!R315*'03_가중치민감도'!$D$7</f>
        <v>0.60915996725448007</v>
      </c>
      <c r="H318" s="17">
        <f>'01_원자료'!P315*'03_가중치민감도'!$B$8+'01_원자료'!Q315*'03_가중치민감도'!$C$8+'01_원자료'!R315*'03_가중치민감도'!$D$8</f>
        <v>0.57034734978568169</v>
      </c>
      <c r="I318" s="17">
        <f>'01_원자료'!P315*'03_가중치민감도'!$B$9+'01_원자료'!Q315*'03_가중치민감도'!$C$9+'01_원자료'!R315*'03_가중치민감도'!$D$9</f>
        <v>0.53533640042696429</v>
      </c>
      <c r="J318" s="17">
        <f>'01_원자료'!P315*'03_가중치민감도'!$B$10+'01_원자료'!Q315*'03_가중치민감도'!$C$10+'01_원자료'!R315*'03_가중치민감도'!$D$10</f>
        <v>0.68755146960508751</v>
      </c>
      <c r="K318" s="31">
        <f t="shared" si="24"/>
        <v>401</v>
      </c>
      <c r="L318" s="31">
        <f t="shared" si="25"/>
        <v>388</v>
      </c>
      <c r="M318" s="31">
        <f t="shared" si="26"/>
        <v>411</v>
      </c>
      <c r="N318" s="31">
        <f t="shared" si="27"/>
        <v>401</v>
      </c>
      <c r="O318" s="31">
        <f t="shared" si="28"/>
        <v>391</v>
      </c>
      <c r="P318" s="31">
        <f t="shared" si="29"/>
        <v>419</v>
      </c>
    </row>
    <row r="319" spans="1:16">
      <c r="A319" s="2" t="str">
        <f>'01_원자료'!A316</f>
        <v>PAT-21</v>
      </c>
      <c r="B319" s="2" t="str">
        <f>'01_원자료'!B316</f>
        <v>qwen3_6</v>
      </c>
      <c r="C319" s="2" t="str">
        <f>'01_원자료'!C316</f>
        <v>qwen</v>
      </c>
      <c r="E319" s="17">
        <f>'01_원자료'!P316*'03_가중치민감도'!$B$5+'01_원자료'!Q316*'03_가중치민감도'!$C$5+'01_원자료'!R316*'03_가중치민감도'!$D$5</f>
        <v>0.64787682233044874</v>
      </c>
      <c r="F319" s="17">
        <f>'01_원자료'!P316*'03_가중치민감도'!$B$6+'01_원자료'!Q316*'03_가중치민감도'!$C$6+'01_원자료'!R316*'03_가중치민감도'!$D$6</f>
        <v>0.55662279597555653</v>
      </c>
      <c r="G319" s="17">
        <f>'01_원자료'!P316*'03_가중치민감도'!$B$7+'01_원자료'!Q316*'03_가중치민감도'!$C$7+'01_원자료'!R316*'03_가중치민감도'!$D$7</f>
        <v>0.65110350292887775</v>
      </c>
      <c r="H319" s="17">
        <f>'01_원자료'!P316*'03_가중치민감도'!$B$8+'01_원자료'!Q316*'03_가중치민감도'!$C$8+'01_원자료'!R316*'03_가중치민감도'!$D$8</f>
        <v>0.63174341933830336</v>
      </c>
      <c r="I319" s="17">
        <f>'01_원자료'!P316*'03_가중치민감도'!$B$9+'01_원자료'!Q316*'03_가중치민감도'!$C$9+'01_원자료'!R316*'03_가중치민감도'!$D$9</f>
        <v>0.5859652445610436</v>
      </c>
      <c r="J319" s="17">
        <f>'01_원자료'!P316*'03_가중치민감도'!$B$10+'01_원자료'!Q316*'03_가중치민감도'!$C$10+'01_원자료'!R316*'03_가중치민감도'!$D$10</f>
        <v>0.73267748748848271</v>
      </c>
      <c r="K319" s="31">
        <f t="shared" si="24"/>
        <v>609</v>
      </c>
      <c r="L319" s="31">
        <f t="shared" si="25"/>
        <v>626</v>
      </c>
      <c r="M319" s="31">
        <f t="shared" si="26"/>
        <v>622</v>
      </c>
      <c r="N319" s="31">
        <f t="shared" si="27"/>
        <v>581</v>
      </c>
      <c r="O319" s="31">
        <f t="shared" si="28"/>
        <v>613</v>
      </c>
      <c r="P319" s="31">
        <f t="shared" si="29"/>
        <v>594</v>
      </c>
    </row>
    <row r="320" spans="1:16">
      <c r="A320" s="2" t="str">
        <f>'01_원자료'!A317</f>
        <v>PAT-22</v>
      </c>
      <c r="B320" s="2" t="str">
        <f>'01_원자료'!B317</f>
        <v>chatgpt</v>
      </c>
      <c r="C320" s="2" t="str">
        <f>'01_원자료'!C317</f>
        <v>gemma</v>
      </c>
      <c r="E320" s="17">
        <f>'01_원자료'!P317*'03_가중치민감도'!$B$5+'01_원자료'!Q317*'03_가중치민감도'!$C$5+'01_원자료'!R317*'03_가중치민감도'!$D$5</f>
        <v>0.54058751867476418</v>
      </c>
      <c r="F320" s="17">
        <f>'01_원자료'!P317*'03_가중치민감도'!$B$6+'01_원자료'!Q317*'03_가중치민감도'!$C$6+'01_원자료'!R317*'03_가중치민감도'!$D$6</f>
        <v>0.44564820795169119</v>
      </c>
      <c r="G320" s="17">
        <f>'01_원자료'!P317*'03_가중치민감도'!$B$7+'01_원자료'!Q317*'03_가중치민감도'!$C$7+'01_원자료'!R317*'03_가중치민감도'!$D$7</f>
        <v>0.54708503210109116</v>
      </c>
      <c r="H320" s="17">
        <f>'01_원자료'!P317*'03_가중치민감도'!$B$8+'01_원자료'!Q317*'03_가중치민감도'!$C$8+'01_원자료'!R317*'03_가중치민감도'!$D$8</f>
        <v>0.50809995154312981</v>
      </c>
      <c r="I320" s="17">
        <f>'01_원자료'!P317*'03_가중치민감도'!$B$9+'01_원자료'!Q317*'03_가중치민감도'!$C$9+'01_원자료'!R317*'03_가중치민감도'!$D$9</f>
        <v>0.47512880705060606</v>
      </c>
      <c r="J320" s="17">
        <f>'01_원자료'!P317*'03_가중치민감도'!$B$10+'01_원자료'!Q317*'03_가중치민감도'!$C$10+'01_원자료'!R317*'03_가중치민감도'!$D$10</f>
        <v>0.62253180254518359</v>
      </c>
      <c r="K320" s="31">
        <f t="shared" si="24"/>
        <v>173</v>
      </c>
      <c r="L320" s="31">
        <f t="shared" si="25"/>
        <v>118</v>
      </c>
      <c r="M320" s="31">
        <f t="shared" si="26"/>
        <v>141</v>
      </c>
      <c r="N320" s="31">
        <f t="shared" si="27"/>
        <v>241</v>
      </c>
      <c r="O320" s="31">
        <f t="shared" si="28"/>
        <v>153</v>
      </c>
      <c r="P320" s="31">
        <f t="shared" si="29"/>
        <v>249</v>
      </c>
    </row>
    <row r="321" spans="1:16">
      <c r="A321" s="2" t="str">
        <f>'01_원자료'!A318</f>
        <v>PAT-22</v>
      </c>
      <c r="B321" s="2" t="str">
        <f>'01_원자료'!B318</f>
        <v>chatgpt</v>
      </c>
      <c r="C321" s="2" t="str">
        <f>'01_원자료'!C318</f>
        <v>ministral</v>
      </c>
      <c r="E321" s="17">
        <f>'01_원자료'!P318*'03_가중치민감도'!$B$5+'01_원자료'!Q318*'03_가중치민감도'!$C$5+'01_원자료'!R318*'03_가중치민감도'!$D$5</f>
        <v>0.54056956538752343</v>
      </c>
      <c r="F321" s="17">
        <f>'01_원자료'!P318*'03_가중치민감도'!$B$6+'01_원자료'!Q318*'03_가중치민감도'!$C$6+'01_원자료'!R318*'03_가중치민감도'!$D$6</f>
        <v>0.45035544328369637</v>
      </c>
      <c r="G321" s="17">
        <f>'01_원자료'!P318*'03_가중치민감도'!$B$7+'01_원자료'!Q318*'03_가중치민감도'!$C$7+'01_원자료'!R318*'03_가중치민감도'!$D$7</f>
        <v>0.55055245509605177</v>
      </c>
      <c r="H321" s="17">
        <f>'01_원자료'!P318*'03_가중치민감도'!$B$8+'01_원자료'!Q318*'03_가중치민감도'!$C$8+'01_원자료'!R318*'03_가중치민감도'!$D$8</f>
        <v>0.490655116844882</v>
      </c>
      <c r="I321" s="17">
        <f>'01_원자료'!P318*'03_가중치민감도'!$B$9+'01_원자료'!Q318*'03_가중치민감도'!$C$9+'01_원자료'!R318*'03_가중치민감도'!$D$9</f>
        <v>0.4770991874154622</v>
      </c>
      <c r="J321" s="17">
        <f>'01_원자료'!P318*'03_가중치민감도'!$B$10+'01_원자료'!Q318*'03_가중치민감도'!$C$10+'01_원자료'!R318*'03_가중치민감도'!$D$10</f>
        <v>0.61081790807429392</v>
      </c>
      <c r="K321" s="31">
        <f t="shared" si="24"/>
        <v>171</v>
      </c>
      <c r="L321" s="31">
        <f t="shared" si="25"/>
        <v>143</v>
      </c>
      <c r="M321" s="31">
        <f t="shared" si="26"/>
        <v>162</v>
      </c>
      <c r="N321" s="31">
        <f t="shared" si="27"/>
        <v>202</v>
      </c>
      <c r="O321" s="31">
        <f t="shared" si="28"/>
        <v>158</v>
      </c>
      <c r="P321" s="31">
        <f t="shared" si="29"/>
        <v>215</v>
      </c>
    </row>
    <row r="322" spans="1:16">
      <c r="A322" s="2" t="str">
        <f>'01_원자료'!A319</f>
        <v>PAT-22</v>
      </c>
      <c r="B322" s="2" t="str">
        <f>'01_원자료'!B319</f>
        <v>chatgpt</v>
      </c>
      <c r="C322" s="2" t="str">
        <f>'01_원자료'!C319</f>
        <v>qwen</v>
      </c>
      <c r="E322" s="17">
        <f>'01_원자료'!P319*'03_가중치민감도'!$B$5+'01_원자료'!Q319*'03_가중치민감도'!$C$5+'01_원자료'!R319*'03_가중치민감도'!$D$5</f>
        <v>0.55184398139397484</v>
      </c>
      <c r="F322" s="17">
        <f>'01_원자료'!P319*'03_가중치민감도'!$B$6+'01_원자료'!Q319*'03_가중치민감도'!$C$6+'01_원자료'!R319*'03_가중치민감도'!$D$6</f>
        <v>0.47272607149228096</v>
      </c>
      <c r="G322" s="17">
        <f>'01_원자료'!P319*'03_가중치민감도'!$B$7+'01_원자료'!Q319*'03_가중치민감도'!$C$7+'01_원자료'!R319*'03_가중치민감도'!$D$7</f>
        <v>0.56563386944244698</v>
      </c>
      <c r="H322" s="17">
        <f>'01_원자료'!P319*'03_가중치민감도'!$B$8+'01_원자료'!Q319*'03_가중치민감도'!$C$8+'01_원자료'!R319*'03_가중치민감도'!$D$8</f>
        <v>0.48289454115161456</v>
      </c>
      <c r="I322" s="17">
        <f>'01_원자료'!P319*'03_가중치민감도'!$B$9+'01_원자료'!Q319*'03_가중치민감도'!$C$9+'01_원자료'!R319*'03_가중치민감도'!$D$9</f>
        <v>0.49450207877668773</v>
      </c>
      <c r="J322" s="17">
        <f>'01_원자료'!P319*'03_가중치민감도'!$B$10+'01_원자료'!Q319*'03_가중치민감도'!$C$10+'01_원자료'!R319*'03_가중치민감도'!$D$10</f>
        <v>0.60338211519872464</v>
      </c>
      <c r="K322" s="31">
        <f t="shared" si="24"/>
        <v>212</v>
      </c>
      <c r="L322" s="31">
        <f t="shared" si="25"/>
        <v>229</v>
      </c>
      <c r="M322" s="31">
        <f t="shared" si="26"/>
        <v>225</v>
      </c>
      <c r="N322" s="31">
        <f t="shared" si="27"/>
        <v>182</v>
      </c>
      <c r="O322" s="31">
        <f t="shared" si="28"/>
        <v>220</v>
      </c>
      <c r="P322" s="31">
        <f t="shared" si="29"/>
        <v>196</v>
      </c>
    </row>
    <row r="323" spans="1:16">
      <c r="A323" s="2" t="str">
        <f>'01_원자료'!A320</f>
        <v>PAT-22</v>
      </c>
      <c r="B323" s="2" t="str">
        <f>'01_원자료'!B320</f>
        <v>claude</v>
      </c>
      <c r="C323" s="2" t="str">
        <f>'01_원자료'!C320</f>
        <v>gemma</v>
      </c>
      <c r="E323" s="17">
        <f>'01_원자료'!P320*'03_가중치민감도'!$B$5+'01_원자료'!Q320*'03_가중치민감도'!$C$5+'01_원자료'!R320*'03_가중치민감도'!$D$5</f>
        <v>0.64044549321493283</v>
      </c>
      <c r="F323" s="17">
        <f>'01_원자료'!P320*'03_가중치민감도'!$B$6+'01_원자료'!Q320*'03_가중치민감도'!$C$6+'01_원자료'!R320*'03_가중치민감도'!$D$6</f>
        <v>0.53635509891479805</v>
      </c>
      <c r="G323" s="17">
        <f>'01_원자료'!P320*'03_가중치민감도'!$B$7+'01_원자료'!Q320*'03_가중치민감도'!$C$7+'01_원자료'!R320*'03_가중치민감도'!$D$7</f>
        <v>0.63610693055320655</v>
      </c>
      <c r="H323" s="17">
        <f>'01_원자료'!P320*'03_가중치민감도'!$B$8+'01_원자료'!Q320*'03_가중치민감도'!$C$8+'01_원자료'!R320*'03_가중치민감도'!$D$8</f>
        <v>0.66213830652356398</v>
      </c>
      <c r="I323" s="17">
        <f>'01_원자료'!P320*'03_가중치민감도'!$B$9+'01_원자료'!Q320*'03_가중치민감도'!$C$9+'01_원자료'!R320*'03_가중치민감도'!$D$9</f>
        <v>0.57249808456875118</v>
      </c>
      <c r="J323" s="17">
        <f>'01_원자료'!P320*'03_가중치민감도'!$B$10+'01_원자료'!Q320*'03_가중치민감도'!$C$10+'01_원자료'!R320*'03_가중치민감도'!$D$10</f>
        <v>0.75321301283852005</v>
      </c>
      <c r="K323" s="31">
        <f t="shared" si="24"/>
        <v>578</v>
      </c>
      <c r="L323" s="31">
        <f t="shared" si="25"/>
        <v>529</v>
      </c>
      <c r="M323" s="31">
        <f t="shared" si="26"/>
        <v>544</v>
      </c>
      <c r="N323" s="31">
        <f t="shared" si="27"/>
        <v>675</v>
      </c>
      <c r="O323" s="31">
        <f t="shared" si="28"/>
        <v>551</v>
      </c>
      <c r="P323" s="31">
        <f t="shared" si="29"/>
        <v>671</v>
      </c>
    </row>
    <row r="324" spans="1:16">
      <c r="A324" s="2" t="str">
        <f>'01_원자료'!A321</f>
        <v>PAT-22</v>
      </c>
      <c r="B324" s="2" t="str">
        <f>'01_원자료'!B321</f>
        <v>claude</v>
      </c>
      <c r="C324" s="2" t="str">
        <f>'01_원자료'!C321</f>
        <v>ministral</v>
      </c>
      <c r="E324" s="17">
        <f>'01_원자료'!P321*'03_가중치민감도'!$B$5+'01_원자료'!Q321*'03_가중치민감도'!$C$5+'01_원자료'!R321*'03_가중치민감도'!$D$5</f>
        <v>0.60850127770090678</v>
      </c>
      <c r="F324" s="17">
        <f>'01_원자료'!P321*'03_가중치민감도'!$B$6+'01_원자료'!Q321*'03_가중치민감도'!$C$6+'01_원자료'!R321*'03_가중치민감도'!$D$6</f>
        <v>0.50673227653192998</v>
      </c>
      <c r="G324" s="17">
        <f>'01_원자료'!P321*'03_가중치민감도'!$B$7+'01_원자료'!Q321*'03_가중치민감도'!$C$7+'01_원자료'!R321*'03_가중치민감도'!$D$7</f>
        <v>0.61039062459260174</v>
      </c>
      <c r="H324" s="17">
        <f>'01_원자료'!P321*'03_가중치민감도'!$B$8+'01_원자료'!Q321*'03_가중치민감도'!$C$8+'01_원자료'!R321*'03_가중치민감도'!$D$8</f>
        <v>0.59905454324243212</v>
      </c>
      <c r="I324" s="17">
        <f>'01_원자료'!P321*'03_가중치민감도'!$B$9+'01_원자료'!Q321*'03_가중치민감도'!$C$9+'01_원자료'!R321*'03_가중치민감도'!$D$9</f>
        <v>0.54002549462435667</v>
      </c>
      <c r="J324" s="17">
        <f>'01_원자료'!P321*'03_가중치민감도'!$B$10+'01_원자료'!Q321*'03_가중치민감도'!$C$10+'01_원자료'!R321*'03_가중치민감도'!$D$10</f>
        <v>0.7064915850864939</v>
      </c>
      <c r="K324" s="31">
        <f t="shared" si="24"/>
        <v>427</v>
      </c>
      <c r="L324" s="31">
        <f t="shared" si="25"/>
        <v>400</v>
      </c>
      <c r="M324" s="31">
        <f t="shared" si="26"/>
        <v>414</v>
      </c>
      <c r="N324" s="31">
        <f t="shared" si="27"/>
        <v>485</v>
      </c>
      <c r="O324" s="31">
        <f t="shared" si="28"/>
        <v>414</v>
      </c>
      <c r="P324" s="31">
        <f t="shared" si="29"/>
        <v>485</v>
      </c>
    </row>
    <row r="325" spans="1:16">
      <c r="A325" s="2" t="str">
        <f>'01_원자료'!A322</f>
        <v>PAT-22</v>
      </c>
      <c r="B325" s="2" t="str">
        <f>'01_원자료'!B322</f>
        <v>claude</v>
      </c>
      <c r="C325" s="2" t="str">
        <f>'01_원자료'!C322</f>
        <v>qwen</v>
      </c>
      <c r="E325" s="17">
        <f>'01_원자료'!P322*'03_가중치민감도'!$B$5+'01_원자료'!Q322*'03_가중치민감도'!$C$5+'01_원자료'!R322*'03_가중치민감도'!$D$5</f>
        <v>0.63171322126350293</v>
      </c>
      <c r="F325" s="17">
        <f>'01_원자료'!P322*'03_가중치민감도'!$B$6+'01_원자료'!Q322*'03_가중치민감도'!$C$6+'01_원자료'!R322*'03_가중치민감도'!$D$6</f>
        <v>0.53651941031117378</v>
      </c>
      <c r="G325" s="17">
        <f>'01_원자료'!P322*'03_가중치민감도'!$B$7+'01_원자료'!Q322*'03_가중치민감도'!$C$7+'01_원자료'!R322*'03_가중치민감도'!$D$7</f>
        <v>0.63446275115226536</v>
      </c>
      <c r="H325" s="17">
        <f>'01_원자료'!P322*'03_가중치민감도'!$B$8+'01_원자료'!Q322*'03_가중치민감도'!$C$8+'01_원자료'!R322*'03_가중치민감도'!$D$8</f>
        <v>0.6179655718196907</v>
      </c>
      <c r="I325" s="17">
        <f>'01_원자료'!P322*'03_가중치민감도'!$B$9+'01_원자료'!Q322*'03_가중치민감도'!$C$9+'01_원자료'!R322*'03_가중치민감도'!$D$9</f>
        <v>0.56733417066569536</v>
      </c>
      <c r="J325" s="17">
        <f>'01_원자료'!P322*'03_가중치민감도'!$B$10+'01_원자료'!Q322*'03_가중치민감도'!$C$10+'01_원자료'!R322*'03_가중치민감도'!$D$10</f>
        <v>0.72140797243830723</v>
      </c>
      <c r="K325" s="31">
        <f t="shared" ref="K325:K388" si="30">COUNTIF($E$5:$E$979,"&lt;"&amp;E325)+(COUNTIF($E$5:$E$979,"="&amp;E325)+1)/2</f>
        <v>536</v>
      </c>
      <c r="L325" s="31">
        <f t="shared" ref="L325:L388" si="31">COUNTIF($F$5:$F$979,"&lt;"&amp;F325)+(COUNTIF($F$5:$F$979,"="&amp;F325)+1)/2</f>
        <v>531</v>
      </c>
      <c r="M325" s="31">
        <f t="shared" ref="M325:M388" si="32">COUNTIF($G$5:$G$979,"&lt;"&amp;G325)+(COUNTIF($G$5:$G$979,"="&amp;G325)+1)/2</f>
        <v>535</v>
      </c>
      <c r="N325" s="31">
        <f t="shared" ref="N325:N388" si="33">COUNTIF($H$5:$H$979,"&lt;"&amp;H325)+(COUNTIF($H$5:$H$979,"="&amp;H325)+1)/2</f>
        <v>544</v>
      </c>
      <c r="O325" s="31">
        <f t="shared" ref="O325:O388" si="34">COUNTIF($I$5:$I$979,"&lt;"&amp;I325)+(COUNTIF($I$5:$I$979,"="&amp;I325)+1)/2</f>
        <v>535</v>
      </c>
      <c r="P325" s="31">
        <f t="shared" ref="P325:P388" si="35">COUNTIF($J$5:$J$979,"&lt;"&amp;J325)+(COUNTIF($J$5:$J$979,"="&amp;J325)+1)/2</f>
        <v>555</v>
      </c>
    </row>
    <row r="326" spans="1:16">
      <c r="A326" s="2" t="str">
        <f>'01_원자료'!A323</f>
        <v>PAT-22</v>
      </c>
      <c r="B326" s="2" t="str">
        <f>'01_원자료'!B323</f>
        <v>gemini</v>
      </c>
      <c r="C326" s="2" t="str">
        <f>'01_원자료'!C323</f>
        <v>gemma</v>
      </c>
      <c r="E326" s="17">
        <f>'01_원자료'!P323*'03_가중치민감도'!$B$5+'01_원자료'!Q323*'03_가중치민감도'!$C$5+'01_원자료'!R323*'03_가중치민감도'!$D$5</f>
        <v>0.67672118371795231</v>
      </c>
      <c r="F326" s="17">
        <f>'01_원자료'!P323*'03_가중치민감도'!$B$6+'01_원자료'!Q323*'03_가중치민감도'!$C$6+'01_원자료'!R323*'03_가중치민감도'!$D$6</f>
        <v>0.56128735506948457</v>
      </c>
      <c r="G326" s="17">
        <f>'01_원자료'!P323*'03_가중치민감도'!$B$7+'01_원자료'!Q323*'03_가중치민감도'!$C$7+'01_원자료'!R323*'03_가중치민감도'!$D$7</f>
        <v>0.67480137276813967</v>
      </c>
      <c r="H326" s="17">
        <f>'01_원자료'!P323*'03_가중치민감도'!$B$8+'01_원자료'!Q323*'03_가중치민감도'!$C$8+'01_원자료'!R323*'03_가중치민감도'!$D$8</f>
        <v>0.68632023846701573</v>
      </c>
      <c r="I326" s="17">
        <f>'01_원자료'!P323*'03_가중치민감도'!$B$9+'01_원자료'!Q323*'03_가중치민감도'!$C$9+'01_원자료'!R323*'03_가중치민감도'!$D$9</f>
        <v>0.60040523493557751</v>
      </c>
      <c r="J326" s="17">
        <f>'01_원자료'!P323*'03_가중치민감도'!$B$10+'01_원자료'!Q323*'03_가중치민감도'!$C$10+'01_원자료'!R323*'03_가중치민감도'!$D$10</f>
        <v>0.79599463426604544</v>
      </c>
      <c r="K326" s="31">
        <f t="shared" si="30"/>
        <v>744</v>
      </c>
      <c r="L326" s="31">
        <f t="shared" si="31"/>
        <v>646</v>
      </c>
      <c r="M326" s="31">
        <f t="shared" si="32"/>
        <v>740</v>
      </c>
      <c r="N326" s="31">
        <f t="shared" si="33"/>
        <v>731</v>
      </c>
      <c r="O326" s="31">
        <f t="shared" si="34"/>
        <v>689</v>
      </c>
      <c r="P326" s="31">
        <f t="shared" si="35"/>
        <v>799</v>
      </c>
    </row>
    <row r="327" spans="1:16">
      <c r="A327" s="2" t="str">
        <f>'01_원자료'!A324</f>
        <v>PAT-22</v>
      </c>
      <c r="B327" s="2" t="str">
        <f>'01_원자료'!B324</f>
        <v>gemini</v>
      </c>
      <c r="C327" s="2" t="str">
        <f>'01_원자료'!C324</f>
        <v>ministral</v>
      </c>
      <c r="E327" s="17">
        <f>'01_원자료'!P324*'03_가중치민감도'!$B$5+'01_원자료'!Q324*'03_가중치민감도'!$C$5+'01_원자료'!R324*'03_가중치민감도'!$D$5</f>
        <v>0.65211086080615832</v>
      </c>
      <c r="F327" s="17">
        <f>'01_원자료'!P324*'03_가중치민감도'!$B$6+'01_원자료'!Q324*'03_가중치민감도'!$C$6+'01_원자료'!R324*'03_가중치민감도'!$D$6</f>
        <v>0.53785144435715437</v>
      </c>
      <c r="G327" s="17">
        <f>'01_원자료'!P324*'03_가중치민감도'!$B$7+'01_원자료'!Q324*'03_가중치민감도'!$C$7+'01_원자료'!R324*'03_가중치민감도'!$D$7</f>
        <v>0.65780306383400644</v>
      </c>
      <c r="H327" s="17">
        <f>'01_원자료'!P324*'03_가중치민감도'!$B$8+'01_원자료'!Q324*'03_가중치민감도'!$C$8+'01_원자료'!R324*'03_가중치민감도'!$D$8</f>
        <v>0.62364984566691728</v>
      </c>
      <c r="I327" s="17">
        <f>'01_원자료'!P324*'03_가중치민감도'!$B$9+'01_원자료'!Q324*'03_가중치민감도'!$C$9+'01_원자료'!R324*'03_가중치민감도'!$D$9</f>
        <v>0.57404051549753898</v>
      </c>
      <c r="J327" s="17">
        <f>'01_원자료'!P324*'03_가중치민감도'!$B$10+'01_원자료'!Q324*'03_가중치민감도'!$C$10+'01_원자료'!R324*'03_가중치민감도'!$D$10</f>
        <v>0.7549858711994657</v>
      </c>
      <c r="K327" s="31">
        <f t="shared" si="30"/>
        <v>627</v>
      </c>
      <c r="L327" s="31">
        <f t="shared" si="31"/>
        <v>536</v>
      </c>
      <c r="M327" s="31">
        <f t="shared" si="32"/>
        <v>654</v>
      </c>
      <c r="N327" s="31">
        <f t="shared" si="33"/>
        <v>558</v>
      </c>
      <c r="O327" s="31">
        <f t="shared" si="34"/>
        <v>558</v>
      </c>
      <c r="P327" s="31">
        <f t="shared" si="35"/>
        <v>678</v>
      </c>
    </row>
    <row r="328" spans="1:16">
      <c r="A328" s="2" t="str">
        <f>'01_원자료'!A325</f>
        <v>PAT-22</v>
      </c>
      <c r="B328" s="2" t="str">
        <f>'01_원자료'!B325</f>
        <v>gemini</v>
      </c>
      <c r="C328" s="2" t="str">
        <f>'01_원자료'!C325</f>
        <v>qwen</v>
      </c>
      <c r="E328" s="17">
        <f>'01_원자료'!P325*'03_가중치민감도'!$B$5+'01_원자료'!Q325*'03_가중치민감도'!$C$5+'01_원자료'!R325*'03_가중치민감도'!$D$5</f>
        <v>0.67047187621205151</v>
      </c>
      <c r="F328" s="17">
        <f>'01_원자료'!P325*'03_가중치민감도'!$B$6+'01_원자료'!Q325*'03_가중치민감도'!$C$6+'01_원자료'!R325*'03_가중치민감도'!$D$6</f>
        <v>0.56695053847676624</v>
      </c>
      <c r="G328" s="17">
        <f>'01_원자료'!P325*'03_가중치민감도'!$B$7+'01_원자료'!Q325*'03_가중치민감도'!$C$7+'01_원자료'!R325*'03_가중치민감도'!$D$7</f>
        <v>0.67627186117110938</v>
      </c>
      <c r="H328" s="17">
        <f>'01_원자료'!P325*'03_가중치민감도'!$B$8+'01_원자료'!Q325*'03_가중치민감도'!$C$8+'01_원자료'!R325*'03_가중치민감도'!$D$8</f>
        <v>0.64147195141676261</v>
      </c>
      <c r="I328" s="17">
        <f>'01_원자료'!P325*'03_가중치민감도'!$B$9+'01_원자료'!Q325*'03_가중치민감도'!$C$9+'01_원자료'!R325*'03_가중치민감도'!$D$9</f>
        <v>0.59952432273550815</v>
      </c>
      <c r="J328" s="17">
        <f>'01_원자료'!P325*'03_가중치민감도'!$B$10+'01_원자료'!Q325*'03_가중치민감도'!$C$10+'01_원자료'!R325*'03_가중치민감도'!$D$10</f>
        <v>0.76239324402922126</v>
      </c>
      <c r="K328" s="31">
        <f t="shared" si="30"/>
        <v>719</v>
      </c>
      <c r="L328" s="31">
        <f t="shared" si="31"/>
        <v>676</v>
      </c>
      <c r="M328" s="31">
        <f t="shared" si="32"/>
        <v>748</v>
      </c>
      <c r="N328" s="31">
        <f t="shared" si="33"/>
        <v>612</v>
      </c>
      <c r="O328" s="31">
        <f t="shared" si="34"/>
        <v>681</v>
      </c>
      <c r="P328" s="31">
        <f t="shared" si="35"/>
        <v>699</v>
      </c>
    </row>
    <row r="329" spans="1:16">
      <c r="A329" s="2" t="str">
        <f>'01_원자료'!A326</f>
        <v>PAT-22</v>
      </c>
      <c r="B329" s="2" t="str">
        <f>'01_원자료'!B326</f>
        <v>mistral</v>
      </c>
      <c r="C329" s="2" t="str">
        <f>'01_원자료'!C326</f>
        <v>gemma</v>
      </c>
      <c r="E329" s="17">
        <f>'01_원자료'!P326*'03_가중치민감도'!$B$5+'01_원자료'!Q326*'03_가중치민감도'!$C$5+'01_원자료'!R326*'03_가중치민감도'!$D$5</f>
        <v>0.59598117490835278</v>
      </c>
      <c r="F329" s="17">
        <f>'01_원자료'!P326*'03_가중치민감도'!$B$6+'01_원자료'!Q326*'03_가중치민감도'!$C$6+'01_원자료'!R326*'03_가중치민감도'!$D$6</f>
        <v>0.49761619945545077</v>
      </c>
      <c r="G329" s="17">
        <f>'01_원자료'!P326*'03_가중치민감도'!$B$7+'01_원자료'!Q326*'03_가중치민감도'!$C$7+'01_원자료'!R326*'03_가중치민감도'!$D$7</f>
        <v>0.60095951050920615</v>
      </c>
      <c r="H329" s="17">
        <f>'01_원자료'!P326*'03_가중치민감도'!$B$8+'01_원자료'!Q326*'03_가중치민감도'!$C$8+'01_원자료'!R326*'03_가중치민감도'!$D$8</f>
        <v>0.57108949690408617</v>
      </c>
      <c r="I329" s="17">
        <f>'01_원자료'!P326*'03_가중치민감도'!$B$9+'01_원자료'!Q326*'03_가중치민감도'!$C$9+'01_원자료'!R326*'03_가중치민감도'!$D$9</f>
        <v>0.52874507940613313</v>
      </c>
      <c r="J329" s="17">
        <f>'01_원자료'!P326*'03_가중치민감도'!$B$10+'01_원자료'!Q326*'03_가중치민감도'!$C$10+'01_원자료'!R326*'03_가중치민감도'!$D$10</f>
        <v>0.68438947915954829</v>
      </c>
      <c r="K329" s="31">
        <f t="shared" si="30"/>
        <v>377</v>
      </c>
      <c r="L329" s="31">
        <f t="shared" si="31"/>
        <v>351</v>
      </c>
      <c r="M329" s="31">
        <f t="shared" si="32"/>
        <v>366</v>
      </c>
      <c r="N329" s="31">
        <f t="shared" si="33"/>
        <v>405</v>
      </c>
      <c r="O329" s="31">
        <f t="shared" si="34"/>
        <v>366</v>
      </c>
      <c r="P329" s="31">
        <f t="shared" si="35"/>
        <v>409</v>
      </c>
    </row>
    <row r="330" spans="1:16">
      <c r="A330" s="2" t="str">
        <f>'01_원자료'!A327</f>
        <v>PAT-22</v>
      </c>
      <c r="B330" s="2" t="str">
        <f>'01_원자료'!B327</f>
        <v>mistral</v>
      </c>
      <c r="C330" s="2" t="str">
        <f>'01_원자료'!C327</f>
        <v>ministral</v>
      </c>
      <c r="E330" s="17">
        <f>'01_원자료'!P327*'03_가중치민감도'!$B$5+'01_원자료'!Q327*'03_가중치민감도'!$C$5+'01_원자료'!R327*'03_가중치민감도'!$D$5</f>
        <v>0.61151188344389396</v>
      </c>
      <c r="F330" s="17">
        <f>'01_원자료'!P327*'03_가중치민감도'!$B$6+'01_원자료'!Q327*'03_가중치민감도'!$C$6+'01_원자료'!R327*'03_가중치민감도'!$D$6</f>
        <v>0.51280513346739576</v>
      </c>
      <c r="G330" s="17">
        <f>'01_원자료'!P327*'03_가중치민감도'!$B$7+'01_원자료'!Q327*'03_가중치민감도'!$C$7+'01_원자료'!R327*'03_가중치민감도'!$D$7</f>
        <v>0.62143956787993804</v>
      </c>
      <c r="H330" s="17">
        <f>'01_원자료'!P327*'03_가중치민감도'!$B$8+'01_원자료'!Q327*'03_가중치민감도'!$C$8+'01_원자료'!R327*'03_가중치민감도'!$D$8</f>
        <v>0.56187346126367332</v>
      </c>
      <c r="I330" s="17">
        <f>'01_원자료'!P327*'03_가중치민감도'!$B$9+'01_원자료'!Q327*'03_가중치민감도'!$C$9+'01_원자료'!R327*'03_가중치민감도'!$D$9</f>
        <v>0.54239815531421331</v>
      </c>
      <c r="J330" s="17">
        <f>'01_원자료'!P327*'03_가중치민감도'!$B$10+'01_원자료'!Q327*'03_가중치민감도'!$C$10+'01_원자료'!R327*'03_가중치민감도'!$D$10</f>
        <v>0.69036326454830388</v>
      </c>
      <c r="K330" s="31">
        <f t="shared" si="30"/>
        <v>440</v>
      </c>
      <c r="L330" s="31">
        <f t="shared" si="31"/>
        <v>428</v>
      </c>
      <c r="M330" s="31">
        <f t="shared" si="32"/>
        <v>474</v>
      </c>
      <c r="N330" s="31">
        <f t="shared" si="33"/>
        <v>375</v>
      </c>
      <c r="O330" s="31">
        <f t="shared" si="34"/>
        <v>426</v>
      </c>
      <c r="P330" s="31">
        <f t="shared" si="35"/>
        <v>425</v>
      </c>
    </row>
    <row r="331" spans="1:16">
      <c r="A331" s="2" t="str">
        <f>'01_원자료'!A328</f>
        <v>PAT-22</v>
      </c>
      <c r="B331" s="2" t="str">
        <f>'01_원자료'!B328</f>
        <v>mistral</v>
      </c>
      <c r="C331" s="2" t="str">
        <f>'01_원자료'!C328</f>
        <v>qwen</v>
      </c>
      <c r="E331" s="17">
        <f>'01_원자료'!P328*'03_가중치민감도'!$B$5+'01_원자료'!Q328*'03_가중치민감도'!$C$5+'01_원자료'!R328*'03_가중치민감도'!$D$5</f>
        <v>0.55408394697086283</v>
      </c>
      <c r="F331" s="17">
        <f>'01_원자료'!P328*'03_가중치민감도'!$B$6+'01_원자료'!Q328*'03_가중치민감도'!$C$6+'01_원자료'!R328*'03_가중치민감도'!$D$6</f>
        <v>0.47833381819604198</v>
      </c>
      <c r="G331" s="17">
        <f>'01_원자료'!P328*'03_가중치민감도'!$B$7+'01_원자료'!Q328*'03_가중치민감도'!$C$7+'01_원자료'!R328*'03_가중치민감도'!$D$7</f>
        <v>0.57291196298541736</v>
      </c>
      <c r="H331" s="17">
        <f>'01_원자료'!P328*'03_가중치민감도'!$B$8+'01_원자료'!Q328*'03_가중치민감도'!$C$8+'01_원자료'!R328*'03_가중치민감도'!$D$8</f>
        <v>0.45994386689809053</v>
      </c>
      <c r="I331" s="17">
        <f>'01_원자료'!P328*'03_가중치민감도'!$B$9+'01_원자료'!Q328*'03_가중치민감도'!$C$9+'01_원자료'!R328*'03_가중치민감도'!$D$9</f>
        <v>0.49730785578279696</v>
      </c>
      <c r="J331" s="17">
        <f>'01_원자료'!P328*'03_가중치민감도'!$B$10+'01_원자료'!Q328*'03_가중치민감도'!$C$10+'01_원자료'!R328*'03_가중치민감도'!$D$10</f>
        <v>0.59217804371657479</v>
      </c>
      <c r="K331" s="31">
        <f t="shared" si="30"/>
        <v>225</v>
      </c>
      <c r="L331" s="31">
        <f t="shared" si="31"/>
        <v>262</v>
      </c>
      <c r="M331" s="31">
        <f t="shared" si="32"/>
        <v>259</v>
      </c>
      <c r="N331" s="31">
        <f t="shared" si="33"/>
        <v>145</v>
      </c>
      <c r="O331" s="31">
        <f t="shared" si="34"/>
        <v>234</v>
      </c>
      <c r="P331" s="31">
        <f t="shared" si="35"/>
        <v>162</v>
      </c>
    </row>
    <row r="332" spans="1:16">
      <c r="A332" s="2" t="str">
        <f>'01_원자료'!A329</f>
        <v>PAT-22</v>
      </c>
      <c r="B332" s="2" t="str">
        <f>'01_원자료'!B329</f>
        <v>qwen3_6</v>
      </c>
      <c r="C332" s="2" t="str">
        <f>'01_원자료'!C329</f>
        <v>gemma</v>
      </c>
      <c r="E332" s="17">
        <f>'01_원자료'!P329*'03_가중치민감도'!$B$5+'01_원자료'!Q329*'03_가중치민감도'!$C$5+'01_원자료'!R329*'03_가중치민감도'!$D$5</f>
        <v>0.65987279945887434</v>
      </c>
      <c r="F332" s="17">
        <f>'01_원자료'!P329*'03_가중치민감도'!$B$6+'01_원자료'!Q329*'03_가중치민감도'!$C$6+'01_원자료'!R329*'03_가중치민감도'!$D$6</f>
        <v>0.55466093597843802</v>
      </c>
      <c r="G332" s="17">
        <f>'01_원자료'!P329*'03_가중치민감도'!$B$7+'01_원자료'!Q329*'03_가중치민감도'!$C$7+'01_원자료'!R329*'03_가중치민감도'!$D$7</f>
        <v>0.65569712605680242</v>
      </c>
      <c r="H332" s="17">
        <f>'01_원자료'!P329*'03_가중치민감도'!$B$8+'01_원자료'!Q329*'03_가중치민감도'!$C$8+'01_원자료'!R329*'03_가중치민감도'!$D$8</f>
        <v>0.68075116646923339</v>
      </c>
      <c r="I332" s="17">
        <f>'01_원자료'!P329*'03_가중치민감도'!$B$9+'01_원자료'!Q329*'03_가중치민감도'!$C$9+'01_원자료'!R329*'03_가중치민감도'!$D$9</f>
        <v>0.59112344827260677</v>
      </c>
      <c r="J332" s="17">
        <f>'01_원자료'!P329*'03_가중치민감도'!$B$10+'01_원자료'!Q329*'03_가중치민감도'!$C$10+'01_원자료'!R329*'03_가중치민감도'!$D$10</f>
        <v>0.77343600974345406</v>
      </c>
      <c r="K332" s="31">
        <f t="shared" si="30"/>
        <v>669</v>
      </c>
      <c r="L332" s="31">
        <f t="shared" si="31"/>
        <v>610</v>
      </c>
      <c r="M332" s="31">
        <f t="shared" si="32"/>
        <v>644</v>
      </c>
      <c r="N332" s="31">
        <f t="shared" si="33"/>
        <v>721</v>
      </c>
      <c r="O332" s="31">
        <f t="shared" si="34"/>
        <v>637</v>
      </c>
      <c r="P332" s="31">
        <f t="shared" si="35"/>
        <v>735</v>
      </c>
    </row>
    <row r="333" spans="1:16">
      <c r="A333" s="2" t="str">
        <f>'01_원자료'!A330</f>
        <v>PAT-22</v>
      </c>
      <c r="B333" s="2" t="str">
        <f>'01_원자료'!B330</f>
        <v>qwen3_6</v>
      </c>
      <c r="C333" s="2" t="str">
        <f>'01_원자료'!C330</f>
        <v>ministral</v>
      </c>
      <c r="E333" s="17">
        <f>'01_원자료'!P330*'03_가중치민감도'!$B$5+'01_원자료'!Q330*'03_가중치민감도'!$C$5+'01_원자료'!R330*'03_가중치민감도'!$D$5</f>
        <v>0.62330915627845851</v>
      </c>
      <c r="F333" s="17">
        <f>'01_원자료'!P330*'03_가중치민감도'!$B$6+'01_원자료'!Q330*'03_가중치민감도'!$C$6+'01_원자료'!R330*'03_가중치민감도'!$D$6</f>
        <v>0.52805398761500821</v>
      </c>
      <c r="G333" s="17">
        <f>'01_원자료'!P330*'03_가중치민감도'!$B$7+'01_원자료'!Q330*'03_가중치민감도'!$C$7+'01_원자료'!R330*'03_가중치민감도'!$D$7</f>
        <v>0.62501752994686899</v>
      </c>
      <c r="H333" s="17">
        <f>'01_원자료'!P330*'03_가중치민감도'!$B$8+'01_원자료'!Q330*'03_가중치민감도'!$C$8+'01_원자료'!R330*'03_가중치민감도'!$D$8</f>
        <v>0.61476728793640645</v>
      </c>
      <c r="I333" s="17">
        <f>'01_원자료'!P330*'03_가중치민감도'!$B$9+'01_원자료'!Q330*'03_가중치민감도'!$C$9+'01_원자료'!R330*'03_가중치민감도'!$D$9</f>
        <v>0.5592362526133543</v>
      </c>
      <c r="J333" s="17">
        <f>'01_원자료'!P330*'03_가중치민감도'!$B$10+'01_원자료'!Q330*'03_가중치민감도'!$C$10+'01_원자료'!R330*'03_가중치민감도'!$D$10</f>
        <v>0.71514757760508807</v>
      </c>
      <c r="K333" s="31">
        <f t="shared" si="30"/>
        <v>505</v>
      </c>
      <c r="L333" s="31">
        <f t="shared" si="31"/>
        <v>491</v>
      </c>
      <c r="M333" s="31">
        <f t="shared" si="32"/>
        <v>486</v>
      </c>
      <c r="N333" s="31">
        <f t="shared" si="33"/>
        <v>534</v>
      </c>
      <c r="O333" s="31">
        <f t="shared" si="34"/>
        <v>496</v>
      </c>
      <c r="P333" s="31">
        <f t="shared" si="35"/>
        <v>520</v>
      </c>
    </row>
    <row r="334" spans="1:16">
      <c r="A334" s="2" t="str">
        <f>'01_원자료'!A331</f>
        <v>PAT-22</v>
      </c>
      <c r="B334" s="2" t="str">
        <f>'01_원자료'!B331</f>
        <v>qwen3_6</v>
      </c>
      <c r="C334" s="2" t="str">
        <f>'01_원자료'!C331</f>
        <v>qwen</v>
      </c>
      <c r="E334" s="17">
        <f>'01_원자료'!P331*'03_가중치민감도'!$B$5+'01_원자료'!Q331*'03_가중치민감도'!$C$5+'01_원자료'!R331*'03_가중치민감도'!$D$5</f>
        <v>0.65232687945834178</v>
      </c>
      <c r="F334" s="17">
        <f>'01_원자료'!P331*'03_가중치민감도'!$B$6+'01_원자료'!Q331*'03_가중치민감도'!$C$6+'01_원자료'!R331*'03_가중치민감도'!$D$6</f>
        <v>0.5653126296319575</v>
      </c>
      <c r="G334" s="17">
        <f>'01_원자료'!P331*'03_가중치민감도'!$B$7+'01_원자료'!Q331*'03_가중치민감도'!$C$7+'01_원자료'!R331*'03_가중치민감도'!$D$7</f>
        <v>0.65523919069551539</v>
      </c>
      <c r="H334" s="17">
        <f>'01_원자료'!P331*'03_가중치민감도'!$B$8+'01_원자료'!Q331*'03_가중치민감도'!$C$8+'01_원자료'!R331*'03_가중치민감도'!$D$8</f>
        <v>0.63776532327247404</v>
      </c>
      <c r="I334" s="17">
        <f>'01_원자료'!P331*'03_가중치민감도'!$B$9+'01_원자료'!Q331*'03_가중치민감도'!$C$9+'01_원자료'!R331*'03_가중치민감도'!$D$9</f>
        <v>0.59334660916169379</v>
      </c>
      <c r="J334" s="17">
        <f>'01_원자료'!P331*'03_가중치민감도'!$B$10+'01_원자료'!Q331*'03_가중치민감도'!$C$10+'01_원자료'!R331*'03_가중치민감도'!$D$10</f>
        <v>0.73351650681037905</v>
      </c>
      <c r="K334" s="31">
        <f t="shared" si="30"/>
        <v>629</v>
      </c>
      <c r="L334" s="31">
        <f t="shared" si="31"/>
        <v>667</v>
      </c>
      <c r="M334" s="31">
        <f t="shared" si="32"/>
        <v>640</v>
      </c>
      <c r="N334" s="31">
        <f t="shared" si="33"/>
        <v>599</v>
      </c>
      <c r="O334" s="31">
        <f t="shared" si="34"/>
        <v>654</v>
      </c>
      <c r="P334" s="31">
        <f t="shared" si="35"/>
        <v>597</v>
      </c>
    </row>
    <row r="335" spans="1:16">
      <c r="A335" s="2" t="str">
        <f>'01_원자료'!A332</f>
        <v>PAT-23</v>
      </c>
      <c r="B335" s="2" t="str">
        <f>'01_원자료'!B332</f>
        <v>chatgpt</v>
      </c>
      <c r="C335" s="2" t="str">
        <f>'01_원자료'!C332</f>
        <v>gemma</v>
      </c>
      <c r="E335" s="17">
        <f>'01_원자료'!P332*'03_가중치민감도'!$B$5+'01_원자료'!Q332*'03_가중치민감도'!$C$5+'01_원자료'!R332*'03_가중치민감도'!$D$5</f>
        <v>0.57544715009982594</v>
      </c>
      <c r="F335" s="17">
        <f>'01_원자료'!P332*'03_가중치민감도'!$B$6+'01_원자료'!Q332*'03_가중치민감도'!$C$6+'01_원자료'!R332*'03_가중치민감도'!$D$6</f>
        <v>0.4868486731497248</v>
      </c>
      <c r="G335" s="17">
        <f>'01_원자료'!P332*'03_가중치민감도'!$B$7+'01_원자료'!Q332*'03_가중치민감도'!$C$7+'01_원자료'!R332*'03_가중치민감도'!$D$7</f>
        <v>0.58093369612182155</v>
      </c>
      <c r="H335" s="17">
        <f>'01_원자료'!P332*'03_가중치민감도'!$B$8+'01_원자료'!Q332*'03_가중치민감도'!$C$8+'01_원자료'!R332*'03_가중치민감도'!$D$8</f>
        <v>0.5480144199898479</v>
      </c>
      <c r="I335" s="17">
        <f>'01_원자료'!P332*'03_가중치민감도'!$B$9+'01_원자료'!Q332*'03_가중치민감도'!$C$9+'01_원자료'!R332*'03_가중치민감도'!$D$9</f>
        <v>0.51455265012575946</v>
      </c>
      <c r="J335" s="17">
        <f>'01_원자료'!P332*'03_가중치민감도'!$B$10+'01_원자료'!Q332*'03_가중치민감도'!$C$10+'01_원자료'!R332*'03_가중치민감도'!$D$10</f>
        <v>0.65307253500593587</v>
      </c>
      <c r="K335" s="31">
        <f t="shared" si="30"/>
        <v>309</v>
      </c>
      <c r="L335" s="31">
        <f t="shared" si="31"/>
        <v>304</v>
      </c>
      <c r="M335" s="31">
        <f t="shared" si="32"/>
        <v>295</v>
      </c>
      <c r="N335" s="31">
        <f t="shared" si="33"/>
        <v>330</v>
      </c>
      <c r="O335" s="31">
        <f t="shared" si="34"/>
        <v>308</v>
      </c>
      <c r="P335" s="31">
        <f t="shared" si="35"/>
        <v>314</v>
      </c>
    </row>
    <row r="336" spans="1:16">
      <c r="A336" s="2" t="str">
        <f>'01_원자료'!A333</f>
        <v>PAT-23</v>
      </c>
      <c r="B336" s="2" t="str">
        <f>'01_원자료'!B333</f>
        <v>chatgpt</v>
      </c>
      <c r="C336" s="2" t="str">
        <f>'01_원자료'!C333</f>
        <v>ministral</v>
      </c>
      <c r="E336" s="17">
        <f>'01_원자료'!P333*'03_가중치민감도'!$B$5+'01_원자료'!Q333*'03_가중치민감도'!$C$5+'01_원자료'!R333*'03_가중치민감도'!$D$5</f>
        <v>0.46395160599407759</v>
      </c>
      <c r="F336" s="17">
        <f>'01_원자료'!P333*'03_가중치민감도'!$B$6+'01_원자료'!Q333*'03_가중치민감도'!$C$6+'01_원자료'!R333*'03_가중치민감도'!$D$6</f>
        <v>0.38256144708241846</v>
      </c>
      <c r="G336" s="17">
        <f>'01_원자료'!P333*'03_가중치민감도'!$B$7+'01_원자료'!Q333*'03_가중치민감도'!$C$7+'01_원자료'!R333*'03_가중치민감도'!$D$7</f>
        <v>0.48421348974692979</v>
      </c>
      <c r="H336" s="17">
        <f>'01_원자료'!P333*'03_가중치민감도'!$B$8+'01_원자료'!Q333*'03_가중치민감도'!$C$8+'01_원자료'!R333*'03_가중치민감도'!$D$8</f>
        <v>0.36264218722981628</v>
      </c>
      <c r="I336" s="17">
        <f>'01_원자료'!P333*'03_가중치민감도'!$B$9+'01_원자료'!Q333*'03_가중치민감도'!$C$9+'01_원자료'!R333*'03_가중치민감도'!$D$9</f>
        <v>0.40293753880202032</v>
      </c>
      <c r="J336" s="17">
        <f>'01_원자료'!P333*'03_가중치민감도'!$B$10+'01_원자료'!Q333*'03_가중치민감도'!$C$10+'01_원자료'!R333*'03_가중치민감도'!$D$10</f>
        <v>0.50481799740003219</v>
      </c>
      <c r="K336" s="31">
        <f t="shared" si="30"/>
        <v>10</v>
      </c>
      <c r="L336" s="31">
        <f t="shared" si="31"/>
        <v>9</v>
      </c>
      <c r="M336" s="31">
        <f t="shared" si="32"/>
        <v>10</v>
      </c>
      <c r="N336" s="31">
        <f t="shared" si="33"/>
        <v>9</v>
      </c>
      <c r="O336" s="31">
        <f t="shared" si="34"/>
        <v>9</v>
      </c>
      <c r="P336" s="31">
        <f t="shared" si="35"/>
        <v>10</v>
      </c>
    </row>
    <row r="337" spans="1:16">
      <c r="A337" s="2" t="str">
        <f>'01_원자료'!A334</f>
        <v>PAT-23</v>
      </c>
      <c r="B337" s="2" t="str">
        <f>'01_원자료'!B334</f>
        <v>chatgpt</v>
      </c>
      <c r="C337" s="2" t="str">
        <f>'01_원자료'!C334</f>
        <v>qwen</v>
      </c>
      <c r="E337" s="17">
        <f>'01_원자료'!P334*'03_가중치민감도'!$B$5+'01_원자료'!Q334*'03_가중치민감도'!$C$5+'01_원자료'!R334*'03_가중치민감도'!$D$5</f>
        <v>0.52300831123330971</v>
      </c>
      <c r="F337" s="17">
        <f>'01_원자료'!P334*'03_가중치민감도'!$B$6+'01_원자료'!Q334*'03_가중치민감도'!$C$6+'01_원자료'!R334*'03_가중치민감도'!$D$6</f>
        <v>0.44463099351189406</v>
      </c>
      <c r="G337" s="17">
        <f>'01_원자료'!P334*'03_가중치민감도'!$B$7+'01_원자료'!Q334*'03_가중치민감도'!$C$7+'01_원자료'!R334*'03_가중치민감도'!$D$7</f>
        <v>0.53161316857753926</v>
      </c>
      <c r="H337" s="17">
        <f>'01_원자료'!P334*'03_가중치민감도'!$B$8+'01_원자료'!Q334*'03_가중치민감도'!$C$8+'01_원자료'!R334*'03_가중치민감도'!$D$8</f>
        <v>0.4799840245121616</v>
      </c>
      <c r="I337" s="17">
        <f>'01_원자료'!P334*'03_가중치민감도'!$B$9+'01_원자료'!Q334*'03_가중치민감도'!$C$9+'01_원자료'!R334*'03_가중치민감도'!$D$9</f>
        <v>0.46788848030428887</v>
      </c>
      <c r="J337" s="17">
        <f>'01_원자료'!P334*'03_가중치민감도'!$B$10+'01_원자료'!Q334*'03_가중치민감도'!$C$10+'01_원자료'!R334*'03_가중치민감도'!$D$10</f>
        <v>0.58417591426626614</v>
      </c>
      <c r="K337" s="31">
        <f t="shared" si="30"/>
        <v>111</v>
      </c>
      <c r="L337" s="31">
        <f t="shared" si="31"/>
        <v>114</v>
      </c>
      <c r="M337" s="31">
        <f t="shared" si="32"/>
        <v>77</v>
      </c>
      <c r="N337" s="31">
        <f t="shared" si="33"/>
        <v>173</v>
      </c>
      <c r="O337" s="31">
        <f t="shared" si="34"/>
        <v>122</v>
      </c>
      <c r="P337" s="31">
        <f t="shared" si="35"/>
        <v>140</v>
      </c>
    </row>
    <row r="338" spans="1:16">
      <c r="A338" s="2" t="str">
        <f>'01_원자료'!A335</f>
        <v>PAT-23</v>
      </c>
      <c r="B338" s="2" t="str">
        <f>'01_원자료'!B335</f>
        <v>claude</v>
      </c>
      <c r="C338" s="2" t="str">
        <f>'01_원자료'!C335</f>
        <v>gemma</v>
      </c>
      <c r="E338" s="17">
        <f>'01_원자료'!P335*'03_가중치민감도'!$B$5+'01_원자료'!Q335*'03_가중치민감도'!$C$5+'01_원자료'!R335*'03_가중치민감도'!$D$5</f>
        <v>0.61653191052366974</v>
      </c>
      <c r="F338" s="17">
        <f>'01_원자료'!P335*'03_가중치민감도'!$B$6+'01_원자료'!Q335*'03_가중치민감도'!$C$6+'01_원자료'!R335*'03_가중치민감도'!$D$6</f>
        <v>0.51555615048352665</v>
      </c>
      <c r="G338" s="17">
        <f>'01_원자료'!P335*'03_가중치민감도'!$B$7+'01_원자료'!Q335*'03_가중치민감도'!$C$7+'01_원자료'!R335*'03_가중치민감도'!$D$7</f>
        <v>0.61831450066853222</v>
      </c>
      <c r="H338" s="17">
        <f>'01_원자료'!P335*'03_가중치민감도'!$B$8+'01_원자료'!Q335*'03_가중치민감도'!$C$8+'01_원자료'!R335*'03_가중치민감도'!$D$8</f>
        <v>0.60761895979935721</v>
      </c>
      <c r="I338" s="17">
        <f>'01_원자료'!P335*'03_가중치민감도'!$B$9+'01_원자료'!Q335*'03_가중치민감도'!$C$9+'01_원자료'!R335*'03_가중치민감도'!$D$9</f>
        <v>0.54862054044861952</v>
      </c>
      <c r="J338" s="17">
        <f>'01_원자료'!P335*'03_가중치민감도'!$B$10+'01_원자료'!Q335*'03_가중치민감도'!$C$10+'01_원자료'!R335*'03_가중치민감도'!$D$10</f>
        <v>0.71394249027408763</v>
      </c>
      <c r="K338" s="31">
        <f t="shared" si="30"/>
        <v>468</v>
      </c>
      <c r="L338" s="31">
        <f t="shared" si="31"/>
        <v>441</v>
      </c>
      <c r="M338" s="31">
        <f t="shared" si="32"/>
        <v>454</v>
      </c>
      <c r="N338" s="31">
        <f t="shared" si="33"/>
        <v>512</v>
      </c>
      <c r="O338" s="31">
        <f t="shared" si="34"/>
        <v>454</v>
      </c>
      <c r="P338" s="31">
        <f t="shared" si="35"/>
        <v>513</v>
      </c>
    </row>
    <row r="339" spans="1:16">
      <c r="A339" s="2" t="str">
        <f>'01_원자료'!A336</f>
        <v>PAT-23</v>
      </c>
      <c r="B339" s="2" t="str">
        <f>'01_원자료'!B336</f>
        <v>claude</v>
      </c>
      <c r="C339" s="2" t="str">
        <f>'01_원자료'!C336</f>
        <v>ministral</v>
      </c>
      <c r="E339" s="17">
        <f>'01_원자료'!P336*'03_가중치민감도'!$B$5+'01_원자료'!Q336*'03_가중치민감도'!$C$5+'01_원자료'!R336*'03_가중치민감도'!$D$5</f>
        <v>0.51269213366503386</v>
      </c>
      <c r="F339" s="17">
        <f>'01_원자료'!P336*'03_가중치민감도'!$B$6+'01_원자료'!Q336*'03_가중치민감도'!$C$6+'01_원자료'!R336*'03_가중치민감도'!$D$6</f>
        <v>0.42867539523957254</v>
      </c>
      <c r="G339" s="17">
        <f>'01_원자료'!P336*'03_가중치민감도'!$B$7+'01_원자료'!Q336*'03_가중치민감도'!$C$7+'01_원자료'!R336*'03_가중치민감도'!$D$7</f>
        <v>0.53043027013246424</v>
      </c>
      <c r="H339" s="17">
        <f>'01_원자료'!P336*'03_가중치민감도'!$B$8+'01_원자료'!Q336*'03_가중치민감도'!$C$8+'01_원자료'!R336*'03_가중치민감도'!$D$8</f>
        <v>0.42400145132788214</v>
      </c>
      <c r="I339" s="17">
        <f>'01_원자료'!P336*'03_가중치민감도'!$B$9+'01_원자료'!Q336*'03_가중치민감도'!$C$9+'01_원자료'!R336*'03_가중치민감도'!$D$9</f>
        <v>0.45076826255891567</v>
      </c>
      <c r="J339" s="17">
        <f>'01_원자료'!P336*'03_가중치민감도'!$B$10+'01_원자료'!Q336*'03_가중치민감도'!$C$10+'01_원자료'!R336*'03_가중치민감도'!$D$10</f>
        <v>0.5612325991556345</v>
      </c>
      <c r="K339" s="31">
        <f t="shared" si="30"/>
        <v>73</v>
      </c>
      <c r="L339" s="31">
        <f t="shared" si="31"/>
        <v>67</v>
      </c>
      <c r="M339" s="31">
        <f t="shared" si="32"/>
        <v>73</v>
      </c>
      <c r="N339" s="31">
        <f t="shared" si="33"/>
        <v>95</v>
      </c>
      <c r="O339" s="31">
        <f t="shared" si="34"/>
        <v>67</v>
      </c>
      <c r="P339" s="31">
        <f t="shared" si="35"/>
        <v>91</v>
      </c>
    </row>
    <row r="340" spans="1:16">
      <c r="A340" s="2" t="str">
        <f>'01_원자료'!A337</f>
        <v>PAT-23</v>
      </c>
      <c r="B340" s="2" t="str">
        <f>'01_원자료'!B337</f>
        <v>claude</v>
      </c>
      <c r="C340" s="2" t="str">
        <f>'01_원자료'!C337</f>
        <v>qwen</v>
      </c>
      <c r="E340" s="17">
        <f>'01_원자료'!P337*'03_가중치민감도'!$B$5+'01_원자료'!Q337*'03_가중치민감도'!$C$5+'01_원자료'!R337*'03_가중치민감도'!$D$5</f>
        <v>0.65936818502006922</v>
      </c>
      <c r="F340" s="17">
        <f>'01_원자료'!P337*'03_가중치민감도'!$B$6+'01_원자료'!Q337*'03_가중치민감도'!$C$6+'01_원자료'!R337*'03_가중치민감도'!$D$6</f>
        <v>0.5681112844342685</v>
      </c>
      <c r="G340" s="17">
        <f>'01_원자료'!P337*'03_가중치민감도'!$B$7+'01_원자료'!Q337*'03_가중치민감도'!$C$7+'01_원자료'!R337*'03_가중치민감도'!$D$7</f>
        <v>0.65642036845612028</v>
      </c>
      <c r="H340" s="17">
        <f>'01_원자료'!P337*'03_가중치민감도'!$B$8+'01_원자료'!Q337*'03_가중치민감도'!$C$8+'01_원자료'!R337*'03_가중치민감도'!$D$8</f>
        <v>0.67410726783981367</v>
      </c>
      <c r="I340" s="17">
        <f>'01_원자료'!P337*'03_가중치민감도'!$B$9+'01_원자료'!Q337*'03_가중치민감도'!$C$9+'01_원자료'!R337*'03_가중치민감도'!$D$9</f>
        <v>0.59951285681751765</v>
      </c>
      <c r="J340" s="17">
        <f>'01_원자료'!P337*'03_가중치민감도'!$B$10+'01_원자료'!Q337*'03_가중치민감도'!$C$10+'01_원자료'!R337*'03_가중치민감도'!$D$10</f>
        <v>0.75652071873376769</v>
      </c>
      <c r="K340" s="31">
        <f t="shared" si="30"/>
        <v>668</v>
      </c>
      <c r="L340" s="31">
        <f t="shared" si="31"/>
        <v>683</v>
      </c>
      <c r="M340" s="31">
        <f t="shared" si="32"/>
        <v>648</v>
      </c>
      <c r="N340" s="31">
        <f t="shared" si="33"/>
        <v>708</v>
      </c>
      <c r="O340" s="31">
        <f t="shared" si="34"/>
        <v>680</v>
      </c>
      <c r="P340" s="31">
        <f t="shared" si="35"/>
        <v>683</v>
      </c>
    </row>
    <row r="341" spans="1:16">
      <c r="A341" s="2" t="str">
        <f>'01_원자료'!A338</f>
        <v>PAT-23</v>
      </c>
      <c r="B341" s="2" t="str">
        <f>'01_원자료'!B338</f>
        <v>gemini</v>
      </c>
      <c r="C341" s="2" t="str">
        <f>'01_원자료'!C338</f>
        <v>gemma</v>
      </c>
      <c r="E341" s="17">
        <f>'01_원자료'!P338*'03_가중치민감도'!$B$5+'01_원자료'!Q338*'03_가중치민감도'!$C$5+'01_원자료'!R338*'03_가중치민감도'!$D$5</f>
        <v>0.73264672197036573</v>
      </c>
      <c r="F341" s="17">
        <f>'01_원자료'!P338*'03_가중치민감도'!$B$6+'01_원자료'!Q338*'03_가중치민감도'!$C$6+'01_원자료'!R338*'03_가중치민감도'!$D$6</f>
        <v>0.61558070023545597</v>
      </c>
      <c r="G341" s="17">
        <f>'01_원자료'!P338*'03_가중치민감도'!$B$7+'01_원자료'!Q338*'03_가중치민감도'!$C$7+'01_원자료'!R338*'03_가중치민감도'!$D$7</f>
        <v>0.72503365275854337</v>
      </c>
      <c r="H341" s="17">
        <f>'01_원자료'!P338*'03_가중치민감도'!$B$8+'01_원자료'!Q338*'03_가중치민감도'!$C$8+'01_원자료'!R338*'03_가중치민감도'!$D$8</f>
        <v>0.77071206802947767</v>
      </c>
      <c r="I341" s="17">
        <f>'01_원자료'!P338*'03_가중치민감도'!$B$9+'01_원자료'!Q338*'03_가중치민감도'!$C$9+'01_원자료'!R338*'03_가중치민감도'!$D$9</f>
        <v>0.65714039721769935</v>
      </c>
      <c r="J341" s="17">
        <f>'01_원자료'!P338*'03_가중치민감도'!$B$10+'01_원자료'!Q338*'03_가중치민감도'!$C$10+'01_원자료'!R338*'03_가중치민감도'!$D$10</f>
        <v>0.86493888212892034</v>
      </c>
      <c r="K341" s="31">
        <f t="shared" si="30"/>
        <v>910</v>
      </c>
      <c r="L341" s="31">
        <f t="shared" si="31"/>
        <v>878</v>
      </c>
      <c r="M341" s="31">
        <f t="shared" si="32"/>
        <v>908</v>
      </c>
      <c r="N341" s="31">
        <f t="shared" si="33"/>
        <v>904</v>
      </c>
      <c r="O341" s="31">
        <f t="shared" si="34"/>
        <v>897</v>
      </c>
      <c r="P341" s="31">
        <f t="shared" si="35"/>
        <v>933</v>
      </c>
    </row>
    <row r="342" spans="1:16">
      <c r="A342" s="2" t="str">
        <f>'01_원자료'!A339</f>
        <v>PAT-23</v>
      </c>
      <c r="B342" s="2" t="str">
        <f>'01_원자료'!B339</f>
        <v>gemini</v>
      </c>
      <c r="C342" s="2" t="str">
        <f>'01_원자료'!C339</f>
        <v>ministral</v>
      </c>
      <c r="E342" s="17">
        <f>'01_원자료'!P339*'03_가중치민감도'!$B$5+'01_원자료'!Q339*'03_가중치민감도'!$C$5+'01_원자료'!R339*'03_가중치민감도'!$D$5</f>
        <v>0.52274741516674372</v>
      </c>
      <c r="F342" s="17">
        <f>'01_원자료'!P339*'03_가중치민감도'!$B$6+'01_원자료'!Q339*'03_가중치민감도'!$C$6+'01_원자료'!R339*'03_가중치민감도'!$D$6</f>
        <v>0.42122650049701793</v>
      </c>
      <c r="G342" s="17">
        <f>'01_원자료'!P339*'03_가중치민감도'!$B$7+'01_원자료'!Q339*'03_가중치민감도'!$C$7+'01_원자료'!R339*'03_가중치민감도'!$D$7</f>
        <v>0.54561546415052165</v>
      </c>
      <c r="H342" s="17">
        <f>'01_원자료'!P339*'03_가중치민감도'!$B$8+'01_원자료'!Q339*'03_가중치민감도'!$C$8+'01_원자료'!R339*'03_가중치민감도'!$D$8</f>
        <v>0.40840717024785389</v>
      </c>
      <c r="I342" s="17">
        <f>'01_원자료'!P339*'03_가중치민감도'!$B$9+'01_원자료'!Q339*'03_가중치민감도'!$C$9+'01_원자료'!R339*'03_가중치민감도'!$D$9</f>
        <v>0.44744412239233339</v>
      </c>
      <c r="J342" s="17">
        <f>'01_원자료'!P339*'03_가중치민감도'!$B$10+'01_원자료'!Q339*'03_가중치민감도'!$C$10+'01_원자료'!R339*'03_가중치민감도'!$D$10</f>
        <v>0.57853223186891345</v>
      </c>
      <c r="K342" s="31">
        <f t="shared" si="30"/>
        <v>108</v>
      </c>
      <c r="L342" s="31">
        <f t="shared" si="31"/>
        <v>49</v>
      </c>
      <c r="M342" s="31">
        <f t="shared" si="32"/>
        <v>133</v>
      </c>
      <c r="N342" s="31">
        <f t="shared" si="33"/>
        <v>58</v>
      </c>
      <c r="O342" s="31">
        <f t="shared" si="34"/>
        <v>56</v>
      </c>
      <c r="P342" s="31">
        <f t="shared" si="35"/>
        <v>126</v>
      </c>
    </row>
    <row r="343" spans="1:16">
      <c r="A343" s="2" t="str">
        <f>'01_원자료'!A340</f>
        <v>PAT-23</v>
      </c>
      <c r="B343" s="2" t="str">
        <f>'01_원자료'!B340</f>
        <v>gemini</v>
      </c>
      <c r="C343" s="2" t="str">
        <f>'01_원자료'!C340</f>
        <v>qwen</v>
      </c>
      <c r="E343" s="17">
        <f>'01_원자료'!P340*'03_가중치민감도'!$B$5+'01_원자료'!Q340*'03_가중치민감도'!$C$5+'01_원자료'!R340*'03_가중치민감도'!$D$5</f>
        <v>0.66754827842882114</v>
      </c>
      <c r="F343" s="17">
        <f>'01_원자료'!P340*'03_가중치민감도'!$B$6+'01_원자료'!Q340*'03_가중치민감도'!$C$6+'01_원자료'!R340*'03_가중치민감도'!$D$6</f>
        <v>0.56315259136699236</v>
      </c>
      <c r="G343" s="17">
        <f>'01_원자료'!P340*'03_가중치민감도'!$B$7+'01_원자료'!Q340*'03_가중치민감도'!$C$7+'01_원자료'!R340*'03_가중치민감도'!$D$7</f>
        <v>0.67217306931358844</v>
      </c>
      <c r="H343" s="17">
        <f>'01_원자료'!P340*'03_가중치민감도'!$B$8+'01_원자료'!Q340*'03_가중치민감도'!$C$8+'01_원자료'!R340*'03_가중치민감도'!$D$8</f>
        <v>0.64442432400498417</v>
      </c>
      <c r="I343" s="17">
        <f>'01_원자료'!P340*'03_가중치민감도'!$B$9+'01_원자료'!Q340*'03_가중치민감도'!$C$9+'01_원자료'!R340*'03_가중치민감도'!$D$9</f>
        <v>0.59640955675934548</v>
      </c>
      <c r="J343" s="17">
        <f>'01_원자료'!P340*'03_가중치민감도'!$B$10+'01_원자료'!Q340*'03_가중치민감도'!$C$10+'01_원자료'!R340*'03_가중치민감도'!$D$10</f>
        <v>0.76269438372111509</v>
      </c>
      <c r="K343" s="31">
        <f t="shared" si="30"/>
        <v>705</v>
      </c>
      <c r="L343" s="31">
        <f t="shared" si="31"/>
        <v>651</v>
      </c>
      <c r="M343" s="31">
        <f t="shared" si="32"/>
        <v>727</v>
      </c>
      <c r="N343" s="31">
        <f t="shared" si="33"/>
        <v>624</v>
      </c>
      <c r="O343" s="31">
        <f t="shared" si="34"/>
        <v>667</v>
      </c>
      <c r="P343" s="31">
        <f t="shared" si="35"/>
        <v>700</v>
      </c>
    </row>
    <row r="344" spans="1:16">
      <c r="A344" s="2" t="str">
        <f>'01_원자료'!A341</f>
        <v>PAT-23</v>
      </c>
      <c r="B344" s="2" t="str">
        <f>'01_원자료'!B341</f>
        <v>mistral</v>
      </c>
      <c r="C344" s="2" t="str">
        <f>'01_원자료'!C341</f>
        <v>gemma</v>
      </c>
      <c r="E344" s="17">
        <f>'01_원자료'!P341*'03_가중치민감도'!$B$5+'01_원자료'!Q341*'03_가중치민감도'!$C$5+'01_원자료'!R341*'03_가중치민감도'!$D$5</f>
        <v>0.55284481590248369</v>
      </c>
      <c r="F344" s="17">
        <f>'01_원자료'!P341*'03_가중치민감도'!$B$6+'01_원자료'!Q341*'03_가중치민감도'!$C$6+'01_원자료'!R341*'03_가중치민감도'!$D$6</f>
        <v>0.46965805850833908</v>
      </c>
      <c r="G344" s="17">
        <f>'01_원자료'!P341*'03_가중치민감도'!$B$7+'01_원자료'!Q341*'03_가중치민감도'!$C$7+'01_원자료'!R341*'03_가중치민감도'!$D$7</f>
        <v>0.56324687422543085</v>
      </c>
      <c r="H344" s="17">
        <f>'01_원자료'!P341*'03_가중치민감도'!$B$8+'01_원자료'!Q341*'03_가중치민감도'!$C$8+'01_원자료'!R341*'03_가중치민감도'!$D$8</f>
        <v>0.50083452428774844</v>
      </c>
      <c r="I344" s="17">
        <f>'01_원자료'!P341*'03_가중치민감도'!$B$9+'01_원자료'!Q341*'03_가중치민감도'!$C$9+'01_원자료'!R341*'03_가중치민감도'!$D$9</f>
        <v>0.49391962486540442</v>
      </c>
      <c r="J344" s="17">
        <f>'01_원자료'!P341*'03_가중치민감도'!$B$10+'01_원자료'!Q341*'03_가중치민감도'!$C$10+'01_원자료'!R341*'03_가중치민감도'!$D$10</f>
        <v>0.61522745665073431</v>
      </c>
      <c r="K344" s="31">
        <f t="shared" si="30"/>
        <v>218</v>
      </c>
      <c r="L344" s="31">
        <f t="shared" si="31"/>
        <v>215</v>
      </c>
      <c r="M344" s="31">
        <f t="shared" si="32"/>
        <v>214</v>
      </c>
      <c r="N344" s="31">
        <f t="shared" si="33"/>
        <v>227</v>
      </c>
      <c r="O344" s="31">
        <f t="shared" si="34"/>
        <v>214</v>
      </c>
      <c r="P344" s="31">
        <f t="shared" si="35"/>
        <v>226</v>
      </c>
    </row>
    <row r="345" spans="1:16">
      <c r="A345" s="2" t="str">
        <f>'01_원자료'!A342</f>
        <v>PAT-23</v>
      </c>
      <c r="B345" s="2" t="str">
        <f>'01_원자료'!B342</f>
        <v>mistral</v>
      </c>
      <c r="C345" s="2" t="str">
        <f>'01_원자료'!C342</f>
        <v>ministral</v>
      </c>
      <c r="E345" s="17">
        <f>'01_원자료'!P342*'03_가중치민감도'!$B$5+'01_원자료'!Q342*'03_가중치민감도'!$C$5+'01_원자료'!R342*'03_가중치민감도'!$D$5</f>
        <v>0.5615413114287432</v>
      </c>
      <c r="F345" s="17">
        <f>'01_원자료'!P342*'03_가중치민감도'!$B$6+'01_원자료'!Q342*'03_가중치민감도'!$C$6+'01_원자료'!R342*'03_가중치민감도'!$D$6</f>
        <v>0.47390834060671683</v>
      </c>
      <c r="G345" s="17">
        <f>'01_원자료'!P342*'03_가중치민감도'!$B$7+'01_원자료'!Q342*'03_가중치민감도'!$C$7+'01_원자료'!R342*'03_가중치민감도'!$D$7</f>
        <v>0.57318083779647455</v>
      </c>
      <c r="H345" s="17">
        <f>'01_원자료'!P342*'03_가중치민감도'!$B$8+'01_원자료'!Q342*'03_가중치민감도'!$C$8+'01_원자료'!R342*'03_가중치민감도'!$D$8</f>
        <v>0.50334367959008675</v>
      </c>
      <c r="I345" s="17">
        <f>'01_원자료'!P342*'03_가중치민감도'!$B$9+'01_원자료'!Q342*'03_가중치민감도'!$C$9+'01_원자료'!R342*'03_가중치민감도'!$D$9</f>
        <v>0.499239488758148</v>
      </c>
      <c r="J345" s="17">
        <f>'01_원자료'!P342*'03_가중치민감도'!$B$10+'01_원자료'!Q342*'03_가중치민감도'!$C$10+'01_원자료'!R342*'03_가중치민감도'!$D$10</f>
        <v>0.62589522951530707</v>
      </c>
      <c r="K345" s="31">
        <f t="shared" si="30"/>
        <v>255</v>
      </c>
      <c r="L345" s="31">
        <f t="shared" si="31"/>
        <v>234</v>
      </c>
      <c r="M345" s="31">
        <f t="shared" si="32"/>
        <v>260</v>
      </c>
      <c r="N345" s="31">
        <f t="shared" si="33"/>
        <v>234</v>
      </c>
      <c r="O345" s="31">
        <f t="shared" si="34"/>
        <v>240</v>
      </c>
      <c r="P345" s="31">
        <f t="shared" si="35"/>
        <v>255</v>
      </c>
    </row>
    <row r="346" spans="1:16">
      <c r="A346" s="2" t="str">
        <f>'01_원자료'!A343</f>
        <v>PAT-23</v>
      </c>
      <c r="B346" s="2" t="str">
        <f>'01_원자료'!B343</f>
        <v>mistral</v>
      </c>
      <c r="C346" s="2" t="str">
        <f>'01_원자료'!C343</f>
        <v>qwen</v>
      </c>
      <c r="E346" s="17">
        <f>'01_원자료'!P343*'03_가중치민감도'!$B$5+'01_원자료'!Q343*'03_가중치민감도'!$C$5+'01_원자료'!R343*'03_가중치민감도'!$D$5</f>
        <v>0.562532660016134</v>
      </c>
      <c r="F346" s="17">
        <f>'01_원자료'!P343*'03_가중치민감도'!$B$6+'01_원자료'!Q343*'03_가중치민감도'!$C$6+'01_원자료'!R343*'03_가중치민감도'!$D$6</f>
        <v>0.48974737910701727</v>
      </c>
      <c r="G346" s="17">
        <f>'01_원자료'!P343*'03_가중치민감도'!$B$7+'01_원자료'!Q343*'03_가중치민감도'!$C$7+'01_원자료'!R343*'03_가중치민감도'!$D$7</f>
        <v>0.57228807396933756</v>
      </c>
      <c r="H346" s="17">
        <f>'01_원자료'!P343*'03_가중치민감도'!$B$8+'01_원자료'!Q343*'03_가중치민감도'!$C$8+'01_원자료'!R343*'03_가중치민감도'!$D$8</f>
        <v>0.51375559025011652</v>
      </c>
      <c r="I346" s="17">
        <f>'01_원자료'!P343*'03_가중치민감도'!$B$9+'01_원자료'!Q343*'03_가중치민감도'!$C$9+'01_원자료'!R343*'03_가중치민감도'!$D$9</f>
        <v>0.51075733475898777</v>
      </c>
      <c r="J346" s="17">
        <f>'01_원자료'!P343*'03_가중치민감도'!$B$10+'01_원자료'!Q343*'03_가중치민감도'!$C$10+'01_원자료'!R343*'03_가중치민감도'!$D$10</f>
        <v>0.61580711301884372</v>
      </c>
      <c r="K346" s="31">
        <f t="shared" si="30"/>
        <v>259</v>
      </c>
      <c r="L346" s="31">
        <f t="shared" si="31"/>
        <v>313</v>
      </c>
      <c r="M346" s="31">
        <f t="shared" si="32"/>
        <v>257</v>
      </c>
      <c r="N346" s="31">
        <f t="shared" si="33"/>
        <v>250</v>
      </c>
      <c r="O346" s="31">
        <f t="shared" si="34"/>
        <v>291</v>
      </c>
      <c r="P346" s="31">
        <f t="shared" si="35"/>
        <v>229</v>
      </c>
    </row>
    <row r="347" spans="1:16">
      <c r="A347" s="2" t="str">
        <f>'01_원자료'!A344</f>
        <v>PAT-23</v>
      </c>
      <c r="B347" s="2" t="str">
        <f>'01_원자료'!B344</f>
        <v>qwen3_6</v>
      </c>
      <c r="C347" s="2" t="str">
        <f>'01_원자료'!C344</f>
        <v>gemma</v>
      </c>
      <c r="E347" s="17">
        <f>'01_원자료'!P344*'03_가중치민감도'!$B$5+'01_원자료'!Q344*'03_가중치민감도'!$C$5+'01_원자료'!R344*'03_가중치민감도'!$D$5</f>
        <v>0.72321044322526629</v>
      </c>
      <c r="F347" s="17">
        <f>'01_원자료'!P344*'03_가중치민감도'!$B$6+'01_원자료'!Q344*'03_가중치민감도'!$C$6+'01_원자료'!R344*'03_가중치민감도'!$D$6</f>
        <v>0.61915587910408432</v>
      </c>
      <c r="G347" s="17">
        <f>'01_원자료'!P344*'03_가중치민감도'!$B$7+'01_원자료'!Q344*'03_가중치민감도'!$C$7+'01_원자료'!R344*'03_가중치민감도'!$D$7</f>
        <v>0.71372672931687497</v>
      </c>
      <c r="H347" s="17">
        <f>'01_원자료'!P344*'03_가중치민감도'!$B$8+'01_원자료'!Q344*'03_가중치민감도'!$C$8+'01_원자료'!R344*'03_가중치민감도'!$D$8</f>
        <v>0.77062901276722295</v>
      </c>
      <c r="I347" s="17">
        <f>'01_원자료'!P344*'03_가중치민감도'!$B$9+'01_원자료'!Q344*'03_가중치민감도'!$C$9+'01_원자료'!R344*'03_가중치민감도'!$D$9</f>
        <v>0.65700197178060815</v>
      </c>
      <c r="J347" s="17">
        <f>'01_원자료'!P344*'03_가중치민감도'!$B$10+'01_원자료'!Q344*'03_가중치민감도'!$C$10+'01_원자료'!R344*'03_가중치민감도'!$D$10</f>
        <v>0.84623243516323099</v>
      </c>
      <c r="K347" s="31">
        <f t="shared" si="30"/>
        <v>890</v>
      </c>
      <c r="L347" s="31">
        <f t="shared" si="31"/>
        <v>887</v>
      </c>
      <c r="M347" s="31">
        <f t="shared" si="32"/>
        <v>882</v>
      </c>
      <c r="N347" s="31">
        <f t="shared" si="33"/>
        <v>903</v>
      </c>
      <c r="O347" s="31">
        <f t="shared" si="34"/>
        <v>896</v>
      </c>
      <c r="P347" s="31">
        <f t="shared" si="35"/>
        <v>879</v>
      </c>
    </row>
    <row r="348" spans="1:16">
      <c r="A348" s="2" t="str">
        <f>'01_원자료'!A345</f>
        <v>PAT-23</v>
      </c>
      <c r="B348" s="2" t="str">
        <f>'01_원자료'!B345</f>
        <v>qwen3_6</v>
      </c>
      <c r="C348" s="2" t="str">
        <f>'01_원자료'!C345</f>
        <v>ministral</v>
      </c>
      <c r="E348" s="17">
        <f>'01_원자료'!P345*'03_가중치민감도'!$B$5+'01_원자료'!Q345*'03_가중치민감도'!$C$5+'01_원자료'!R345*'03_가중치민감도'!$D$5</f>
        <v>0.49543950772980705</v>
      </c>
      <c r="F348" s="17">
        <f>'01_원자료'!P345*'03_가중치민감도'!$B$6+'01_원자료'!Q345*'03_가중치민감도'!$C$6+'01_원자료'!R345*'03_가중치민감도'!$D$6</f>
        <v>0.40744495842161288</v>
      </c>
      <c r="G348" s="17">
        <f>'01_원자료'!P345*'03_가중치민감도'!$B$7+'01_원자료'!Q345*'03_가중치민감도'!$C$7+'01_원자료'!R345*'03_가중치민감도'!$D$7</f>
        <v>0.51490470064704597</v>
      </c>
      <c r="H348" s="17">
        <f>'01_원자료'!P345*'03_가중치민감도'!$B$8+'01_원자료'!Q345*'03_가중치민감도'!$C$8+'01_원자료'!R345*'03_가중치민감도'!$D$8</f>
        <v>0.39811354314361236</v>
      </c>
      <c r="I348" s="17">
        <f>'01_원자료'!P345*'03_가중치민감도'!$B$9+'01_원자료'!Q345*'03_가중치민감도'!$C$9+'01_원자료'!R345*'03_가중치민감도'!$D$9</f>
        <v>0.43028807721859746</v>
      </c>
      <c r="J348" s="17">
        <f>'01_원자료'!P345*'03_가중치민감도'!$B$10+'01_원자료'!Q345*'03_가중치민감도'!$C$10+'01_원자료'!R345*'03_가중치민감도'!$D$10</f>
        <v>0.54450367120352339</v>
      </c>
      <c r="K348" s="31">
        <f t="shared" si="30"/>
        <v>39</v>
      </c>
      <c r="L348" s="31">
        <f t="shared" si="31"/>
        <v>27</v>
      </c>
      <c r="M348" s="31">
        <f t="shared" si="32"/>
        <v>37</v>
      </c>
      <c r="N348" s="31">
        <f t="shared" si="33"/>
        <v>41</v>
      </c>
      <c r="O348" s="31">
        <f t="shared" si="34"/>
        <v>32</v>
      </c>
      <c r="P348" s="31">
        <f t="shared" si="35"/>
        <v>57</v>
      </c>
    </row>
    <row r="349" spans="1:16">
      <c r="A349" s="2" t="str">
        <f>'01_원자료'!A346</f>
        <v>PAT-23</v>
      </c>
      <c r="B349" s="2" t="str">
        <f>'01_원자료'!B346</f>
        <v>qwen3_6</v>
      </c>
      <c r="C349" s="2" t="str">
        <f>'01_원자료'!C346</f>
        <v>qwen</v>
      </c>
      <c r="E349" s="17">
        <f>'01_원자료'!P346*'03_가중치민감도'!$B$5+'01_원자료'!Q346*'03_가중치민감도'!$C$5+'01_원자료'!R346*'03_가중치민감도'!$D$5</f>
        <v>0.6401885243865203</v>
      </c>
      <c r="F349" s="17">
        <f>'01_원자료'!P346*'03_가중치민감도'!$B$6+'01_원자료'!Q346*'03_가중치민감도'!$C$6+'01_원자료'!R346*'03_가중치민감도'!$D$6</f>
        <v>0.55496191455291799</v>
      </c>
      <c r="G349" s="17">
        <f>'01_원자료'!P346*'03_가중치민감도'!$B$7+'01_원자료'!Q346*'03_가중치민감도'!$C$7+'01_원자료'!R346*'03_가중치민감도'!$D$7</f>
        <v>0.64093591266541039</v>
      </c>
      <c r="H349" s="17">
        <f>'01_원자료'!P346*'03_가중치민감도'!$B$8+'01_원자료'!Q346*'03_가중치민감도'!$C$8+'01_원자료'!R346*'03_가중치민감도'!$D$8</f>
        <v>0.63645158299206983</v>
      </c>
      <c r="I349" s="17">
        <f>'01_원자료'!P346*'03_가중치민감도'!$B$9+'01_원자료'!Q346*'03_가중치민감도'!$C$9+'01_원자료'!R346*'03_가중치민감도'!$D$9</f>
        <v>0.58312165507115477</v>
      </c>
      <c r="J349" s="17">
        <f>'01_원자료'!P346*'03_가중치민감도'!$B$10+'01_원자료'!Q346*'03_가중치민감도'!$C$10+'01_원자료'!R346*'03_가중치민감도'!$D$10</f>
        <v>0.72392035766234231</v>
      </c>
      <c r="K349" s="31">
        <f t="shared" si="30"/>
        <v>575</v>
      </c>
      <c r="L349" s="31">
        <f t="shared" si="31"/>
        <v>612</v>
      </c>
      <c r="M349" s="31">
        <f t="shared" si="32"/>
        <v>567</v>
      </c>
      <c r="N349" s="31">
        <f t="shared" si="33"/>
        <v>594</v>
      </c>
      <c r="O349" s="31">
        <f t="shared" si="34"/>
        <v>594</v>
      </c>
      <c r="P349" s="31">
        <f t="shared" si="35"/>
        <v>562</v>
      </c>
    </row>
    <row r="350" spans="1:16">
      <c r="A350" s="2" t="str">
        <f>'01_원자료'!A347</f>
        <v>PAT-24</v>
      </c>
      <c r="B350" s="2" t="str">
        <f>'01_원자료'!B347</f>
        <v>chatgpt</v>
      </c>
      <c r="C350" s="2" t="str">
        <f>'01_원자료'!C347</f>
        <v>gemma</v>
      </c>
      <c r="E350" s="17">
        <f>'01_원자료'!P347*'03_가중치민감도'!$B$5+'01_원자료'!Q347*'03_가중치민감도'!$C$5+'01_원자료'!R347*'03_가중치민감도'!$D$5</f>
        <v>0.59474467916318774</v>
      </c>
      <c r="F350" s="17">
        <f>'01_원자료'!P347*'03_가중치민감도'!$B$6+'01_원자료'!Q347*'03_가중치민감도'!$C$6+'01_원자료'!R347*'03_가중치민감도'!$D$6</f>
        <v>0.50675169017200639</v>
      </c>
      <c r="G350" s="17">
        <f>'01_원자료'!P347*'03_가중치민감도'!$B$7+'01_원자료'!Q347*'03_가중치민감도'!$C$7+'01_원자료'!R347*'03_가중치민감도'!$D$7</f>
        <v>0.60178889527722013</v>
      </c>
      <c r="H350" s="17">
        <f>'01_원자료'!P347*'03_가중치민감도'!$B$8+'01_원자료'!Q347*'03_가중치민감도'!$C$8+'01_원자료'!R347*'03_가중치민감도'!$D$8</f>
        <v>0.55952359859302547</v>
      </c>
      <c r="I350" s="17">
        <f>'01_원자료'!P347*'03_가중치민감도'!$B$9+'01_원자료'!Q347*'03_가중치민감도'!$C$9+'01_원자료'!R347*'03_가중치민감도'!$D$9</f>
        <v>0.53373461446438886</v>
      </c>
      <c r="J350" s="17">
        <f>'01_원자료'!P347*'03_가중치민감도'!$B$10+'01_원자료'!Q347*'03_가중치민감도'!$C$10+'01_원자료'!R347*'03_가중치민감도'!$D$10</f>
        <v>0.6686492359263041</v>
      </c>
      <c r="K350" s="31">
        <f t="shared" si="30"/>
        <v>365</v>
      </c>
      <c r="L350" s="31">
        <f t="shared" si="31"/>
        <v>401</v>
      </c>
      <c r="M350" s="31">
        <f t="shared" si="32"/>
        <v>371</v>
      </c>
      <c r="N350" s="31">
        <f t="shared" si="33"/>
        <v>370</v>
      </c>
      <c r="O350" s="31">
        <f t="shared" si="34"/>
        <v>388</v>
      </c>
      <c r="P350" s="31">
        <f t="shared" si="35"/>
        <v>351</v>
      </c>
    </row>
    <row r="351" spans="1:16">
      <c r="A351" s="2" t="str">
        <f>'01_원자료'!A348</f>
        <v>PAT-24</v>
      </c>
      <c r="B351" s="2" t="str">
        <f>'01_원자료'!B348</f>
        <v>chatgpt</v>
      </c>
      <c r="C351" s="2" t="str">
        <f>'01_원자료'!C348</f>
        <v>ministral</v>
      </c>
      <c r="E351" s="17">
        <f>'01_원자료'!P348*'03_가중치민감도'!$B$5+'01_원자료'!Q348*'03_가중치민감도'!$C$5+'01_원자료'!R348*'03_가중치민감도'!$D$5</f>
        <v>0.4980422226800385</v>
      </c>
      <c r="F351" s="17">
        <f>'01_원자료'!P348*'03_가중치민감도'!$B$6+'01_원자료'!Q348*'03_가중치민감도'!$C$6+'01_원자료'!R348*'03_가중치민감도'!$D$6</f>
        <v>0.43381596183031057</v>
      </c>
      <c r="G351" s="17">
        <f>'01_원자료'!P348*'03_가중치민감도'!$B$7+'01_원자료'!Q348*'03_가중치민감도'!$C$7+'01_원자료'!R348*'03_가중치민감도'!$D$7</f>
        <v>0.51771190903377917</v>
      </c>
      <c r="H351" s="17">
        <f>'01_원자료'!P348*'03_가중치민감도'!$B$8+'01_원자료'!Q348*'03_가중치민감도'!$C$8+'01_원자료'!R348*'03_가중치민감도'!$D$8</f>
        <v>0.39969379091133528</v>
      </c>
      <c r="I351" s="17">
        <f>'01_원자료'!P348*'03_가중치민감도'!$B$9+'01_원자료'!Q348*'03_가중치민감도'!$C$9+'01_원자료'!R348*'03_가중치민감도'!$D$9</f>
        <v>0.44866815332897253</v>
      </c>
      <c r="J351" s="17">
        <f>'01_원자료'!P348*'03_가중치민감도'!$B$10+'01_원자료'!Q348*'03_가중치민감도'!$C$10+'01_원자료'!R348*'03_가중치민감도'!$D$10</f>
        <v>0.52292911082228533</v>
      </c>
      <c r="K351" s="31">
        <f t="shared" si="30"/>
        <v>42</v>
      </c>
      <c r="L351" s="31">
        <f t="shared" si="31"/>
        <v>80</v>
      </c>
      <c r="M351" s="31">
        <f t="shared" si="32"/>
        <v>44</v>
      </c>
      <c r="N351" s="31">
        <f t="shared" si="33"/>
        <v>43</v>
      </c>
      <c r="O351" s="31">
        <f t="shared" si="34"/>
        <v>59</v>
      </c>
      <c r="P351" s="31">
        <f t="shared" si="35"/>
        <v>21</v>
      </c>
    </row>
    <row r="352" spans="1:16">
      <c r="A352" s="2" t="str">
        <f>'01_원자료'!A349</f>
        <v>PAT-24</v>
      </c>
      <c r="B352" s="2" t="str">
        <f>'01_원자료'!B349</f>
        <v>chatgpt</v>
      </c>
      <c r="C352" s="2" t="str">
        <f>'01_원자료'!C349</f>
        <v>qwen</v>
      </c>
      <c r="E352" s="17">
        <f>'01_원자료'!P349*'03_가중치민감도'!$B$5+'01_원자료'!Q349*'03_가중치민감도'!$C$5+'01_원자료'!R349*'03_가중치민감도'!$D$5</f>
        <v>0.57178017232701006</v>
      </c>
      <c r="F352" s="17">
        <f>'01_원자료'!P349*'03_가중치민감도'!$B$6+'01_원자료'!Q349*'03_가중치민감도'!$C$6+'01_원자료'!R349*'03_가중치민감도'!$D$6</f>
        <v>0.50351211273801022</v>
      </c>
      <c r="G352" s="17">
        <f>'01_원자료'!P349*'03_가중치민감도'!$B$7+'01_원자료'!Q349*'03_가중치민감도'!$C$7+'01_원자료'!R349*'03_가중치민감도'!$D$7</f>
        <v>0.58372679650985637</v>
      </c>
      <c r="H352" s="17">
        <f>'01_원자료'!P349*'03_가중치민감도'!$B$8+'01_원자료'!Q349*'03_가중치민감도'!$C$8+'01_원자료'!R349*'03_가중치민감도'!$D$8</f>
        <v>0.51204705141277862</v>
      </c>
      <c r="I352" s="17">
        <f>'01_원자료'!P349*'03_가중치민감도'!$B$9+'01_원자료'!Q349*'03_가중치민감도'!$C$9+'01_원자료'!R349*'03_가중치민감도'!$D$9</f>
        <v>0.52228592454006084</v>
      </c>
      <c r="J352" s="17">
        <f>'01_원자료'!P349*'03_가중치민감도'!$B$10+'01_원자료'!Q349*'03_가중치민감도'!$C$10+'01_원자료'!R349*'03_가중치민감도'!$D$10</f>
        <v>0.61615498355031728</v>
      </c>
      <c r="K352" s="31">
        <f t="shared" si="30"/>
        <v>294</v>
      </c>
      <c r="L352" s="31">
        <f t="shared" si="31"/>
        <v>379</v>
      </c>
      <c r="M352" s="31">
        <f t="shared" si="32"/>
        <v>308</v>
      </c>
      <c r="N352" s="31">
        <f t="shared" si="33"/>
        <v>247</v>
      </c>
      <c r="O352" s="31">
        <f t="shared" si="34"/>
        <v>335</v>
      </c>
      <c r="P352" s="31">
        <f t="shared" si="35"/>
        <v>230</v>
      </c>
    </row>
    <row r="353" spans="1:16">
      <c r="A353" s="2" t="str">
        <f>'01_원자료'!A350</f>
        <v>PAT-24</v>
      </c>
      <c r="B353" s="2" t="str">
        <f>'01_원자료'!B350</f>
        <v>claude</v>
      </c>
      <c r="C353" s="2" t="str">
        <f>'01_원자료'!C350</f>
        <v>gemma</v>
      </c>
      <c r="E353" s="17">
        <f>'01_원자료'!P350*'03_가중치민감도'!$B$5+'01_원자료'!Q350*'03_가중치민감도'!$C$5+'01_원자료'!R350*'03_가중치민감도'!$D$5</f>
        <v>0.64233616853900277</v>
      </c>
      <c r="F353" s="17">
        <f>'01_원자료'!P350*'03_가중치민감도'!$B$6+'01_원자료'!Q350*'03_가중치민감도'!$C$6+'01_원자료'!R350*'03_가중치민감도'!$D$6</f>
        <v>0.54809000236770022</v>
      </c>
      <c r="G353" s="17">
        <f>'01_원자료'!P350*'03_가중치민감도'!$B$7+'01_원자료'!Q350*'03_가중치민감도'!$C$7+'01_원자료'!R350*'03_가중치민감도'!$D$7</f>
        <v>0.64179673346856525</v>
      </c>
      <c r="H353" s="17">
        <f>'01_원자료'!P350*'03_가중치민감도'!$B$8+'01_원자료'!Q350*'03_가중치민감도'!$C$8+'01_원자료'!R350*'03_가중치민감도'!$D$8</f>
        <v>0.64503334389119027</v>
      </c>
      <c r="I353" s="17">
        <f>'01_원자료'!P350*'03_가중치민감도'!$B$9+'01_원자료'!Q350*'03_가중치민감도'!$C$9+'01_원자료'!R350*'03_가중치민감도'!$D$9</f>
        <v>0.57968520278161295</v>
      </c>
      <c r="J353" s="17">
        <f>'01_원자료'!P350*'03_가중치민감도'!$B$10+'01_원자료'!Q350*'03_가중치민감도'!$C$10+'01_원자료'!R350*'03_가중치민감도'!$D$10</f>
        <v>0.73766120485118036</v>
      </c>
      <c r="K353" s="31">
        <f t="shared" si="30"/>
        <v>584</v>
      </c>
      <c r="L353" s="31">
        <f t="shared" si="31"/>
        <v>579</v>
      </c>
      <c r="M353" s="31">
        <f t="shared" si="32"/>
        <v>573</v>
      </c>
      <c r="N353" s="31">
        <f t="shared" si="33"/>
        <v>628</v>
      </c>
      <c r="O353" s="31">
        <f t="shared" si="34"/>
        <v>581</v>
      </c>
      <c r="P353" s="31">
        <f t="shared" si="35"/>
        <v>615</v>
      </c>
    </row>
    <row r="354" spans="1:16">
      <c r="A354" s="2" t="str">
        <f>'01_원자료'!A351</f>
        <v>PAT-24</v>
      </c>
      <c r="B354" s="2" t="str">
        <f>'01_원자료'!B351</f>
        <v>claude</v>
      </c>
      <c r="C354" s="2" t="str">
        <f>'01_원자료'!C351</f>
        <v>ministral</v>
      </c>
      <c r="E354" s="17">
        <f>'01_원자료'!P351*'03_가중치민감도'!$B$5+'01_원자료'!Q351*'03_가중치민감도'!$C$5+'01_원자료'!R351*'03_가중치민감도'!$D$5</f>
        <v>0.55987636684940756</v>
      </c>
      <c r="F354" s="17">
        <f>'01_원자료'!P351*'03_가중치민감도'!$B$6+'01_원자료'!Q351*'03_가중치민감도'!$C$6+'01_원자료'!R351*'03_가중치민감도'!$D$6</f>
        <v>0.49059572036424404</v>
      </c>
      <c r="G354" s="17">
        <f>'01_원자료'!P351*'03_가중치민감도'!$B$7+'01_원자료'!Q351*'03_가중치민감도'!$C$7+'01_원자료'!R351*'03_가중치민감도'!$D$7</f>
        <v>0.57421985964171673</v>
      </c>
      <c r="H354" s="17">
        <f>'01_원자료'!P351*'03_가중치민감도'!$B$8+'01_원자료'!Q351*'03_가중치민감도'!$C$8+'01_원자료'!R351*'03_가중치민감도'!$D$8</f>
        <v>0.48815890288786212</v>
      </c>
      <c r="I354" s="17">
        <f>'01_원자료'!P351*'03_가중치민감도'!$B$9+'01_원자료'!Q351*'03_가중치민감도'!$C$9+'01_원자료'!R351*'03_가중치민감도'!$D$9</f>
        <v>0.50890810492852823</v>
      </c>
      <c r="J354" s="17">
        <f>'01_원자료'!P351*'03_가중치민감도'!$B$10+'01_원자료'!Q351*'03_가중치민감도'!$C$10+'01_원자료'!R351*'03_가중치민감도'!$D$10</f>
        <v>0.60047002774995306</v>
      </c>
      <c r="K354" s="31">
        <f t="shared" si="30"/>
        <v>249</v>
      </c>
      <c r="L354" s="31">
        <f t="shared" si="31"/>
        <v>316</v>
      </c>
      <c r="M354" s="31">
        <f t="shared" si="32"/>
        <v>263</v>
      </c>
      <c r="N354" s="31">
        <f t="shared" si="33"/>
        <v>191</v>
      </c>
      <c r="O354" s="31">
        <f t="shared" si="34"/>
        <v>282</v>
      </c>
      <c r="P354" s="31">
        <f t="shared" si="35"/>
        <v>190</v>
      </c>
    </row>
    <row r="355" spans="1:16">
      <c r="A355" s="2" t="str">
        <f>'01_원자료'!A352</f>
        <v>PAT-24</v>
      </c>
      <c r="B355" s="2" t="str">
        <f>'01_원자료'!B352</f>
        <v>claude</v>
      </c>
      <c r="C355" s="2" t="str">
        <f>'01_원자료'!C352</f>
        <v>qwen</v>
      </c>
      <c r="E355" s="17">
        <f>'01_원자료'!P352*'03_가중치민감도'!$B$5+'01_원자료'!Q352*'03_가중치민감도'!$C$5+'01_원자료'!R352*'03_가중치민감도'!$D$5</f>
        <v>0.72210576400981619</v>
      </c>
      <c r="F355" s="17">
        <f>'01_원자료'!P352*'03_가중치민감도'!$B$6+'01_원자료'!Q352*'03_가중치민감도'!$C$6+'01_원자료'!R352*'03_가중치민감도'!$D$6</f>
        <v>0.64408089428252113</v>
      </c>
      <c r="G355" s="17">
        <f>'01_원자료'!P352*'03_가중치민감도'!$B$7+'01_원자료'!Q352*'03_가중치민감도'!$C$7+'01_원자료'!R352*'03_가중치민감도'!$D$7</f>
        <v>0.7161973379852633</v>
      </c>
      <c r="H355" s="17">
        <f>'01_원자료'!P352*'03_가중치민감도'!$B$8+'01_원자료'!Q352*'03_가중치민감도'!$C$8+'01_원자료'!R352*'03_가중치민감도'!$D$8</f>
        <v>0.75164789413258071</v>
      </c>
      <c r="I355" s="17">
        <f>'01_원자료'!P352*'03_가중치민감도'!$B$9+'01_원자료'!Q352*'03_가중치민감도'!$C$9+'01_원자료'!R352*'03_가중치민감도'!$D$9</f>
        <v>0.67205865953313637</v>
      </c>
      <c r="J355" s="17">
        <f>'01_원자료'!P352*'03_가중치민감도'!$B$10+'01_원자료'!Q352*'03_가중치민감도'!$C$10+'01_원자료'!R352*'03_가중치민감도'!$D$10</f>
        <v>0.81194748578621723</v>
      </c>
      <c r="K355" s="31">
        <f t="shared" si="30"/>
        <v>886</v>
      </c>
      <c r="L355" s="31">
        <f t="shared" si="31"/>
        <v>949</v>
      </c>
      <c r="M355" s="31">
        <f t="shared" si="32"/>
        <v>892</v>
      </c>
      <c r="N355" s="31">
        <f t="shared" si="33"/>
        <v>849</v>
      </c>
      <c r="O355" s="31">
        <f t="shared" si="34"/>
        <v>934</v>
      </c>
      <c r="P355" s="31">
        <f t="shared" si="35"/>
        <v>837</v>
      </c>
    </row>
    <row r="356" spans="1:16">
      <c r="A356" s="2" t="str">
        <f>'01_원자료'!A353</f>
        <v>PAT-24</v>
      </c>
      <c r="B356" s="2" t="str">
        <f>'01_원자료'!B353</f>
        <v>gemini</v>
      </c>
      <c r="C356" s="2" t="str">
        <f>'01_원자료'!C353</f>
        <v>gemma</v>
      </c>
      <c r="E356" s="17">
        <f>'01_원자료'!P353*'03_가중치민감도'!$B$5+'01_원자료'!Q353*'03_가중치민감도'!$C$5+'01_원자료'!R353*'03_가중치민감도'!$D$5</f>
        <v>0.75109768760880669</v>
      </c>
      <c r="F356" s="17">
        <f>'01_원자료'!P353*'03_가중치민감도'!$B$6+'01_원자료'!Q353*'03_가중치민감도'!$C$6+'01_원자료'!R353*'03_가중치민감도'!$D$6</f>
        <v>0.63549179673398482</v>
      </c>
      <c r="G356" s="17">
        <f>'01_원자료'!P353*'03_가중치민감도'!$B$7+'01_원자료'!Q353*'03_가중치민감도'!$C$7+'01_원자료'!R353*'03_가중치민감도'!$D$7</f>
        <v>0.74490052129518036</v>
      </c>
      <c r="H356" s="17">
        <f>'01_원자료'!P353*'03_가중치민감도'!$B$8+'01_원자료'!Q353*'03_가중치민감도'!$C$8+'01_원자료'!R353*'03_가중치민감도'!$D$8</f>
        <v>0.78208351917693819</v>
      </c>
      <c r="I356" s="17">
        <f>'01_원자료'!P353*'03_가중치민감도'!$B$9+'01_원자료'!Q353*'03_가중치민감도'!$C$9+'01_원자료'!R353*'03_가중치민감도'!$D$9</f>
        <v>0.67609281579680014</v>
      </c>
      <c r="J356" s="17">
        <f>'01_원자료'!P353*'03_가중치민감도'!$B$10+'01_원자료'!Q353*'03_가중치민감도'!$C$10+'01_원자료'!R353*'03_가중치민감도'!$D$10</f>
        <v>0.8790979111108812</v>
      </c>
      <c r="K356" s="31">
        <f t="shared" si="30"/>
        <v>955</v>
      </c>
      <c r="L356" s="31">
        <f t="shared" si="31"/>
        <v>932</v>
      </c>
      <c r="M356" s="31">
        <f t="shared" si="32"/>
        <v>957</v>
      </c>
      <c r="N356" s="31">
        <f t="shared" si="33"/>
        <v>941</v>
      </c>
      <c r="O356" s="31">
        <f t="shared" si="34"/>
        <v>939</v>
      </c>
      <c r="P356" s="31">
        <f t="shared" si="35"/>
        <v>968</v>
      </c>
    </row>
    <row r="357" spans="1:16">
      <c r="A357" s="2" t="str">
        <f>'01_원자료'!A354</f>
        <v>PAT-24</v>
      </c>
      <c r="B357" s="2" t="str">
        <f>'01_원자료'!B354</f>
        <v>gemini</v>
      </c>
      <c r="C357" s="2" t="str">
        <f>'01_원자료'!C354</f>
        <v>ministral</v>
      </c>
      <c r="E357" s="17">
        <f>'01_원자료'!P354*'03_가중치민감도'!$B$5+'01_원자료'!Q354*'03_가중치민감도'!$C$5+'01_원자료'!R354*'03_가중치민감도'!$D$5</f>
        <v>0.53756209439558333</v>
      </c>
      <c r="F357" s="17">
        <f>'01_원자료'!P354*'03_가중치민감도'!$B$6+'01_원자료'!Q354*'03_가중치민감도'!$C$6+'01_원자료'!R354*'03_가중치민감도'!$D$6</f>
        <v>0.4527714536954347</v>
      </c>
      <c r="G357" s="17">
        <f>'01_원자료'!P354*'03_가중치민감도'!$B$7+'01_원자료'!Q354*'03_가중치민감도'!$C$7+'01_원자료'!R354*'03_가중치민감도'!$D$7</f>
        <v>0.55517550135275262</v>
      </c>
      <c r="H357" s="17">
        <f>'01_원자료'!P354*'03_가중치민감도'!$B$8+'01_원자료'!Q354*'03_가중치민감도'!$C$8+'01_원자료'!R354*'03_가중치민감도'!$D$8</f>
        <v>0.44949505960973696</v>
      </c>
      <c r="I357" s="17">
        <f>'01_원자료'!P354*'03_가중치민감도'!$B$9+'01_원자료'!Q354*'03_가중치민감도'!$C$9+'01_원자료'!R354*'03_가중치민감도'!$D$9</f>
        <v>0.47516386494309398</v>
      </c>
      <c r="J357" s="17">
        <f>'01_원자료'!P354*'03_가중치민감도'!$B$10+'01_원자료'!Q354*'03_가중치민감도'!$C$10+'01_원자료'!R354*'03_가중치민감도'!$D$10</f>
        <v>0.58712592118139328</v>
      </c>
      <c r="K357" s="31">
        <f t="shared" si="30"/>
        <v>160</v>
      </c>
      <c r="L357" s="31">
        <f t="shared" si="31"/>
        <v>149</v>
      </c>
      <c r="M357" s="31">
        <f t="shared" si="32"/>
        <v>182</v>
      </c>
      <c r="N357" s="31">
        <f t="shared" si="33"/>
        <v>136</v>
      </c>
      <c r="O357" s="31">
        <f t="shared" si="34"/>
        <v>154</v>
      </c>
      <c r="P357" s="31">
        <f t="shared" si="35"/>
        <v>148</v>
      </c>
    </row>
    <row r="358" spans="1:16">
      <c r="A358" s="2" t="str">
        <f>'01_원자료'!A355</f>
        <v>PAT-24</v>
      </c>
      <c r="B358" s="2" t="str">
        <f>'01_원자료'!B355</f>
        <v>gemini</v>
      </c>
      <c r="C358" s="2" t="str">
        <f>'01_원자료'!C355</f>
        <v>qwen</v>
      </c>
      <c r="E358" s="17">
        <f>'01_원자료'!P355*'03_가중치민감도'!$B$5+'01_원자료'!Q355*'03_가중치민감도'!$C$5+'01_원자료'!R355*'03_가중치민감도'!$D$5</f>
        <v>0.70895738536909625</v>
      </c>
      <c r="F358" s="17">
        <f>'01_원자료'!P355*'03_가중치민감도'!$B$6+'01_원자료'!Q355*'03_가중치민감도'!$C$6+'01_원자료'!R355*'03_가중치민감도'!$D$6</f>
        <v>0.60852957037130606</v>
      </c>
      <c r="G358" s="17">
        <f>'01_원자료'!P355*'03_가중치민감도'!$B$7+'01_원자료'!Q355*'03_가중치민감도'!$C$7+'01_원자료'!R355*'03_가중치민감도'!$D$7</f>
        <v>0.70971906056306877</v>
      </c>
      <c r="H358" s="17">
        <f>'01_원자료'!P355*'03_가중치민감도'!$B$8+'01_원자료'!Q355*'03_가중치민감도'!$C$8+'01_원자료'!R355*'03_가중치민감도'!$D$8</f>
        <v>0.70514900939923342</v>
      </c>
      <c r="I358" s="17">
        <f>'01_원자료'!P355*'03_가중치민감도'!$B$9+'01_원자료'!Q355*'03_가중치민감도'!$C$9+'01_원자료'!R355*'03_가중치민감도'!$D$9</f>
        <v>0.64175161697257799</v>
      </c>
      <c r="J358" s="17">
        <f>'01_원자료'!P355*'03_가중치민감도'!$B$10+'01_원자료'!Q355*'03_가중치민감도'!$C$10+'01_원자료'!R355*'03_가중치민감도'!$D$10</f>
        <v>0.80786184997894128</v>
      </c>
      <c r="K358" s="31">
        <f t="shared" si="30"/>
        <v>841</v>
      </c>
      <c r="L358" s="31">
        <f t="shared" si="31"/>
        <v>849</v>
      </c>
      <c r="M358" s="31">
        <f t="shared" si="32"/>
        <v>866</v>
      </c>
      <c r="N358" s="31">
        <f t="shared" si="33"/>
        <v>800</v>
      </c>
      <c r="O358" s="31">
        <f t="shared" si="34"/>
        <v>844</v>
      </c>
      <c r="P358" s="31">
        <f t="shared" si="35"/>
        <v>831</v>
      </c>
    </row>
    <row r="359" spans="1:16">
      <c r="A359" s="2" t="str">
        <f>'01_원자료'!A356</f>
        <v>PAT-24</v>
      </c>
      <c r="B359" s="2" t="str">
        <f>'01_원자료'!B356</f>
        <v>mistral</v>
      </c>
      <c r="C359" s="2" t="str">
        <f>'01_원자료'!C356</f>
        <v>gemma</v>
      </c>
      <c r="E359" s="17">
        <f>'01_원자료'!P356*'03_가중치민감도'!$B$5+'01_원자료'!Q356*'03_가중치민감도'!$C$5+'01_원자료'!R356*'03_가중치민감도'!$D$5</f>
        <v>0.68022869943368858</v>
      </c>
      <c r="F359" s="17">
        <f>'01_원자료'!P356*'03_가중치민감도'!$B$6+'01_원자료'!Q356*'03_가중치민감도'!$C$6+'01_원자료'!R356*'03_가중치민감도'!$D$6</f>
        <v>0.57632989078675112</v>
      </c>
      <c r="G359" s="17">
        <f>'01_원자료'!P356*'03_가중치민감도'!$B$7+'01_원자료'!Q356*'03_가중치민감도'!$C$7+'01_원자료'!R356*'03_가중치민감도'!$D$7</f>
        <v>0.67639700838240446</v>
      </c>
      <c r="H359" s="17">
        <f>'01_원자료'!P356*'03_가중치민감도'!$B$8+'01_원자료'!Q356*'03_가중치민감도'!$C$8+'01_원자료'!R356*'03_가중치민감도'!$D$8</f>
        <v>0.69938715469010937</v>
      </c>
      <c r="I359" s="17">
        <f>'01_원자료'!P356*'03_가중치민감도'!$B$9+'01_원자료'!Q356*'03_가중치민감도'!$C$9+'01_원자료'!R356*'03_가중치민감도'!$D$9</f>
        <v>0.61224005735282439</v>
      </c>
      <c r="J359" s="17">
        <f>'01_원자료'!P356*'03_가중치민감도'!$B$10+'01_원자료'!Q356*'03_가중치민감도'!$C$10+'01_원자료'!R356*'03_가중치민감도'!$D$10</f>
        <v>0.79179089018319437</v>
      </c>
      <c r="K359" s="31">
        <f t="shared" si="30"/>
        <v>759</v>
      </c>
      <c r="L359" s="31">
        <f t="shared" si="31"/>
        <v>724</v>
      </c>
      <c r="M359" s="31">
        <f t="shared" si="32"/>
        <v>749</v>
      </c>
      <c r="N359" s="31">
        <f t="shared" si="33"/>
        <v>786</v>
      </c>
      <c r="O359" s="31">
        <f t="shared" si="34"/>
        <v>735</v>
      </c>
      <c r="P359" s="31">
        <f t="shared" si="35"/>
        <v>788</v>
      </c>
    </row>
    <row r="360" spans="1:16">
      <c r="A360" s="2" t="str">
        <f>'01_원자료'!A357</f>
        <v>PAT-24</v>
      </c>
      <c r="B360" s="2" t="str">
        <f>'01_원자료'!B357</f>
        <v>mistral</v>
      </c>
      <c r="C360" s="2" t="str">
        <f>'01_원자료'!C357</f>
        <v>ministral</v>
      </c>
      <c r="E360" s="17">
        <f>'01_원자료'!P357*'03_가중치민감도'!$B$5+'01_원자료'!Q357*'03_가중치민감도'!$C$5+'01_원자료'!R357*'03_가중치민감도'!$D$5</f>
        <v>0.53126962913150755</v>
      </c>
      <c r="F360" s="17">
        <f>'01_원자료'!P357*'03_가중치민감도'!$B$6+'01_원자료'!Q357*'03_가중치민감도'!$C$6+'01_원자료'!R357*'03_가중치민감도'!$D$6</f>
        <v>0.45281849047096356</v>
      </c>
      <c r="G360" s="17">
        <f>'01_원자료'!P357*'03_가중치민감도'!$B$7+'01_원자료'!Q357*'03_가중치민감도'!$C$7+'01_원자료'!R357*'03_가중치민감도'!$D$7</f>
        <v>0.54866044652750257</v>
      </c>
      <c r="H360" s="17">
        <f>'01_원자료'!P357*'03_가중치민감도'!$B$8+'01_원자료'!Q357*'03_가중치민감도'!$C$8+'01_원자료'!R357*'03_가중치민감도'!$D$8</f>
        <v>0.44431554215153291</v>
      </c>
      <c r="I360" s="17">
        <f>'01_원자료'!P357*'03_가중치민감도'!$B$9+'01_원자료'!Q357*'03_가중치민감도'!$C$9+'01_원자료'!R357*'03_가중치민감도'!$D$9</f>
        <v>0.47317193089247944</v>
      </c>
      <c r="J360" s="17">
        <f>'01_원자료'!P357*'03_가중치민감도'!$B$10+'01_원자료'!Q357*'03_가중치민감도'!$C$10+'01_원자료'!R357*'03_가중치민감도'!$D$10</f>
        <v>0.57493913300006172</v>
      </c>
      <c r="K360" s="31">
        <f t="shared" si="30"/>
        <v>137</v>
      </c>
      <c r="L360" s="31">
        <f t="shared" si="31"/>
        <v>150</v>
      </c>
      <c r="M360" s="31">
        <f t="shared" si="32"/>
        <v>150</v>
      </c>
      <c r="N360" s="31">
        <f t="shared" si="33"/>
        <v>126</v>
      </c>
      <c r="O360" s="31">
        <f t="shared" si="34"/>
        <v>142</v>
      </c>
      <c r="P360" s="31">
        <f t="shared" si="35"/>
        <v>119</v>
      </c>
    </row>
    <row r="361" spans="1:16">
      <c r="A361" s="2" t="str">
        <f>'01_원자료'!A358</f>
        <v>PAT-24</v>
      </c>
      <c r="B361" s="2" t="str">
        <f>'01_원자료'!B358</f>
        <v>mistral</v>
      </c>
      <c r="C361" s="2" t="str">
        <f>'01_원자료'!C358</f>
        <v>qwen</v>
      </c>
      <c r="E361" s="17">
        <f>'01_원자료'!P358*'03_가중치민감도'!$B$5+'01_원자료'!Q358*'03_가중치민감도'!$C$5+'01_원자료'!R358*'03_가중치민감도'!$D$5</f>
        <v>0.63425334131940203</v>
      </c>
      <c r="F361" s="17">
        <f>'01_원자료'!P358*'03_가중치민감도'!$B$6+'01_원자료'!Q358*'03_가중치민감도'!$C$6+'01_원자료'!R358*'03_가중치민감도'!$D$6</f>
        <v>0.54105451115009784</v>
      </c>
      <c r="G361" s="17">
        <f>'01_원자료'!P358*'03_가중치민감도'!$B$7+'01_원자료'!Q358*'03_가중치민감도'!$C$7+'01_원자료'!R358*'03_가중치민감도'!$D$7</f>
        <v>0.63603040136176159</v>
      </c>
      <c r="H361" s="17">
        <f>'01_원자료'!P358*'03_가중치민감도'!$B$8+'01_원자료'!Q358*'03_가중치민감도'!$C$8+'01_원자료'!R358*'03_가중치민감도'!$D$8</f>
        <v>0.62536804110760447</v>
      </c>
      <c r="I361" s="17">
        <f>'01_원자료'!P358*'03_가중치민감도'!$B$9+'01_원자료'!Q358*'03_가중치민감도'!$C$9+'01_원자료'!R358*'03_가중치민감도'!$D$9</f>
        <v>0.57152843452574553</v>
      </c>
      <c r="J361" s="17">
        <f>'01_원자료'!P358*'03_가중치민감도'!$B$10+'01_원자료'!Q358*'03_가중치민감도'!$C$10+'01_원자료'!R358*'03_가중치민감도'!$D$10</f>
        <v>0.72389805140398722</v>
      </c>
      <c r="K361" s="31">
        <f t="shared" si="30"/>
        <v>549</v>
      </c>
      <c r="L361" s="31">
        <f t="shared" si="31"/>
        <v>545</v>
      </c>
      <c r="M361" s="31">
        <f t="shared" si="32"/>
        <v>543</v>
      </c>
      <c r="N361" s="31">
        <f t="shared" si="33"/>
        <v>565</v>
      </c>
      <c r="O361" s="31">
        <f t="shared" si="34"/>
        <v>548</v>
      </c>
      <c r="P361" s="31">
        <f t="shared" si="35"/>
        <v>561</v>
      </c>
    </row>
    <row r="362" spans="1:16">
      <c r="A362" s="2" t="str">
        <f>'01_원자료'!A359</f>
        <v>PAT-24</v>
      </c>
      <c r="B362" s="2" t="str">
        <f>'01_원자료'!B359</f>
        <v>qwen3_6</v>
      </c>
      <c r="C362" s="2" t="str">
        <f>'01_원자료'!C359</f>
        <v>gemma</v>
      </c>
      <c r="E362" s="17">
        <f>'01_원자료'!P359*'03_가중치민감도'!$B$5+'01_원자료'!Q359*'03_가중치민감도'!$C$5+'01_원자료'!R359*'03_가중치민감도'!$D$5</f>
        <v>0.71997500159896877</v>
      </c>
      <c r="F362" s="17">
        <f>'01_원자료'!P359*'03_가중치민감도'!$B$6+'01_원자료'!Q359*'03_가중치민감도'!$C$6+'01_원자료'!R359*'03_가중치민감도'!$D$6</f>
        <v>0.61868544271496162</v>
      </c>
      <c r="G362" s="17">
        <f>'01_원자료'!P359*'03_가중치민감도'!$B$7+'01_원자료'!Q359*'03_가중치민감도'!$C$7+'01_원자료'!R359*'03_가중치민감도'!$D$7</f>
        <v>0.70999125045195477</v>
      </c>
      <c r="H362" s="17">
        <f>'01_원자료'!P359*'03_가중치민감도'!$B$8+'01_원자료'!Q359*'03_가중치민감도'!$C$8+'01_원자료'!R359*'03_가중치민감도'!$D$8</f>
        <v>0.76989375733403898</v>
      </c>
      <c r="I362" s="17">
        <f>'01_원자료'!P359*'03_가중치민감도'!$B$9+'01_원자료'!Q359*'03_가중치민감도'!$C$9+'01_원자료'!R359*'03_가중치민감도'!$D$9</f>
        <v>0.65577654605863467</v>
      </c>
      <c r="J362" s="17">
        <f>'01_원자료'!P359*'03_가중치민감도'!$B$10+'01_원자료'!Q359*'03_가중치민감도'!$C$10+'01_원자료'!R359*'03_가중치민감도'!$D$10</f>
        <v>0.84123206277700413</v>
      </c>
      <c r="K362" s="31">
        <f t="shared" si="30"/>
        <v>879</v>
      </c>
      <c r="L362" s="31">
        <f t="shared" si="31"/>
        <v>885</v>
      </c>
      <c r="M362" s="31">
        <f t="shared" si="32"/>
        <v>870</v>
      </c>
      <c r="N362" s="31">
        <f t="shared" si="33"/>
        <v>898</v>
      </c>
      <c r="O362" s="31">
        <f t="shared" si="34"/>
        <v>891</v>
      </c>
      <c r="P362" s="31">
        <f t="shared" si="35"/>
        <v>863</v>
      </c>
    </row>
    <row r="363" spans="1:16">
      <c r="A363" s="2" t="str">
        <f>'01_원자료'!A360</f>
        <v>PAT-24</v>
      </c>
      <c r="B363" s="2" t="str">
        <f>'01_원자료'!B360</f>
        <v>qwen3_6</v>
      </c>
      <c r="C363" s="2" t="str">
        <f>'01_원자료'!C360</f>
        <v>ministral</v>
      </c>
      <c r="E363" s="17">
        <f>'01_원자료'!P360*'03_가중치민감도'!$B$5+'01_원자료'!Q360*'03_가중치민감도'!$C$5+'01_원자료'!R360*'03_가중치민감도'!$D$5</f>
        <v>0.5211402629258548</v>
      </c>
      <c r="F363" s="17">
        <f>'01_원자료'!P360*'03_가중치민감도'!$B$6+'01_원자료'!Q360*'03_가중치민감도'!$C$6+'01_원자료'!R360*'03_가중치민감도'!$D$6</f>
        <v>0.44869816149288033</v>
      </c>
      <c r="G363" s="17">
        <f>'01_원자료'!P360*'03_가중치민감도'!$B$7+'01_원자료'!Q360*'03_가중치민감도'!$C$7+'01_원자료'!R360*'03_가중치민감도'!$D$7</f>
        <v>0.53635613898828216</v>
      </c>
      <c r="H363" s="17">
        <f>'01_원자료'!P360*'03_가중치민감도'!$B$8+'01_원자료'!Q360*'03_가중치민감도'!$C$8+'01_원자료'!R360*'03_가중치민감도'!$D$8</f>
        <v>0.4450608826137179</v>
      </c>
      <c r="I363" s="17">
        <f>'01_원자료'!P360*'03_가중치민감도'!$B$9+'01_원자료'!Q360*'03_가중치민감도'!$C$9+'01_원자료'!R360*'03_가중치민감도'!$D$9</f>
        <v>0.46777356994972891</v>
      </c>
      <c r="J363" s="17">
        <f>'01_원자료'!P360*'03_가중치민감도'!$B$10+'01_원자료'!Q360*'03_가중치민감도'!$C$10+'01_원자료'!R360*'03_가중치민감도'!$D$10</f>
        <v>0.56315061223397445</v>
      </c>
      <c r="K363" s="31">
        <f t="shared" si="30"/>
        <v>95</v>
      </c>
      <c r="L363" s="31">
        <f t="shared" si="31"/>
        <v>134</v>
      </c>
      <c r="M363" s="31">
        <f t="shared" si="32"/>
        <v>91</v>
      </c>
      <c r="N363" s="31">
        <f t="shared" si="33"/>
        <v>129</v>
      </c>
      <c r="O363" s="31">
        <f t="shared" si="34"/>
        <v>121</v>
      </c>
      <c r="P363" s="31">
        <f t="shared" si="35"/>
        <v>96</v>
      </c>
    </row>
    <row r="364" spans="1:16">
      <c r="A364" s="2" t="str">
        <f>'01_원자료'!A361</f>
        <v>PAT-24</v>
      </c>
      <c r="B364" s="2" t="str">
        <f>'01_원자료'!B361</f>
        <v>qwen3_6</v>
      </c>
      <c r="C364" s="2" t="str">
        <f>'01_원자료'!C361</f>
        <v>qwen</v>
      </c>
      <c r="E364" s="17">
        <f>'01_원자료'!P361*'03_가중치민감도'!$B$5+'01_원자료'!Q361*'03_가중치민감도'!$C$5+'01_원자료'!R361*'03_가중치민감도'!$D$5</f>
        <v>0.69604443984894959</v>
      </c>
      <c r="F364" s="17">
        <f>'01_원자료'!P361*'03_가중치민감도'!$B$6+'01_원자료'!Q361*'03_가중치민감도'!$C$6+'01_원자료'!R361*'03_가중치민감도'!$D$6</f>
        <v>0.61073521878165726</v>
      </c>
      <c r="G364" s="17">
        <f>'01_원자료'!P361*'03_가중치민감도'!$B$7+'01_원자료'!Q361*'03_가중치민감도'!$C$7+'01_원자료'!R361*'03_가중치민감도'!$D$7</f>
        <v>0.69447015342203511</v>
      </c>
      <c r="H364" s="17">
        <f>'01_원자료'!P361*'03_가중치민감도'!$B$8+'01_원자료'!Q361*'03_가중치민감도'!$C$8+'01_원자료'!R361*'03_가중치민감도'!$D$8</f>
        <v>0.70391587198352201</v>
      </c>
      <c r="I364" s="17">
        <f>'01_원자료'!P361*'03_가중치민감도'!$B$9+'01_원자료'!Q361*'03_가중치민감도'!$C$9+'01_원자료'!R361*'03_가중치민감도'!$D$9</f>
        <v>0.63969638794639216</v>
      </c>
      <c r="J364" s="17">
        <f>'01_원자료'!P361*'03_가중치민감도'!$B$10+'01_원자료'!Q361*'03_가중치민감도'!$C$10+'01_원자료'!R361*'03_가중치민감도'!$D$10</f>
        <v>0.78450223377007078</v>
      </c>
      <c r="K364" s="31">
        <f t="shared" si="30"/>
        <v>809</v>
      </c>
      <c r="L364" s="31">
        <f t="shared" si="31"/>
        <v>862</v>
      </c>
      <c r="M364" s="31">
        <f t="shared" si="32"/>
        <v>812</v>
      </c>
      <c r="N364" s="31">
        <f t="shared" si="33"/>
        <v>797</v>
      </c>
      <c r="O364" s="31">
        <f t="shared" si="34"/>
        <v>837</v>
      </c>
      <c r="P364" s="31">
        <f t="shared" si="35"/>
        <v>771</v>
      </c>
    </row>
    <row r="365" spans="1:16">
      <c r="A365" s="2" t="str">
        <f>'01_원자료'!A362</f>
        <v>PAT-25</v>
      </c>
      <c r="B365" s="2" t="str">
        <f>'01_원자료'!B362</f>
        <v>chatgpt</v>
      </c>
      <c r="C365" s="2" t="str">
        <f>'01_원자료'!C362</f>
        <v>gemma</v>
      </c>
      <c r="E365" s="17">
        <f>'01_원자료'!P362*'03_가중치민감도'!$B$5+'01_원자료'!Q362*'03_가중치민감도'!$C$5+'01_원자료'!R362*'03_가중치민감도'!$D$5</f>
        <v>0.56320349367358769</v>
      </c>
      <c r="F365" s="17">
        <f>'01_원자료'!P362*'03_가중치민감도'!$B$6+'01_원자료'!Q362*'03_가중치민감도'!$C$6+'01_원자료'!R362*'03_가중치민감도'!$D$6</f>
        <v>0.4774210318872909</v>
      </c>
      <c r="G365" s="17">
        <f>'01_원자료'!P362*'03_가중치민감도'!$B$7+'01_원자료'!Q362*'03_가중치민감도'!$C$7+'01_원자료'!R362*'03_가중치민감도'!$D$7</f>
        <v>0.56977391598322125</v>
      </c>
      <c r="H365" s="17">
        <f>'01_원자료'!P362*'03_가중치민감도'!$B$8+'01_원자료'!Q362*'03_가중치민감도'!$C$8+'01_원자료'!R362*'03_가중치민감도'!$D$8</f>
        <v>0.53035138212541977</v>
      </c>
      <c r="I365" s="17">
        <f>'01_원자료'!P362*'03_가중치민감도'!$B$9+'01_원자료'!Q362*'03_가중치민감도'!$C$9+'01_원자료'!R362*'03_가중치민감도'!$D$9</f>
        <v>0.50382504504617809</v>
      </c>
      <c r="J365" s="17">
        <f>'01_원자료'!P362*'03_가중치민감도'!$B$10+'01_원자료'!Q362*'03_가중치민감도'!$C$10+'01_원자료'!R362*'03_가중치민감도'!$D$10</f>
        <v>0.63584511084061723</v>
      </c>
      <c r="K365" s="31">
        <f t="shared" si="30"/>
        <v>261</v>
      </c>
      <c r="L365" s="31">
        <f t="shared" si="31"/>
        <v>258</v>
      </c>
      <c r="M365" s="31">
        <f t="shared" si="32"/>
        <v>244</v>
      </c>
      <c r="N365" s="31">
        <f t="shared" si="33"/>
        <v>278</v>
      </c>
      <c r="O365" s="31">
        <f t="shared" si="34"/>
        <v>262</v>
      </c>
      <c r="P365" s="31">
        <f t="shared" si="35"/>
        <v>278</v>
      </c>
    </row>
    <row r="366" spans="1:16">
      <c r="A366" s="2" t="str">
        <f>'01_원자료'!A363</f>
        <v>PAT-25</v>
      </c>
      <c r="B366" s="2" t="str">
        <f>'01_원자료'!B363</f>
        <v>chatgpt</v>
      </c>
      <c r="C366" s="2" t="str">
        <f>'01_원자료'!C363</f>
        <v>ministral</v>
      </c>
      <c r="E366" s="17">
        <f>'01_원자료'!P363*'03_가중치민감도'!$B$5+'01_원자료'!Q363*'03_가중치민감도'!$C$5+'01_원자료'!R363*'03_가중치민감도'!$D$5</f>
        <v>0.55764850929349752</v>
      </c>
      <c r="F366" s="17">
        <f>'01_원자료'!P363*'03_가중치민감도'!$B$6+'01_원자료'!Q363*'03_가중치민감도'!$C$6+'01_원자료'!R363*'03_가중치민감도'!$D$6</f>
        <v>0.46237621210945085</v>
      </c>
      <c r="G366" s="17">
        <f>'01_원자료'!P363*'03_가중치민감도'!$B$7+'01_원자료'!Q363*'03_가중치민감도'!$C$7+'01_원자료'!R363*'03_가중치민감도'!$D$7</f>
        <v>0.56951579041563583</v>
      </c>
      <c r="H366" s="17">
        <f>'01_원자료'!P363*'03_가중치민감도'!$B$8+'01_원자료'!Q363*'03_가중치민감도'!$C$8+'01_원자료'!R363*'03_가중치민감도'!$D$8</f>
        <v>0.4983121036828061</v>
      </c>
      <c r="I366" s="17">
        <f>'01_원자료'!P363*'03_가중치민감도'!$B$9+'01_원자료'!Q363*'03_가중치민감도'!$C$9+'01_원자료'!R363*'03_가중치민감도'!$D$9</f>
        <v>0.49017788413008645</v>
      </c>
      <c r="J366" s="17">
        <f>'01_원자료'!P363*'03_가중치민감도'!$B$10+'01_원자료'!Q363*'03_가중치민감도'!$C$10+'01_원자료'!R363*'03_가중치민감도'!$D$10</f>
        <v>0.62918624423326763</v>
      </c>
      <c r="K366" s="31">
        <f t="shared" si="30"/>
        <v>242</v>
      </c>
      <c r="L366" s="31">
        <f t="shared" si="31"/>
        <v>187</v>
      </c>
      <c r="M366" s="31">
        <f t="shared" si="32"/>
        <v>243</v>
      </c>
      <c r="N366" s="31">
        <f t="shared" si="33"/>
        <v>222</v>
      </c>
      <c r="O366" s="31">
        <f t="shared" si="34"/>
        <v>201</v>
      </c>
      <c r="P366" s="31">
        <f t="shared" si="35"/>
        <v>262</v>
      </c>
    </row>
    <row r="367" spans="1:16">
      <c r="A367" s="2" t="str">
        <f>'01_원자료'!A364</f>
        <v>PAT-25</v>
      </c>
      <c r="B367" s="2" t="str">
        <f>'01_원자료'!B364</f>
        <v>chatgpt</v>
      </c>
      <c r="C367" s="2" t="str">
        <f>'01_원자료'!C364</f>
        <v>qwen</v>
      </c>
      <c r="E367" s="17">
        <f>'01_원자료'!P364*'03_가중치민감도'!$B$5+'01_원자료'!Q364*'03_가중치민감도'!$C$5+'01_원자료'!R364*'03_가중치민감도'!$D$5</f>
        <v>0.57942201458319587</v>
      </c>
      <c r="F367" s="17">
        <f>'01_원자료'!P364*'03_가중치민감도'!$B$6+'01_원자료'!Q364*'03_가중치민감도'!$C$6+'01_원자료'!R364*'03_가중치민감도'!$D$6</f>
        <v>0.5096500245185126</v>
      </c>
      <c r="G367" s="17">
        <f>'01_원자료'!P364*'03_가중치민감도'!$B$7+'01_원자료'!Q364*'03_가중치민감도'!$C$7+'01_원자료'!R364*'03_가중치민감도'!$D$7</f>
        <v>0.59201090323518835</v>
      </c>
      <c r="H367" s="17">
        <f>'01_원자료'!P364*'03_가중치민감도'!$B$8+'01_원자료'!Q364*'03_가중치민감도'!$C$8+'01_원자료'!R364*'03_가중치민감도'!$D$8</f>
        <v>0.51647757132323369</v>
      </c>
      <c r="I367" s="17">
        <f>'01_원자료'!P364*'03_가중치민감도'!$B$9+'01_원자료'!Q364*'03_가중치민감도'!$C$9+'01_원자료'!R364*'03_가중치민감도'!$D$9</f>
        <v>0.52871105832274234</v>
      </c>
      <c r="J367" s="17">
        <f>'01_원자료'!P364*'03_가중치민감도'!$B$10+'01_원자료'!Q364*'03_가중치민감도'!$C$10+'01_원자료'!R364*'03_가중치민감도'!$D$10</f>
        <v>0.62401622734389428</v>
      </c>
      <c r="K367" s="31">
        <f t="shared" si="30"/>
        <v>320</v>
      </c>
      <c r="L367" s="31">
        <f t="shared" si="31"/>
        <v>413</v>
      </c>
      <c r="M367" s="31">
        <f t="shared" si="32"/>
        <v>330</v>
      </c>
      <c r="N367" s="31">
        <f t="shared" si="33"/>
        <v>252</v>
      </c>
      <c r="O367" s="31">
        <f t="shared" si="34"/>
        <v>365</v>
      </c>
      <c r="P367" s="31">
        <f t="shared" si="35"/>
        <v>251</v>
      </c>
    </row>
    <row r="368" spans="1:16">
      <c r="A368" s="2" t="str">
        <f>'01_원자료'!A365</f>
        <v>PAT-25</v>
      </c>
      <c r="B368" s="2" t="str">
        <f>'01_원자료'!B365</f>
        <v>claude</v>
      </c>
      <c r="C368" s="2" t="str">
        <f>'01_원자료'!C365</f>
        <v>gemma</v>
      </c>
      <c r="E368" s="17">
        <f>'01_원자료'!P365*'03_가중치민감도'!$B$5+'01_원자료'!Q365*'03_가중치민감도'!$C$5+'01_원자료'!R365*'03_가중치민감도'!$D$5</f>
        <v>0.60045116186026437</v>
      </c>
      <c r="F368" s="17">
        <f>'01_원자료'!P365*'03_가중치민감도'!$B$6+'01_원자료'!Q365*'03_가중치민감도'!$C$6+'01_원자료'!R365*'03_가중치민감도'!$D$6</f>
        <v>0.51154054585536757</v>
      </c>
      <c r="G368" s="17">
        <f>'01_원자료'!P365*'03_가중치민감도'!$B$7+'01_원자료'!Q365*'03_가중치민감도'!$C$7+'01_원자료'!R365*'03_가중치민감도'!$D$7</f>
        <v>0.60667512636327237</v>
      </c>
      <c r="H368" s="17">
        <f>'01_원자료'!P365*'03_가중치민감도'!$B$8+'01_원자료'!Q365*'03_가중치민감도'!$C$8+'01_원자료'!R365*'03_가중치민감도'!$D$8</f>
        <v>0.56933133934522417</v>
      </c>
      <c r="I368" s="17">
        <f>'01_원자료'!P365*'03_가중치민감도'!$B$9+'01_원자료'!Q365*'03_가중치민감도'!$C$9+'01_원자료'!R365*'03_가중치민감도'!$D$9</f>
        <v>0.53910276302266324</v>
      </c>
      <c r="J368" s="17">
        <f>'01_원자료'!P365*'03_가중치민감도'!$B$10+'01_원자료'!Q365*'03_가중치민감도'!$C$10+'01_원자료'!R365*'03_가중치민감도'!$D$10</f>
        <v>0.67691384885914507</v>
      </c>
      <c r="K368" s="31">
        <f t="shared" si="30"/>
        <v>391</v>
      </c>
      <c r="L368" s="31">
        <f t="shared" si="31"/>
        <v>419</v>
      </c>
      <c r="M368" s="31">
        <f t="shared" si="32"/>
        <v>401</v>
      </c>
      <c r="N368" s="31">
        <f t="shared" si="33"/>
        <v>398</v>
      </c>
      <c r="O368" s="31">
        <f t="shared" si="34"/>
        <v>411</v>
      </c>
      <c r="P368" s="31">
        <f t="shared" si="35"/>
        <v>380</v>
      </c>
    </row>
    <row r="369" spans="1:16">
      <c r="A369" s="2" t="str">
        <f>'01_원자료'!A366</f>
        <v>PAT-25</v>
      </c>
      <c r="B369" s="2" t="str">
        <f>'01_원자료'!B366</f>
        <v>claude</v>
      </c>
      <c r="C369" s="2" t="str">
        <f>'01_원자료'!C366</f>
        <v>ministral</v>
      </c>
      <c r="E369" s="17">
        <f>'01_원자료'!P366*'03_가중치민감도'!$B$5+'01_원자료'!Q366*'03_가중치민감도'!$C$5+'01_원자료'!R366*'03_가중치민감도'!$D$5</f>
        <v>0.62152835918452609</v>
      </c>
      <c r="F369" s="17">
        <f>'01_원자료'!P366*'03_가중치민감도'!$B$6+'01_원자료'!Q366*'03_가중치민감도'!$C$6+'01_원자료'!R366*'03_가중치민감도'!$D$6</f>
        <v>0.51670820791778838</v>
      </c>
      <c r="G369" s="17">
        <f>'01_원자료'!P366*'03_가중치민감도'!$B$7+'01_원자료'!Q366*'03_가중치민감도'!$C$7+'01_원자료'!R366*'03_가중치민감도'!$D$7</f>
        <v>0.62353966962216456</v>
      </c>
      <c r="H369" s="17">
        <f>'01_원자료'!P366*'03_가중치민감도'!$B$8+'01_원자료'!Q366*'03_가중치민감도'!$C$8+'01_원자료'!R366*'03_가중치민감도'!$D$8</f>
        <v>0.61147180699633386</v>
      </c>
      <c r="I369" s="17">
        <f>'01_원자료'!P366*'03_가중치민감도'!$B$9+'01_원자료'!Q366*'03_가중치민감도'!$C$9+'01_원자료'!R366*'03_가중치민감도'!$D$9</f>
        <v>0.55097782152748753</v>
      </c>
      <c r="J369" s="17">
        <f>'01_원자료'!P366*'03_가중치민감도'!$B$10+'01_원자료'!Q366*'03_가중치민감도'!$C$10+'01_원자료'!R366*'03_가중치민감도'!$D$10</f>
        <v>0.72232588957598698</v>
      </c>
      <c r="K369" s="31">
        <f t="shared" si="30"/>
        <v>495</v>
      </c>
      <c r="L369" s="31">
        <f t="shared" si="31"/>
        <v>448</v>
      </c>
      <c r="M369" s="31">
        <f t="shared" si="32"/>
        <v>481</v>
      </c>
      <c r="N369" s="31">
        <f t="shared" si="33"/>
        <v>527</v>
      </c>
      <c r="O369" s="31">
        <f t="shared" si="34"/>
        <v>462</v>
      </c>
      <c r="P369" s="31">
        <f t="shared" si="35"/>
        <v>557</v>
      </c>
    </row>
    <row r="370" spans="1:16">
      <c r="A370" s="2" t="str">
        <f>'01_원자료'!A367</f>
        <v>PAT-25</v>
      </c>
      <c r="B370" s="2" t="str">
        <f>'01_원자료'!B367</f>
        <v>claude</v>
      </c>
      <c r="C370" s="2" t="str">
        <f>'01_원자료'!C367</f>
        <v>qwen</v>
      </c>
      <c r="E370" s="17">
        <f>'01_원자료'!P367*'03_가중치민감도'!$B$5+'01_원자료'!Q367*'03_가중치민감도'!$C$5+'01_원자료'!R367*'03_가중치민감도'!$D$5</f>
        <v>0.69534354267622844</v>
      </c>
      <c r="F370" s="17">
        <f>'01_원자료'!P367*'03_가중치민감도'!$B$6+'01_원자료'!Q367*'03_가중치민감도'!$C$6+'01_원자료'!R367*'03_가중치민감도'!$D$6</f>
        <v>0.61513912866378484</v>
      </c>
      <c r="G370" s="17">
        <f>'01_원자료'!P367*'03_가중치민감도'!$B$7+'01_원자료'!Q367*'03_가중치민감도'!$C$7+'01_원자료'!R367*'03_가중치민감도'!$D$7</f>
        <v>0.69484790090860504</v>
      </c>
      <c r="H370" s="17">
        <f>'01_원자료'!P367*'03_가중치민감도'!$B$8+'01_원자료'!Q367*'03_가중치민감도'!$C$8+'01_원자료'!R367*'03_가중치민감도'!$D$8</f>
        <v>0.69782175151434522</v>
      </c>
      <c r="I370" s="17">
        <f>'01_원자료'!P367*'03_가중치민감도'!$B$9+'01_원자료'!Q367*'03_가중치민감도'!$C$9+'01_원자료'!R367*'03_가중치민감도'!$D$9</f>
        <v>0.64203914725713984</v>
      </c>
      <c r="J370" s="17">
        <f>'01_원자료'!P367*'03_가중치민감도'!$B$10+'01_원자료'!Q367*'03_가중치민감도'!$C$10+'01_원자료'!R367*'03_가중치민감도'!$D$10</f>
        <v>0.77653924022391863</v>
      </c>
      <c r="K370" s="31">
        <f t="shared" si="30"/>
        <v>807</v>
      </c>
      <c r="L370" s="31">
        <f t="shared" si="31"/>
        <v>877</v>
      </c>
      <c r="M370" s="31">
        <f t="shared" si="32"/>
        <v>814</v>
      </c>
      <c r="N370" s="31">
        <f t="shared" si="33"/>
        <v>781</v>
      </c>
      <c r="O370" s="31">
        <f t="shared" si="34"/>
        <v>846</v>
      </c>
      <c r="P370" s="31">
        <f t="shared" si="35"/>
        <v>746</v>
      </c>
    </row>
    <row r="371" spans="1:16">
      <c r="A371" s="2" t="str">
        <f>'01_원자료'!A368</f>
        <v>PAT-25</v>
      </c>
      <c r="B371" s="2" t="str">
        <f>'01_원자료'!B368</f>
        <v>gemini</v>
      </c>
      <c r="C371" s="2" t="str">
        <f>'01_원자료'!C368</f>
        <v>gemma</v>
      </c>
      <c r="E371" s="17">
        <f>'01_원자료'!P368*'03_가중치민감도'!$B$5+'01_원자료'!Q368*'03_가중치민감도'!$C$5+'01_원자료'!R368*'03_가중치민감도'!$D$5</f>
        <v>0.68227914367013065</v>
      </c>
      <c r="F371" s="17">
        <f>'01_원자료'!P368*'03_가중치민감도'!$B$6+'01_원자료'!Q368*'03_가중치민감도'!$C$6+'01_원자료'!R368*'03_가중치민감도'!$D$6</f>
        <v>0.57068222418537307</v>
      </c>
      <c r="G371" s="17">
        <f>'01_원자료'!P368*'03_가중치민감도'!$B$7+'01_원자료'!Q368*'03_가중치민감도'!$C$7+'01_원자료'!R368*'03_가중치민감도'!$D$7</f>
        <v>0.68408075486816566</v>
      </c>
      <c r="H371" s="17">
        <f>'01_원자료'!P368*'03_가중치민감도'!$B$8+'01_원자료'!Q368*'03_가중치민감도'!$C$8+'01_원자료'!R368*'03_가중치민감도'!$D$8</f>
        <v>0.67327108767995558</v>
      </c>
      <c r="I371" s="17">
        <f>'01_원자료'!P368*'03_가중치민감도'!$B$9+'01_원자료'!Q368*'03_가중치민감도'!$C$9+'01_원자료'!R368*'03_가중치민감도'!$D$9</f>
        <v>0.60728066028094663</v>
      </c>
      <c r="J371" s="17">
        <f>'01_원자료'!P368*'03_가중치민감도'!$B$10+'01_원자료'!Q368*'03_가중치민감도'!$C$10+'01_원자료'!R368*'03_가중치민감도'!$D$10</f>
        <v>0.7902728407588181</v>
      </c>
      <c r="K371" s="31">
        <f t="shared" si="30"/>
        <v>764</v>
      </c>
      <c r="L371" s="31">
        <f t="shared" si="31"/>
        <v>696</v>
      </c>
      <c r="M371" s="31">
        <f t="shared" si="32"/>
        <v>776</v>
      </c>
      <c r="N371" s="31">
        <f t="shared" si="33"/>
        <v>707</v>
      </c>
      <c r="O371" s="31">
        <f t="shared" si="34"/>
        <v>723</v>
      </c>
      <c r="P371" s="31">
        <f t="shared" si="35"/>
        <v>784</v>
      </c>
    </row>
    <row r="372" spans="1:16">
      <c r="A372" s="2" t="str">
        <f>'01_원자료'!A369</f>
        <v>PAT-25</v>
      </c>
      <c r="B372" s="2" t="str">
        <f>'01_원자료'!B369</f>
        <v>gemini</v>
      </c>
      <c r="C372" s="2" t="str">
        <f>'01_원자료'!C369</f>
        <v>ministral</v>
      </c>
      <c r="E372" s="17">
        <f>'01_원자료'!P369*'03_가중치민감도'!$B$5+'01_원자료'!Q369*'03_가중치민감도'!$C$5+'01_원자료'!R369*'03_가중치민감도'!$D$5</f>
        <v>0.60784517072340927</v>
      </c>
      <c r="F372" s="17">
        <f>'01_원자료'!P369*'03_가중치민감도'!$B$6+'01_원자료'!Q369*'03_가중치민감도'!$C$6+'01_원자료'!R369*'03_가중치민감도'!$D$6</f>
        <v>0.49230404675896333</v>
      </c>
      <c r="G372" s="17">
        <f>'01_원자료'!P369*'03_가중치민감도'!$B$7+'01_원자료'!Q369*'03_가중치민감도'!$C$7+'01_원자료'!R369*'03_가중치민감도'!$D$7</f>
        <v>0.61822828566152088</v>
      </c>
      <c r="H372" s="17">
        <f>'01_원자료'!P369*'03_가중치민감도'!$B$8+'01_원자료'!Q369*'03_가중치민감도'!$C$8+'01_원자료'!R369*'03_가중치민감도'!$D$8</f>
        <v>0.55592959603285086</v>
      </c>
      <c r="I372" s="17">
        <f>'01_원자료'!P369*'03_가중치민감도'!$B$9+'01_원자료'!Q369*'03_가중치민감도'!$C$9+'01_원자료'!R369*'03_가중치민감도'!$D$9</f>
        <v>0.52735671643440762</v>
      </c>
      <c r="J372" s="17">
        <f>'01_원자료'!P369*'03_가중치민감도'!$B$10+'01_원자료'!Q369*'03_가중치민감도'!$C$10+'01_원자료'!R369*'03_가중치민감도'!$D$10</f>
        <v>0.70262006481163175</v>
      </c>
      <c r="K372" s="31">
        <f t="shared" si="30"/>
        <v>423</v>
      </c>
      <c r="L372" s="31">
        <f t="shared" si="31"/>
        <v>327</v>
      </c>
      <c r="M372" s="31">
        <f t="shared" si="32"/>
        <v>453</v>
      </c>
      <c r="N372" s="31">
        <f t="shared" si="33"/>
        <v>358</v>
      </c>
      <c r="O372" s="31">
        <f t="shared" si="34"/>
        <v>356</v>
      </c>
      <c r="P372" s="31">
        <f t="shared" si="35"/>
        <v>472</v>
      </c>
    </row>
    <row r="373" spans="1:16">
      <c r="A373" s="2" t="str">
        <f>'01_원자료'!A370</f>
        <v>PAT-25</v>
      </c>
      <c r="B373" s="2" t="str">
        <f>'01_원자료'!B370</f>
        <v>gemini</v>
      </c>
      <c r="C373" s="2" t="str">
        <f>'01_원자료'!C370</f>
        <v>qwen</v>
      </c>
      <c r="E373" s="17">
        <f>'01_원자료'!P370*'03_가중치민감도'!$B$5+'01_원자료'!Q370*'03_가중치민감도'!$C$5+'01_원자료'!R370*'03_가중치민감도'!$D$5</f>
        <v>0.69002866438181309</v>
      </c>
      <c r="F373" s="17">
        <f>'01_원자료'!P370*'03_가중치민감도'!$B$6+'01_원자료'!Q370*'03_가중치민감도'!$C$6+'01_원자료'!R370*'03_가중치민감도'!$D$6</f>
        <v>0.60570112438798485</v>
      </c>
      <c r="G373" s="17">
        <f>'01_원자료'!P370*'03_가중치민감도'!$B$7+'01_원자료'!Q370*'03_가중치민감도'!$C$7+'01_원자료'!R370*'03_가중치민감도'!$D$7</f>
        <v>0.69485447517366317</v>
      </c>
      <c r="H373" s="17">
        <f>'01_원자료'!P370*'03_가중치민감도'!$B$8+'01_원자료'!Q370*'03_가중치민감도'!$C$8+'01_원자료'!R370*'03_가중치민감도'!$D$8</f>
        <v>0.66589961042256318</v>
      </c>
      <c r="I373" s="17">
        <f>'01_원자료'!P370*'03_가중치민감도'!$B$9+'01_원자료'!Q370*'03_가중치민감도'!$C$9+'01_원자료'!R370*'03_가중치민감도'!$D$9</f>
        <v>0.63220170078864368</v>
      </c>
      <c r="J373" s="17">
        <f>'01_원자료'!P370*'03_가중치민감도'!$B$10+'01_원자료'!Q370*'03_가중치민감도'!$C$10+'01_원자료'!R370*'03_가중치민감도'!$D$10</f>
        <v>0.76470458279194142</v>
      </c>
      <c r="K373" s="31">
        <f t="shared" si="30"/>
        <v>786</v>
      </c>
      <c r="L373" s="31">
        <f t="shared" si="31"/>
        <v>838</v>
      </c>
      <c r="M373" s="31">
        <f t="shared" si="32"/>
        <v>815</v>
      </c>
      <c r="N373" s="31">
        <f t="shared" si="33"/>
        <v>690</v>
      </c>
      <c r="O373" s="31">
        <f t="shared" si="34"/>
        <v>801</v>
      </c>
      <c r="P373" s="31">
        <f t="shared" si="35"/>
        <v>706</v>
      </c>
    </row>
    <row r="374" spans="1:16">
      <c r="A374" s="2" t="str">
        <f>'01_원자료'!A371</f>
        <v>PAT-25</v>
      </c>
      <c r="B374" s="2" t="str">
        <f>'01_원자료'!B371</f>
        <v>mistral</v>
      </c>
      <c r="C374" s="2" t="str">
        <f>'01_원자료'!C371</f>
        <v>gemma</v>
      </c>
      <c r="E374" s="17">
        <f>'01_원자료'!P371*'03_가중치민감도'!$B$5+'01_원자료'!Q371*'03_가중치민감도'!$C$5+'01_원자료'!R371*'03_가중치민감도'!$D$5</f>
        <v>0.56890247829972984</v>
      </c>
      <c r="F374" s="17">
        <f>'01_원자료'!P371*'03_가중치민감도'!$B$6+'01_원자료'!Q371*'03_가중치민감도'!$C$6+'01_원자료'!R371*'03_가중치민감도'!$D$6</f>
        <v>0.4817089258700985</v>
      </c>
      <c r="G374" s="17">
        <f>'01_원자료'!P371*'03_가중치민감도'!$B$7+'01_원자료'!Q371*'03_가중치민감도'!$C$7+'01_원자료'!R371*'03_가중치민감도'!$D$7</f>
        <v>0.57372729767732678</v>
      </c>
      <c r="H374" s="17">
        <f>'01_원자료'!P371*'03_가중치민감도'!$B$8+'01_원자료'!Q371*'03_가중치민감도'!$C$8+'01_원자료'!R371*'03_가중치민감도'!$D$8</f>
        <v>0.54477838141174528</v>
      </c>
      <c r="I374" s="17">
        <f>'01_원자료'!P371*'03_가중치민감도'!$B$9+'01_원자료'!Q371*'03_가중치민감도'!$C$9+'01_원자료'!R371*'03_가중치민감도'!$D$9</f>
        <v>0.50916517022077612</v>
      </c>
      <c r="J374" s="17">
        <f>'01_원자료'!P371*'03_가중치민감도'!$B$10+'01_원자료'!Q371*'03_가중치민감도'!$C$10+'01_원자료'!R371*'03_가중치민감도'!$D$10</f>
        <v>0.64644639197416742</v>
      </c>
      <c r="K374" s="31">
        <f t="shared" si="30"/>
        <v>279</v>
      </c>
      <c r="L374" s="31">
        <f t="shared" si="31"/>
        <v>278</v>
      </c>
      <c r="M374" s="31">
        <f t="shared" si="32"/>
        <v>261</v>
      </c>
      <c r="N374" s="31">
        <f t="shared" si="33"/>
        <v>320</v>
      </c>
      <c r="O374" s="31">
        <f t="shared" si="34"/>
        <v>284</v>
      </c>
      <c r="P374" s="31">
        <f t="shared" si="35"/>
        <v>297</v>
      </c>
    </row>
    <row r="375" spans="1:16">
      <c r="A375" s="2" t="str">
        <f>'01_원자료'!A372</f>
        <v>PAT-25</v>
      </c>
      <c r="B375" s="2" t="str">
        <f>'01_원자료'!B372</f>
        <v>mistral</v>
      </c>
      <c r="C375" s="2" t="str">
        <f>'01_원자료'!C372</f>
        <v>ministral</v>
      </c>
      <c r="E375" s="17">
        <f>'01_원자료'!P372*'03_가중치민감도'!$B$5+'01_원자료'!Q372*'03_가중치민감도'!$C$5+'01_원자료'!R372*'03_가중치민감도'!$D$5</f>
        <v>0.64745686859212137</v>
      </c>
      <c r="F375" s="17">
        <f>'01_원자료'!P372*'03_가중치민감도'!$B$6+'01_원자료'!Q372*'03_가중치민감도'!$C$6+'01_원자료'!R372*'03_가중치민감도'!$D$6</f>
        <v>0.55135281656650215</v>
      </c>
      <c r="G375" s="17">
        <f>'01_원자료'!P372*'03_가중치민감도'!$B$7+'01_원자료'!Q372*'03_가중치민감도'!$C$7+'01_원자료'!R372*'03_가중치민감도'!$D$7</f>
        <v>0.64716542005148547</v>
      </c>
      <c r="H375" s="17">
        <f>'01_원자료'!P372*'03_가중치민감도'!$B$8+'01_원자료'!Q372*'03_가중치민감도'!$C$8+'01_원자료'!R372*'03_가중치민감도'!$D$8</f>
        <v>0.64891411129530041</v>
      </c>
      <c r="I375" s="17">
        <f>'01_원자료'!P372*'03_가중치민감도'!$B$9+'01_원자료'!Q372*'03_가중치민감도'!$C$9+'01_원자료'!R372*'03_가중치민감도'!$D$9</f>
        <v>0.58348465008858652</v>
      </c>
      <c r="J375" s="17">
        <f>'01_원자료'!P372*'03_가중치민감도'!$B$10+'01_원자료'!Q372*'03_가중치민감도'!$C$10+'01_원자료'!R372*'03_가중치민감도'!$D$10</f>
        <v>0.74414381769901206</v>
      </c>
      <c r="K375" s="31">
        <f t="shared" si="30"/>
        <v>606</v>
      </c>
      <c r="L375" s="31">
        <f t="shared" si="31"/>
        <v>595</v>
      </c>
      <c r="M375" s="31">
        <f t="shared" si="32"/>
        <v>600</v>
      </c>
      <c r="N375" s="31">
        <f t="shared" si="33"/>
        <v>638</v>
      </c>
      <c r="O375" s="31">
        <f t="shared" si="34"/>
        <v>596</v>
      </c>
      <c r="P375" s="31">
        <f t="shared" si="35"/>
        <v>641</v>
      </c>
    </row>
    <row r="376" spans="1:16">
      <c r="A376" s="2" t="str">
        <f>'01_원자료'!A373</f>
        <v>PAT-25</v>
      </c>
      <c r="B376" s="2" t="str">
        <f>'01_원자료'!B373</f>
        <v>mistral</v>
      </c>
      <c r="C376" s="2" t="str">
        <f>'01_원자료'!C373</f>
        <v>qwen</v>
      </c>
      <c r="E376" s="17">
        <f>'01_원자료'!P373*'03_가중치민감도'!$B$5+'01_원자료'!Q373*'03_가중치민감도'!$C$5+'01_원자료'!R373*'03_가중치민감도'!$D$5</f>
        <v>0.6540532640280915</v>
      </c>
      <c r="F376" s="17">
        <f>'01_원자료'!P373*'03_가중치민감도'!$B$6+'01_원자료'!Q373*'03_가중치민감도'!$C$6+'01_원자료'!R373*'03_가중치민감도'!$D$6</f>
        <v>0.57394621898812459</v>
      </c>
      <c r="G376" s="17">
        <f>'01_원자료'!P373*'03_가중치민감도'!$B$7+'01_원자료'!Q373*'03_가중치민감도'!$C$7+'01_원자료'!R373*'03_가중치민감도'!$D$7</f>
        <v>0.65573970529017855</v>
      </c>
      <c r="H376" s="17">
        <f>'01_원자료'!P373*'03_가중치민감도'!$B$8+'01_원자료'!Q373*'03_가중치민감도'!$C$8+'01_원자료'!R373*'03_가중치민감도'!$D$8</f>
        <v>0.64562105771765621</v>
      </c>
      <c r="I376" s="17">
        <f>'01_원자료'!P373*'03_가중치민감도'!$B$9+'01_원자료'!Q373*'03_가중치민감도'!$C$9+'01_원자료'!R373*'03_가중치민감도'!$D$9</f>
        <v>0.60008642024741721</v>
      </c>
      <c r="J376" s="17">
        <f>'01_원자료'!P373*'03_가중치민감도'!$B$10+'01_원자료'!Q373*'03_가중치민감도'!$C$10+'01_원자료'!R373*'03_가중치민감도'!$D$10</f>
        <v>0.73078742654388429</v>
      </c>
      <c r="K376" s="31">
        <f t="shared" si="30"/>
        <v>637</v>
      </c>
      <c r="L376" s="31">
        <f t="shared" si="31"/>
        <v>712</v>
      </c>
      <c r="M376" s="31">
        <f t="shared" si="32"/>
        <v>645</v>
      </c>
      <c r="N376" s="31">
        <f t="shared" si="33"/>
        <v>632</v>
      </c>
      <c r="O376" s="31">
        <f t="shared" si="34"/>
        <v>685</v>
      </c>
      <c r="P376" s="31">
        <f t="shared" si="35"/>
        <v>584</v>
      </c>
    </row>
    <row r="377" spans="1:16">
      <c r="A377" s="2" t="str">
        <f>'01_원자료'!A374</f>
        <v>PAT-25</v>
      </c>
      <c r="B377" s="2" t="str">
        <f>'01_원자료'!B374</f>
        <v>qwen3_6</v>
      </c>
      <c r="C377" s="2" t="str">
        <f>'01_원자료'!C374</f>
        <v>gemma</v>
      </c>
      <c r="E377" s="17">
        <f>'01_원자료'!P374*'03_가중치민감도'!$B$5+'01_원자료'!Q374*'03_가중치민감도'!$C$5+'01_원자료'!R374*'03_가중치민감도'!$D$5</f>
        <v>0.67191312679587023</v>
      </c>
      <c r="F377" s="17">
        <f>'01_원자료'!P374*'03_가중치민감도'!$B$6+'01_원자료'!Q374*'03_가중치민감도'!$C$6+'01_원자료'!R374*'03_가중치민감도'!$D$6</f>
        <v>0.57131897543130816</v>
      </c>
      <c r="G377" s="17">
        <f>'01_원자료'!P374*'03_가중치민감도'!$B$7+'01_원자료'!Q374*'03_가중치민감도'!$C$7+'01_원자료'!R374*'03_가중치민감도'!$D$7</f>
        <v>0.67193400591103392</v>
      </c>
      <c r="H377" s="17">
        <f>'01_원자료'!P374*'03_가중치민감도'!$B$8+'01_원자료'!Q374*'03_가중치민감도'!$C$8+'01_원자료'!R374*'03_가중치민감도'!$D$8</f>
        <v>0.67180873122005169</v>
      </c>
      <c r="I377" s="17">
        <f>'01_원자료'!P374*'03_가중치민감도'!$B$9+'01_원자료'!Q374*'03_가중치민감도'!$C$9+'01_원자료'!R374*'03_가중치민감도'!$D$9</f>
        <v>0.60484339951444033</v>
      </c>
      <c r="J377" s="17">
        <f>'01_원자료'!P374*'03_가중치민감도'!$B$10+'01_원자료'!Q374*'03_가중치민감도'!$C$10+'01_원자료'!R374*'03_가중치민감도'!$D$10</f>
        <v>0.77246551993010493</v>
      </c>
      <c r="K377" s="31">
        <f t="shared" si="30"/>
        <v>725</v>
      </c>
      <c r="L377" s="31">
        <f t="shared" si="31"/>
        <v>700</v>
      </c>
      <c r="M377" s="31">
        <f t="shared" si="32"/>
        <v>726</v>
      </c>
      <c r="N377" s="31">
        <f t="shared" si="33"/>
        <v>704</v>
      </c>
      <c r="O377" s="31">
        <f t="shared" si="34"/>
        <v>712</v>
      </c>
      <c r="P377" s="31">
        <f t="shared" si="35"/>
        <v>731</v>
      </c>
    </row>
    <row r="378" spans="1:16">
      <c r="A378" s="2" t="str">
        <f>'01_원자료'!A375</f>
        <v>PAT-25</v>
      </c>
      <c r="B378" s="2" t="str">
        <f>'01_원자료'!B375</f>
        <v>qwen3_6</v>
      </c>
      <c r="C378" s="2" t="str">
        <f>'01_원자료'!C375</f>
        <v>ministral</v>
      </c>
      <c r="E378" s="17">
        <f>'01_원자료'!P375*'03_가중치민감도'!$B$5+'01_원자료'!Q375*'03_가중치민감도'!$C$5+'01_원자료'!R375*'03_가중치민감도'!$D$5</f>
        <v>0.59578393475289193</v>
      </c>
      <c r="F378" s="17">
        <f>'01_원자료'!P375*'03_가중치민감도'!$B$6+'01_원자료'!Q375*'03_가중치민감도'!$C$6+'01_원자료'!R375*'03_가중치민감도'!$D$6</f>
        <v>0.49345186393149743</v>
      </c>
      <c r="G378" s="17">
        <f>'01_원자료'!P375*'03_가중치민감도'!$B$7+'01_원자료'!Q375*'03_가중치민감도'!$C$7+'01_원자료'!R375*'03_가중치민감도'!$D$7</f>
        <v>0.60406119226487298</v>
      </c>
      <c r="H378" s="17">
        <f>'01_원자료'!P375*'03_가중치민감도'!$B$8+'01_원자료'!Q375*'03_가중치민감도'!$C$8+'01_원자료'!R375*'03_가중치민감도'!$D$8</f>
        <v>0.55439764719298712</v>
      </c>
      <c r="I378" s="17">
        <f>'01_원자료'!P375*'03_가중치민감도'!$B$9+'01_원자료'!Q375*'03_가중치민감도'!$C$9+'01_원자료'!R375*'03_가중치민감도'!$D$9</f>
        <v>0.52480346836796798</v>
      </c>
      <c r="J378" s="17">
        <f>'01_원자료'!P375*'03_가중치민감도'!$B$10+'01_원자료'!Q375*'03_가중치민감도'!$C$10+'01_원자료'!R375*'03_가중치민감도'!$D$10</f>
        <v>0.68156149055032467</v>
      </c>
      <c r="K378" s="31">
        <f t="shared" si="30"/>
        <v>374</v>
      </c>
      <c r="L378" s="31">
        <f t="shared" si="31"/>
        <v>331</v>
      </c>
      <c r="M378" s="31">
        <f t="shared" si="32"/>
        <v>382</v>
      </c>
      <c r="N378" s="31">
        <f t="shared" si="33"/>
        <v>355</v>
      </c>
      <c r="O378" s="31">
        <f t="shared" si="34"/>
        <v>344</v>
      </c>
      <c r="P378" s="31">
        <f t="shared" si="35"/>
        <v>395</v>
      </c>
    </row>
    <row r="379" spans="1:16">
      <c r="A379" s="2" t="str">
        <f>'01_원자료'!A376</f>
        <v>PAT-25</v>
      </c>
      <c r="B379" s="2" t="str">
        <f>'01_원자료'!B376</f>
        <v>qwen3_6</v>
      </c>
      <c r="C379" s="2" t="str">
        <f>'01_원자료'!C376</f>
        <v>qwen</v>
      </c>
      <c r="E379" s="17">
        <f>'01_원자료'!P376*'03_가중치민감도'!$B$5+'01_원자료'!Q376*'03_가중치민감도'!$C$5+'01_원자료'!R376*'03_가중치민감도'!$D$5</f>
        <v>0.67414606253527043</v>
      </c>
      <c r="F379" s="17">
        <f>'01_원자료'!P376*'03_가중치민감도'!$B$6+'01_원자료'!Q376*'03_가중치민감도'!$C$6+'01_원자료'!R376*'03_가중치민감도'!$D$6</f>
        <v>0.60308482453739498</v>
      </c>
      <c r="G379" s="17">
        <f>'01_원자료'!P376*'03_가중치민감도'!$B$7+'01_원자료'!Q376*'03_가중치민감도'!$C$7+'01_원자료'!R376*'03_가중치민감도'!$D$7</f>
        <v>0.67654279800691253</v>
      </c>
      <c r="H379" s="17">
        <f>'01_원자료'!P376*'03_가중치민감도'!$B$8+'01_원자료'!Q376*'03_가중치민감도'!$C$8+'01_원자료'!R376*'03_가중치민감도'!$D$8</f>
        <v>0.66216238517706016</v>
      </c>
      <c r="I379" s="17">
        <f>'01_원자료'!P376*'03_가중치민감도'!$B$9+'01_원자료'!Q376*'03_가중치민감도'!$C$9+'01_원자료'!R376*'03_가중치민감도'!$D$9</f>
        <v>0.62597299204613877</v>
      </c>
      <c r="J379" s="17">
        <f>'01_원자료'!P376*'03_가중치민감도'!$B$10+'01_원자료'!Q376*'03_가중치민감도'!$C$10+'01_원자료'!R376*'03_가중치민감도'!$D$10</f>
        <v>0.7404138295898619</v>
      </c>
      <c r="K379" s="31">
        <f t="shared" si="30"/>
        <v>735</v>
      </c>
      <c r="L379" s="31">
        <f t="shared" si="31"/>
        <v>825</v>
      </c>
      <c r="M379" s="31">
        <f t="shared" si="32"/>
        <v>750</v>
      </c>
      <c r="N379" s="31">
        <f t="shared" si="33"/>
        <v>676</v>
      </c>
      <c r="O379" s="31">
        <f t="shared" si="34"/>
        <v>779</v>
      </c>
      <c r="P379" s="31">
        <f t="shared" si="35"/>
        <v>626</v>
      </c>
    </row>
    <row r="380" spans="1:16">
      <c r="A380" s="2" t="str">
        <f>'01_원자료'!A377</f>
        <v>PAT-26</v>
      </c>
      <c r="B380" s="2" t="str">
        <f>'01_원자료'!B377</f>
        <v>chatgpt</v>
      </c>
      <c r="C380" s="2" t="str">
        <f>'01_원자료'!C377</f>
        <v>gemma</v>
      </c>
      <c r="E380" s="17">
        <f>'01_원자료'!P377*'03_가중치민감도'!$B$5+'01_원자료'!Q377*'03_가중치민감도'!$C$5+'01_원자료'!R377*'03_가중치민감도'!$D$5</f>
        <v>0.56922020650675298</v>
      </c>
      <c r="F380" s="17">
        <f>'01_원자료'!P377*'03_가중치민감도'!$B$6+'01_원자료'!Q377*'03_가중치민감도'!$C$6+'01_원자료'!R377*'03_가중치민감도'!$D$6</f>
        <v>0.47325999082458053</v>
      </c>
      <c r="G380" s="17">
        <f>'01_원자료'!P377*'03_가중치민감도'!$B$7+'01_원자료'!Q377*'03_가중치민감도'!$C$7+'01_원자료'!R377*'03_가중치민감도'!$D$7</f>
        <v>0.57480131879033181</v>
      </c>
      <c r="H380" s="17">
        <f>'01_원자료'!P377*'03_가중치민감도'!$B$8+'01_원자료'!Q377*'03_가중치민감도'!$C$8+'01_원자료'!R377*'03_가중치민감도'!$D$8</f>
        <v>0.54131464508885896</v>
      </c>
      <c r="I380" s="17">
        <f>'01_원자료'!P377*'03_가중치민감도'!$B$9+'01_원자료'!Q377*'03_가중치민감도'!$C$9+'01_원자료'!R377*'03_가중치민감도'!$D$9</f>
        <v>0.5033863586241113</v>
      </c>
      <c r="J380" s="17">
        <f>'01_원자료'!P377*'03_가중치민감도'!$B$10+'01_원자료'!Q377*'03_가중치민감도'!$C$10+'01_원자료'!R377*'03_가중치민감도'!$D$10</f>
        <v>0.65401819762176783</v>
      </c>
      <c r="K380" s="31">
        <f t="shared" si="30"/>
        <v>282</v>
      </c>
      <c r="L380" s="31">
        <f t="shared" si="31"/>
        <v>231</v>
      </c>
      <c r="M380" s="31">
        <f t="shared" si="32"/>
        <v>267</v>
      </c>
      <c r="N380" s="31">
        <f t="shared" si="33"/>
        <v>309</v>
      </c>
      <c r="O380" s="31">
        <f t="shared" si="34"/>
        <v>260</v>
      </c>
      <c r="P380" s="31">
        <f t="shared" si="35"/>
        <v>318</v>
      </c>
    </row>
    <row r="381" spans="1:16">
      <c r="A381" s="2" t="str">
        <f>'01_원자료'!A378</f>
        <v>PAT-26</v>
      </c>
      <c r="B381" s="2" t="str">
        <f>'01_원자료'!B378</f>
        <v>chatgpt</v>
      </c>
      <c r="C381" s="2" t="str">
        <f>'01_원자료'!C378</f>
        <v>ministral</v>
      </c>
      <c r="E381" s="17">
        <f>'01_원자료'!P378*'03_가중치민감도'!$B$5+'01_원자료'!Q378*'03_가중치민감도'!$C$5+'01_원자료'!R378*'03_가중치민감도'!$D$5</f>
        <v>0.53268738715426067</v>
      </c>
      <c r="F381" s="17">
        <f>'01_원자료'!P378*'03_가중치민감도'!$B$6+'01_원자료'!Q378*'03_가중치민감도'!$C$6+'01_원자료'!R378*'03_가중치민감도'!$D$6</f>
        <v>0.43307153510410012</v>
      </c>
      <c r="G381" s="17">
        <f>'01_원자료'!P378*'03_가중치민감도'!$B$7+'01_원자료'!Q378*'03_가중치민감도'!$C$7+'01_원자료'!R378*'03_가중치민감도'!$D$7</f>
        <v>0.5436267464350415</v>
      </c>
      <c r="H381" s="17">
        <f>'01_원자료'!P378*'03_가중치민감도'!$B$8+'01_원자료'!Q378*'03_가중치민감도'!$C$8+'01_원자료'!R378*'03_가중치민감도'!$D$8</f>
        <v>0.47799059075035666</v>
      </c>
      <c r="I381" s="17">
        <f>'01_원자료'!P378*'03_가중치민감도'!$B$9+'01_원자료'!Q378*'03_가중치민감도'!$C$9+'01_원자료'!R378*'03_가중치민감도'!$D$9</f>
        <v>0.46263036602722629</v>
      </c>
      <c r="J381" s="17">
        <f>'01_원자료'!P378*'03_가중치민감도'!$B$10+'01_원자료'!Q378*'03_가중치민감도'!$C$10+'01_원자료'!R378*'03_가중치민감도'!$D$10</f>
        <v>0.61042452064285957</v>
      </c>
      <c r="K381" s="31">
        <f t="shared" si="30"/>
        <v>141</v>
      </c>
      <c r="L381" s="31">
        <f t="shared" si="31"/>
        <v>78</v>
      </c>
      <c r="M381" s="31">
        <f t="shared" si="32"/>
        <v>123</v>
      </c>
      <c r="N381" s="31">
        <f t="shared" si="33"/>
        <v>169</v>
      </c>
      <c r="O381" s="31">
        <f t="shared" si="34"/>
        <v>101</v>
      </c>
      <c r="P381" s="31">
        <f t="shared" si="35"/>
        <v>212</v>
      </c>
    </row>
    <row r="382" spans="1:16">
      <c r="A382" s="2" t="str">
        <f>'01_원자료'!A379</f>
        <v>PAT-26</v>
      </c>
      <c r="B382" s="2" t="str">
        <f>'01_원자료'!B379</f>
        <v>chatgpt</v>
      </c>
      <c r="C382" s="2" t="str">
        <f>'01_원자료'!C379</f>
        <v>qwen</v>
      </c>
      <c r="E382" s="17">
        <f>'01_원자료'!P379*'03_가중치민감도'!$B$5+'01_원자료'!Q379*'03_가중치민감도'!$C$5+'01_원자료'!R379*'03_가중치민감도'!$D$5</f>
        <v>0.61015070460226595</v>
      </c>
      <c r="F382" s="17">
        <f>'01_원자료'!P379*'03_가중치민감도'!$B$6+'01_원자료'!Q379*'03_가중치민감도'!$C$6+'01_원자료'!R379*'03_가중치민감도'!$D$6</f>
        <v>0.53263514350223506</v>
      </c>
      <c r="G382" s="17">
        <f>'01_원자료'!P379*'03_가중치민감도'!$B$7+'01_원자료'!Q379*'03_가중치민감도'!$C$7+'01_원자료'!R379*'03_가중치민감도'!$D$7</f>
        <v>0.6176056371786256</v>
      </c>
      <c r="H382" s="17">
        <f>'01_원자료'!P379*'03_가중치민감도'!$B$8+'01_원자료'!Q379*'03_가중치민감도'!$C$8+'01_원자료'!R379*'03_가중치민감도'!$D$8</f>
        <v>0.57287604172046713</v>
      </c>
      <c r="I382" s="17">
        <f>'01_원자료'!P379*'03_가중치민감도'!$B$9+'01_원자료'!Q379*'03_가중치민감도'!$C$9+'01_원자료'!R379*'03_가중치민감도'!$D$9</f>
        <v>0.55598868634345822</v>
      </c>
      <c r="J382" s="17">
        <f>'01_원자료'!P379*'03_가중치민감도'!$B$10+'01_원자료'!Q379*'03_가중치민감도'!$C$10+'01_원자료'!R379*'03_가중치민감도'!$D$10</f>
        <v>0.67275640054957719</v>
      </c>
      <c r="K382" s="31">
        <f t="shared" si="30"/>
        <v>431</v>
      </c>
      <c r="L382" s="31">
        <f t="shared" si="31"/>
        <v>515</v>
      </c>
      <c r="M382" s="31">
        <f t="shared" si="32"/>
        <v>451</v>
      </c>
      <c r="N382" s="31">
        <f t="shared" si="33"/>
        <v>409</v>
      </c>
      <c r="O382" s="31">
        <f t="shared" si="34"/>
        <v>483</v>
      </c>
      <c r="P382" s="31">
        <f t="shared" si="35"/>
        <v>362</v>
      </c>
    </row>
    <row r="383" spans="1:16">
      <c r="A383" s="2" t="str">
        <f>'01_원자료'!A380</f>
        <v>PAT-26</v>
      </c>
      <c r="B383" s="2" t="str">
        <f>'01_원자료'!B380</f>
        <v>claude</v>
      </c>
      <c r="C383" s="2" t="str">
        <f>'01_원자료'!C380</f>
        <v>gemma</v>
      </c>
      <c r="E383" s="17">
        <f>'01_원자료'!P380*'03_가중치민감도'!$B$5+'01_원자료'!Q380*'03_가중치민감도'!$C$5+'01_원자료'!R380*'03_가중치민감도'!$D$5</f>
        <v>0.66834947670588007</v>
      </c>
      <c r="F383" s="17">
        <f>'01_원자료'!P380*'03_가중치민감도'!$B$6+'01_원자료'!Q380*'03_가중치민감도'!$C$6+'01_원자료'!R380*'03_가중치민감도'!$D$6</f>
        <v>0.55098351762942532</v>
      </c>
      <c r="G383" s="17">
        <f>'01_원자료'!P380*'03_가중치민감도'!$B$7+'01_원자료'!Q380*'03_가중치민감도'!$C$7+'01_원자료'!R380*'03_가중치민감도'!$D$7</f>
        <v>0.66282330895410446</v>
      </c>
      <c r="H383" s="17">
        <f>'01_원자료'!P380*'03_가중치민감도'!$B$8+'01_원자료'!Q380*'03_가중치민감도'!$C$8+'01_원자료'!R380*'03_가중치민감도'!$D$8</f>
        <v>0.69598031546475825</v>
      </c>
      <c r="I383" s="17">
        <f>'01_원자료'!P380*'03_가중치민감도'!$B$9+'01_원자료'!Q380*'03_가중치민감도'!$C$9+'01_원자료'!R380*'03_가중치민감도'!$D$9</f>
        <v>0.59194755990550152</v>
      </c>
      <c r="J383" s="17">
        <f>'01_원자료'!P380*'03_가중치민감도'!$B$10+'01_원자료'!Q380*'03_가중치민감도'!$C$10+'01_원자료'!R380*'03_가중치민감도'!$D$10</f>
        <v>0.79676777128588605</v>
      </c>
      <c r="K383" s="31">
        <f t="shared" si="30"/>
        <v>710</v>
      </c>
      <c r="L383" s="31">
        <f t="shared" si="31"/>
        <v>591</v>
      </c>
      <c r="M383" s="31">
        <f t="shared" si="32"/>
        <v>680</v>
      </c>
      <c r="N383" s="31">
        <f t="shared" si="33"/>
        <v>772</v>
      </c>
      <c r="O383" s="31">
        <f t="shared" si="34"/>
        <v>647</v>
      </c>
      <c r="P383" s="31">
        <f t="shared" si="35"/>
        <v>800</v>
      </c>
    </row>
    <row r="384" spans="1:16">
      <c r="A384" s="2" t="str">
        <f>'01_원자료'!A381</f>
        <v>PAT-26</v>
      </c>
      <c r="B384" s="2" t="str">
        <f>'01_원자료'!B381</f>
        <v>claude</v>
      </c>
      <c r="C384" s="2" t="str">
        <f>'01_원자료'!C381</f>
        <v>ministral</v>
      </c>
      <c r="E384" s="17">
        <f>'01_원자료'!P381*'03_가중치민감도'!$B$5+'01_원자료'!Q381*'03_가중치민감도'!$C$5+'01_원자료'!R381*'03_가중치민감도'!$D$5</f>
        <v>0.57422247473390564</v>
      </c>
      <c r="F384" s="17">
        <f>'01_원자료'!P381*'03_가중치민감도'!$B$6+'01_원자료'!Q381*'03_가중치민감도'!$C$6+'01_원자료'!R381*'03_가중치민감도'!$D$6</f>
        <v>0.46527429460462022</v>
      </c>
      <c r="G384" s="17">
        <f>'01_원자료'!P381*'03_가중치민감도'!$B$7+'01_원자료'!Q381*'03_가중치민감도'!$C$7+'01_원자료'!R381*'03_가중치민감도'!$D$7</f>
        <v>0.58083093253438167</v>
      </c>
      <c r="H384" s="17">
        <f>'01_원자료'!P381*'03_가중치민감도'!$B$8+'01_원자료'!Q381*'03_가중치민감도'!$C$8+'01_원자료'!R381*'03_가중치민감도'!$D$8</f>
        <v>0.54118018573152493</v>
      </c>
      <c r="I384" s="17">
        <f>'01_원자료'!P381*'03_가중치민감도'!$B$9+'01_원자료'!Q381*'03_가중치민감도'!$C$9+'01_원자료'!R381*'03_가중치민감도'!$D$9</f>
        <v>0.49938753538088942</v>
      </c>
      <c r="J384" s="17">
        <f>'01_원자료'!P381*'03_가중치민감도'!$B$10+'01_원자료'!Q381*'03_가중치민감도'!$C$10+'01_원자료'!R381*'03_가중치민감도'!$D$10</f>
        <v>0.66995373926223867</v>
      </c>
      <c r="K384" s="31">
        <f t="shared" si="30"/>
        <v>304</v>
      </c>
      <c r="L384" s="31">
        <f t="shared" si="31"/>
        <v>201</v>
      </c>
      <c r="M384" s="31">
        <f t="shared" si="32"/>
        <v>294</v>
      </c>
      <c r="N384" s="31">
        <f t="shared" si="33"/>
        <v>306</v>
      </c>
      <c r="O384" s="31">
        <f t="shared" si="34"/>
        <v>241</v>
      </c>
      <c r="P384" s="31">
        <f t="shared" si="35"/>
        <v>353</v>
      </c>
    </row>
    <row r="385" spans="1:16">
      <c r="A385" s="2" t="str">
        <f>'01_원자료'!A382</f>
        <v>PAT-26</v>
      </c>
      <c r="B385" s="2" t="str">
        <f>'01_원자료'!B382</f>
        <v>claude</v>
      </c>
      <c r="C385" s="2" t="str">
        <f>'01_원자료'!C382</f>
        <v>qwen</v>
      </c>
      <c r="E385" s="17">
        <f>'01_원자료'!P382*'03_가중치민감도'!$B$5+'01_원자료'!Q382*'03_가중치민감도'!$C$5+'01_원자료'!R382*'03_가중치민감도'!$D$5</f>
        <v>0.6940678890306009</v>
      </c>
      <c r="F385" s="17">
        <f>'01_원자료'!P382*'03_가중치민감도'!$B$6+'01_원자료'!Q382*'03_가중치민감도'!$C$6+'01_원자료'!R382*'03_가중치민감도'!$D$6</f>
        <v>0.59170947346066405</v>
      </c>
      <c r="G385" s="17">
        <f>'01_원자료'!P382*'03_가중치민감도'!$B$7+'01_원자료'!Q382*'03_가중치민감도'!$C$7+'01_원자료'!R382*'03_가중치민감도'!$D$7</f>
        <v>0.68943429368034215</v>
      </c>
      <c r="H385" s="17">
        <f>'01_원자료'!P382*'03_가중치민감도'!$B$8+'01_원자료'!Q382*'03_가중치민감도'!$C$8+'01_원자료'!R382*'03_가중치민감도'!$D$8</f>
        <v>0.71723586578189447</v>
      </c>
      <c r="I385" s="17">
        <f>'01_원자료'!P382*'03_가중치민감도'!$B$9+'01_원자료'!Q382*'03_가중치민감도'!$C$9+'01_원자료'!R382*'03_가중치민감도'!$D$9</f>
        <v>0.62737347710072855</v>
      </c>
      <c r="J385" s="17">
        <f>'01_원자료'!P382*'03_가중치민감도'!$B$10+'01_원자료'!Q382*'03_가중치민감도'!$C$10+'01_원자료'!R382*'03_가중치민감도'!$D$10</f>
        <v>0.80569349530105505</v>
      </c>
      <c r="K385" s="31">
        <f t="shared" si="30"/>
        <v>801</v>
      </c>
      <c r="L385" s="31">
        <f t="shared" si="31"/>
        <v>774</v>
      </c>
      <c r="M385" s="31">
        <f t="shared" si="32"/>
        <v>794</v>
      </c>
      <c r="N385" s="31">
        <f t="shared" si="33"/>
        <v>824</v>
      </c>
      <c r="O385" s="31">
        <f t="shared" si="34"/>
        <v>782</v>
      </c>
      <c r="P385" s="31">
        <f t="shared" si="35"/>
        <v>826</v>
      </c>
    </row>
    <row r="386" spans="1:16">
      <c r="A386" s="2" t="str">
        <f>'01_원자료'!A383</f>
        <v>PAT-26</v>
      </c>
      <c r="B386" s="2" t="str">
        <f>'01_원자료'!B383</f>
        <v>gemini</v>
      </c>
      <c r="C386" s="2" t="str">
        <f>'01_원자료'!C383</f>
        <v>gemma</v>
      </c>
      <c r="E386" s="17">
        <f>'01_원자료'!P383*'03_가중치민감도'!$B$5+'01_원자료'!Q383*'03_가중치민감도'!$C$5+'01_원자료'!R383*'03_가중치민감도'!$D$5</f>
        <v>0.72028483792967213</v>
      </c>
      <c r="F386" s="17">
        <f>'01_원자료'!P383*'03_가중치민감도'!$B$6+'01_원자료'!Q383*'03_가중치민감도'!$C$6+'01_원자료'!R383*'03_가중치민감도'!$D$6</f>
        <v>0.59265063215077096</v>
      </c>
      <c r="G386" s="17">
        <f>'01_원자료'!P383*'03_가중치민감도'!$B$7+'01_원자료'!Q383*'03_가중치민감도'!$C$7+'01_원자료'!R383*'03_가중치민감도'!$D$7</f>
        <v>0.71252229371812459</v>
      </c>
      <c r="H386" s="17">
        <f>'01_원자료'!P383*'03_가중치민감도'!$B$8+'01_원자료'!Q383*'03_가중치민감도'!$C$8+'01_원자료'!R383*'03_가중치민감도'!$D$8</f>
        <v>0.75909755898741005</v>
      </c>
      <c r="I386" s="17">
        <f>'01_원자료'!P383*'03_가중치민감도'!$B$9+'01_원자료'!Q383*'03_가중치민감도'!$C$9+'01_원자료'!R383*'03_가중치민감도'!$D$9</f>
        <v>0.63778288214758661</v>
      </c>
      <c r="J386" s="17">
        <f>'01_원자료'!P383*'03_가중치민감도'!$B$10+'01_원자료'!Q383*'03_가중치민감도'!$C$10+'01_원자료'!R383*'03_가중치민감도'!$D$10</f>
        <v>0.86344413213166848</v>
      </c>
      <c r="K386" s="31">
        <f t="shared" si="30"/>
        <v>881</v>
      </c>
      <c r="L386" s="31">
        <f t="shared" si="31"/>
        <v>779</v>
      </c>
      <c r="M386" s="31">
        <f t="shared" si="32"/>
        <v>879</v>
      </c>
      <c r="N386" s="31">
        <f t="shared" si="33"/>
        <v>863</v>
      </c>
      <c r="O386" s="31">
        <f t="shared" si="34"/>
        <v>826</v>
      </c>
      <c r="P386" s="31">
        <f t="shared" si="35"/>
        <v>927</v>
      </c>
    </row>
    <row r="387" spans="1:16">
      <c r="A387" s="2" t="str">
        <f>'01_원자료'!A384</f>
        <v>PAT-26</v>
      </c>
      <c r="B387" s="2" t="str">
        <f>'01_원자료'!B384</f>
        <v>gemini</v>
      </c>
      <c r="C387" s="2" t="str">
        <f>'01_원자료'!C384</f>
        <v>ministral</v>
      </c>
      <c r="E387" s="17">
        <f>'01_원자료'!P384*'03_가중치민감도'!$B$5+'01_원자료'!Q384*'03_가중치민감도'!$C$5+'01_원자료'!R384*'03_가중치민감도'!$D$5</f>
        <v>0.58249699242910047</v>
      </c>
      <c r="F387" s="17">
        <f>'01_원자료'!P384*'03_가중치민감도'!$B$6+'01_원자료'!Q384*'03_가중치민감도'!$C$6+'01_원자료'!R384*'03_가중치민감도'!$D$6</f>
        <v>0.46480359225928591</v>
      </c>
      <c r="G387" s="17">
        <f>'01_원자료'!P384*'03_가중치민감도'!$B$7+'01_원자료'!Q384*'03_가중치민감도'!$C$7+'01_원자료'!R384*'03_가중치민감도'!$D$7</f>
        <v>0.59249228234732287</v>
      </c>
      <c r="H387" s="17">
        <f>'01_원자료'!P384*'03_가중치민감도'!$B$8+'01_원자료'!Q384*'03_가중치민감도'!$C$8+'01_원자료'!R384*'03_가중치민감도'!$D$8</f>
        <v>0.53252054283798866</v>
      </c>
      <c r="I387" s="17">
        <f>'01_원자료'!P384*'03_가중치민감도'!$B$9+'01_원자료'!Q384*'03_가중치민감도'!$C$9+'01_원자료'!R384*'03_가중치민감도'!$D$9</f>
        <v>0.50070296234314937</v>
      </c>
      <c r="J387" s="17">
        <f>'01_원자료'!P384*'03_가중치민감도'!$B$10+'01_원자료'!Q384*'03_가중치민감도'!$C$10+'01_원자료'!R384*'03_가중치민감도'!$D$10</f>
        <v>0.68019981276247043</v>
      </c>
      <c r="K387" s="31">
        <f t="shared" si="30"/>
        <v>330</v>
      </c>
      <c r="L387" s="31">
        <f t="shared" si="31"/>
        <v>199</v>
      </c>
      <c r="M387" s="31">
        <f t="shared" si="32"/>
        <v>332</v>
      </c>
      <c r="N387" s="31">
        <f t="shared" si="33"/>
        <v>286</v>
      </c>
      <c r="O387" s="31">
        <f t="shared" si="34"/>
        <v>249</v>
      </c>
      <c r="P387" s="31">
        <f t="shared" si="35"/>
        <v>388</v>
      </c>
    </row>
    <row r="388" spans="1:16">
      <c r="A388" s="2" t="str">
        <f>'01_원자료'!A385</f>
        <v>PAT-26</v>
      </c>
      <c r="B388" s="2" t="str">
        <f>'01_원자료'!B385</f>
        <v>gemini</v>
      </c>
      <c r="C388" s="2" t="str">
        <f>'01_원자료'!C385</f>
        <v>qwen</v>
      </c>
      <c r="E388" s="17">
        <f>'01_원자료'!P385*'03_가중치민감도'!$B$5+'01_원자료'!Q385*'03_가중치민감도'!$C$5+'01_원자료'!R385*'03_가중치민감도'!$D$5</f>
        <v>0.77084050856251729</v>
      </c>
      <c r="F388" s="17">
        <f>'01_원자료'!P385*'03_가중치민감도'!$B$6+'01_원자료'!Q385*'03_가중치민감도'!$C$6+'01_원자료'!R385*'03_가중치민감도'!$D$6</f>
        <v>0.66928711856385148</v>
      </c>
      <c r="G388" s="17">
        <f>'01_원자료'!P385*'03_가중치민감도'!$B$7+'01_원자료'!Q385*'03_가중치민감도'!$C$7+'01_원자료'!R385*'03_가중치민감도'!$D$7</f>
        <v>0.76511753558868723</v>
      </c>
      <c r="H388" s="17">
        <f>'01_원자료'!P385*'03_가중치민감도'!$B$8+'01_원자료'!Q385*'03_가중치민감도'!$C$8+'01_원자료'!R385*'03_가중치민감도'!$D$8</f>
        <v>0.79945537343166773</v>
      </c>
      <c r="I388" s="17">
        <f>'01_원자료'!P385*'03_가중치민감도'!$B$9+'01_원자료'!Q385*'03_가중치민감도'!$C$9+'01_원자료'!R385*'03_가중치민감도'!$D$9</f>
        <v>0.70504590622134944</v>
      </c>
      <c r="J388" s="17">
        <f>'01_원자료'!P385*'03_가중치민감도'!$B$10+'01_원자료'!Q385*'03_가중치민감도'!$C$10+'01_원자료'!R385*'03_가중치민감도'!$D$10</f>
        <v>0.88383984450884334</v>
      </c>
      <c r="K388" s="31">
        <f t="shared" si="30"/>
        <v>972</v>
      </c>
      <c r="L388" s="31">
        <f t="shared" si="31"/>
        <v>969</v>
      </c>
      <c r="M388" s="31">
        <f t="shared" si="32"/>
        <v>972</v>
      </c>
      <c r="N388" s="31">
        <f t="shared" si="33"/>
        <v>969</v>
      </c>
      <c r="O388" s="31">
        <f t="shared" si="34"/>
        <v>969</v>
      </c>
      <c r="P388" s="31">
        <f t="shared" si="35"/>
        <v>973</v>
      </c>
    </row>
    <row r="389" spans="1:16">
      <c r="A389" s="2" t="str">
        <f>'01_원자료'!A386</f>
        <v>PAT-26</v>
      </c>
      <c r="B389" s="2" t="str">
        <f>'01_원자료'!B386</f>
        <v>mistral</v>
      </c>
      <c r="C389" s="2" t="str">
        <f>'01_원자료'!C386</f>
        <v>gemma</v>
      </c>
      <c r="E389" s="17">
        <f>'01_원자료'!P386*'03_가중치민감도'!$B$5+'01_원자료'!Q386*'03_가중치민감도'!$C$5+'01_원자료'!R386*'03_가중치민감도'!$D$5</f>
        <v>0.6704445687157834</v>
      </c>
      <c r="F389" s="17">
        <f>'01_원자료'!P386*'03_가중치민감도'!$B$6+'01_원자료'!Q386*'03_가중치민감도'!$C$6+'01_원자료'!R386*'03_가중치민감도'!$D$6</f>
        <v>0.56013830524169128</v>
      </c>
      <c r="G389" s="17">
        <f>'01_원자료'!P386*'03_가중치민감도'!$B$7+'01_원자료'!Q386*'03_가중치민감도'!$C$7+'01_원자료'!R386*'03_가중치민감도'!$D$7</f>
        <v>0.66633148800693676</v>
      </c>
      <c r="H389" s="17">
        <f>'01_원자료'!P386*'03_가중치민감도'!$B$8+'01_원자료'!Q386*'03_가중치민감도'!$C$8+'01_원자료'!R386*'03_가중치민감도'!$D$8</f>
        <v>0.69100997226001692</v>
      </c>
      <c r="I389" s="17">
        <f>'01_원자료'!P386*'03_가중치민감도'!$B$9+'01_원자료'!Q386*'03_가중치민감도'!$C$9+'01_원자료'!R386*'03_가중치민감도'!$D$9</f>
        <v>0.59827808663600368</v>
      </c>
      <c r="J389" s="17">
        <f>'01_원자료'!P386*'03_가중치민감도'!$B$10+'01_원자료'!Q386*'03_가중치민감도'!$C$10+'01_원자료'!R386*'03_가중치민감도'!$D$10</f>
        <v>0.78897699360756901</v>
      </c>
      <c r="K389" s="31">
        <f t="shared" ref="K389:K452" si="36">COUNTIF($E$5:$E$979,"&lt;"&amp;E389)+(COUNTIF($E$5:$E$979,"="&amp;E389)+1)/2</f>
        <v>718</v>
      </c>
      <c r="L389" s="31">
        <f t="shared" ref="L389:L452" si="37">COUNTIF($F$5:$F$979,"&lt;"&amp;F389)+(COUNTIF($F$5:$F$979,"="&amp;F389)+1)/2</f>
        <v>637</v>
      </c>
      <c r="M389" s="31">
        <f t="shared" ref="M389:M452" si="38">COUNTIF($G$5:$G$979,"&lt;"&amp;G389)+(COUNTIF($G$5:$G$979,"="&amp;G389)+1)/2</f>
        <v>703</v>
      </c>
      <c r="N389" s="31">
        <f t="shared" ref="N389:N452" si="39">COUNTIF($H$5:$H$979,"&lt;"&amp;H389)+(COUNTIF($H$5:$H$979,"="&amp;H389)+1)/2</f>
        <v>752</v>
      </c>
      <c r="O389" s="31">
        <f t="shared" ref="O389:O452" si="40">COUNTIF($I$5:$I$979,"&lt;"&amp;I389)+(COUNTIF($I$5:$I$979,"="&amp;I389)+1)/2</f>
        <v>672</v>
      </c>
      <c r="P389" s="31">
        <f t="shared" ref="P389:P452" si="41">COUNTIF($J$5:$J$979,"&lt;"&amp;J389)+(COUNTIF($J$5:$J$979,"="&amp;J389)+1)/2</f>
        <v>781</v>
      </c>
    </row>
    <row r="390" spans="1:16">
      <c r="A390" s="2" t="str">
        <f>'01_원자료'!A387</f>
        <v>PAT-26</v>
      </c>
      <c r="B390" s="2" t="str">
        <f>'01_원자료'!B387</f>
        <v>mistral</v>
      </c>
      <c r="C390" s="2" t="str">
        <f>'01_원자료'!C387</f>
        <v>ministral</v>
      </c>
      <c r="E390" s="17">
        <f>'01_원자료'!P387*'03_가중치민감도'!$B$5+'01_원자료'!Q387*'03_가중치민감도'!$C$5+'01_원자료'!R387*'03_가중치민감도'!$D$5</f>
        <v>0.58927223105462456</v>
      </c>
      <c r="F390" s="17">
        <f>'01_원자료'!P387*'03_가중치민감도'!$B$6+'01_원자료'!Q387*'03_가중치민감도'!$C$6+'01_원자료'!R387*'03_가중치민감도'!$D$6</f>
        <v>0.48488009912918528</v>
      </c>
      <c r="G390" s="17">
        <f>'01_원자료'!P387*'03_가중치민감도'!$B$7+'01_원자료'!Q387*'03_가중치민감도'!$C$7+'01_원자료'!R387*'03_가중치민감도'!$D$7</f>
        <v>0.60003249684663984</v>
      </c>
      <c r="H390" s="17">
        <f>'01_원자료'!P387*'03_가중치민감도'!$B$8+'01_원자료'!Q387*'03_가중치민감도'!$C$8+'01_원자료'!R387*'03_가중치민감도'!$D$8</f>
        <v>0.53547090209454851</v>
      </c>
      <c r="I390" s="17">
        <f>'01_원자료'!P387*'03_가중치민감도'!$B$9+'01_원자료'!Q387*'03_가중치민감도'!$C$9+'01_원자료'!R387*'03_가중치민감도'!$D$9</f>
        <v>0.51609072117365939</v>
      </c>
      <c r="J390" s="17">
        <f>'01_원자료'!P387*'03_가중치민감도'!$B$10+'01_원자료'!Q387*'03_가중치민감도'!$C$10+'01_원자료'!R387*'03_가중치민감도'!$D$10</f>
        <v>0.67214383139603351</v>
      </c>
      <c r="K390" s="31">
        <f t="shared" si="36"/>
        <v>350</v>
      </c>
      <c r="L390" s="31">
        <f t="shared" si="37"/>
        <v>294</v>
      </c>
      <c r="M390" s="31">
        <f t="shared" si="38"/>
        <v>362</v>
      </c>
      <c r="N390" s="31">
        <f t="shared" si="39"/>
        <v>294</v>
      </c>
      <c r="O390" s="31">
        <f t="shared" si="40"/>
        <v>314</v>
      </c>
      <c r="P390" s="31">
        <f t="shared" si="41"/>
        <v>360</v>
      </c>
    </row>
    <row r="391" spans="1:16">
      <c r="A391" s="2" t="str">
        <f>'01_원자료'!A388</f>
        <v>PAT-26</v>
      </c>
      <c r="B391" s="2" t="str">
        <f>'01_원자료'!B388</f>
        <v>mistral</v>
      </c>
      <c r="C391" s="2" t="str">
        <f>'01_원자료'!C388</f>
        <v>qwen</v>
      </c>
      <c r="E391" s="17">
        <f>'01_원자료'!P388*'03_가중치민감도'!$B$5+'01_원자료'!Q388*'03_가중치민감도'!$C$5+'01_원자료'!R388*'03_가중치민감도'!$D$5</f>
        <v>0.70017570940625706</v>
      </c>
      <c r="F391" s="17">
        <f>'01_원자료'!P388*'03_가중치민감도'!$B$6+'01_원자료'!Q388*'03_가중치민감도'!$C$6+'01_원자료'!R388*'03_가중치민감도'!$D$6</f>
        <v>0.59772147941389964</v>
      </c>
      <c r="G391" s="17">
        <f>'01_원자료'!P388*'03_가중치민감도'!$B$7+'01_원자료'!Q388*'03_가중치민감도'!$C$7+'01_원자료'!R388*'03_가중치민감도'!$D$7</f>
        <v>0.69788588763147186</v>
      </c>
      <c r="H391" s="17">
        <f>'01_원자료'!P388*'03_가중치민감도'!$B$8+'01_원자료'!Q388*'03_가중치민감도'!$C$8+'01_원자료'!R388*'03_가중치민감도'!$D$8</f>
        <v>0.71162481828018265</v>
      </c>
      <c r="I391" s="17">
        <f>'01_원자료'!P388*'03_가중치민감도'!$B$9+'01_원자료'!Q388*'03_가중치민감도'!$C$9+'01_원자료'!R388*'03_가중치민감도'!$D$9</f>
        <v>0.63263616333627981</v>
      </c>
      <c r="J391" s="17">
        <f>'01_원자료'!P388*'03_가중치민감도'!$B$10+'01_원자료'!Q388*'03_가중치민감도'!$C$10+'01_원자료'!R388*'03_가중치민감도'!$D$10</f>
        <v>0.80720958294818468</v>
      </c>
      <c r="K391" s="31">
        <f t="shared" si="36"/>
        <v>823</v>
      </c>
      <c r="L391" s="31">
        <f t="shared" si="37"/>
        <v>799</v>
      </c>
      <c r="M391" s="31">
        <f t="shared" si="38"/>
        <v>825</v>
      </c>
      <c r="N391" s="31">
        <f t="shared" si="39"/>
        <v>816</v>
      </c>
      <c r="O391" s="31">
        <f t="shared" si="40"/>
        <v>805</v>
      </c>
      <c r="P391" s="31">
        <f t="shared" si="41"/>
        <v>829</v>
      </c>
    </row>
    <row r="392" spans="1:16">
      <c r="A392" s="2" t="str">
        <f>'01_원자료'!A389</f>
        <v>PAT-26</v>
      </c>
      <c r="B392" s="2" t="str">
        <f>'01_원자료'!B389</f>
        <v>qwen3_6</v>
      </c>
      <c r="C392" s="2" t="str">
        <f>'01_원자료'!C389</f>
        <v>gemma</v>
      </c>
      <c r="E392" s="17">
        <f>'01_원자료'!P389*'03_가중치민감도'!$B$5+'01_원자료'!Q389*'03_가중치민감도'!$C$5+'01_원자료'!R389*'03_가중치민감도'!$D$5</f>
        <v>0.70068070060839738</v>
      </c>
      <c r="F392" s="17">
        <f>'01_원자료'!P389*'03_가중치민감도'!$B$6+'01_원자료'!Q389*'03_가중치민감도'!$C$6+'01_원자료'!R389*'03_가중치민감도'!$D$6</f>
        <v>0.58300030379586232</v>
      </c>
      <c r="G392" s="17">
        <f>'01_원자료'!P389*'03_가중치민감도'!$B$7+'01_원자료'!Q389*'03_가중치민감도'!$C$7+'01_원자료'!R389*'03_가중치민감도'!$D$7</f>
        <v>0.69045499420621304</v>
      </c>
      <c r="H392" s="17">
        <f>'01_원자료'!P389*'03_가중치민감도'!$B$8+'01_원자료'!Q389*'03_가중치민감도'!$C$8+'01_원자료'!R389*'03_가중치민감도'!$D$8</f>
        <v>0.75180923261931898</v>
      </c>
      <c r="I392" s="17">
        <f>'01_원자료'!P389*'03_가중치민감도'!$B$9+'01_원자료'!Q389*'03_가중치민감도'!$C$9+'01_원자료'!R389*'03_가중치민감도'!$D$9</f>
        <v>0.62563567153410138</v>
      </c>
      <c r="J392" s="17">
        <f>'01_원자료'!P389*'03_가중치민감도'!$B$10+'01_원자료'!Q389*'03_가중치민감도'!$C$10+'01_원자료'!R389*'03_가중치민감도'!$D$10</f>
        <v>0.83881251022530112</v>
      </c>
      <c r="K392" s="31">
        <f t="shared" si="36"/>
        <v>825</v>
      </c>
      <c r="L392" s="31">
        <f t="shared" si="37"/>
        <v>751</v>
      </c>
      <c r="M392" s="31">
        <f t="shared" si="38"/>
        <v>797</v>
      </c>
      <c r="N392" s="31">
        <f t="shared" si="39"/>
        <v>850</v>
      </c>
      <c r="O392" s="31">
        <f t="shared" si="40"/>
        <v>777</v>
      </c>
      <c r="P392" s="31">
        <f t="shared" si="41"/>
        <v>856</v>
      </c>
    </row>
    <row r="393" spans="1:16">
      <c r="A393" s="2" t="str">
        <f>'01_원자료'!A390</f>
        <v>PAT-26</v>
      </c>
      <c r="B393" s="2" t="str">
        <f>'01_원자료'!B390</f>
        <v>qwen3_6</v>
      </c>
      <c r="C393" s="2" t="str">
        <f>'01_원자료'!C390</f>
        <v>ministral</v>
      </c>
      <c r="E393" s="17">
        <f>'01_원자료'!P390*'03_가중치민감도'!$B$5+'01_원자료'!Q390*'03_가중치민감도'!$C$5+'01_원자료'!R390*'03_가중치민감도'!$D$5</f>
        <v>0.5676188735451797</v>
      </c>
      <c r="F393" s="17">
        <f>'01_원자료'!P390*'03_가중치민감도'!$B$6+'01_원자료'!Q390*'03_가중치민감도'!$C$6+'01_원자료'!R390*'03_가중치민감도'!$D$6</f>
        <v>0.46163299626933207</v>
      </c>
      <c r="G393" s="17">
        <f>'01_원자료'!P390*'03_가중치민감도'!$B$7+'01_원자료'!Q390*'03_가중치민감도'!$C$7+'01_원자료'!R390*'03_가중치민감도'!$D$7</f>
        <v>0.57539869331524474</v>
      </c>
      <c r="H393" s="17">
        <f>'01_원자료'!P390*'03_가중치민감도'!$B$8+'01_원자료'!Q390*'03_가중치민감도'!$C$8+'01_원자료'!R390*'03_가중치민감도'!$D$8</f>
        <v>0.52871977469485443</v>
      </c>
      <c r="I393" s="17">
        <f>'01_원자료'!P390*'03_가중치민감도'!$B$9+'01_원자료'!Q390*'03_가중치민감도'!$C$9+'01_원자료'!R390*'03_가중치민감도'!$D$9</f>
        <v>0.49436834877125907</v>
      </c>
      <c r="J393" s="17">
        <f>'01_원자료'!P390*'03_가중치민감도'!$B$10+'01_원자료'!Q390*'03_가중치민감도'!$C$10+'01_원자료'!R390*'03_가중치민감도'!$D$10</f>
        <v>0.65804511128089715</v>
      </c>
      <c r="K393" s="31">
        <f t="shared" si="36"/>
        <v>275</v>
      </c>
      <c r="L393" s="31">
        <f t="shared" si="37"/>
        <v>184</v>
      </c>
      <c r="M393" s="31">
        <f t="shared" si="38"/>
        <v>272</v>
      </c>
      <c r="N393" s="31">
        <f t="shared" si="39"/>
        <v>276</v>
      </c>
      <c r="O393" s="31">
        <f t="shared" si="40"/>
        <v>217</v>
      </c>
      <c r="P393" s="31">
        <f t="shared" si="41"/>
        <v>326</v>
      </c>
    </row>
    <row r="394" spans="1:16">
      <c r="A394" s="2" t="str">
        <f>'01_원자료'!A391</f>
        <v>PAT-26</v>
      </c>
      <c r="B394" s="2" t="str">
        <f>'01_원자료'!B391</f>
        <v>qwen3_6</v>
      </c>
      <c r="C394" s="2" t="str">
        <f>'01_원자료'!C391</f>
        <v>qwen</v>
      </c>
      <c r="E394" s="17">
        <f>'01_원자료'!P391*'03_가중치민감도'!$B$5+'01_원자료'!Q391*'03_가중치민감도'!$C$5+'01_원자료'!R391*'03_가중치민감도'!$D$5</f>
        <v>0.75218180680300883</v>
      </c>
      <c r="F394" s="17">
        <f>'01_원자료'!P391*'03_가중치민감도'!$B$6+'01_원자료'!Q391*'03_가중치민감도'!$C$6+'01_원자료'!R391*'03_가중치민감도'!$D$6</f>
        <v>0.65215293515828276</v>
      </c>
      <c r="G394" s="17">
        <f>'01_원자료'!P391*'03_가중치민감도'!$B$7+'01_원자료'!Q391*'03_가중치민감도'!$C$7+'01_원자료'!R391*'03_가중치민감도'!$D$7</f>
        <v>0.74477689881972475</v>
      </c>
      <c r="H394" s="17">
        <f>'01_원자료'!P391*'03_가중치민감도'!$B$8+'01_원자료'!Q391*'03_가중치민감도'!$C$8+'01_원자료'!R391*'03_가중치민감도'!$D$8</f>
        <v>0.78920634671942946</v>
      </c>
      <c r="I394" s="17">
        <f>'01_원자료'!P391*'03_가중치민감도'!$B$9+'01_원자료'!Q391*'03_가중치민감도'!$C$9+'01_원자료'!R391*'03_가중치민감도'!$D$9</f>
        <v>0.68796419503428541</v>
      </c>
      <c r="J394" s="17">
        <f>'01_원자료'!P391*'03_가중치민감도'!$B$10+'01_원자료'!Q391*'03_가중치민감도'!$C$10+'01_원자료'!R391*'03_가중치민감도'!$D$10</f>
        <v>0.86702049441430329</v>
      </c>
      <c r="K394" s="31">
        <f t="shared" si="36"/>
        <v>957</v>
      </c>
      <c r="L394" s="31">
        <f t="shared" si="37"/>
        <v>953</v>
      </c>
      <c r="M394" s="31">
        <f t="shared" si="38"/>
        <v>956</v>
      </c>
      <c r="N394" s="31">
        <f t="shared" si="39"/>
        <v>954</v>
      </c>
      <c r="O394" s="31">
        <f t="shared" si="40"/>
        <v>954</v>
      </c>
      <c r="P394" s="31">
        <f t="shared" si="41"/>
        <v>938</v>
      </c>
    </row>
    <row r="395" spans="1:16">
      <c r="A395" s="2" t="str">
        <f>'01_원자료'!A392</f>
        <v>PAT-27</v>
      </c>
      <c r="B395" s="2" t="str">
        <f>'01_원자료'!B392</f>
        <v>chatgpt</v>
      </c>
      <c r="C395" s="2" t="str">
        <f>'01_원자료'!C392</f>
        <v>gemma</v>
      </c>
      <c r="E395" s="17">
        <f>'01_원자료'!P392*'03_가중치민감도'!$B$5+'01_원자료'!Q392*'03_가중치민감도'!$C$5+'01_원자료'!R392*'03_가중치민감도'!$D$5</f>
        <v>0.58081893214768687</v>
      </c>
      <c r="F395" s="17">
        <f>'01_원자료'!P392*'03_가중치민감도'!$B$6+'01_원자료'!Q392*'03_가중치민감도'!$C$6+'01_원자료'!R392*'03_가중치민감도'!$D$6</f>
        <v>0.50275769076880206</v>
      </c>
      <c r="G395" s="17">
        <f>'01_원자료'!P392*'03_가중치민감도'!$B$7+'01_원자료'!Q392*'03_가중치민감도'!$C$7+'01_원자료'!R392*'03_가중치민감도'!$D$7</f>
        <v>0.58960131097227542</v>
      </c>
      <c r="H395" s="17">
        <f>'01_원자료'!P392*'03_가중치민감도'!$B$8+'01_원자료'!Q392*'03_가중치민감도'!$C$8+'01_원자료'!R392*'03_가중치민감도'!$D$8</f>
        <v>0.5369070380247436</v>
      </c>
      <c r="I395" s="17">
        <f>'01_원자료'!P392*'03_가중치민감도'!$B$9+'01_원자료'!Q392*'03_가중치민감도'!$C$9+'01_원자료'!R392*'03_가중치민감도'!$D$9</f>
        <v>0.52585064495356693</v>
      </c>
      <c r="J395" s="17">
        <f>'01_원자료'!P392*'03_가중치민감도'!$B$10+'01_원자료'!Q392*'03_가중치민감도'!$C$10+'01_원자료'!R392*'03_가중치민감도'!$D$10</f>
        <v>0.64131541587739427</v>
      </c>
      <c r="K395" s="31">
        <f t="shared" si="36"/>
        <v>323</v>
      </c>
      <c r="L395" s="31">
        <f t="shared" si="37"/>
        <v>373</v>
      </c>
      <c r="M395" s="31">
        <f t="shared" si="38"/>
        <v>324</v>
      </c>
      <c r="N395" s="31">
        <f t="shared" si="39"/>
        <v>297</v>
      </c>
      <c r="O395" s="31">
        <f t="shared" si="40"/>
        <v>352</v>
      </c>
      <c r="P395" s="31">
        <f t="shared" si="41"/>
        <v>290</v>
      </c>
    </row>
    <row r="396" spans="1:16">
      <c r="A396" s="2" t="str">
        <f>'01_원자료'!A393</f>
        <v>PAT-27</v>
      </c>
      <c r="B396" s="2" t="str">
        <f>'01_원자료'!B393</f>
        <v>chatgpt</v>
      </c>
      <c r="C396" s="2" t="str">
        <f>'01_원자료'!C393</f>
        <v>ministral</v>
      </c>
      <c r="E396" s="17">
        <f>'01_원자료'!P393*'03_가중치민감도'!$B$5+'01_원자료'!Q393*'03_가중치민감도'!$C$5+'01_원자료'!R393*'03_가중치민감도'!$D$5</f>
        <v>0.54877547877993349</v>
      </c>
      <c r="F396" s="17">
        <f>'01_원자료'!P393*'03_가중치민감도'!$B$6+'01_원자료'!Q393*'03_가중치민감도'!$C$6+'01_원자료'!R393*'03_가중치민감도'!$D$6</f>
        <v>0.4577539174052625</v>
      </c>
      <c r="G396" s="17">
        <f>'01_원자료'!P393*'03_가중치민감도'!$B$7+'01_원자료'!Q393*'03_가중치민감도'!$C$7+'01_원자료'!R393*'03_가중치민감도'!$D$7</f>
        <v>0.56123297214989176</v>
      </c>
      <c r="H396" s="17">
        <f>'01_원자료'!P393*'03_가중치민감도'!$B$8+'01_원자료'!Q393*'03_가중치민감도'!$C$8+'01_원자료'!R393*'03_가중치민감도'!$D$8</f>
        <v>0.48648801193014179</v>
      </c>
      <c r="I396" s="17">
        <f>'01_원자료'!P393*'03_가중치민감도'!$B$9+'01_원자료'!Q393*'03_가중치민감도'!$C$9+'01_원자료'!R393*'03_가중치민감도'!$D$9</f>
        <v>0.4839419400734995</v>
      </c>
      <c r="J396" s="17">
        <f>'01_원자료'!P393*'03_가중치민감도'!$B$10+'01_원자료'!Q393*'03_가중치민감도'!$C$10+'01_원자료'!R393*'03_가중치민감도'!$D$10</f>
        <v>0.61488205341468771</v>
      </c>
      <c r="K396" s="31">
        <f t="shared" si="36"/>
        <v>200</v>
      </c>
      <c r="L396" s="31">
        <f t="shared" si="37"/>
        <v>168</v>
      </c>
      <c r="M396" s="31">
        <f t="shared" si="38"/>
        <v>201</v>
      </c>
      <c r="N396" s="31">
        <f t="shared" si="39"/>
        <v>189</v>
      </c>
      <c r="O396" s="31">
        <f t="shared" si="40"/>
        <v>175</v>
      </c>
      <c r="P396" s="31">
        <f t="shared" si="41"/>
        <v>225</v>
      </c>
    </row>
    <row r="397" spans="1:16">
      <c r="A397" s="2" t="str">
        <f>'01_원자료'!A394</f>
        <v>PAT-27</v>
      </c>
      <c r="B397" s="2" t="str">
        <f>'01_원자료'!B394</f>
        <v>chatgpt</v>
      </c>
      <c r="C397" s="2" t="str">
        <f>'01_원자료'!C394</f>
        <v>qwen</v>
      </c>
      <c r="E397" s="17">
        <f>'01_원자료'!P394*'03_가중치민감도'!$B$5+'01_원자료'!Q394*'03_가중치민감도'!$C$5+'01_원자료'!R394*'03_가중치민감도'!$D$5</f>
        <v>0.6190983399931963</v>
      </c>
      <c r="F397" s="17">
        <f>'01_원자료'!P394*'03_가중치민감도'!$B$6+'01_원자료'!Q394*'03_가중치민감도'!$C$6+'01_원자료'!R394*'03_가중치민감도'!$D$6</f>
        <v>0.54690127242194375</v>
      </c>
      <c r="G397" s="17">
        <f>'01_원자료'!P394*'03_가중치민감도'!$B$7+'01_원자료'!Q394*'03_가중치민감도'!$C$7+'01_원자료'!R394*'03_가중치민감도'!$D$7</f>
        <v>0.62685570105806876</v>
      </c>
      <c r="H397" s="17">
        <f>'01_원자료'!P394*'03_가중치민감도'!$B$8+'01_원자료'!Q394*'03_가중치민감도'!$C$8+'01_원자료'!R394*'03_가중치민감도'!$D$8</f>
        <v>0.58031153466883412</v>
      </c>
      <c r="I397" s="17">
        <f>'01_원자료'!P394*'03_가중치민감도'!$B$9+'01_원자료'!Q394*'03_가중치민감도'!$C$9+'01_원자료'!R394*'03_가중치민감도'!$D$9</f>
        <v>0.56838117459073645</v>
      </c>
      <c r="J397" s="17">
        <f>'01_원자료'!P394*'03_가중치민감도'!$B$10+'01_원자료'!Q394*'03_가중치민감도'!$C$10+'01_원자료'!R394*'03_가중치민감도'!$D$10</f>
        <v>0.67578068543470404</v>
      </c>
      <c r="K397" s="31">
        <f t="shared" si="36"/>
        <v>485</v>
      </c>
      <c r="L397" s="31">
        <f t="shared" si="37"/>
        <v>572</v>
      </c>
      <c r="M397" s="31">
        <f t="shared" si="38"/>
        <v>499</v>
      </c>
      <c r="N397" s="31">
        <f t="shared" si="39"/>
        <v>424</v>
      </c>
      <c r="O397" s="31">
        <f t="shared" si="40"/>
        <v>542</v>
      </c>
      <c r="P397" s="31">
        <f t="shared" si="41"/>
        <v>374</v>
      </c>
    </row>
    <row r="398" spans="1:16">
      <c r="A398" s="2" t="str">
        <f>'01_원자료'!A395</f>
        <v>PAT-27</v>
      </c>
      <c r="B398" s="2" t="str">
        <f>'01_원자료'!B395</f>
        <v>claude</v>
      </c>
      <c r="C398" s="2" t="str">
        <f>'01_원자료'!C395</f>
        <v>gemma</v>
      </c>
      <c r="E398" s="17">
        <f>'01_원자료'!P395*'03_가중치민감도'!$B$5+'01_원자료'!Q395*'03_가중치민감도'!$C$5+'01_원자료'!R395*'03_가중치민감도'!$D$5</f>
        <v>0.66529033411670246</v>
      </c>
      <c r="F398" s="17">
        <f>'01_원자료'!P395*'03_가중치민감도'!$B$6+'01_원자료'!Q395*'03_가중치민감도'!$C$6+'01_원자료'!R395*'03_가중치민감도'!$D$6</f>
        <v>0.56704525236148573</v>
      </c>
      <c r="G398" s="17">
        <f>'01_원자료'!P395*'03_가중치민감도'!$B$7+'01_원자료'!Q395*'03_가중치민감도'!$C$7+'01_원자료'!R395*'03_가중치민감도'!$D$7</f>
        <v>0.6644824534451601</v>
      </c>
      <c r="H398" s="17">
        <f>'01_원자료'!P395*'03_가중치민감도'!$B$8+'01_원자료'!Q395*'03_가중치민감도'!$C$8+'01_원자료'!R395*'03_가중치민감도'!$D$8</f>
        <v>0.6693297374744146</v>
      </c>
      <c r="I398" s="17">
        <f>'01_원자료'!P395*'03_가중치민감도'!$B$9+'01_원자료'!Q395*'03_가중치민감도'!$C$9+'01_원자료'!R395*'03_가중치민감도'!$D$9</f>
        <v>0.60006290650373817</v>
      </c>
      <c r="J398" s="17">
        <f>'01_원자료'!P395*'03_가중치민감도'!$B$10+'01_원자료'!Q395*'03_가중치민감도'!$C$10+'01_원자료'!R395*'03_가중치민감도'!$D$10</f>
        <v>0.76515117721500414</v>
      </c>
      <c r="K398" s="31">
        <f t="shared" si="36"/>
        <v>694</v>
      </c>
      <c r="L398" s="31">
        <f t="shared" si="37"/>
        <v>679</v>
      </c>
      <c r="M398" s="31">
        <f t="shared" si="38"/>
        <v>691</v>
      </c>
      <c r="N398" s="31">
        <f t="shared" si="39"/>
        <v>699</v>
      </c>
      <c r="O398" s="31">
        <f t="shared" si="40"/>
        <v>684</v>
      </c>
      <c r="P398" s="31">
        <f t="shared" si="41"/>
        <v>707</v>
      </c>
    </row>
    <row r="399" spans="1:16">
      <c r="A399" s="2" t="str">
        <f>'01_원자료'!A396</f>
        <v>PAT-27</v>
      </c>
      <c r="B399" s="2" t="str">
        <f>'01_원자료'!B396</f>
        <v>claude</v>
      </c>
      <c r="C399" s="2" t="str">
        <f>'01_원자료'!C396</f>
        <v>ministral</v>
      </c>
      <c r="E399" s="17">
        <f>'01_원자료'!P396*'03_가중치민감도'!$B$5+'01_원자료'!Q396*'03_가중치민감도'!$C$5+'01_원자료'!R396*'03_가중치민감도'!$D$5</f>
        <v>0.5943758879949339</v>
      </c>
      <c r="F399" s="17">
        <f>'01_원자료'!P396*'03_가중치민감도'!$B$6+'01_원자료'!Q396*'03_가중치민감도'!$C$6+'01_원자료'!R396*'03_가중치민감도'!$D$6</f>
        <v>0.49296673820108272</v>
      </c>
      <c r="G399" s="17">
        <f>'01_원자료'!P396*'03_가중치민감도'!$B$7+'01_원자료'!Q396*'03_가중치민감도'!$C$7+'01_원자료'!R396*'03_가중치민감도'!$D$7</f>
        <v>0.60021969474045056</v>
      </c>
      <c r="H399" s="17">
        <f>'01_원자료'!P396*'03_가중치민감도'!$B$8+'01_원자료'!Q396*'03_가중치민감도'!$C$8+'01_원자료'!R396*'03_가중치민감도'!$D$8</f>
        <v>0.56515685426735041</v>
      </c>
      <c r="I399" s="17">
        <f>'01_원자료'!P396*'03_가중치민감도'!$B$9+'01_원자료'!Q396*'03_가중치민감도'!$C$9+'01_원자료'!R396*'03_가중치민감도'!$D$9</f>
        <v>0.52482185255052705</v>
      </c>
      <c r="J399" s="17">
        <f>'01_원자료'!P396*'03_가중치민감도'!$B$10+'01_원자료'!Q396*'03_가중치민감도'!$C$10+'01_원자료'!R396*'03_가중치민감도'!$D$10</f>
        <v>0.68409742429775167</v>
      </c>
      <c r="K399" s="31">
        <f t="shared" si="36"/>
        <v>362</v>
      </c>
      <c r="L399" s="31">
        <f t="shared" si="37"/>
        <v>330</v>
      </c>
      <c r="M399" s="31">
        <f t="shared" si="38"/>
        <v>364</v>
      </c>
      <c r="N399" s="31">
        <f t="shared" si="39"/>
        <v>384</v>
      </c>
      <c r="O399" s="31">
        <f t="shared" si="40"/>
        <v>345</v>
      </c>
      <c r="P399" s="31">
        <f t="shared" si="41"/>
        <v>408</v>
      </c>
    </row>
    <row r="400" spans="1:16">
      <c r="A400" s="2" t="str">
        <f>'01_원자료'!A397</f>
        <v>PAT-27</v>
      </c>
      <c r="B400" s="2" t="str">
        <f>'01_원자료'!B397</f>
        <v>claude</v>
      </c>
      <c r="C400" s="2" t="str">
        <f>'01_원자료'!C397</f>
        <v>qwen</v>
      </c>
      <c r="E400" s="17">
        <f>'01_원자료'!P397*'03_가중치민감도'!$B$5+'01_원자료'!Q397*'03_가중치민감도'!$C$5+'01_원자료'!R397*'03_가중치민감도'!$D$5</f>
        <v>0.68724370657836675</v>
      </c>
      <c r="F400" s="17">
        <f>'01_원자료'!P397*'03_가중치민감도'!$B$6+'01_원자료'!Q397*'03_가중치민감도'!$C$6+'01_원자료'!R397*'03_가중치민감도'!$D$6</f>
        <v>0.59441675888987855</v>
      </c>
      <c r="G400" s="17">
        <f>'01_원자료'!P397*'03_가중치민감도'!$B$7+'01_원자료'!Q397*'03_가중치민감도'!$C$7+'01_원자료'!R397*'03_가중치민감도'!$D$7</f>
        <v>0.68124714036696798</v>
      </c>
      <c r="H400" s="17">
        <f>'01_원자료'!P397*'03_가중치민감도'!$B$8+'01_원자료'!Q397*'03_가중치민감도'!$C$8+'01_원자료'!R397*'03_가중치민감도'!$D$8</f>
        <v>0.71722653763536148</v>
      </c>
      <c r="I400" s="17">
        <f>'01_원자료'!P397*'03_가중치민감도'!$B$9+'01_원자료'!Q397*'03_가중치민감도'!$C$9+'01_원자료'!R397*'03_가중치민감도'!$D$9</f>
        <v>0.62735793018984021</v>
      </c>
      <c r="J400" s="17">
        <f>'01_원자료'!P397*'03_가중치민감도'!$B$10+'01_원자료'!Q397*'03_가중치민감도'!$C$10+'01_원자료'!R397*'03_가중치민감도'!$D$10</f>
        <v>0.79206378668965294</v>
      </c>
      <c r="K400" s="31">
        <f t="shared" si="36"/>
        <v>776</v>
      </c>
      <c r="L400" s="31">
        <f t="shared" si="37"/>
        <v>784</v>
      </c>
      <c r="M400" s="31">
        <f t="shared" si="38"/>
        <v>768</v>
      </c>
      <c r="N400" s="31">
        <f t="shared" si="39"/>
        <v>823</v>
      </c>
      <c r="O400" s="31">
        <f t="shared" si="40"/>
        <v>781</v>
      </c>
      <c r="P400" s="31">
        <f t="shared" si="41"/>
        <v>790</v>
      </c>
    </row>
    <row r="401" spans="1:16">
      <c r="A401" s="2" t="str">
        <f>'01_원자료'!A398</f>
        <v>PAT-27</v>
      </c>
      <c r="B401" s="2" t="str">
        <f>'01_원자료'!B398</f>
        <v>gemini</v>
      </c>
      <c r="C401" s="2" t="str">
        <f>'01_원자료'!C398</f>
        <v>gemma</v>
      </c>
      <c r="E401" s="17">
        <f>'01_원자료'!P398*'03_가중치민감도'!$B$5+'01_원자료'!Q398*'03_가중치민감도'!$C$5+'01_원자료'!R398*'03_가중치민감도'!$D$5</f>
        <v>0.69284189314910838</v>
      </c>
      <c r="F401" s="17">
        <f>'01_원자료'!P398*'03_가중치민감도'!$B$6+'01_원자료'!Q398*'03_가중치민감도'!$C$6+'01_원자료'!R398*'03_가중치민감도'!$D$6</f>
        <v>0.58486189464530725</v>
      </c>
      <c r="G401" s="17">
        <f>'01_원자료'!P398*'03_가중치민감도'!$B$7+'01_원자료'!Q398*'03_가중치민감도'!$C$7+'01_원자료'!R398*'03_가중치민감도'!$D$7</f>
        <v>0.6921977563775914</v>
      </c>
      <c r="H401" s="17">
        <f>'01_원자료'!P398*'03_가중치민감도'!$B$8+'01_원자료'!Q398*'03_가중치민감도'!$C$8+'01_원자료'!R398*'03_가중치민감도'!$D$8</f>
        <v>0.69606257700669338</v>
      </c>
      <c r="I401" s="17">
        <f>'01_원자료'!P398*'03_가중치민감도'!$B$9+'01_원자료'!Q398*'03_가중치민감도'!$C$9+'01_원자료'!R398*'03_가중치민감도'!$D$9</f>
        <v>0.62106993973707936</v>
      </c>
      <c r="J401" s="17">
        <f>'01_원자료'!P398*'03_가중치민감도'!$B$10+'01_원자료'!Q398*'03_가중치민감도'!$C$10+'01_원자료'!R398*'03_가중치민감도'!$D$10</f>
        <v>0.80211016519594336</v>
      </c>
      <c r="K401" s="31">
        <f t="shared" si="36"/>
        <v>796</v>
      </c>
      <c r="L401" s="31">
        <f t="shared" si="37"/>
        <v>756</v>
      </c>
      <c r="M401" s="31">
        <f t="shared" si="38"/>
        <v>804</v>
      </c>
      <c r="N401" s="31">
        <f t="shared" si="39"/>
        <v>774</v>
      </c>
      <c r="O401" s="31">
        <f t="shared" si="40"/>
        <v>768</v>
      </c>
      <c r="P401" s="31">
        <f t="shared" si="41"/>
        <v>820</v>
      </c>
    </row>
    <row r="402" spans="1:16">
      <c r="A402" s="2" t="str">
        <f>'01_원자료'!A399</f>
        <v>PAT-27</v>
      </c>
      <c r="B402" s="2" t="str">
        <f>'01_원자료'!B399</f>
        <v>gemini</v>
      </c>
      <c r="C402" s="2" t="str">
        <f>'01_원자료'!C399</f>
        <v>ministral</v>
      </c>
      <c r="E402" s="17">
        <f>'01_원자료'!P399*'03_가중치민감도'!$B$5+'01_원자료'!Q399*'03_가중치민감도'!$C$5+'01_원자료'!R399*'03_가중치민감도'!$D$5</f>
        <v>0.61965279963427933</v>
      </c>
      <c r="F402" s="17">
        <f>'01_원자료'!P399*'03_가중치민감도'!$B$6+'01_원자료'!Q399*'03_가중치민감도'!$C$6+'01_원자료'!R399*'03_가중치민감도'!$D$6</f>
        <v>0.50613713432769758</v>
      </c>
      <c r="G402" s="17">
        <f>'01_원자료'!P399*'03_가중치민감도'!$B$7+'01_원자료'!Q399*'03_가중치민감도'!$C$7+'01_원자료'!R399*'03_가중치민감도'!$D$7</f>
        <v>0.62725524574808211</v>
      </c>
      <c r="H402" s="17">
        <f>'01_원자료'!P399*'03_가중치민감도'!$B$8+'01_원자료'!Q399*'03_가중치민감도'!$C$8+'01_원자료'!R399*'03_가중치민감도'!$D$8</f>
        <v>0.58164056906526518</v>
      </c>
      <c r="I402" s="17">
        <f>'01_원자료'!P399*'03_가중치민감도'!$B$9+'01_원자료'!Q399*'03_가중치민감도'!$C$9+'01_원자료'!R399*'03_가중치민감도'!$D$9</f>
        <v>0.54144154072529005</v>
      </c>
      <c r="J402" s="17">
        <f>'01_원자료'!P399*'03_가중치민감도'!$B$10+'01_원자료'!Q399*'03_가중치민감도'!$C$10+'01_원자료'!R399*'03_가중치민감도'!$D$10</f>
        <v>0.71796357271325539</v>
      </c>
      <c r="K402" s="31">
        <f t="shared" si="36"/>
        <v>487</v>
      </c>
      <c r="L402" s="31">
        <f t="shared" si="37"/>
        <v>397</v>
      </c>
      <c r="M402" s="31">
        <f t="shared" si="38"/>
        <v>500</v>
      </c>
      <c r="N402" s="31">
        <f t="shared" si="39"/>
        <v>432</v>
      </c>
      <c r="O402" s="31">
        <f t="shared" si="40"/>
        <v>422</v>
      </c>
      <c r="P402" s="31">
        <f t="shared" si="41"/>
        <v>530</v>
      </c>
    </row>
    <row r="403" spans="1:16">
      <c r="A403" s="2" t="str">
        <f>'01_원자료'!A400</f>
        <v>PAT-27</v>
      </c>
      <c r="B403" s="2" t="str">
        <f>'01_원자료'!B400</f>
        <v>gemini</v>
      </c>
      <c r="C403" s="2" t="str">
        <f>'01_원자료'!C400</f>
        <v>qwen</v>
      </c>
      <c r="E403" s="17">
        <f>'01_원자료'!P400*'03_가중치민감도'!$B$5+'01_원자료'!Q400*'03_가중치민감도'!$C$5+'01_원자료'!R400*'03_가중치민감도'!$D$5</f>
        <v>0.76099712030523414</v>
      </c>
      <c r="F403" s="17">
        <f>'01_원자료'!P400*'03_가중치민감도'!$B$6+'01_원자료'!Q400*'03_가중치민감도'!$C$6+'01_원자료'!R400*'03_가중치민감도'!$D$6</f>
        <v>0.6559679393663097</v>
      </c>
      <c r="G403" s="17">
        <f>'01_원자료'!P400*'03_가중치민감도'!$B$7+'01_원자료'!Q400*'03_가중치민감도'!$C$7+'01_원자료'!R400*'03_가중치민감도'!$D$7</f>
        <v>0.75474351422165198</v>
      </c>
      <c r="H403" s="17">
        <f>'01_원자료'!P400*'03_가중치민감도'!$B$8+'01_원자료'!Q400*'03_가중치민감도'!$C$8+'01_원자료'!R400*'03_가중치민감도'!$D$8</f>
        <v>0.79226515072314485</v>
      </c>
      <c r="I403" s="17">
        <f>'01_원자료'!P400*'03_가중치민감도'!$B$9+'01_원자료'!Q400*'03_가중치민감도'!$C$9+'01_원자료'!R400*'03_가중치민감도'!$D$9</f>
        <v>0.6930622017071445</v>
      </c>
      <c r="J403" s="17">
        <f>'01_원자료'!P400*'03_가중치민감도'!$B$10+'01_원자료'!Q400*'03_가중치민감도'!$C$10+'01_원자료'!R400*'03_가중치민감도'!$D$10</f>
        <v>0.8785335134113228</v>
      </c>
      <c r="K403" s="31">
        <f t="shared" si="36"/>
        <v>966</v>
      </c>
      <c r="L403" s="31">
        <f t="shared" si="37"/>
        <v>958</v>
      </c>
      <c r="M403" s="31">
        <f t="shared" si="38"/>
        <v>967</v>
      </c>
      <c r="N403" s="31">
        <f t="shared" si="39"/>
        <v>959</v>
      </c>
      <c r="O403" s="31">
        <f t="shared" si="40"/>
        <v>959</v>
      </c>
      <c r="P403" s="31">
        <f t="shared" si="41"/>
        <v>965</v>
      </c>
    </row>
    <row r="404" spans="1:16">
      <c r="A404" s="2" t="str">
        <f>'01_원자료'!A401</f>
        <v>PAT-27</v>
      </c>
      <c r="B404" s="2" t="str">
        <f>'01_원자료'!B401</f>
        <v>mistral</v>
      </c>
      <c r="C404" s="2" t="str">
        <f>'01_원자료'!C401</f>
        <v>gemma</v>
      </c>
      <c r="E404" s="17">
        <f>'01_원자료'!P401*'03_가중치민감도'!$B$5+'01_원자료'!Q401*'03_가중치민감도'!$C$5+'01_원자료'!R401*'03_가중치민감도'!$D$5</f>
        <v>0.67010140016984177</v>
      </c>
      <c r="F404" s="17">
        <f>'01_원자료'!P401*'03_가중치민감도'!$B$6+'01_원자료'!Q401*'03_가중치민감도'!$C$6+'01_원자료'!R401*'03_가중치민감도'!$D$6</f>
        <v>0.56696288785862214</v>
      </c>
      <c r="G404" s="17">
        <f>'01_원자료'!P401*'03_가중치민감도'!$B$7+'01_원자료'!Q401*'03_가중치민감도'!$C$7+'01_원자료'!R401*'03_가중치민감도'!$D$7</f>
        <v>0.6689283914335955</v>
      </c>
      <c r="H404" s="17">
        <f>'01_원자료'!P401*'03_가중치민감도'!$B$8+'01_원자료'!Q401*'03_가중치민감도'!$C$8+'01_원자료'!R401*'03_가중치민감도'!$D$8</f>
        <v>0.67596644385107341</v>
      </c>
      <c r="I404" s="17">
        <f>'01_원자료'!P401*'03_가중치민감도'!$B$9+'01_원자료'!Q401*'03_가중치민감도'!$C$9+'01_원자료'!R401*'03_가중치민감도'!$D$9</f>
        <v>0.60173339487444355</v>
      </c>
      <c r="J404" s="17">
        <f>'01_원자료'!P401*'03_가중치민감도'!$B$10+'01_원자료'!Q401*'03_가중치민감도'!$C$10+'01_원자료'!R401*'03_가중치민감도'!$D$10</f>
        <v>0.77558592995355391</v>
      </c>
      <c r="K404" s="31">
        <f t="shared" si="36"/>
        <v>716</v>
      </c>
      <c r="L404" s="31">
        <f t="shared" si="37"/>
        <v>677</v>
      </c>
      <c r="M404" s="31">
        <f t="shared" si="38"/>
        <v>714</v>
      </c>
      <c r="N404" s="31">
        <f t="shared" si="39"/>
        <v>710</v>
      </c>
      <c r="O404" s="31">
        <f t="shared" si="40"/>
        <v>696</v>
      </c>
      <c r="P404" s="31">
        <f t="shared" si="41"/>
        <v>743</v>
      </c>
    </row>
    <row r="405" spans="1:16">
      <c r="A405" s="2" t="str">
        <f>'01_원자료'!A402</f>
        <v>PAT-27</v>
      </c>
      <c r="B405" s="2" t="str">
        <f>'01_원자료'!B402</f>
        <v>mistral</v>
      </c>
      <c r="C405" s="2" t="str">
        <f>'01_원자료'!C402</f>
        <v>ministral</v>
      </c>
      <c r="E405" s="17">
        <f>'01_원자료'!P402*'03_가중치민감도'!$B$5+'01_원자료'!Q402*'03_가중치민감도'!$C$5+'01_원자료'!R402*'03_가중치민감도'!$D$5</f>
        <v>0.62067651414641833</v>
      </c>
      <c r="F405" s="17">
        <f>'01_원자료'!P402*'03_가중치민감도'!$B$6+'01_원자료'!Q402*'03_가중치민감도'!$C$6+'01_원자료'!R402*'03_가중치민감도'!$D$6</f>
        <v>0.526657454859914</v>
      </c>
      <c r="G405" s="17">
        <f>'01_원자료'!P402*'03_가중치민감도'!$B$7+'01_원자료'!Q402*'03_가중치민감도'!$C$7+'01_원자료'!R402*'03_가중치민감도'!$D$7</f>
        <v>0.62780501081504703</v>
      </c>
      <c r="H405" s="17">
        <f>'01_원자료'!P402*'03_가중치민감도'!$B$8+'01_원자료'!Q402*'03_가중치민감도'!$C$8+'01_원자료'!R402*'03_가중치민감도'!$D$8</f>
        <v>0.58503403080327432</v>
      </c>
      <c r="I405" s="17">
        <f>'01_원자료'!P402*'03_가중치민감도'!$B$9+'01_원자료'!Q402*'03_가중치민감도'!$C$9+'01_원자료'!R402*'03_가중치민감도'!$D$9</f>
        <v>0.55562097573253855</v>
      </c>
      <c r="J405" s="17">
        <f>'01_원자료'!P402*'03_가중치민감도'!$B$10+'01_원자료'!Q402*'03_가중치민감도'!$C$10+'01_원자료'!R402*'03_가중치민감도'!$D$10</f>
        <v>0.70043858009566495</v>
      </c>
      <c r="K405" s="31">
        <f t="shared" si="36"/>
        <v>491</v>
      </c>
      <c r="L405" s="31">
        <f t="shared" si="37"/>
        <v>481</v>
      </c>
      <c r="M405" s="31">
        <f t="shared" si="38"/>
        <v>503</v>
      </c>
      <c r="N405" s="31">
        <f t="shared" si="39"/>
        <v>448</v>
      </c>
      <c r="O405" s="31">
        <f t="shared" si="40"/>
        <v>480</v>
      </c>
      <c r="P405" s="31">
        <f t="shared" si="41"/>
        <v>457</v>
      </c>
    </row>
    <row r="406" spans="1:16">
      <c r="A406" s="2" t="str">
        <f>'01_원자료'!A403</f>
        <v>PAT-27</v>
      </c>
      <c r="B406" s="2" t="str">
        <f>'01_원자료'!B403</f>
        <v>mistral</v>
      </c>
      <c r="C406" s="2" t="str">
        <f>'01_원자료'!C403</f>
        <v>qwen</v>
      </c>
      <c r="E406" s="17">
        <f>'01_원자료'!P403*'03_가중치민감도'!$B$5+'01_원자료'!Q403*'03_가중치민감도'!$C$5+'01_원자료'!R403*'03_가중치민감도'!$D$5</f>
        <v>0.63420695582424169</v>
      </c>
      <c r="F406" s="17">
        <f>'01_원자료'!P403*'03_가중치민감도'!$B$6+'01_원자료'!Q403*'03_가중치민감도'!$C$6+'01_원자료'!R403*'03_가중치민감도'!$D$6</f>
        <v>0.54638202316034723</v>
      </c>
      <c r="G406" s="17">
        <f>'01_원자료'!P403*'03_가중치민감도'!$B$7+'01_원자료'!Q403*'03_가중치민감도'!$C$7+'01_원자료'!R403*'03_가중치민감도'!$D$7</f>
        <v>0.63700434624298607</v>
      </c>
      <c r="H406" s="17">
        <f>'01_원자료'!P403*'03_가중치민감도'!$B$8+'01_원자료'!Q403*'03_가중치민감도'!$C$8+'01_원자료'!R403*'03_가중치민감도'!$D$8</f>
        <v>0.62022000373051989</v>
      </c>
      <c r="I406" s="17">
        <f>'01_원자료'!P403*'03_가중치민감도'!$B$9+'01_원자료'!Q403*'03_가중치민감도'!$C$9+'01_원자료'!R403*'03_가중치민감도'!$D$9</f>
        <v>0.5747245372420634</v>
      </c>
      <c r="J406" s="17">
        <f>'01_원자료'!P403*'03_가중치민감도'!$B$10+'01_원자료'!Q403*'03_가중치민감도'!$C$10+'01_원자료'!R403*'03_가중치민감도'!$D$10</f>
        <v>0.71643710765064728</v>
      </c>
      <c r="K406" s="31">
        <f t="shared" si="36"/>
        <v>547</v>
      </c>
      <c r="L406" s="31">
        <f t="shared" si="37"/>
        <v>570</v>
      </c>
      <c r="M406" s="31">
        <f t="shared" si="38"/>
        <v>551</v>
      </c>
      <c r="N406" s="31">
        <f t="shared" si="39"/>
        <v>549</v>
      </c>
      <c r="O406" s="31">
        <f t="shared" si="40"/>
        <v>561</v>
      </c>
      <c r="P406" s="31">
        <f t="shared" si="41"/>
        <v>525</v>
      </c>
    </row>
    <row r="407" spans="1:16">
      <c r="A407" s="2" t="str">
        <f>'01_원자료'!A404</f>
        <v>PAT-27</v>
      </c>
      <c r="B407" s="2" t="str">
        <f>'01_원자료'!B404</f>
        <v>qwen3_6</v>
      </c>
      <c r="C407" s="2" t="str">
        <f>'01_원자료'!C404</f>
        <v>gemma</v>
      </c>
      <c r="E407" s="17">
        <f>'01_원자료'!P404*'03_가중치민감도'!$B$5+'01_원자료'!Q404*'03_가중치민감도'!$C$5+'01_원자료'!R404*'03_가중치민감도'!$D$5</f>
        <v>0.69777986614074783</v>
      </c>
      <c r="F407" s="17">
        <f>'01_원자료'!P404*'03_가중치민감도'!$B$6+'01_원자료'!Q404*'03_가중치민감도'!$C$6+'01_원자료'!R404*'03_가중치민감도'!$D$6</f>
        <v>0.60000007856712889</v>
      </c>
      <c r="G407" s="17">
        <f>'01_원자료'!P404*'03_가중치민감도'!$B$7+'01_원자료'!Q404*'03_가중치민감도'!$C$7+'01_원자료'!R404*'03_가중치민감도'!$D$7</f>
        <v>0.69669720954101888</v>
      </c>
      <c r="H407" s="17">
        <f>'01_원자료'!P404*'03_가중치민감도'!$B$8+'01_원자료'!Q404*'03_가중치민감도'!$C$8+'01_원자료'!R404*'03_가중치민감도'!$D$8</f>
        <v>0.70319314913939224</v>
      </c>
      <c r="I407" s="17">
        <f>'01_원자료'!P404*'03_가중치민감도'!$B$9+'01_원자료'!Q404*'03_가중치민감도'!$C$9+'01_원자료'!R404*'03_가중치민감도'!$D$9</f>
        <v>0.63295422662491085</v>
      </c>
      <c r="J407" s="17">
        <f>'01_원자료'!P404*'03_가중치민감도'!$B$10+'01_원자료'!Q404*'03_가중치민감도'!$C$10+'01_원자료'!R404*'03_가중치민감도'!$D$10</f>
        <v>0.79772496691382444</v>
      </c>
      <c r="K407" s="31">
        <f t="shared" si="36"/>
        <v>818</v>
      </c>
      <c r="L407" s="31">
        <f t="shared" si="37"/>
        <v>812</v>
      </c>
      <c r="M407" s="31">
        <f t="shared" si="38"/>
        <v>821</v>
      </c>
      <c r="N407" s="31">
        <f t="shared" si="39"/>
        <v>795</v>
      </c>
      <c r="O407" s="31">
        <f t="shared" si="40"/>
        <v>808</v>
      </c>
      <c r="P407" s="31">
        <f t="shared" si="41"/>
        <v>806</v>
      </c>
    </row>
    <row r="408" spans="1:16">
      <c r="A408" s="2" t="str">
        <f>'01_원자료'!A405</f>
        <v>PAT-27</v>
      </c>
      <c r="B408" s="2" t="str">
        <f>'01_원자료'!B405</f>
        <v>qwen3_6</v>
      </c>
      <c r="C408" s="2" t="str">
        <f>'01_원자료'!C405</f>
        <v>ministral</v>
      </c>
      <c r="E408" s="17">
        <f>'01_원자료'!P405*'03_가중치민감도'!$B$5+'01_원자료'!Q405*'03_가중치민감도'!$C$5+'01_원자료'!R405*'03_가중치민감도'!$D$5</f>
        <v>0.61162066081606903</v>
      </c>
      <c r="F408" s="17">
        <f>'01_원자료'!P405*'03_가중치민감도'!$B$6+'01_원자료'!Q405*'03_가중치민감도'!$C$6+'01_원자료'!R405*'03_가중치민감도'!$D$6</f>
        <v>0.51540659430081071</v>
      </c>
      <c r="G408" s="17">
        <f>'01_원자료'!P405*'03_가중치민감도'!$B$7+'01_원자료'!Q405*'03_가중치민감도'!$C$7+'01_원자료'!R405*'03_가중치민감도'!$D$7</f>
        <v>0.61711196212907748</v>
      </c>
      <c r="H408" s="17">
        <f>'01_원자료'!P405*'03_가중치민감도'!$B$8+'01_원자료'!Q405*'03_가중치민감도'!$C$8+'01_원자료'!R405*'03_가중치민감도'!$D$8</f>
        <v>0.58416415425102719</v>
      </c>
      <c r="I408" s="17">
        <f>'01_원자료'!P405*'03_가중치민감도'!$B$9+'01_원자료'!Q405*'03_가중치민감도'!$C$9+'01_원자료'!R405*'03_가중치민감도'!$D$9</f>
        <v>0.54564751603489348</v>
      </c>
      <c r="J408" s="17">
        <f>'01_원자료'!P405*'03_가중치민감도'!$B$10+'01_원자료'!Q405*'03_가중치민감도'!$C$10+'01_원자료'!R405*'03_가중치민감도'!$D$10</f>
        <v>0.69685212470531066</v>
      </c>
      <c r="K408" s="31">
        <f t="shared" si="36"/>
        <v>442</v>
      </c>
      <c r="L408" s="31">
        <f t="shared" si="37"/>
        <v>440</v>
      </c>
      <c r="M408" s="31">
        <f t="shared" si="38"/>
        <v>445</v>
      </c>
      <c r="N408" s="31">
        <f t="shared" si="39"/>
        <v>442</v>
      </c>
      <c r="O408" s="31">
        <f t="shared" si="40"/>
        <v>442</v>
      </c>
      <c r="P408" s="31">
        <f t="shared" si="41"/>
        <v>447</v>
      </c>
    </row>
    <row r="409" spans="1:16">
      <c r="A409" s="2" t="str">
        <f>'01_원자료'!A406</f>
        <v>PAT-27</v>
      </c>
      <c r="B409" s="2" t="str">
        <f>'01_원자료'!B406</f>
        <v>qwen3_6</v>
      </c>
      <c r="C409" s="2" t="str">
        <f>'01_원자료'!C406</f>
        <v>qwen</v>
      </c>
      <c r="E409" s="17">
        <f>'01_원자료'!P406*'03_가중치민감도'!$B$5+'01_원자료'!Q406*'03_가중치민감도'!$C$5+'01_원자료'!R406*'03_가중치민감도'!$D$5</f>
        <v>0.75200212685444401</v>
      </c>
      <c r="F409" s="17">
        <f>'01_원자료'!P406*'03_가중치민감도'!$B$6+'01_원자료'!Q406*'03_가중치민감도'!$C$6+'01_원자료'!R406*'03_가중치민감도'!$D$6</f>
        <v>0.65866015514258969</v>
      </c>
      <c r="G409" s="17">
        <f>'01_원자료'!P406*'03_가중치민감도'!$B$7+'01_원자료'!Q406*'03_가중치민감도'!$C$7+'01_원자료'!R406*'03_가중치민감도'!$D$7</f>
        <v>0.74402500388104009</v>
      </c>
      <c r="H409" s="17">
        <f>'01_원자료'!P406*'03_가중치민감도'!$B$8+'01_원자료'!Q406*'03_가중치민감도'!$C$8+'01_원자료'!R406*'03_가중치민감도'!$D$8</f>
        <v>0.79188774172146315</v>
      </c>
      <c r="I409" s="17">
        <f>'01_원자료'!P406*'03_가중치민감도'!$B$9+'01_원자료'!Q406*'03_가중치민감도'!$C$9+'01_원자료'!R406*'03_가중치민감도'!$D$9</f>
        <v>0.69243318670434162</v>
      </c>
      <c r="J409" s="17">
        <f>'01_원자료'!P406*'03_가중치민감도'!$B$10+'01_원자료'!Q406*'03_가중치민감도'!$C$10+'01_원자료'!R406*'03_가중치민감도'!$D$10</f>
        <v>0.86129834451310594</v>
      </c>
      <c r="K409" s="31">
        <f t="shared" si="36"/>
        <v>956</v>
      </c>
      <c r="L409" s="31">
        <f t="shared" si="37"/>
        <v>960</v>
      </c>
      <c r="M409" s="31">
        <f t="shared" si="38"/>
        <v>955</v>
      </c>
      <c r="N409" s="31">
        <f t="shared" si="39"/>
        <v>958</v>
      </c>
      <c r="O409" s="31">
        <f t="shared" si="40"/>
        <v>958</v>
      </c>
      <c r="P409" s="31">
        <f t="shared" si="41"/>
        <v>920</v>
      </c>
    </row>
    <row r="410" spans="1:16">
      <c r="A410" s="2" t="str">
        <f>'01_원자료'!A407</f>
        <v>PAT-28</v>
      </c>
      <c r="B410" s="2" t="str">
        <f>'01_원자료'!B407</f>
        <v>chatgpt</v>
      </c>
      <c r="C410" s="2" t="str">
        <f>'01_원자료'!C407</f>
        <v>gemma</v>
      </c>
      <c r="E410" s="17">
        <f>'01_원자료'!P407*'03_가중치민감도'!$B$5+'01_원자료'!Q407*'03_가중치민감도'!$C$5+'01_원자료'!R407*'03_가중치민감도'!$D$5</f>
        <v>0.56602470954852913</v>
      </c>
      <c r="F410" s="17">
        <f>'01_원자료'!P407*'03_가중치민감도'!$B$6+'01_원자료'!Q407*'03_가중치민감도'!$C$6+'01_원자료'!R407*'03_가중치민감도'!$D$6</f>
        <v>0.48166565332264699</v>
      </c>
      <c r="G410" s="17">
        <f>'01_원자료'!P407*'03_가중치민감도'!$B$7+'01_원자료'!Q407*'03_가중치민감도'!$C$7+'01_원자료'!R407*'03_가중치민감도'!$D$7</f>
        <v>0.5749900699686249</v>
      </c>
      <c r="H410" s="17">
        <f>'01_원자료'!P407*'03_가중치민감도'!$B$8+'01_원자료'!Q407*'03_가중치민감도'!$C$8+'01_원자료'!R407*'03_가중치민감도'!$D$8</f>
        <v>0.52119790744804972</v>
      </c>
      <c r="I410" s="17">
        <f>'01_원자료'!P407*'03_가중치민감도'!$B$9+'01_원자료'!Q407*'03_가중치민감도'!$C$9+'01_원자료'!R407*'03_가중치민감도'!$D$9</f>
        <v>0.50679688525790856</v>
      </c>
      <c r="J410" s="17">
        <f>'01_원자료'!P407*'03_가중치민감도'!$B$10+'01_원자료'!Q407*'03_가중치민감도'!$C$10+'01_원자료'!R407*'03_가중치민감도'!$D$10</f>
        <v>0.63245304493421939</v>
      </c>
      <c r="K410" s="31">
        <f t="shared" si="36"/>
        <v>270</v>
      </c>
      <c r="L410" s="31">
        <f t="shared" si="37"/>
        <v>276</v>
      </c>
      <c r="M410" s="31">
        <f t="shared" si="38"/>
        <v>270</v>
      </c>
      <c r="N410" s="31">
        <f t="shared" si="39"/>
        <v>260</v>
      </c>
      <c r="O410" s="31">
        <f t="shared" si="40"/>
        <v>271</v>
      </c>
      <c r="P410" s="31">
        <f t="shared" si="41"/>
        <v>271</v>
      </c>
    </row>
    <row r="411" spans="1:16">
      <c r="A411" s="2" t="str">
        <f>'01_원자료'!A408</f>
        <v>PAT-28</v>
      </c>
      <c r="B411" s="2" t="str">
        <f>'01_원자료'!B408</f>
        <v>chatgpt</v>
      </c>
      <c r="C411" s="2" t="str">
        <f>'01_원자료'!C408</f>
        <v>ministral</v>
      </c>
      <c r="E411" s="17">
        <f>'01_원자료'!P408*'03_가중치민감도'!$B$5+'01_원자료'!Q408*'03_가중치민감도'!$C$5+'01_원자료'!R408*'03_가중치민감도'!$D$5</f>
        <v>0.56194782410114141</v>
      </c>
      <c r="F411" s="17">
        <f>'01_원자료'!P408*'03_가중치민감도'!$B$6+'01_원자료'!Q408*'03_가중치민감도'!$C$6+'01_원자료'!R408*'03_가중치민감도'!$D$6</f>
        <v>0.4769253474755995</v>
      </c>
      <c r="G411" s="17">
        <f>'01_원자료'!P408*'03_가중치민감도'!$B$7+'01_원자료'!Q408*'03_가중치민감도'!$C$7+'01_원자료'!R408*'03_가중치민감도'!$D$7</f>
        <v>0.5743348358506829</v>
      </c>
      <c r="H411" s="17">
        <f>'01_원자료'!P408*'03_가중치민감도'!$B$8+'01_원자료'!Q408*'03_가중치민감도'!$C$8+'01_원자료'!R408*'03_가중치민감도'!$D$8</f>
        <v>0.50001276535343409</v>
      </c>
      <c r="I411" s="17">
        <f>'01_원자료'!P408*'03_가중치민감도'!$B$9+'01_원자료'!Q408*'03_가중치민감도'!$C$9+'01_원자료'!R408*'03_가중치민감도'!$D$9</f>
        <v>0.50113716910093253</v>
      </c>
      <c r="J411" s="17">
        <f>'01_원자료'!P408*'03_가중치민감도'!$B$10+'01_원자료'!Q408*'03_가중치민감도'!$C$10+'01_원자료'!R408*'03_가중치민감도'!$D$10</f>
        <v>0.6221962772276004</v>
      </c>
      <c r="K411" s="31">
        <f t="shared" si="36"/>
        <v>257</v>
      </c>
      <c r="L411" s="31">
        <f t="shared" si="37"/>
        <v>252</v>
      </c>
      <c r="M411" s="31">
        <f t="shared" si="38"/>
        <v>264</v>
      </c>
      <c r="N411" s="31">
        <f t="shared" si="39"/>
        <v>225</v>
      </c>
      <c r="O411" s="31">
        <f t="shared" si="40"/>
        <v>251</v>
      </c>
      <c r="P411" s="31">
        <f t="shared" si="41"/>
        <v>247</v>
      </c>
    </row>
    <row r="412" spans="1:16">
      <c r="A412" s="2" t="str">
        <f>'01_원자료'!A409</f>
        <v>PAT-28</v>
      </c>
      <c r="B412" s="2" t="str">
        <f>'01_원자료'!B409</f>
        <v>chatgpt</v>
      </c>
      <c r="C412" s="2" t="str">
        <f>'01_원자료'!C409</f>
        <v>qwen</v>
      </c>
      <c r="E412" s="17">
        <f>'01_원자료'!P409*'03_가중치민감도'!$B$5+'01_원자료'!Q409*'03_가중치민감도'!$C$5+'01_원자료'!R409*'03_가중치민감도'!$D$5</f>
        <v>0.56293454206157678</v>
      </c>
      <c r="F412" s="17">
        <f>'01_원자료'!P409*'03_가중치민감도'!$B$6+'01_원자료'!Q409*'03_가중치민감도'!$C$6+'01_원자료'!R409*'03_가중치민감도'!$D$6</f>
        <v>0.49643402275329696</v>
      </c>
      <c r="G412" s="17">
        <f>'01_원자료'!P409*'03_가중치민감도'!$B$7+'01_원자료'!Q409*'03_가중치민감도'!$C$7+'01_원자료'!R409*'03_가중치민감도'!$D$7</f>
        <v>0.57488390609746109</v>
      </c>
      <c r="H412" s="17">
        <f>'01_원자료'!P409*'03_가중치민감도'!$B$8+'01_원자료'!Q409*'03_가중치민감도'!$C$8+'01_원자료'!R409*'03_가중치민감도'!$D$8</f>
        <v>0.5031877218821551</v>
      </c>
      <c r="I412" s="17">
        <f>'01_원자료'!P409*'03_가중치민감도'!$B$9+'01_원자료'!Q409*'03_가중치민감도'!$C$9+'01_원자료'!R409*'03_가중치민감도'!$D$9</f>
        <v>0.5146177411774282</v>
      </c>
      <c r="J412" s="17">
        <f>'01_원자료'!P409*'03_가중치민감도'!$B$10+'01_원자료'!Q409*'03_가중치민감도'!$C$10+'01_원자료'!R409*'03_가중치민감도'!$D$10</f>
        <v>0.60553633329808787</v>
      </c>
      <c r="K412" s="31">
        <f t="shared" si="36"/>
        <v>260</v>
      </c>
      <c r="L412" s="31">
        <f t="shared" si="37"/>
        <v>344</v>
      </c>
      <c r="M412" s="31">
        <f t="shared" si="38"/>
        <v>269</v>
      </c>
      <c r="N412" s="31">
        <f t="shared" si="39"/>
        <v>233</v>
      </c>
      <c r="O412" s="31">
        <f t="shared" si="40"/>
        <v>309</v>
      </c>
      <c r="P412" s="31">
        <f t="shared" si="41"/>
        <v>203</v>
      </c>
    </row>
    <row r="413" spans="1:16">
      <c r="A413" s="2" t="str">
        <f>'01_원자료'!A410</f>
        <v>PAT-28</v>
      </c>
      <c r="B413" s="2" t="str">
        <f>'01_원자료'!B410</f>
        <v>claude</v>
      </c>
      <c r="C413" s="2" t="str">
        <f>'01_원자료'!C410</f>
        <v>gemma</v>
      </c>
      <c r="E413" s="17">
        <f>'01_원자료'!P410*'03_가중치민감도'!$B$5+'01_원자료'!Q410*'03_가중치민감도'!$C$5+'01_원자료'!R410*'03_가중치민감도'!$D$5</f>
        <v>0.62406027224227822</v>
      </c>
      <c r="F413" s="17">
        <f>'01_원자료'!P410*'03_가중치민감도'!$B$6+'01_원자료'!Q410*'03_가중치민감도'!$C$6+'01_원자료'!R410*'03_가중치민감도'!$D$6</f>
        <v>0.52717148251634349</v>
      </c>
      <c r="G413" s="17">
        <f>'01_원자료'!P410*'03_가중치민감도'!$B$7+'01_원자료'!Q410*'03_가중치민감도'!$C$7+'01_원자료'!R410*'03_가중치민감도'!$D$7</f>
        <v>0.62919462983948438</v>
      </c>
      <c r="H413" s="17">
        <f>'01_원자료'!P410*'03_가중치민감도'!$B$8+'01_원자료'!Q410*'03_가중치민감도'!$C$8+'01_원자료'!R410*'03_가중치민감도'!$D$8</f>
        <v>0.59838848425624747</v>
      </c>
      <c r="I413" s="17">
        <f>'01_원자료'!P410*'03_가중치민감도'!$B$9+'01_원자료'!Q410*'03_가중치민감도'!$C$9+'01_원자료'!R410*'03_가중치민감도'!$D$9</f>
        <v>0.55775629322591913</v>
      </c>
      <c r="J413" s="17">
        <f>'01_원자료'!P410*'03_가중치민감도'!$B$10+'01_원자료'!Q410*'03_가중치민감도'!$C$10+'01_원자료'!R410*'03_가중치민감도'!$D$10</f>
        <v>0.71068034677380054</v>
      </c>
      <c r="K413" s="31">
        <f t="shared" si="36"/>
        <v>507</v>
      </c>
      <c r="L413" s="31">
        <f t="shared" si="37"/>
        <v>484</v>
      </c>
      <c r="M413" s="31">
        <f t="shared" si="38"/>
        <v>514</v>
      </c>
      <c r="N413" s="31">
        <f t="shared" si="39"/>
        <v>483</v>
      </c>
      <c r="O413" s="31">
        <f t="shared" si="40"/>
        <v>491</v>
      </c>
      <c r="P413" s="31">
        <f t="shared" si="41"/>
        <v>502</v>
      </c>
    </row>
    <row r="414" spans="1:16">
      <c r="A414" s="2" t="str">
        <f>'01_원자료'!A411</f>
        <v>PAT-28</v>
      </c>
      <c r="B414" s="2" t="str">
        <f>'01_원자료'!B411</f>
        <v>claude</v>
      </c>
      <c r="C414" s="2" t="str">
        <f>'01_원자료'!C411</f>
        <v>ministral</v>
      </c>
      <c r="E414" s="17">
        <f>'01_원자료'!P411*'03_가중치민감도'!$B$5+'01_원자료'!Q411*'03_가중치민감도'!$C$5+'01_원자료'!R411*'03_가중치민감도'!$D$5</f>
        <v>0.63601482939614595</v>
      </c>
      <c r="F414" s="17">
        <f>'01_원자료'!P411*'03_가중치민감도'!$B$6+'01_원자료'!Q411*'03_가중치민감도'!$C$6+'01_원자료'!R411*'03_가중치민감도'!$D$6</f>
        <v>0.53728086528187369</v>
      </c>
      <c r="G414" s="17">
        <f>'01_원자료'!P411*'03_가중치민감도'!$B$7+'01_원자료'!Q411*'03_가중치민감도'!$C$7+'01_원자료'!R411*'03_가중치민감도'!$D$7</f>
        <v>0.63834679071386191</v>
      </c>
      <c r="H414" s="17">
        <f>'01_원자료'!P411*'03_가중치민감도'!$B$8+'01_원자료'!Q411*'03_가중치민감도'!$C$8+'01_원자료'!R411*'03_가중치민감도'!$D$8</f>
        <v>0.62435502280756594</v>
      </c>
      <c r="I414" s="17">
        <f>'01_원자료'!P411*'03_가중치민감도'!$B$9+'01_원자료'!Q411*'03_가중치민감도'!$C$9+'01_원자료'!R411*'03_가중치민감도'!$D$9</f>
        <v>0.56941486621405846</v>
      </c>
      <c r="J414" s="17">
        <f>'01_원자료'!P411*'03_가중치민감도'!$B$10+'01_원자료'!Q411*'03_가중치민감도'!$C$10+'01_원자료'!R411*'03_가중치민감도'!$D$10</f>
        <v>0.73008487087498608</v>
      </c>
      <c r="K414" s="31">
        <f t="shared" si="36"/>
        <v>565</v>
      </c>
      <c r="L414" s="31">
        <f t="shared" si="37"/>
        <v>535</v>
      </c>
      <c r="M414" s="31">
        <f t="shared" si="38"/>
        <v>559</v>
      </c>
      <c r="N414" s="31">
        <f t="shared" si="39"/>
        <v>560</v>
      </c>
      <c r="O414" s="31">
        <f t="shared" si="40"/>
        <v>544</v>
      </c>
      <c r="P414" s="31">
        <f t="shared" si="41"/>
        <v>580</v>
      </c>
    </row>
    <row r="415" spans="1:16">
      <c r="A415" s="2" t="str">
        <f>'01_원자료'!A412</f>
        <v>PAT-28</v>
      </c>
      <c r="B415" s="2" t="str">
        <f>'01_원자료'!B412</f>
        <v>claude</v>
      </c>
      <c r="C415" s="2" t="str">
        <f>'01_원자료'!C412</f>
        <v>qwen</v>
      </c>
      <c r="E415" s="17">
        <f>'01_원자료'!P412*'03_가중치민감도'!$B$5+'01_원자료'!Q412*'03_가중치민감도'!$C$5+'01_원자료'!R412*'03_가중치민감도'!$D$5</f>
        <v>0.67806276889909323</v>
      </c>
      <c r="F415" s="17">
        <f>'01_원자료'!P412*'03_가중치민감도'!$B$6+'01_원자료'!Q412*'03_가중치민감도'!$C$6+'01_원자료'!R412*'03_가중치민감도'!$D$6</f>
        <v>0.60135131971630695</v>
      </c>
      <c r="G415" s="17">
        <f>'01_원자료'!P412*'03_가중치민감도'!$B$7+'01_원자료'!Q412*'03_가중치민감도'!$C$7+'01_원자료'!R412*'03_가중치민감도'!$D$7</f>
        <v>0.67999642831649754</v>
      </c>
      <c r="H415" s="17">
        <f>'01_원자료'!P412*'03_가중치민감도'!$B$8+'01_원자료'!Q412*'03_가중치민감도'!$C$8+'01_원자료'!R412*'03_가중치민감도'!$D$8</f>
        <v>0.66839447181207168</v>
      </c>
      <c r="I415" s="17">
        <f>'01_원자료'!P412*'03_가중치민감도'!$B$9+'01_원자료'!Q412*'03_가중치민감도'!$C$9+'01_원자료'!R412*'03_가중치민감도'!$D$9</f>
        <v>0.62627724963810028</v>
      </c>
      <c r="J415" s="17">
        <f>'01_원자료'!P412*'03_가중치민감도'!$B$10+'01_원자료'!Q412*'03_가중치민감도'!$C$10+'01_원자료'!R412*'03_가중치민감도'!$D$10</f>
        <v>0.75090689924707088</v>
      </c>
      <c r="K415" s="31">
        <f t="shared" si="36"/>
        <v>749</v>
      </c>
      <c r="L415" s="31">
        <f t="shared" si="37"/>
        <v>819</v>
      </c>
      <c r="M415" s="31">
        <f t="shared" si="38"/>
        <v>762</v>
      </c>
      <c r="N415" s="31">
        <f t="shared" si="39"/>
        <v>696</v>
      </c>
      <c r="O415" s="31">
        <f t="shared" si="40"/>
        <v>780</v>
      </c>
      <c r="P415" s="31">
        <f t="shared" si="41"/>
        <v>659</v>
      </c>
    </row>
    <row r="416" spans="1:16">
      <c r="A416" s="2" t="str">
        <f>'01_원자료'!A413</f>
        <v>PAT-28</v>
      </c>
      <c r="B416" s="2" t="str">
        <f>'01_원자료'!B413</f>
        <v>gemini</v>
      </c>
      <c r="C416" s="2" t="str">
        <f>'01_원자료'!C413</f>
        <v>gemma</v>
      </c>
      <c r="E416" s="17">
        <f>'01_원자료'!P413*'03_가중치민감도'!$B$5+'01_원자료'!Q413*'03_가중치민감도'!$C$5+'01_원자료'!R413*'03_가중치민감도'!$D$5</f>
        <v>0.67686856342570589</v>
      </c>
      <c r="F416" s="17">
        <f>'01_원자료'!P413*'03_가중치민감도'!$B$6+'01_원자료'!Q413*'03_가중치민감도'!$C$6+'01_원자료'!R413*'03_가중치민감도'!$D$6</f>
        <v>0.56937236879919939</v>
      </c>
      <c r="G416" s="17">
        <f>'01_원자료'!P413*'03_가중치민감도'!$B$7+'01_원자료'!Q413*'03_가중치민감도'!$C$7+'01_원자료'!R413*'03_가중치민감도'!$D$7</f>
        <v>0.67692207859011833</v>
      </c>
      <c r="H416" s="17">
        <f>'01_원자료'!P413*'03_가중치민감도'!$B$8+'01_원자료'!Q413*'03_가중치민감도'!$C$8+'01_원자료'!R413*'03_가중치민감도'!$D$8</f>
        <v>0.67660098760364407</v>
      </c>
      <c r="I416" s="17">
        <f>'01_원자료'!P413*'03_가중치민감도'!$B$9+'01_원자료'!Q413*'03_가중치민감도'!$C$9+'01_원자료'!R413*'03_가중치민감도'!$D$9</f>
        <v>0.60518659528656349</v>
      </c>
      <c r="J416" s="17">
        <f>'01_원자료'!P413*'03_가중치민감도'!$B$10+'01_원자료'!Q413*'03_가중치민감도'!$C$10+'01_원자료'!R413*'03_가중치민감도'!$D$10</f>
        <v>0.78425772772338775</v>
      </c>
      <c r="K416" s="31">
        <f t="shared" si="36"/>
        <v>746</v>
      </c>
      <c r="L416" s="31">
        <f t="shared" si="37"/>
        <v>690</v>
      </c>
      <c r="M416" s="31">
        <f t="shared" si="38"/>
        <v>752</v>
      </c>
      <c r="N416" s="31">
        <f t="shared" si="39"/>
        <v>713</v>
      </c>
      <c r="O416" s="31">
        <f t="shared" si="40"/>
        <v>713</v>
      </c>
      <c r="P416" s="31">
        <f t="shared" si="41"/>
        <v>769</v>
      </c>
    </row>
    <row r="417" spans="1:16">
      <c r="A417" s="2" t="str">
        <f>'01_원자료'!A414</f>
        <v>PAT-28</v>
      </c>
      <c r="B417" s="2" t="str">
        <f>'01_원자료'!B414</f>
        <v>gemini</v>
      </c>
      <c r="C417" s="2" t="str">
        <f>'01_원자료'!C414</f>
        <v>ministral</v>
      </c>
      <c r="E417" s="17">
        <f>'01_원자료'!P414*'03_가중치민감도'!$B$5+'01_원자료'!Q414*'03_가중치민감도'!$C$5+'01_원자료'!R414*'03_가중치민감도'!$D$5</f>
        <v>0.64094867871518535</v>
      </c>
      <c r="F417" s="17">
        <f>'01_원자료'!P414*'03_가중치민감도'!$B$6+'01_원자료'!Q414*'03_가중치민감도'!$C$6+'01_원자료'!R414*'03_가중치민감도'!$D$6</f>
        <v>0.52822359128804008</v>
      </c>
      <c r="G417" s="17">
        <f>'01_원자료'!P414*'03_가중치민감도'!$B$7+'01_원자료'!Q414*'03_가중치민감도'!$C$7+'01_원자료'!R414*'03_가중치민감도'!$D$7</f>
        <v>0.65136403426332301</v>
      </c>
      <c r="H417" s="17">
        <f>'01_원자료'!P414*'03_가중치민감도'!$B$8+'01_원자료'!Q414*'03_가중치민감도'!$C$8+'01_원자료'!R414*'03_가중치민감도'!$D$8</f>
        <v>0.58887190097449715</v>
      </c>
      <c r="I417" s="17">
        <f>'01_원자료'!P414*'03_가중치민감도'!$B$9+'01_원자료'!Q414*'03_가중치민감도'!$C$9+'01_원자료'!R414*'03_가중치민감도'!$D$9</f>
        <v>0.56232683524770877</v>
      </c>
      <c r="J417" s="17">
        <f>'01_원자료'!P414*'03_가중치민감도'!$B$10+'01_원자료'!Q414*'03_가중치민감도'!$C$10+'01_원자료'!R414*'03_가중치민감도'!$D$10</f>
        <v>0.73284305504605529</v>
      </c>
      <c r="K417" s="31">
        <f t="shared" si="36"/>
        <v>581</v>
      </c>
      <c r="L417" s="31">
        <f t="shared" si="37"/>
        <v>492</v>
      </c>
      <c r="M417" s="31">
        <f t="shared" si="38"/>
        <v>623</v>
      </c>
      <c r="N417" s="31">
        <f t="shared" si="39"/>
        <v>457</v>
      </c>
      <c r="O417" s="31">
        <f t="shared" si="40"/>
        <v>515</v>
      </c>
      <c r="P417" s="31">
        <f t="shared" si="41"/>
        <v>595</v>
      </c>
    </row>
    <row r="418" spans="1:16">
      <c r="A418" s="2" t="str">
        <f>'01_원자료'!A415</f>
        <v>PAT-28</v>
      </c>
      <c r="B418" s="2" t="str">
        <f>'01_원자료'!B415</f>
        <v>gemini</v>
      </c>
      <c r="C418" s="2" t="str">
        <f>'01_원자료'!C415</f>
        <v>qwen</v>
      </c>
      <c r="E418" s="17">
        <f>'01_원자료'!P415*'03_가중치민감도'!$B$5+'01_원자료'!Q415*'03_가중치민감도'!$C$5+'01_원자료'!R415*'03_가중치민감도'!$D$5</f>
        <v>0.66995025686551246</v>
      </c>
      <c r="F418" s="17">
        <f>'01_원자료'!P415*'03_가중치민감도'!$B$6+'01_원자료'!Q415*'03_가중치민감도'!$C$6+'01_원자료'!R415*'03_가중치민감도'!$D$6</f>
        <v>0.57036573031241256</v>
      </c>
      <c r="G418" s="17">
        <f>'01_원자료'!P415*'03_가중치민감도'!$B$7+'01_원자료'!Q415*'03_가중치민감도'!$C$7+'01_원자료'!R415*'03_가중치민감도'!$D$7</f>
        <v>0.67962569290967056</v>
      </c>
      <c r="H418" s="17">
        <f>'01_원자료'!P415*'03_가중치민감도'!$B$8+'01_원자료'!Q415*'03_가중치민감도'!$C$8+'01_원자료'!R415*'03_가중치민감도'!$D$8</f>
        <v>0.62157307664472228</v>
      </c>
      <c r="I418" s="17">
        <f>'01_원자료'!P415*'03_가중치민감도'!$B$9+'01_원자료'!Q415*'03_가중치민감도'!$C$9+'01_원자료'!R415*'03_가중치민감도'!$D$9</f>
        <v>0.6003354271487259</v>
      </c>
      <c r="J418" s="17">
        <f>'01_원자료'!P415*'03_가중치민감도'!$B$10+'01_원자료'!Q415*'03_가중치민감도'!$C$10+'01_원자료'!R415*'03_가중치민감도'!$D$10</f>
        <v>0.75018391133029638</v>
      </c>
      <c r="K418" s="31">
        <f t="shared" si="36"/>
        <v>715</v>
      </c>
      <c r="L418" s="31">
        <f t="shared" si="37"/>
        <v>695</v>
      </c>
      <c r="M418" s="31">
        <f t="shared" si="38"/>
        <v>760</v>
      </c>
      <c r="N418" s="31">
        <f t="shared" si="39"/>
        <v>552</v>
      </c>
      <c r="O418" s="31">
        <f t="shared" si="40"/>
        <v>688</v>
      </c>
      <c r="P418" s="31">
        <f t="shared" si="41"/>
        <v>656</v>
      </c>
    </row>
    <row r="419" spans="1:16">
      <c r="A419" s="2" t="str">
        <f>'01_원자료'!A416</f>
        <v>PAT-28</v>
      </c>
      <c r="B419" s="2" t="str">
        <f>'01_원자료'!B416</f>
        <v>mistral</v>
      </c>
      <c r="C419" s="2" t="str">
        <f>'01_원자료'!C416</f>
        <v>gemma</v>
      </c>
      <c r="E419" s="17">
        <f>'01_원자료'!P416*'03_가중치민감도'!$B$5+'01_원자료'!Q416*'03_가중치민감도'!$C$5+'01_원자료'!R416*'03_가중치민감도'!$D$5</f>
        <v>0.65271898932166739</v>
      </c>
      <c r="F419" s="17">
        <f>'01_원자료'!P416*'03_가중치민감도'!$B$6+'01_원자료'!Q416*'03_가중치민감도'!$C$6+'01_원자료'!R416*'03_가중치민감도'!$D$6</f>
        <v>0.55659197840976082</v>
      </c>
      <c r="G419" s="17">
        <f>'01_원자료'!P416*'03_가중치민감도'!$B$7+'01_원자료'!Q416*'03_가중치민감도'!$C$7+'01_원자료'!R416*'03_가중치민감도'!$D$7</f>
        <v>0.65284162427861703</v>
      </c>
      <c r="H419" s="17">
        <f>'01_원자료'!P416*'03_가중치민감도'!$B$8+'01_원자료'!Q416*'03_가중치민감도'!$C$8+'01_원자료'!R416*'03_가중치민감도'!$D$8</f>
        <v>0.65210581453691863</v>
      </c>
      <c r="I419" s="17">
        <f>'01_원자료'!P416*'03_가중치민감도'!$B$9+'01_원자료'!Q416*'03_가중치민감도'!$C$9+'01_원자료'!R416*'03_가중치민감도'!$D$9</f>
        <v>0.58859343706141243</v>
      </c>
      <c r="J419" s="17">
        <f>'01_원자료'!P416*'03_가중치민감도'!$B$10+'01_원자료'!Q416*'03_가중치민감도'!$C$10+'01_원자료'!R416*'03_가중치민감도'!$D$10</f>
        <v>0.74860073031967422</v>
      </c>
      <c r="K419" s="31">
        <f t="shared" si="36"/>
        <v>631</v>
      </c>
      <c r="L419" s="31">
        <f t="shared" si="37"/>
        <v>625</v>
      </c>
      <c r="M419" s="31">
        <f t="shared" si="38"/>
        <v>631</v>
      </c>
      <c r="N419" s="31">
        <f t="shared" si="39"/>
        <v>647</v>
      </c>
      <c r="O419" s="31">
        <f t="shared" si="40"/>
        <v>621</v>
      </c>
      <c r="P419" s="31">
        <f t="shared" si="41"/>
        <v>651</v>
      </c>
    </row>
    <row r="420" spans="1:16">
      <c r="A420" s="2" t="str">
        <f>'01_원자료'!A417</f>
        <v>PAT-28</v>
      </c>
      <c r="B420" s="2" t="str">
        <f>'01_원자료'!B417</f>
        <v>mistral</v>
      </c>
      <c r="C420" s="2" t="str">
        <f>'01_원자료'!C417</f>
        <v>ministral</v>
      </c>
      <c r="E420" s="17">
        <f>'01_원자료'!P417*'03_가중치민감도'!$B$5+'01_원자료'!Q417*'03_가중치민감도'!$C$5+'01_원자료'!R417*'03_가중치민감도'!$D$5</f>
        <v>0.59748125298357557</v>
      </c>
      <c r="F420" s="17">
        <f>'01_원자료'!P417*'03_가중치민감도'!$B$6+'01_원자료'!Q417*'03_가중치민감도'!$C$6+'01_원자료'!R417*'03_가중치민감도'!$D$6</f>
        <v>0.50302447190965338</v>
      </c>
      <c r="G420" s="17">
        <f>'01_원자료'!P417*'03_가중치민감도'!$B$7+'01_원자료'!Q417*'03_가중치민감도'!$C$7+'01_원자료'!R417*'03_가중치민감도'!$D$7</f>
        <v>0.60448200788692086</v>
      </c>
      <c r="H420" s="17">
        <f>'01_원자료'!P417*'03_가중치민감도'!$B$8+'01_원자료'!Q417*'03_가중치민감도'!$C$8+'01_원자료'!R417*'03_가중치민감도'!$D$8</f>
        <v>0.56247747846684892</v>
      </c>
      <c r="I420" s="17">
        <f>'01_원자료'!P417*'03_가중치민감도'!$B$9+'01_원자료'!Q417*'03_가중치민감도'!$C$9+'01_원자료'!R417*'03_가중치민감도'!$D$9</f>
        <v>0.53217648063317846</v>
      </c>
      <c r="J420" s="17">
        <f>'01_원자료'!P417*'03_가중치민감도'!$B$10+'01_원자료'!Q417*'03_가중치민감도'!$C$10+'01_원자료'!R417*'03_가중치민감도'!$D$10</f>
        <v>0.67793652425080708</v>
      </c>
      <c r="K420" s="31">
        <f t="shared" si="36"/>
        <v>385</v>
      </c>
      <c r="L420" s="31">
        <f t="shared" si="37"/>
        <v>376</v>
      </c>
      <c r="M420" s="31">
        <f t="shared" si="38"/>
        <v>387</v>
      </c>
      <c r="N420" s="31">
        <f t="shared" si="39"/>
        <v>376</v>
      </c>
      <c r="O420" s="31">
        <f t="shared" si="40"/>
        <v>381</v>
      </c>
      <c r="P420" s="31">
        <f t="shared" si="41"/>
        <v>383</v>
      </c>
    </row>
    <row r="421" spans="1:16">
      <c r="A421" s="2" t="str">
        <f>'01_원자료'!A418</f>
        <v>PAT-28</v>
      </c>
      <c r="B421" s="2" t="str">
        <f>'01_원자료'!B418</f>
        <v>mistral</v>
      </c>
      <c r="C421" s="2" t="str">
        <f>'01_원자료'!C418</f>
        <v>qwen</v>
      </c>
      <c r="E421" s="17">
        <f>'01_원자료'!P418*'03_가중치민감도'!$B$5+'01_원자료'!Q418*'03_가중치민감도'!$C$5+'01_원자료'!R418*'03_가중치민감도'!$D$5</f>
        <v>0.63058934066463923</v>
      </c>
      <c r="F421" s="17">
        <f>'01_원자료'!P418*'03_가중치민감도'!$B$6+'01_원자료'!Q418*'03_가중치민감도'!$C$6+'01_원자료'!R418*'03_가중치민감도'!$D$6</f>
        <v>0.54870794223136021</v>
      </c>
      <c r="G421" s="17">
        <f>'01_원자료'!P418*'03_가중치민감도'!$B$7+'01_원자료'!Q418*'03_가중치민감도'!$C$7+'01_원자료'!R418*'03_가중치민감도'!$D$7</f>
        <v>0.63761239822786253</v>
      </c>
      <c r="H421" s="17">
        <f>'01_원자료'!P418*'03_가중치민감도'!$B$8+'01_원자료'!Q418*'03_가중치민감도'!$C$8+'01_원자료'!R418*'03_가중치민감도'!$D$8</f>
        <v>0.59547405284852273</v>
      </c>
      <c r="I421" s="17">
        <f>'01_원자료'!P418*'03_가중치민감도'!$B$9+'01_원자료'!Q418*'03_가중치민감도'!$C$9+'01_원자료'!R418*'03_가중치민감도'!$D$9</f>
        <v>0.57366072252137812</v>
      </c>
      <c r="J421" s="17">
        <f>'01_원자료'!P418*'03_가중치민감도'!$B$10+'01_원자료'!Q418*'03_가중치민감도'!$C$10+'01_원자료'!R418*'03_가중치민감도'!$D$10</f>
        <v>0.69842462397147165</v>
      </c>
      <c r="K421" s="31">
        <f t="shared" si="36"/>
        <v>528</v>
      </c>
      <c r="L421" s="31">
        <f t="shared" si="37"/>
        <v>583</v>
      </c>
      <c r="M421" s="31">
        <f t="shared" si="38"/>
        <v>554</v>
      </c>
      <c r="N421" s="31">
        <f t="shared" si="39"/>
        <v>478</v>
      </c>
      <c r="O421" s="31">
        <f t="shared" si="40"/>
        <v>556</v>
      </c>
      <c r="P421" s="31">
        <f t="shared" si="41"/>
        <v>452</v>
      </c>
    </row>
    <row r="422" spans="1:16">
      <c r="A422" s="2" t="str">
        <f>'01_원자료'!A419</f>
        <v>PAT-28</v>
      </c>
      <c r="B422" s="2" t="str">
        <f>'01_원자료'!B419</f>
        <v>qwen3_6</v>
      </c>
      <c r="C422" s="2" t="str">
        <f>'01_원자료'!C419</f>
        <v>gemma</v>
      </c>
      <c r="E422" s="17">
        <f>'01_원자료'!P419*'03_가중치민감도'!$B$5+'01_원자료'!Q419*'03_가중치민감도'!$C$5+'01_원자료'!R419*'03_가중치민감도'!$D$5</f>
        <v>0.68118360035347703</v>
      </c>
      <c r="F422" s="17">
        <f>'01_원자료'!P419*'03_가중치민감도'!$B$6+'01_원자료'!Q419*'03_가중치민감도'!$C$6+'01_원자료'!R419*'03_가중치민감도'!$D$6</f>
        <v>0.57914036344723951</v>
      </c>
      <c r="G422" s="17">
        <f>'01_원자료'!P419*'03_가중치민감도'!$B$7+'01_원자료'!Q419*'03_가중치민감도'!$C$7+'01_원자료'!R419*'03_가중치민감도'!$D$7</f>
        <v>0.68114228878518124</v>
      </c>
      <c r="H422" s="17">
        <f>'01_원자료'!P419*'03_가중치민감도'!$B$8+'01_원자료'!Q419*'03_가중치민감도'!$C$8+'01_원자료'!R419*'03_가중치민감도'!$D$8</f>
        <v>0.68139015819495596</v>
      </c>
      <c r="I422" s="17">
        <f>'01_원자료'!P419*'03_가중치민감도'!$B$9+'01_원자료'!Q419*'03_가중치민감도'!$C$9+'01_원자료'!R419*'03_가중치민감도'!$D$9</f>
        <v>0.61316854627208328</v>
      </c>
      <c r="J422" s="17">
        <f>'01_원자료'!P419*'03_가중치민감도'!$B$10+'01_원자료'!Q419*'03_가중치민감도'!$C$10+'01_원자료'!R419*'03_가중치민감도'!$D$10</f>
        <v>0.78330946039630611</v>
      </c>
      <c r="K422" s="31">
        <f t="shared" si="36"/>
        <v>762</v>
      </c>
      <c r="L422" s="31">
        <f t="shared" si="37"/>
        <v>731</v>
      </c>
      <c r="M422" s="31">
        <f t="shared" si="38"/>
        <v>767</v>
      </c>
      <c r="N422" s="31">
        <f t="shared" si="39"/>
        <v>723</v>
      </c>
      <c r="O422" s="31">
        <f t="shared" si="40"/>
        <v>741</v>
      </c>
      <c r="P422" s="31">
        <f t="shared" si="41"/>
        <v>767</v>
      </c>
    </row>
    <row r="423" spans="1:16">
      <c r="A423" s="2" t="str">
        <f>'01_원자료'!A420</f>
        <v>PAT-28</v>
      </c>
      <c r="B423" s="2" t="str">
        <f>'01_원자료'!B420</f>
        <v>qwen3_6</v>
      </c>
      <c r="C423" s="2" t="str">
        <f>'01_원자료'!C420</f>
        <v>ministral</v>
      </c>
      <c r="E423" s="17">
        <f>'01_원자료'!P420*'03_가중치민감도'!$B$5+'01_원자료'!Q420*'03_가중치민감도'!$C$5+'01_원자료'!R420*'03_가중치민감도'!$D$5</f>
        <v>0.6194822927825403</v>
      </c>
      <c r="F423" s="17">
        <f>'01_원자료'!P420*'03_가중치민감도'!$B$6+'01_원자료'!Q420*'03_가중치민감도'!$C$6+'01_원자료'!R420*'03_가중치민감도'!$D$6</f>
        <v>0.52710301763198941</v>
      </c>
      <c r="G423" s="17">
        <f>'01_원자료'!P420*'03_가중치민감도'!$B$7+'01_원자료'!Q420*'03_가중치민감도'!$C$7+'01_원자료'!R420*'03_가중치민감도'!$D$7</f>
        <v>0.62641329847990801</v>
      </c>
      <c r="H423" s="17">
        <f>'01_원자료'!P420*'03_가중치민감도'!$B$8+'01_원자료'!Q420*'03_가중치민감도'!$C$8+'01_원자료'!R420*'03_가중치민감도'!$D$8</f>
        <v>0.58482726429570175</v>
      </c>
      <c r="I423" s="17">
        <f>'01_원자료'!P420*'03_가중치민감도'!$B$9+'01_원자료'!Q420*'03_가중치민감도'!$C$9+'01_원자료'!R420*'03_가중치민감도'!$D$9</f>
        <v>0.55558577411638321</v>
      </c>
      <c r="J423" s="17">
        <f>'01_원자료'!P420*'03_가중치민감도'!$B$10+'01_원자료'!Q420*'03_가중치민감도'!$C$10+'01_원자료'!R420*'03_가중치민감도'!$D$10</f>
        <v>0.69799955653835577</v>
      </c>
      <c r="K423" s="31">
        <f t="shared" si="36"/>
        <v>486</v>
      </c>
      <c r="L423" s="31">
        <f t="shared" si="37"/>
        <v>483</v>
      </c>
      <c r="M423" s="31">
        <f t="shared" si="38"/>
        <v>495</v>
      </c>
      <c r="N423" s="31">
        <f t="shared" si="39"/>
        <v>447</v>
      </c>
      <c r="O423" s="31">
        <f t="shared" si="40"/>
        <v>479</v>
      </c>
      <c r="P423" s="31">
        <f t="shared" si="41"/>
        <v>450</v>
      </c>
    </row>
    <row r="424" spans="1:16">
      <c r="A424" s="2" t="str">
        <f>'01_원자료'!A421</f>
        <v>PAT-28</v>
      </c>
      <c r="B424" s="2" t="str">
        <f>'01_원자료'!B421</f>
        <v>qwen3_6</v>
      </c>
      <c r="C424" s="2" t="str">
        <f>'01_원자료'!C421</f>
        <v>qwen</v>
      </c>
      <c r="E424" s="17">
        <f>'01_원자료'!P421*'03_가중치민감도'!$B$5+'01_원자료'!Q421*'03_가중치민감도'!$C$5+'01_원자료'!R421*'03_가중치민감도'!$D$5</f>
        <v>0.65643926233874594</v>
      </c>
      <c r="F424" s="17">
        <f>'01_원자료'!P421*'03_가중치민감도'!$B$6+'01_원자료'!Q421*'03_가중치민감도'!$C$6+'01_원자료'!R421*'03_가중치민감도'!$D$6</f>
        <v>0.57994619969426298</v>
      </c>
      <c r="G424" s="17">
        <f>'01_원자료'!P421*'03_가중치민감도'!$B$7+'01_원자료'!Q421*'03_가중치민감도'!$C$7+'01_원자료'!R421*'03_가중치민감도'!$D$7</f>
        <v>0.66306449351328867</v>
      </c>
      <c r="H424" s="17">
        <f>'01_원자료'!P421*'03_가중치민감도'!$B$8+'01_원자료'!Q421*'03_가중치민감도'!$C$8+'01_원자료'!R421*'03_가중치민감도'!$D$8</f>
        <v>0.62331310646603222</v>
      </c>
      <c r="I424" s="17">
        <f>'01_원자료'!P421*'03_가중치민감도'!$B$9+'01_원자료'!Q421*'03_가중치민감도'!$C$9+'01_원자료'!R421*'03_가중치민감도'!$D$9</f>
        <v>0.60323547685090906</v>
      </c>
      <c r="J424" s="17">
        <f>'01_원자료'!P421*'03_가중치민감도'!$B$10+'01_원자료'!Q421*'03_가중치민감도'!$C$10+'01_원자료'!R421*'03_가중치민감도'!$D$10</f>
        <v>0.71968186263414347</v>
      </c>
      <c r="K424" s="31">
        <f t="shared" si="36"/>
        <v>651</v>
      </c>
      <c r="L424" s="31">
        <f t="shared" si="37"/>
        <v>735</v>
      </c>
      <c r="M424" s="31">
        <f t="shared" si="38"/>
        <v>682</v>
      </c>
      <c r="N424" s="31">
        <f t="shared" si="39"/>
        <v>556</v>
      </c>
      <c r="O424" s="31">
        <f t="shared" si="40"/>
        <v>703</v>
      </c>
      <c r="P424" s="31">
        <f t="shared" si="41"/>
        <v>544</v>
      </c>
    </row>
    <row r="425" spans="1:16">
      <c r="A425" s="2" t="str">
        <f>'01_원자료'!A422</f>
        <v>PAT-29</v>
      </c>
      <c r="B425" s="2" t="str">
        <f>'01_원자료'!B422</f>
        <v>chatgpt</v>
      </c>
      <c r="C425" s="2" t="str">
        <f>'01_원자료'!C422</f>
        <v>gemma</v>
      </c>
      <c r="E425" s="17">
        <f>'01_원자료'!P422*'03_가중치민감도'!$B$5+'01_원자료'!Q422*'03_가중치민감도'!$C$5+'01_원자료'!R422*'03_가중치민감도'!$D$5</f>
        <v>0.53720542703913943</v>
      </c>
      <c r="F425" s="17">
        <f>'01_원자료'!P422*'03_가중치민감도'!$B$6+'01_원자료'!Q422*'03_가중치민감도'!$C$6+'01_원자료'!R422*'03_가중치민감도'!$D$6</f>
        <v>0.45622821123765628</v>
      </c>
      <c r="G425" s="17">
        <f>'01_원자료'!P422*'03_가중치민감도'!$B$7+'01_원자료'!Q422*'03_가중치민감도'!$C$7+'01_원자료'!R422*'03_가중치민감도'!$D$7</f>
        <v>0.54775249804157977</v>
      </c>
      <c r="H425" s="17">
        <f>'01_원자료'!P422*'03_가중치민감도'!$B$8+'01_원자료'!Q422*'03_가중치민감도'!$C$8+'01_원자료'!R422*'03_가중치민감도'!$D$8</f>
        <v>0.48447007202693793</v>
      </c>
      <c r="I425" s="17">
        <f>'01_원자료'!P422*'03_가중치민감도'!$B$9+'01_원자료'!Q422*'03_가중치민감도'!$C$9+'01_원자료'!R422*'03_가중치민감도'!$D$9</f>
        <v>0.47970492617067007</v>
      </c>
      <c r="J425" s="17">
        <f>'01_원자료'!P422*'03_가중치민감도'!$B$10+'01_원자료'!Q422*'03_가중치민감도'!$C$10+'01_원자료'!R422*'03_가중치민감도'!$D$10</f>
        <v>0.59708850083574194</v>
      </c>
      <c r="K425" s="31">
        <f t="shared" si="36"/>
        <v>158</v>
      </c>
      <c r="L425" s="31">
        <f t="shared" si="37"/>
        <v>162</v>
      </c>
      <c r="M425" s="31">
        <f t="shared" si="38"/>
        <v>143</v>
      </c>
      <c r="N425" s="31">
        <f t="shared" si="39"/>
        <v>185</v>
      </c>
      <c r="O425" s="31">
        <f t="shared" si="40"/>
        <v>165</v>
      </c>
      <c r="P425" s="31">
        <f t="shared" si="41"/>
        <v>175</v>
      </c>
    </row>
    <row r="426" spans="1:16">
      <c r="A426" s="2" t="str">
        <f>'01_원자료'!A423</f>
        <v>PAT-29</v>
      </c>
      <c r="B426" s="2" t="str">
        <f>'01_원자료'!B423</f>
        <v>chatgpt</v>
      </c>
      <c r="C426" s="2" t="str">
        <f>'01_원자료'!C423</f>
        <v>ministral</v>
      </c>
      <c r="E426" s="17">
        <f>'01_원자료'!P423*'03_가중치민감도'!$B$5+'01_원자료'!Q423*'03_가중치민감도'!$C$5+'01_원자료'!R423*'03_가중치민감도'!$D$5</f>
        <v>0.61170769139959325</v>
      </c>
      <c r="F426" s="17">
        <f>'01_원자료'!P423*'03_가중치민감도'!$B$6+'01_원자료'!Q423*'03_가중치민감도'!$C$6+'01_원자료'!R423*'03_가중치민감도'!$D$6</f>
        <v>0.53018415899185056</v>
      </c>
      <c r="G426" s="17">
        <f>'01_원자료'!P423*'03_가중치민감도'!$B$7+'01_원자료'!Q423*'03_가중치민감도'!$C$7+'01_원자료'!R423*'03_가중치민감도'!$D$7</f>
        <v>0.61718929848834947</v>
      </c>
      <c r="H426" s="17">
        <f>'01_원자료'!P423*'03_가중치민감도'!$B$8+'01_원자료'!Q423*'03_가중치민감도'!$C$8+'01_원자료'!R423*'03_가중치민감도'!$D$8</f>
        <v>0.58429965595581224</v>
      </c>
      <c r="I426" s="17">
        <f>'01_원자료'!P423*'03_가중치민감도'!$B$9+'01_원자료'!Q423*'03_가중치민감도'!$C$9+'01_원자료'!R423*'03_가중치민감도'!$D$9</f>
        <v>0.55553146743151216</v>
      </c>
      <c r="J426" s="17">
        <f>'01_원자료'!P423*'03_가중치민감도'!$B$10+'01_원자료'!Q423*'03_가중치민감도'!$C$10+'01_원자료'!R423*'03_가중치민감도'!$D$10</f>
        <v>0.68226800962982348</v>
      </c>
      <c r="K426" s="31">
        <f t="shared" si="36"/>
        <v>443</v>
      </c>
      <c r="L426" s="31">
        <f t="shared" si="37"/>
        <v>499</v>
      </c>
      <c r="M426" s="31">
        <f t="shared" si="38"/>
        <v>447</v>
      </c>
      <c r="N426" s="31">
        <f t="shared" si="39"/>
        <v>444</v>
      </c>
      <c r="O426" s="31">
        <f t="shared" si="40"/>
        <v>478</v>
      </c>
      <c r="P426" s="31">
        <f t="shared" si="41"/>
        <v>401</v>
      </c>
    </row>
    <row r="427" spans="1:16">
      <c r="A427" s="2" t="str">
        <f>'01_원자료'!A424</f>
        <v>PAT-29</v>
      </c>
      <c r="B427" s="2" t="str">
        <f>'01_원자료'!B424</f>
        <v>chatgpt</v>
      </c>
      <c r="C427" s="2" t="str">
        <f>'01_원자료'!C424</f>
        <v>qwen</v>
      </c>
      <c r="E427" s="17">
        <f>'01_원자료'!P424*'03_가중치민감도'!$B$5+'01_원자료'!Q424*'03_가중치민감도'!$C$5+'01_원자료'!R424*'03_가중치민감도'!$D$5</f>
        <v>0.54461705117323933</v>
      </c>
      <c r="F427" s="17">
        <f>'01_원자료'!P424*'03_가중치민감도'!$B$6+'01_원자료'!Q424*'03_가중치민감도'!$C$6+'01_원자료'!R424*'03_가중치민감도'!$D$6</f>
        <v>0.4692544029154237</v>
      </c>
      <c r="G427" s="17">
        <f>'01_원자료'!P424*'03_가중치민감도'!$B$7+'01_원자료'!Q424*'03_가중치민감도'!$C$7+'01_원자료'!R424*'03_가중치민감도'!$D$7</f>
        <v>0.55531387689154887</v>
      </c>
      <c r="H427" s="17">
        <f>'01_원자료'!P424*'03_가중치민감도'!$B$8+'01_원자료'!Q424*'03_가중치민감도'!$C$8+'01_원자료'!R424*'03_가중치민감도'!$D$8</f>
        <v>0.49113292258169094</v>
      </c>
      <c r="I427" s="17">
        <f>'01_원자료'!P424*'03_가중치민감도'!$B$9+'01_원자료'!Q424*'03_가중치민감도'!$C$9+'01_원자료'!R424*'03_가중치민감도'!$D$9</f>
        <v>0.49080967709525847</v>
      </c>
      <c r="J427" s="17">
        <f>'01_원자료'!P424*'03_가중치민감도'!$B$10+'01_원자료'!Q424*'03_가중치민감도'!$C$10+'01_원자료'!R424*'03_가중치민감도'!$D$10</f>
        <v>0.59858604799443549</v>
      </c>
      <c r="K427" s="31">
        <f t="shared" si="36"/>
        <v>184</v>
      </c>
      <c r="L427" s="31">
        <f t="shared" si="37"/>
        <v>212</v>
      </c>
      <c r="M427" s="31">
        <f t="shared" si="38"/>
        <v>183</v>
      </c>
      <c r="N427" s="31">
        <f t="shared" si="39"/>
        <v>205</v>
      </c>
      <c r="O427" s="31">
        <f t="shared" si="40"/>
        <v>206</v>
      </c>
      <c r="P427" s="31">
        <f t="shared" si="41"/>
        <v>185</v>
      </c>
    </row>
    <row r="428" spans="1:16">
      <c r="A428" s="2" t="str">
        <f>'01_원자료'!A425</f>
        <v>PAT-29</v>
      </c>
      <c r="B428" s="2" t="str">
        <f>'01_원자료'!B425</f>
        <v>claude</v>
      </c>
      <c r="C428" s="2" t="str">
        <f>'01_원자료'!C425</f>
        <v>gemma</v>
      </c>
      <c r="E428" s="17">
        <f>'01_원자료'!P425*'03_가중치민감도'!$B$5+'01_원자료'!Q425*'03_가중치민감도'!$C$5+'01_원자료'!R425*'03_가중치민감도'!$D$5</f>
        <v>0.67898815461305762</v>
      </c>
      <c r="F428" s="17">
        <f>'01_원자료'!P425*'03_가중치민감도'!$B$6+'01_원자료'!Q425*'03_가중치민감도'!$C$6+'01_원자료'!R425*'03_가중치민감도'!$D$6</f>
        <v>0.57389323495790001</v>
      </c>
      <c r="G428" s="17">
        <f>'01_원자료'!P425*'03_가중치민감도'!$B$7+'01_원자료'!Q425*'03_가중치민감도'!$C$7+'01_원자료'!R425*'03_가중치민감도'!$D$7</f>
        <v>0.67332595673510542</v>
      </c>
      <c r="H428" s="17">
        <f>'01_원자료'!P425*'03_가중치민감도'!$B$8+'01_원자료'!Q425*'03_가중치민감도'!$C$8+'01_원자료'!R425*'03_가중치민감도'!$D$8</f>
        <v>0.7072991440028189</v>
      </c>
      <c r="I428" s="17">
        <f>'01_원자료'!P425*'03_가중치민감도'!$B$9+'01_원자료'!Q425*'03_가중치민감도'!$C$9+'01_원자료'!R425*'03_가중치민감도'!$D$9</f>
        <v>0.61081227413560268</v>
      </c>
      <c r="J428" s="17">
        <f>'01_원자료'!P425*'03_가중치민감도'!$B$10+'01_원자료'!Q425*'03_가중치민감도'!$C$10+'01_원자료'!R425*'03_가중치민감도'!$D$10</f>
        <v>0.79540747002411982</v>
      </c>
      <c r="K428" s="31">
        <f t="shared" si="36"/>
        <v>756</v>
      </c>
      <c r="L428" s="31">
        <f t="shared" si="37"/>
        <v>711</v>
      </c>
      <c r="M428" s="31">
        <f t="shared" si="38"/>
        <v>736</v>
      </c>
      <c r="N428" s="31">
        <f t="shared" si="39"/>
        <v>806</v>
      </c>
      <c r="O428" s="31">
        <f t="shared" si="40"/>
        <v>728</v>
      </c>
      <c r="P428" s="31">
        <f t="shared" si="41"/>
        <v>797</v>
      </c>
    </row>
    <row r="429" spans="1:16">
      <c r="A429" s="2" t="str">
        <f>'01_원자료'!A426</f>
        <v>PAT-29</v>
      </c>
      <c r="B429" s="2" t="str">
        <f>'01_원자료'!B426</f>
        <v>claude</v>
      </c>
      <c r="C429" s="2" t="str">
        <f>'01_원자료'!C426</f>
        <v>ministral</v>
      </c>
      <c r="E429" s="17">
        <f>'01_원자료'!P426*'03_가중치민감도'!$B$5+'01_원자료'!Q426*'03_가중치민감도'!$C$5+'01_원자료'!R426*'03_가중치민감도'!$D$5</f>
        <v>0.60442878338381978</v>
      </c>
      <c r="F429" s="17">
        <f>'01_원자료'!P426*'03_가중치민감도'!$B$6+'01_원자료'!Q426*'03_가중치민감도'!$C$6+'01_원자료'!R426*'03_가중치민감도'!$D$6</f>
        <v>0.50709852059114524</v>
      </c>
      <c r="G429" s="17">
        <f>'01_원자료'!P426*'03_가중치민감도'!$B$7+'01_원자료'!Q426*'03_가중치민감도'!$C$7+'01_원자료'!R426*'03_가중치민감도'!$D$7</f>
        <v>0.61179640791819645</v>
      </c>
      <c r="H429" s="17">
        <f>'01_원자료'!P426*'03_가중치민감도'!$B$8+'01_원자료'!Q426*'03_가중치민감도'!$C$8+'01_원자료'!R426*'03_가중치민감도'!$D$8</f>
        <v>0.56759066071193642</v>
      </c>
      <c r="I429" s="17">
        <f>'01_원자료'!P426*'03_가중치민감도'!$B$9+'01_원자료'!Q426*'03_가중치민감도'!$C$9+'01_원자료'!R426*'03_가중치민감도'!$D$9</f>
        <v>0.53708606667724401</v>
      </c>
      <c r="J429" s="17">
        <f>'01_원자료'!P426*'03_가중치민감도'!$B$10+'01_원자료'!Q426*'03_가중치민감도'!$C$10+'01_원자료'!R426*'03_가중치민감도'!$D$10</f>
        <v>0.68702379710774086</v>
      </c>
      <c r="K429" s="31">
        <f t="shared" si="36"/>
        <v>409</v>
      </c>
      <c r="L429" s="31">
        <f t="shared" si="37"/>
        <v>403</v>
      </c>
      <c r="M429" s="31">
        <f t="shared" si="38"/>
        <v>418</v>
      </c>
      <c r="N429" s="31">
        <f t="shared" si="39"/>
        <v>393</v>
      </c>
      <c r="O429" s="31">
        <f t="shared" si="40"/>
        <v>401</v>
      </c>
      <c r="P429" s="31">
        <f t="shared" si="41"/>
        <v>418</v>
      </c>
    </row>
    <row r="430" spans="1:16">
      <c r="A430" s="2" t="str">
        <f>'01_원자료'!A427</f>
        <v>PAT-29</v>
      </c>
      <c r="B430" s="2" t="str">
        <f>'01_원자료'!B427</f>
        <v>claude</v>
      </c>
      <c r="C430" s="2" t="str">
        <f>'01_원자료'!C427</f>
        <v>qwen</v>
      </c>
      <c r="E430" s="17">
        <f>'01_원자료'!P427*'03_가중치민감도'!$B$5+'01_원자료'!Q427*'03_가중치민감도'!$C$5+'01_원자료'!R427*'03_가중치민감도'!$D$5</f>
        <v>0.70347694255936799</v>
      </c>
      <c r="F430" s="17">
        <f>'01_원자료'!P427*'03_가중치민감도'!$B$6+'01_원자료'!Q427*'03_가중치민감도'!$C$6+'01_원자료'!R427*'03_가중치민감도'!$D$6</f>
        <v>0.60403320708261177</v>
      </c>
      <c r="G430" s="17">
        <f>'01_원자료'!P427*'03_가중치민감도'!$B$7+'01_원자료'!Q427*'03_가중치민감도'!$C$7+'01_원자료'!R427*'03_가중치민감도'!$D$7</f>
        <v>0.69938454499540814</v>
      </c>
      <c r="H430" s="17">
        <f>'01_원자료'!P427*'03_가중치민감도'!$B$8+'01_원자료'!Q427*'03_가중치민감도'!$C$8+'01_원자료'!R427*'03_가중치민감도'!$D$8</f>
        <v>0.72393893037916723</v>
      </c>
      <c r="I430" s="17">
        <f>'01_원자료'!P427*'03_가중치민감도'!$B$9+'01_원자료'!Q427*'03_가중치민감도'!$C$9+'01_원자료'!R427*'03_가중치민감도'!$D$9</f>
        <v>0.63854525142951646</v>
      </c>
      <c r="J430" s="17">
        <f>'01_원자료'!P427*'03_가중치민감도'!$B$10+'01_원자료'!Q427*'03_가중치민감도'!$C$10+'01_원자료'!R427*'03_가중치민감도'!$D$10</f>
        <v>0.81110547316404391</v>
      </c>
      <c r="K430" s="31">
        <f t="shared" si="36"/>
        <v>831</v>
      </c>
      <c r="L430" s="31">
        <f t="shared" si="37"/>
        <v>829</v>
      </c>
      <c r="M430" s="31">
        <f t="shared" si="38"/>
        <v>833</v>
      </c>
      <c r="N430" s="31">
        <f t="shared" si="39"/>
        <v>833</v>
      </c>
      <c r="O430" s="31">
        <f t="shared" si="40"/>
        <v>828</v>
      </c>
      <c r="P430" s="31">
        <f t="shared" si="41"/>
        <v>834</v>
      </c>
    </row>
    <row r="431" spans="1:16">
      <c r="A431" s="2" t="str">
        <f>'01_원자료'!A428</f>
        <v>PAT-29</v>
      </c>
      <c r="B431" s="2" t="str">
        <f>'01_원자료'!B428</f>
        <v>gemini</v>
      </c>
      <c r="C431" s="2" t="str">
        <f>'01_원자료'!C428</f>
        <v>gemma</v>
      </c>
      <c r="E431" s="17">
        <f>'01_원자료'!P428*'03_가중치민감도'!$B$5+'01_원자료'!Q428*'03_가중치민감도'!$C$5+'01_원자료'!R428*'03_가중치민감도'!$D$5</f>
        <v>0.72312464157585876</v>
      </c>
      <c r="F431" s="17">
        <f>'01_원자료'!P428*'03_가중치민감도'!$B$6+'01_원자료'!Q428*'03_가중치민감도'!$C$6+'01_원자료'!R428*'03_가중치민감도'!$D$6</f>
        <v>0.61062299517945084</v>
      </c>
      <c r="G431" s="17">
        <f>'01_원자료'!P428*'03_가중치민감도'!$B$7+'01_원자료'!Q428*'03_가중치민감도'!$C$7+'01_원자료'!R428*'03_가중치민감도'!$D$7</f>
        <v>0.71433770105295236</v>
      </c>
      <c r="H431" s="17">
        <f>'01_원자료'!P428*'03_가중치민감도'!$B$8+'01_원자료'!Q428*'03_가중치민감도'!$C$8+'01_원자료'!R428*'03_가중치민감도'!$D$8</f>
        <v>0.76705934419039112</v>
      </c>
      <c r="I431" s="17">
        <f>'01_원자료'!P428*'03_가중치민감도'!$B$9+'01_원자료'!Q428*'03_가중치민감도'!$C$9+'01_원자료'!R428*'03_가중치민감도'!$D$9</f>
        <v>0.65105252415255488</v>
      </c>
      <c r="J431" s="17">
        <f>'01_원자료'!P428*'03_가중치민감도'!$B$10+'01_원자료'!Q428*'03_가중치민감도'!$C$10+'01_원자료'!R428*'03_가중치민감도'!$D$10</f>
        <v>0.85320016901807971</v>
      </c>
      <c r="K431" s="31">
        <f t="shared" si="36"/>
        <v>889</v>
      </c>
      <c r="L431" s="31">
        <f t="shared" si="37"/>
        <v>860</v>
      </c>
      <c r="M431" s="31">
        <f t="shared" si="38"/>
        <v>885</v>
      </c>
      <c r="N431" s="31">
        <f t="shared" si="39"/>
        <v>887</v>
      </c>
      <c r="O431" s="31">
        <f t="shared" si="40"/>
        <v>869</v>
      </c>
      <c r="P431" s="31">
        <f t="shared" si="41"/>
        <v>897</v>
      </c>
    </row>
    <row r="432" spans="1:16">
      <c r="A432" s="2" t="str">
        <f>'01_원자료'!A429</f>
        <v>PAT-29</v>
      </c>
      <c r="B432" s="2" t="str">
        <f>'01_원자료'!B429</f>
        <v>gemini</v>
      </c>
      <c r="C432" s="2" t="str">
        <f>'01_원자료'!C429</f>
        <v>ministral</v>
      </c>
      <c r="E432" s="17">
        <f>'01_원자료'!P429*'03_가중치민감도'!$B$5+'01_원자료'!Q429*'03_가중치민감도'!$C$5+'01_원자료'!R429*'03_가중치민감도'!$D$5</f>
        <v>0.62292323038203501</v>
      </c>
      <c r="F432" s="17">
        <f>'01_원자료'!P429*'03_가중치민감도'!$B$6+'01_원자료'!Q429*'03_가중치민감도'!$C$6+'01_원자료'!R429*'03_가중치민감도'!$D$6</f>
        <v>0.51572202184656013</v>
      </c>
      <c r="G432" s="17">
        <f>'01_원자료'!P429*'03_가중치민감도'!$B$7+'01_원자료'!Q429*'03_가중치민감도'!$C$7+'01_원자료'!R429*'03_가중치민감도'!$D$7</f>
        <v>0.63094609854626116</v>
      </c>
      <c r="H432" s="17">
        <f>'01_원자료'!P429*'03_가중치민감도'!$B$8+'01_원자료'!Q429*'03_가중치민감도'!$C$8+'01_원자료'!R429*'03_가중치민감도'!$D$8</f>
        <v>0.58280888956090393</v>
      </c>
      <c r="I432" s="17">
        <f>'01_원자료'!P429*'03_가중치민감도'!$B$9+'01_원자료'!Q429*'03_가중치민감도'!$C$9+'01_원자료'!R429*'03_가중치민감도'!$D$9</f>
        <v>0.54878146863697574</v>
      </c>
      <c r="J432" s="17">
        <f>'01_원자료'!P429*'03_가중치민감도'!$B$10+'01_원자료'!Q429*'03_가중치민감도'!$C$10+'01_원자료'!R429*'03_가중치민감도'!$D$10</f>
        <v>0.71407870258905748</v>
      </c>
      <c r="K432" s="31">
        <f t="shared" si="36"/>
        <v>503</v>
      </c>
      <c r="L432" s="31">
        <f t="shared" si="37"/>
        <v>442</v>
      </c>
      <c r="M432" s="31">
        <f t="shared" si="38"/>
        <v>519</v>
      </c>
      <c r="N432" s="31">
        <f t="shared" si="39"/>
        <v>437</v>
      </c>
      <c r="O432" s="31">
        <f t="shared" si="40"/>
        <v>456</v>
      </c>
      <c r="P432" s="31">
        <f t="shared" si="41"/>
        <v>514</v>
      </c>
    </row>
    <row r="433" spans="1:16">
      <c r="A433" s="2" t="str">
        <f>'01_원자료'!A430</f>
        <v>PAT-29</v>
      </c>
      <c r="B433" s="2" t="str">
        <f>'01_원자료'!B430</f>
        <v>gemini</v>
      </c>
      <c r="C433" s="2" t="str">
        <f>'01_원자료'!C430</f>
        <v>qwen</v>
      </c>
      <c r="E433" s="17">
        <f>'01_원자료'!P430*'03_가중치민감도'!$B$5+'01_원자료'!Q430*'03_가중치민감도'!$C$5+'01_원자료'!R430*'03_가중치민감도'!$D$5</f>
        <v>0.7451870098814749</v>
      </c>
      <c r="F433" s="17">
        <f>'01_원자료'!P430*'03_가중치민감도'!$B$6+'01_원자료'!Q430*'03_가중치민감도'!$C$6+'01_원자료'!R430*'03_가중치민감도'!$D$6</f>
        <v>0.64200572578923221</v>
      </c>
      <c r="G433" s="17">
        <f>'01_원자료'!P430*'03_가중치민감도'!$B$7+'01_원자료'!Q430*'03_가중치민감도'!$C$7+'01_원자료'!R430*'03_가중치민감도'!$D$7</f>
        <v>0.73746190319202276</v>
      </c>
      <c r="H433" s="17">
        <f>'01_원자료'!P430*'03_가중치민감도'!$B$8+'01_원자료'!Q430*'03_가중치민감도'!$C$8+'01_원자료'!R430*'03_가중치민감도'!$D$8</f>
        <v>0.78381254332873596</v>
      </c>
      <c r="I433" s="17">
        <f>'01_원자료'!P430*'03_가중치민감도'!$B$9+'01_원자료'!Q430*'03_가중치민감도'!$C$9+'01_원자료'!R430*'03_가중치민감도'!$D$9</f>
        <v>0.67897452271646319</v>
      </c>
      <c r="J433" s="17">
        <f>'01_원자료'!P430*'03_가중치민감도'!$B$10+'01_원자료'!Q430*'03_가중치민감도'!$C$10+'01_원자료'!R430*'03_가중치민감도'!$D$10</f>
        <v>0.86381850735262211</v>
      </c>
      <c r="K433" s="31">
        <f t="shared" si="36"/>
        <v>942</v>
      </c>
      <c r="L433" s="31">
        <f t="shared" si="37"/>
        <v>942</v>
      </c>
      <c r="M433" s="31">
        <f t="shared" si="38"/>
        <v>942</v>
      </c>
      <c r="N433" s="31">
        <f t="shared" si="39"/>
        <v>947</v>
      </c>
      <c r="O433" s="31">
        <f t="shared" si="40"/>
        <v>947</v>
      </c>
      <c r="P433" s="31">
        <f t="shared" si="41"/>
        <v>931</v>
      </c>
    </row>
    <row r="434" spans="1:16">
      <c r="A434" s="2" t="str">
        <f>'01_원자료'!A431</f>
        <v>PAT-29</v>
      </c>
      <c r="B434" s="2" t="str">
        <f>'01_원자료'!B431</f>
        <v>mistral</v>
      </c>
      <c r="C434" s="2" t="str">
        <f>'01_원자료'!C431</f>
        <v>gemma</v>
      </c>
      <c r="E434" s="17">
        <f>'01_원자료'!P431*'03_가중치민감도'!$B$5+'01_원자료'!Q431*'03_가중치민감도'!$C$5+'01_원자료'!R431*'03_가중치민감도'!$D$5</f>
        <v>0.57875634985815405</v>
      </c>
      <c r="F434" s="17">
        <f>'01_원자료'!P431*'03_가중치민감도'!$B$6+'01_원자료'!Q431*'03_가중치민감도'!$C$6+'01_원자료'!R431*'03_가중치민감도'!$D$6</f>
        <v>0.49497994639757459</v>
      </c>
      <c r="G434" s="17">
        <f>'01_원자료'!P431*'03_가중치민감도'!$B$7+'01_원자료'!Q431*'03_가중치민감도'!$C$7+'01_원자료'!R431*'03_가중치민감도'!$D$7</f>
        <v>0.58481940873987592</v>
      </c>
      <c r="H434" s="17">
        <f>'01_원자료'!P431*'03_가중치민감도'!$B$8+'01_원자료'!Q431*'03_가중치민감도'!$C$8+'01_원자료'!R431*'03_가중치민감도'!$D$8</f>
        <v>0.54844105544954513</v>
      </c>
      <c r="I434" s="17">
        <f>'01_원자료'!P431*'03_가중치민감도'!$B$9+'01_원자료'!Q431*'03_가중치민감도'!$C$9+'01_원자료'!R431*'03_가중치민감도'!$D$9</f>
        <v>0.52088439459052671</v>
      </c>
      <c r="J434" s="17">
        <f>'01_원자료'!P431*'03_가중치민감도'!$B$10+'01_원자료'!Q431*'03_가중치민감도'!$C$10+'01_원자료'!R431*'03_가중치민감도'!$D$10</f>
        <v>0.65040663555528999</v>
      </c>
      <c r="K434" s="31">
        <f t="shared" si="36"/>
        <v>318</v>
      </c>
      <c r="L434" s="31">
        <f t="shared" si="37"/>
        <v>336</v>
      </c>
      <c r="M434" s="31">
        <f t="shared" si="38"/>
        <v>316</v>
      </c>
      <c r="N434" s="31">
        <f t="shared" si="39"/>
        <v>332</v>
      </c>
      <c r="O434" s="31">
        <f t="shared" si="40"/>
        <v>329</v>
      </c>
      <c r="P434" s="31">
        <f t="shared" si="41"/>
        <v>306</v>
      </c>
    </row>
    <row r="435" spans="1:16">
      <c r="A435" s="2" t="str">
        <f>'01_원자료'!A432</f>
        <v>PAT-29</v>
      </c>
      <c r="B435" s="2" t="str">
        <f>'01_원자료'!B432</f>
        <v>mistral</v>
      </c>
      <c r="C435" s="2" t="str">
        <f>'01_원자료'!C432</f>
        <v>ministral</v>
      </c>
      <c r="E435" s="17">
        <f>'01_원자료'!P432*'03_가중치민감도'!$B$5+'01_원자료'!Q432*'03_가중치민감도'!$C$5+'01_원자료'!R432*'03_가중치민감도'!$D$5</f>
        <v>0.69068021285317416</v>
      </c>
      <c r="F435" s="17">
        <f>'01_원자료'!P432*'03_가중치민감도'!$B$6+'01_원자료'!Q432*'03_가중치민감도'!$C$6+'01_원자료'!R432*'03_가중치민감도'!$D$6</f>
        <v>0.60465864597054741</v>
      </c>
      <c r="G435" s="17">
        <f>'01_원자료'!P432*'03_가중치민감도'!$B$7+'01_원자료'!Q432*'03_가중치민감도'!$C$7+'01_원자료'!R432*'03_가중치민감도'!$D$7</f>
        <v>0.68749991920841602</v>
      </c>
      <c r="H435" s="17">
        <f>'01_원자료'!P432*'03_가중치민감도'!$B$8+'01_원자료'!Q432*'03_가중치민감도'!$C$8+'01_원자료'!R432*'03_가중치민감도'!$D$8</f>
        <v>0.70658168107696473</v>
      </c>
      <c r="I435" s="17">
        <f>'01_원자료'!P432*'03_가중치민감도'!$B$9+'01_원자료'!Q432*'03_가중치민감도'!$C$9+'01_원자료'!R432*'03_가중치민감도'!$D$9</f>
        <v>0.63439259947967508</v>
      </c>
      <c r="J435" s="17">
        <f>'01_원자료'!P432*'03_가중치민감도'!$B$10+'01_원자료'!Q432*'03_가중치민감도'!$C$10+'01_원자료'!R432*'03_가중치민감도'!$D$10</f>
        <v>0.78306236702531706</v>
      </c>
      <c r="K435" s="31">
        <f t="shared" si="36"/>
        <v>788</v>
      </c>
      <c r="L435" s="31">
        <f t="shared" si="37"/>
        <v>834</v>
      </c>
      <c r="M435" s="31">
        <f t="shared" si="38"/>
        <v>784</v>
      </c>
      <c r="N435" s="31">
        <f t="shared" si="39"/>
        <v>804</v>
      </c>
      <c r="O435" s="31">
        <f t="shared" si="40"/>
        <v>814</v>
      </c>
      <c r="P435" s="31">
        <f t="shared" si="41"/>
        <v>766</v>
      </c>
    </row>
    <row r="436" spans="1:16">
      <c r="A436" s="2" t="str">
        <f>'01_원자료'!A433</f>
        <v>PAT-29</v>
      </c>
      <c r="B436" s="2" t="str">
        <f>'01_원자료'!B433</f>
        <v>mistral</v>
      </c>
      <c r="C436" s="2" t="str">
        <f>'01_원자료'!C433</f>
        <v>qwen</v>
      </c>
      <c r="E436" s="17">
        <f>'01_원자료'!P433*'03_가중치민감도'!$B$5+'01_원자료'!Q433*'03_가중치민감도'!$C$5+'01_원자료'!R433*'03_가중치민감도'!$D$5</f>
        <v>0.59693636533563676</v>
      </c>
      <c r="F436" s="17">
        <f>'01_원자료'!P433*'03_가중치민감도'!$B$6+'01_원자료'!Q433*'03_가중치민감도'!$C$6+'01_원자료'!R433*'03_가중치민감도'!$D$6</f>
        <v>0.51355950804606021</v>
      </c>
      <c r="G436" s="17">
        <f>'01_원자료'!P433*'03_가중치민감도'!$B$7+'01_원자료'!Q433*'03_가중치민감도'!$C$7+'01_원자료'!R433*'03_가중치민감도'!$D$7</f>
        <v>0.60448112999289849</v>
      </c>
      <c r="H436" s="17">
        <f>'01_원자료'!P433*'03_가중치민감도'!$B$8+'01_원자료'!Q433*'03_가중치민감도'!$C$8+'01_원자료'!R433*'03_가중치민감도'!$D$8</f>
        <v>0.55921254204932791</v>
      </c>
      <c r="I436" s="17">
        <f>'01_원자료'!P433*'03_가중치민감도'!$B$9+'01_원자료'!Q433*'03_가중치민감도'!$C$9+'01_원자료'!R433*'03_가중치민감도'!$D$9</f>
        <v>0.53883687225683119</v>
      </c>
      <c r="J436" s="17">
        <f>'01_원자료'!P433*'03_가중치민감도'!$B$10+'01_원자료'!Q433*'03_가중치민감도'!$C$10+'01_원자료'!R433*'03_가중치민감도'!$D$10</f>
        <v>0.66522369331068976</v>
      </c>
      <c r="K436" s="31">
        <f t="shared" si="36"/>
        <v>381</v>
      </c>
      <c r="L436" s="31">
        <f t="shared" si="37"/>
        <v>430</v>
      </c>
      <c r="M436" s="31">
        <f t="shared" si="38"/>
        <v>386</v>
      </c>
      <c r="N436" s="31">
        <f t="shared" si="39"/>
        <v>369</v>
      </c>
      <c r="O436" s="31">
        <f t="shared" si="40"/>
        <v>410</v>
      </c>
      <c r="P436" s="31">
        <f t="shared" si="41"/>
        <v>345</v>
      </c>
    </row>
    <row r="437" spans="1:16">
      <c r="A437" s="2" t="str">
        <f>'01_원자료'!A434</f>
        <v>PAT-29</v>
      </c>
      <c r="B437" s="2" t="str">
        <f>'01_원자료'!B434</f>
        <v>qwen3_6</v>
      </c>
      <c r="C437" s="2" t="str">
        <f>'01_원자료'!C434</f>
        <v>gemma</v>
      </c>
      <c r="E437" s="17">
        <f>'01_원자료'!P434*'03_가중치민감도'!$B$5+'01_원자료'!Q434*'03_가중치민감도'!$C$5+'01_원자료'!R434*'03_가중치민감도'!$D$5</f>
        <v>0.72277584440172349</v>
      </c>
      <c r="F437" s="17">
        <f>'01_원자료'!P434*'03_가중치민감도'!$B$6+'01_원자료'!Q434*'03_가중치민감도'!$C$6+'01_원자료'!R434*'03_가중치민감도'!$D$6</f>
        <v>0.61663991886279146</v>
      </c>
      <c r="G437" s="17">
        <f>'01_원자료'!P434*'03_가중치민감도'!$B$7+'01_원자료'!Q434*'03_가중치민감도'!$C$7+'01_원자료'!R434*'03_가중치민감도'!$D$7</f>
        <v>0.71342936070951612</v>
      </c>
      <c r="H437" s="17">
        <f>'01_원자료'!P434*'03_가중치민감도'!$B$8+'01_원자료'!Q434*'03_가중치민감도'!$C$8+'01_원자료'!R434*'03_가중치민감도'!$D$8</f>
        <v>0.76950826286276042</v>
      </c>
      <c r="I437" s="17">
        <f>'01_원자료'!P434*'03_가중치민감도'!$B$9+'01_원자료'!Q434*'03_가중치민감도'!$C$9+'01_원자료'!R434*'03_가중치민감도'!$D$9</f>
        <v>0.65513405527317059</v>
      </c>
      <c r="J437" s="17">
        <f>'01_원자료'!P434*'03_가중치민감도'!$B$10+'01_원자료'!Q434*'03_가중치민감도'!$C$10+'01_원자료'!R434*'03_가중치민감도'!$D$10</f>
        <v>0.84760473732507036</v>
      </c>
      <c r="K437" s="31">
        <f t="shared" si="36"/>
        <v>887</v>
      </c>
      <c r="L437" s="31">
        <f t="shared" si="37"/>
        <v>880</v>
      </c>
      <c r="M437" s="31">
        <f t="shared" si="38"/>
        <v>880</v>
      </c>
      <c r="N437" s="31">
        <f t="shared" si="39"/>
        <v>896</v>
      </c>
      <c r="O437" s="31">
        <f t="shared" si="40"/>
        <v>889</v>
      </c>
      <c r="P437" s="31">
        <f t="shared" si="41"/>
        <v>884</v>
      </c>
    </row>
    <row r="438" spans="1:16">
      <c r="A438" s="2" t="str">
        <f>'01_원자료'!A435</f>
        <v>PAT-29</v>
      </c>
      <c r="B438" s="2" t="str">
        <f>'01_원자료'!B435</f>
        <v>qwen3_6</v>
      </c>
      <c r="C438" s="2" t="str">
        <f>'01_원자료'!C435</f>
        <v>ministral</v>
      </c>
      <c r="E438" s="17">
        <f>'01_원자료'!P435*'03_가중치민감도'!$B$5+'01_원자료'!Q435*'03_가중치민감도'!$C$5+'01_원자료'!R435*'03_가중치민감도'!$D$5</f>
        <v>0.61427018479857387</v>
      </c>
      <c r="F438" s="17">
        <f>'01_원자료'!P435*'03_가중치민감도'!$B$6+'01_원자료'!Q435*'03_가중치민감도'!$C$6+'01_원자료'!R435*'03_가중치민감도'!$D$6</f>
        <v>0.51936808534327894</v>
      </c>
      <c r="G438" s="17">
        <f>'01_원자료'!P435*'03_가중치민감도'!$B$7+'01_원자료'!Q435*'03_가중치민감도'!$C$7+'01_원자료'!R435*'03_가중치민감도'!$D$7</f>
        <v>0.62054704007416339</v>
      </c>
      <c r="H438" s="17">
        <f>'01_원자료'!P435*'03_가중치민감도'!$B$8+'01_원자료'!Q435*'03_가중치민감도'!$C$8+'01_원자료'!R435*'03_가중치민감도'!$D$8</f>
        <v>0.5828859084206266</v>
      </c>
      <c r="I438" s="17">
        <f>'01_원자료'!P435*'03_가중치민감도'!$B$9+'01_원자료'!Q435*'03_가중치민감도'!$C$9+'01_원자료'!R435*'03_가중치민감도'!$D$9</f>
        <v>0.54890983340318034</v>
      </c>
      <c r="J438" s="17">
        <f>'01_원자료'!P435*'03_가중치민감도'!$B$10+'01_원자료'!Q435*'03_가중치민감도'!$C$10+'01_원자료'!R435*'03_가중치민감도'!$D$10</f>
        <v>0.69661857370268998</v>
      </c>
      <c r="K438" s="31">
        <f t="shared" si="36"/>
        <v>458</v>
      </c>
      <c r="L438" s="31">
        <f t="shared" si="37"/>
        <v>459</v>
      </c>
      <c r="M438" s="31">
        <f t="shared" si="38"/>
        <v>470</v>
      </c>
      <c r="N438" s="31">
        <f t="shared" si="39"/>
        <v>438</v>
      </c>
      <c r="O438" s="31">
        <f t="shared" si="40"/>
        <v>457</v>
      </c>
      <c r="P438" s="31">
        <f t="shared" si="41"/>
        <v>446</v>
      </c>
    </row>
    <row r="439" spans="1:16">
      <c r="A439" s="2" t="str">
        <f>'01_원자료'!A436</f>
        <v>PAT-29</v>
      </c>
      <c r="B439" s="2" t="str">
        <f>'01_원자료'!B436</f>
        <v>qwen3_6</v>
      </c>
      <c r="C439" s="2" t="str">
        <f>'01_원자료'!C436</f>
        <v>qwen</v>
      </c>
      <c r="E439" s="17">
        <f>'01_원자료'!P436*'03_가중치민감도'!$B$5+'01_원자료'!Q436*'03_가중치민감도'!$C$5+'01_원자료'!R436*'03_가중치민감도'!$D$5</f>
        <v>0.74542087819955594</v>
      </c>
      <c r="F439" s="17">
        <f>'01_원자료'!P436*'03_가중치민감도'!$B$6+'01_원자료'!Q436*'03_가중치민감도'!$C$6+'01_원자료'!R436*'03_가중치민감도'!$D$6</f>
        <v>0.64987229556250514</v>
      </c>
      <c r="G439" s="17">
        <f>'01_원자료'!P436*'03_가중치민감도'!$B$7+'01_원자료'!Q436*'03_가중치민감도'!$C$7+'01_원자료'!R436*'03_가중치민감도'!$D$7</f>
        <v>0.73707920208201116</v>
      </c>
      <c r="H439" s="17">
        <f>'01_원자료'!P436*'03_가중치민감도'!$B$8+'01_원자료'!Q436*'03_가중치민감도'!$C$8+'01_원자료'!R436*'03_가중치민감도'!$D$8</f>
        <v>0.78712925878727991</v>
      </c>
      <c r="I439" s="17">
        <f>'01_원자료'!P436*'03_가중치민감도'!$B$9+'01_원자료'!Q436*'03_가중치민감도'!$C$9+'01_원자료'!R436*'03_가중치민감도'!$D$9</f>
        <v>0.68450238181403633</v>
      </c>
      <c r="J439" s="17">
        <f>'01_원자료'!P436*'03_가중치민감도'!$B$10+'01_원자료'!Q436*'03_가중치민감도'!$C$10+'01_원자료'!R436*'03_가중치민감도'!$D$10</f>
        <v>0.8576528130716965</v>
      </c>
      <c r="K439" s="31">
        <f t="shared" si="36"/>
        <v>943</v>
      </c>
      <c r="L439" s="31">
        <f t="shared" si="37"/>
        <v>952</v>
      </c>
      <c r="M439" s="31">
        <f t="shared" si="38"/>
        <v>939</v>
      </c>
      <c r="N439" s="31">
        <f t="shared" si="39"/>
        <v>952</v>
      </c>
      <c r="O439" s="31">
        <f t="shared" si="40"/>
        <v>952</v>
      </c>
      <c r="P439" s="31">
        <f t="shared" si="41"/>
        <v>907</v>
      </c>
    </row>
    <row r="440" spans="1:16">
      <c r="A440" s="2" t="str">
        <f>'01_원자료'!A437</f>
        <v>PAT-30</v>
      </c>
      <c r="B440" s="2" t="str">
        <f>'01_원자료'!B437</f>
        <v>chatgpt</v>
      </c>
      <c r="C440" s="2" t="str">
        <f>'01_원자료'!C437</f>
        <v>gemma</v>
      </c>
      <c r="E440" s="17">
        <f>'01_원자료'!P437*'03_가중치민감도'!$B$5+'01_원자료'!Q437*'03_가중치민감도'!$C$5+'01_원자료'!R437*'03_가중치민감도'!$D$5</f>
        <v>0.52461553686458584</v>
      </c>
      <c r="F440" s="17">
        <f>'01_원자료'!P437*'03_가중치민감도'!$B$6+'01_원자료'!Q437*'03_가중치민감도'!$C$6+'01_원자료'!R437*'03_가중치민감도'!$D$6</f>
        <v>0.45356336659168056</v>
      </c>
      <c r="G440" s="17">
        <f>'01_원자료'!P437*'03_가중치민감도'!$B$7+'01_원자료'!Q437*'03_가중치민감도'!$C$7+'01_원자료'!R437*'03_가중치민감도'!$D$7</f>
        <v>0.53371063280259379</v>
      </c>
      <c r="H440" s="17">
        <f>'01_원자료'!P437*'03_가중치민감도'!$B$8+'01_원자료'!Q437*'03_가중치민감도'!$C$8+'01_원자료'!R437*'03_가중치민감도'!$D$8</f>
        <v>0.47914005717454566</v>
      </c>
      <c r="I440" s="17">
        <f>'01_원자료'!P437*'03_가중치민감도'!$B$9+'01_원자료'!Q437*'03_가중치민감도'!$C$9+'01_원자료'!R437*'03_가중치민감도'!$D$9</f>
        <v>0.47421572470331247</v>
      </c>
      <c r="J440" s="17">
        <f>'01_원자료'!P437*'03_가중치민감도'!$B$10+'01_원자료'!Q437*'03_가중치민감도'!$C$10+'01_원자료'!R437*'03_가중치민감도'!$D$10</f>
        <v>0.57747751526147506</v>
      </c>
      <c r="K440" s="31">
        <f t="shared" si="36"/>
        <v>115</v>
      </c>
      <c r="L440" s="31">
        <f t="shared" si="37"/>
        <v>153</v>
      </c>
      <c r="M440" s="31">
        <f t="shared" si="38"/>
        <v>84</v>
      </c>
      <c r="N440" s="31">
        <f t="shared" si="39"/>
        <v>172</v>
      </c>
      <c r="O440" s="31">
        <f t="shared" si="40"/>
        <v>150</v>
      </c>
      <c r="P440" s="31">
        <f t="shared" si="41"/>
        <v>124</v>
      </c>
    </row>
    <row r="441" spans="1:16">
      <c r="A441" s="2" t="str">
        <f>'01_원자료'!A438</f>
        <v>PAT-30</v>
      </c>
      <c r="B441" s="2" t="str">
        <f>'01_원자료'!B438</f>
        <v>chatgpt</v>
      </c>
      <c r="C441" s="2" t="str">
        <f>'01_원자료'!C438</f>
        <v>ministral</v>
      </c>
      <c r="E441" s="17">
        <f>'01_원자료'!P438*'03_가중치민감도'!$B$5+'01_원자료'!Q438*'03_가중치민감도'!$C$5+'01_원자료'!R438*'03_가중치민감도'!$D$5</f>
        <v>0.50746421994230007</v>
      </c>
      <c r="F441" s="17">
        <f>'01_원자료'!P438*'03_가중치민감도'!$B$6+'01_원자료'!Q438*'03_가중치민감도'!$C$6+'01_원자료'!R438*'03_가중치민감도'!$D$6</f>
        <v>0.44476926447336557</v>
      </c>
      <c r="G441" s="17">
        <f>'01_원자료'!P438*'03_가중치민감도'!$B$7+'01_원자료'!Q438*'03_가중치민감도'!$C$7+'01_원자료'!R438*'03_가중치민감도'!$D$7</f>
        <v>0.52518347216573336</v>
      </c>
      <c r="H441" s="17">
        <f>'01_원자료'!P438*'03_가중치민감도'!$B$8+'01_원자료'!Q438*'03_가중치민감도'!$C$8+'01_원자료'!R438*'03_가중치민감도'!$D$8</f>
        <v>0.41886795882513311</v>
      </c>
      <c r="I441" s="17">
        <f>'01_원자료'!P438*'03_가중치민감도'!$B$9+'01_원자료'!Q438*'03_가중치민감도'!$C$9+'01_원자료'!R438*'03_가중치민감도'!$D$9</f>
        <v>0.4597611655551988</v>
      </c>
      <c r="J441" s="17">
        <f>'01_원자료'!P438*'03_가중치민감도'!$B$10+'01_원자료'!Q438*'03_가중치민감도'!$C$10+'01_원자료'!R438*'03_가중치민감도'!$D$10</f>
        <v>0.53472067096436782</v>
      </c>
      <c r="K441" s="31">
        <f t="shared" si="36"/>
        <v>61</v>
      </c>
      <c r="L441" s="31">
        <f t="shared" si="37"/>
        <v>115</v>
      </c>
      <c r="M441" s="31">
        <f t="shared" si="38"/>
        <v>62</v>
      </c>
      <c r="N441" s="31">
        <f t="shared" si="39"/>
        <v>83</v>
      </c>
      <c r="O441" s="31">
        <f t="shared" si="40"/>
        <v>93</v>
      </c>
      <c r="P441" s="31">
        <f t="shared" si="41"/>
        <v>41</v>
      </c>
    </row>
    <row r="442" spans="1:16">
      <c r="A442" s="2" t="str">
        <f>'01_원자료'!A439</f>
        <v>PAT-30</v>
      </c>
      <c r="B442" s="2" t="str">
        <f>'01_원자료'!B439</f>
        <v>chatgpt</v>
      </c>
      <c r="C442" s="2" t="str">
        <f>'01_원자료'!C439</f>
        <v>qwen</v>
      </c>
      <c r="E442" s="17">
        <f>'01_원자료'!P439*'03_가중치민감도'!$B$5+'01_원자료'!Q439*'03_가중치민감도'!$C$5+'01_원자료'!R439*'03_가중치민감도'!$D$5</f>
        <v>0.5394027521600997</v>
      </c>
      <c r="F442" s="17">
        <f>'01_원자료'!P439*'03_가중치민감도'!$B$6+'01_원자료'!Q439*'03_가중치민감도'!$C$6+'01_원자료'!R439*'03_가중치민감도'!$D$6</f>
        <v>0.46755733325236731</v>
      </c>
      <c r="G442" s="17">
        <f>'01_원자료'!P439*'03_가중치민감도'!$B$7+'01_원자료'!Q439*'03_가중치민감도'!$C$7+'01_원자료'!R439*'03_가중치민감도'!$D$7</f>
        <v>0.54937195051480736</v>
      </c>
      <c r="H442" s="17">
        <f>'01_원자료'!P439*'03_가중치민감도'!$B$8+'01_원자료'!Q439*'03_가중치민감도'!$C$8+'01_원자료'!R439*'03_가중치민감도'!$D$8</f>
        <v>0.48955676038656093</v>
      </c>
      <c r="I442" s="17">
        <f>'01_원자료'!P439*'03_가중치민감도'!$B$9+'01_원자료'!Q439*'03_가중치민감도'!$C$9+'01_원자료'!R439*'03_가중치민감도'!$D$9</f>
        <v>0.48818274010337503</v>
      </c>
      <c r="J442" s="17">
        <f>'01_원자료'!P439*'03_가중치민감도'!$B$10+'01_원자료'!Q439*'03_가중치민감도'!$C$10+'01_원자료'!R439*'03_가중치민감도'!$D$10</f>
        <v>0.59130977435841647</v>
      </c>
      <c r="K442" s="31">
        <f t="shared" si="36"/>
        <v>165</v>
      </c>
      <c r="L442" s="31">
        <f t="shared" si="37"/>
        <v>208</v>
      </c>
      <c r="M442" s="31">
        <f t="shared" si="38"/>
        <v>156</v>
      </c>
      <c r="N442" s="31">
        <f t="shared" si="39"/>
        <v>196</v>
      </c>
      <c r="O442" s="31">
        <f t="shared" si="40"/>
        <v>190</v>
      </c>
      <c r="P442" s="31">
        <f t="shared" si="41"/>
        <v>160</v>
      </c>
    </row>
    <row r="443" spans="1:16">
      <c r="A443" s="2" t="str">
        <f>'01_원자료'!A440</f>
        <v>PAT-30</v>
      </c>
      <c r="B443" s="2" t="str">
        <f>'01_원자료'!B440</f>
        <v>claude</v>
      </c>
      <c r="C443" s="2" t="str">
        <f>'01_원자료'!C440</f>
        <v>gemma</v>
      </c>
      <c r="E443" s="17">
        <f>'01_원자료'!P440*'03_가중치민감도'!$B$5+'01_원자료'!Q440*'03_가중치민감도'!$C$5+'01_원자료'!R440*'03_가중치민감도'!$D$5</f>
        <v>0.65764082873841279</v>
      </c>
      <c r="F443" s="17">
        <f>'01_원자료'!P440*'03_가중치민감도'!$B$6+'01_원자료'!Q440*'03_가중치민감도'!$C$6+'01_원자료'!R440*'03_가중치민감도'!$D$6</f>
        <v>0.5579883898355894</v>
      </c>
      <c r="G443" s="17">
        <f>'01_원자료'!P440*'03_가중치민감도'!$B$7+'01_원자료'!Q440*'03_가중치민감도'!$C$7+'01_원자료'!R440*'03_가중치민감도'!$D$7</f>
        <v>0.65655736899347417</v>
      </c>
      <c r="H443" s="17">
        <f>'01_원자료'!P440*'03_가중치민감도'!$B$8+'01_원자료'!Q440*'03_가중치민감도'!$C$8+'01_원자료'!R440*'03_가중치민감도'!$D$8</f>
        <v>0.66305812746310555</v>
      </c>
      <c r="I443" s="17">
        <f>'01_원자료'!P440*'03_가중치민감도'!$B$9+'01_원자료'!Q440*'03_가중치민감도'!$C$9+'01_원자료'!R440*'03_가중치민감도'!$D$9</f>
        <v>0.59156702271817607</v>
      </c>
      <c r="J443" s="17">
        <f>'01_원자료'!P440*'03_가중치민감도'!$B$10+'01_원자료'!Q440*'03_가중치민감도'!$C$10+'01_원자료'!R440*'03_가중치민감도'!$D$10</f>
        <v>0.7594601871311133</v>
      </c>
      <c r="K443" s="31">
        <f t="shared" si="36"/>
        <v>657</v>
      </c>
      <c r="L443" s="31">
        <f t="shared" si="37"/>
        <v>630</v>
      </c>
      <c r="M443" s="31">
        <f t="shared" si="38"/>
        <v>649</v>
      </c>
      <c r="N443" s="31">
        <f t="shared" si="39"/>
        <v>678</v>
      </c>
      <c r="O443" s="31">
        <f t="shared" si="40"/>
        <v>645</v>
      </c>
      <c r="P443" s="31">
        <f t="shared" si="41"/>
        <v>692</v>
      </c>
    </row>
    <row r="444" spans="1:16">
      <c r="A444" s="2" t="str">
        <f>'01_원자료'!A441</f>
        <v>PAT-30</v>
      </c>
      <c r="B444" s="2" t="str">
        <f>'01_원자료'!B441</f>
        <v>claude</v>
      </c>
      <c r="C444" s="2" t="str">
        <f>'01_원자료'!C441</f>
        <v>ministral</v>
      </c>
      <c r="E444" s="17">
        <f>'01_원자료'!P441*'03_가중치민감도'!$B$5+'01_원자료'!Q441*'03_가중치민감도'!$C$5+'01_원자료'!R441*'03_가중치민감도'!$D$5</f>
        <v>0.51093706063850708</v>
      </c>
      <c r="F444" s="17">
        <f>'01_원자료'!P441*'03_가중치민감도'!$B$6+'01_원자료'!Q441*'03_가중치민감도'!$C$6+'01_원자료'!R441*'03_가중치민감도'!$D$6</f>
        <v>0.42457106980264886</v>
      </c>
      <c r="G444" s="17">
        <f>'01_원자료'!P441*'03_가중치민감도'!$B$7+'01_원자료'!Q441*'03_가중치민감도'!$C$7+'01_원자료'!R441*'03_가중치민감도'!$D$7</f>
        <v>0.52776739042773202</v>
      </c>
      <c r="H444" s="17">
        <f>'01_원자료'!P441*'03_가중치민감도'!$B$8+'01_원자료'!Q441*'03_가중치민감도'!$C$8+'01_원자료'!R441*'03_가중치민감도'!$D$8</f>
        <v>0.42678541169238238</v>
      </c>
      <c r="I444" s="17">
        <f>'01_원자료'!P441*'03_가중치민감도'!$B$9+'01_원자료'!Q441*'03_가중치민감도'!$C$9+'01_원자료'!R441*'03_가중치민감도'!$D$9</f>
        <v>0.44774962348485947</v>
      </c>
      <c r="J444" s="17">
        <f>'01_원자료'!P441*'03_가중치민감도'!$B$10+'01_원자료'!Q441*'03_가중치민감도'!$C$10+'01_원자료'!R441*'03_가중치민감도'!$D$10</f>
        <v>0.56364239189591547</v>
      </c>
      <c r="K444" s="31">
        <f t="shared" si="36"/>
        <v>69</v>
      </c>
      <c r="L444" s="31">
        <f t="shared" si="37"/>
        <v>56</v>
      </c>
      <c r="M444" s="31">
        <f t="shared" si="38"/>
        <v>64</v>
      </c>
      <c r="N444" s="31">
        <f t="shared" si="39"/>
        <v>101</v>
      </c>
      <c r="O444" s="31">
        <f t="shared" si="40"/>
        <v>57</v>
      </c>
      <c r="P444" s="31">
        <f t="shared" si="41"/>
        <v>98</v>
      </c>
    </row>
    <row r="445" spans="1:16">
      <c r="A445" s="2" t="str">
        <f>'01_원자료'!A442</f>
        <v>PAT-30</v>
      </c>
      <c r="B445" s="2" t="str">
        <f>'01_원자료'!B442</f>
        <v>claude</v>
      </c>
      <c r="C445" s="2" t="str">
        <f>'01_원자료'!C442</f>
        <v>qwen</v>
      </c>
      <c r="E445" s="17">
        <f>'01_원자료'!P442*'03_가중치민감도'!$B$5+'01_원자료'!Q442*'03_가중치민감도'!$C$5+'01_원자료'!R442*'03_가중치민감도'!$D$5</f>
        <v>0.71106234519727196</v>
      </c>
      <c r="F445" s="17">
        <f>'01_원자료'!P442*'03_가중치민감도'!$B$6+'01_원자료'!Q442*'03_가중치민감도'!$C$6+'01_원자료'!R442*'03_가중치민감도'!$D$6</f>
        <v>0.62338968343051104</v>
      </c>
      <c r="G445" s="17">
        <f>'01_원자료'!P442*'03_가중치민감도'!$B$7+'01_원자료'!Q442*'03_가중치민감도'!$C$7+'01_원자료'!R442*'03_가중치민감도'!$D$7</f>
        <v>0.70662114171063783</v>
      </c>
      <c r="H445" s="17">
        <f>'01_원자료'!P442*'03_가중치민감도'!$B$8+'01_원자료'!Q442*'03_가중치민감도'!$C$8+'01_원자료'!R442*'03_가중치민감도'!$D$8</f>
        <v>0.73326836263044259</v>
      </c>
      <c r="I445" s="17">
        <f>'01_원자료'!P442*'03_가중치민감도'!$B$9+'01_원자료'!Q442*'03_가중치민감도'!$C$9+'01_원자료'!R442*'03_가중치민감도'!$D$9</f>
        <v>0.65409430518164202</v>
      </c>
      <c r="J445" s="17">
        <f>'01_원자료'!P442*'03_가중치민감도'!$B$10+'01_원자료'!Q442*'03_가중치민감도'!$C$10+'01_원자료'!R442*'03_가중치민감도'!$D$10</f>
        <v>0.80761741393730091</v>
      </c>
      <c r="K445" s="31">
        <f t="shared" si="36"/>
        <v>848</v>
      </c>
      <c r="L445" s="31">
        <f t="shared" si="37"/>
        <v>911</v>
      </c>
      <c r="M445" s="31">
        <f t="shared" si="38"/>
        <v>853</v>
      </c>
      <c r="N445" s="31">
        <f t="shared" si="39"/>
        <v>837</v>
      </c>
      <c r="O445" s="31">
        <f t="shared" si="40"/>
        <v>883</v>
      </c>
      <c r="P445" s="31">
        <f t="shared" si="41"/>
        <v>830</v>
      </c>
    </row>
    <row r="446" spans="1:16">
      <c r="A446" s="2" t="str">
        <f>'01_원자료'!A443</f>
        <v>PAT-30</v>
      </c>
      <c r="B446" s="2" t="str">
        <f>'01_원자료'!B443</f>
        <v>gemini</v>
      </c>
      <c r="C446" s="2" t="str">
        <f>'01_원자료'!C443</f>
        <v>gemma</v>
      </c>
      <c r="E446" s="17">
        <f>'01_원자료'!P443*'03_가중치민감도'!$B$5+'01_원자료'!Q443*'03_가중치민감도'!$C$5+'01_원자료'!R443*'03_가중치민감도'!$D$5</f>
        <v>0.70551696295502664</v>
      </c>
      <c r="F446" s="17">
        <f>'01_원자료'!P443*'03_가중치민감도'!$B$6+'01_원자료'!Q443*'03_가중치민감도'!$C$6+'01_원자료'!R443*'03_가중치민감도'!$D$6</f>
        <v>0.59991889428621858</v>
      </c>
      <c r="G446" s="17">
        <f>'01_원자료'!P443*'03_가중치민감도'!$B$7+'01_원자료'!Q443*'03_가중치민감도'!$C$7+'01_원자료'!R443*'03_가중치민감도'!$D$7</f>
        <v>0.70517715360999855</v>
      </c>
      <c r="H446" s="17">
        <f>'01_원자료'!P443*'03_가중치민감도'!$B$8+'01_원자료'!Q443*'03_가중치민감도'!$C$8+'01_원자료'!R443*'03_가중치민감도'!$D$8</f>
        <v>0.7072160096801674</v>
      </c>
      <c r="I446" s="17">
        <f>'01_원자료'!P443*'03_가중치민감도'!$B$9+'01_원자료'!Q443*'03_가중치민감도'!$C$9+'01_원자료'!R443*'03_가중치민감도'!$D$9</f>
        <v>0.63523152029083008</v>
      </c>
      <c r="J446" s="17">
        <f>'01_원자료'!P443*'03_가중치민감도'!$B$10+'01_원자료'!Q443*'03_가중치민감도'!$C$10+'01_원자료'!R443*'03_가중치민감도'!$D$10</f>
        <v>0.81179465031389098</v>
      </c>
      <c r="K446" s="31">
        <f t="shared" si="36"/>
        <v>835</v>
      </c>
      <c r="L446" s="31">
        <f t="shared" si="37"/>
        <v>811</v>
      </c>
      <c r="M446" s="31">
        <f t="shared" si="38"/>
        <v>848</v>
      </c>
      <c r="N446" s="31">
        <f t="shared" si="39"/>
        <v>805</v>
      </c>
      <c r="O446" s="31">
        <f t="shared" si="40"/>
        <v>817</v>
      </c>
      <c r="P446" s="31">
        <f t="shared" si="41"/>
        <v>835</v>
      </c>
    </row>
    <row r="447" spans="1:16">
      <c r="A447" s="2" t="str">
        <f>'01_원자료'!A444</f>
        <v>PAT-30</v>
      </c>
      <c r="B447" s="2" t="str">
        <f>'01_원자료'!B444</f>
        <v>gemini</v>
      </c>
      <c r="C447" s="2" t="str">
        <f>'01_원자료'!C444</f>
        <v>ministral</v>
      </c>
      <c r="E447" s="17">
        <f>'01_원자료'!P444*'03_가중치민감도'!$B$5+'01_원자료'!Q444*'03_가중치민감도'!$C$5+'01_원자료'!R444*'03_가중치민감도'!$D$5</f>
        <v>0.52816996342343692</v>
      </c>
      <c r="F447" s="17">
        <f>'01_원자료'!P444*'03_가중치민감도'!$B$6+'01_원자료'!Q444*'03_가중치민감도'!$C$6+'01_원자료'!R444*'03_가중치민감도'!$D$6</f>
        <v>0.43966910730460307</v>
      </c>
      <c r="G447" s="17">
        <f>'01_원자료'!P444*'03_가중치민감도'!$B$7+'01_원자료'!Q444*'03_가중치민감도'!$C$7+'01_원자료'!R444*'03_가중치민감도'!$D$7</f>
        <v>0.54922621418349482</v>
      </c>
      <c r="H447" s="17">
        <f>'01_원자료'!P444*'03_가중치민감도'!$B$8+'01_원자료'!Q444*'03_가중치민감도'!$C$8+'01_원자료'!R444*'03_가중치민감도'!$D$8</f>
        <v>0.42288870962314762</v>
      </c>
      <c r="I447" s="17">
        <f>'01_원자료'!P444*'03_가중치민감도'!$B$9+'01_원자료'!Q444*'03_가중치민감도'!$C$9+'01_원자료'!R444*'03_가중치민감도'!$D$9</f>
        <v>0.46215064242419457</v>
      </c>
      <c r="J447" s="17">
        <f>'01_원자료'!P444*'03_가중치민감도'!$B$10+'01_원자료'!Q444*'03_가중치민감도'!$C$10+'01_원자료'!R444*'03_가중치민감도'!$D$10</f>
        <v>0.57455831802215496</v>
      </c>
      <c r="K447" s="31">
        <f t="shared" si="36"/>
        <v>126</v>
      </c>
      <c r="L447" s="31">
        <f t="shared" si="37"/>
        <v>95</v>
      </c>
      <c r="M447" s="31">
        <f t="shared" si="38"/>
        <v>154</v>
      </c>
      <c r="N447" s="31">
        <f t="shared" si="39"/>
        <v>92</v>
      </c>
      <c r="O447" s="31">
        <f t="shared" si="40"/>
        <v>99</v>
      </c>
      <c r="P447" s="31">
        <f t="shared" si="41"/>
        <v>117</v>
      </c>
    </row>
    <row r="448" spans="1:16">
      <c r="A448" s="2" t="str">
        <f>'01_원자료'!A445</f>
        <v>PAT-30</v>
      </c>
      <c r="B448" s="2" t="str">
        <f>'01_원자료'!B445</f>
        <v>gemini</v>
      </c>
      <c r="C448" s="2" t="str">
        <f>'01_원자료'!C445</f>
        <v>qwen</v>
      </c>
      <c r="E448" s="17">
        <f>'01_원자료'!P445*'03_가중치민감도'!$B$5+'01_원자료'!Q445*'03_가중치민감도'!$C$5+'01_원자료'!R445*'03_가중치민감도'!$D$5</f>
        <v>0.76730367170059099</v>
      </c>
      <c r="F448" s="17">
        <f>'01_원자료'!P445*'03_가중치민감도'!$B$6+'01_원자료'!Q445*'03_가중치민감도'!$C$6+'01_원자료'!R445*'03_가중치민감도'!$D$6</f>
        <v>0.67195963928180236</v>
      </c>
      <c r="G448" s="17">
        <f>'01_원자료'!P445*'03_가중치민감도'!$B$7+'01_원자료'!Q445*'03_가중치민감도'!$C$7+'01_원자료'!R445*'03_가중치민감도'!$D$7</f>
        <v>0.76076851585661065</v>
      </c>
      <c r="H448" s="17">
        <f>'01_원자료'!P445*'03_가중치민감도'!$B$8+'01_원자료'!Q445*'03_가중치민감도'!$C$8+'01_원자료'!R445*'03_가중치민감도'!$D$8</f>
        <v>0.79997945092049294</v>
      </c>
      <c r="I448" s="17">
        <f>'01_원자료'!P445*'03_가중치민감도'!$B$9+'01_원자료'!Q445*'03_가중치민감도'!$C$9+'01_원자료'!R445*'03_가중치민감도'!$D$9</f>
        <v>0.70591936870272454</v>
      </c>
      <c r="J448" s="17">
        <f>'01_원자료'!P445*'03_가중치민감도'!$B$10+'01_원자료'!Q445*'03_가중치민감도'!$C$10+'01_원자료'!R445*'03_가중치민감도'!$D$10</f>
        <v>0.87571801580734054</v>
      </c>
      <c r="K448" s="31">
        <f t="shared" si="36"/>
        <v>971</v>
      </c>
      <c r="L448" s="31">
        <f t="shared" si="37"/>
        <v>970</v>
      </c>
      <c r="M448" s="31">
        <f t="shared" si="38"/>
        <v>971</v>
      </c>
      <c r="N448" s="31">
        <f t="shared" si="39"/>
        <v>970</v>
      </c>
      <c r="O448" s="31">
        <f t="shared" si="40"/>
        <v>970</v>
      </c>
      <c r="P448" s="31">
        <f t="shared" si="41"/>
        <v>955</v>
      </c>
    </row>
    <row r="449" spans="1:16">
      <c r="A449" s="2" t="str">
        <f>'01_원자료'!A446</f>
        <v>PAT-30</v>
      </c>
      <c r="B449" s="2" t="str">
        <f>'01_원자료'!B446</f>
        <v>mistral</v>
      </c>
      <c r="C449" s="2" t="str">
        <f>'01_원자료'!C446</f>
        <v>gemma</v>
      </c>
      <c r="E449" s="17">
        <f>'01_원자료'!P446*'03_가중치민감도'!$B$5+'01_원자료'!Q446*'03_가중치민감도'!$C$5+'01_원자료'!R446*'03_가중치민감도'!$D$5</f>
        <v>0.67668618960574689</v>
      </c>
      <c r="F449" s="17">
        <f>'01_원자료'!P446*'03_가중치민감도'!$B$6+'01_원자료'!Q446*'03_가중치민감도'!$C$6+'01_원자료'!R446*'03_가중치민감도'!$D$6</f>
        <v>0.58823903242489317</v>
      </c>
      <c r="G449" s="17">
        <f>'01_원자료'!P446*'03_가중치민감도'!$B$7+'01_원자료'!Q446*'03_가중치민감도'!$C$7+'01_원자료'!R446*'03_가중치민감도'!$D$7</f>
        <v>0.67440333281412612</v>
      </c>
      <c r="H449" s="17">
        <f>'01_원자료'!P446*'03_가중치민감도'!$B$8+'01_원자료'!Q446*'03_가중치민감도'!$C$8+'01_원자료'!R446*'03_가중치민감도'!$D$8</f>
        <v>0.68810047356385062</v>
      </c>
      <c r="I449" s="17">
        <f>'01_원자료'!P446*'03_가중치민감도'!$B$9+'01_원자료'!Q446*'03_가중치민감도'!$C$9+'01_원자료'!R446*'03_가중치민감도'!$D$9</f>
        <v>0.61848237041571741</v>
      </c>
      <c r="J449" s="17">
        <f>'01_원자료'!P446*'03_가중치민감도'!$B$10+'01_원자료'!Q446*'03_가중치민감도'!$C$10+'01_원자료'!R446*'03_가중치민감도'!$D$10</f>
        <v>0.76969906036984215</v>
      </c>
      <c r="K449" s="31">
        <f t="shared" si="36"/>
        <v>743</v>
      </c>
      <c r="L449" s="31">
        <f t="shared" si="37"/>
        <v>763</v>
      </c>
      <c r="M449" s="31">
        <f t="shared" si="38"/>
        <v>738</v>
      </c>
      <c r="N449" s="31">
        <f t="shared" si="39"/>
        <v>741</v>
      </c>
      <c r="O449" s="31">
        <f t="shared" si="40"/>
        <v>757</v>
      </c>
      <c r="P449" s="31">
        <f t="shared" si="41"/>
        <v>719</v>
      </c>
    </row>
    <row r="450" spans="1:16">
      <c r="A450" s="2" t="str">
        <f>'01_원자료'!A447</f>
        <v>PAT-30</v>
      </c>
      <c r="B450" s="2" t="str">
        <f>'01_원자료'!B447</f>
        <v>mistral</v>
      </c>
      <c r="C450" s="2" t="str">
        <f>'01_원자료'!C447</f>
        <v>ministral</v>
      </c>
      <c r="E450" s="17">
        <f>'01_원자료'!P447*'03_가중치민감도'!$B$5+'01_원자료'!Q447*'03_가중치민감도'!$C$5+'01_원자료'!R447*'03_가중치민감도'!$D$5</f>
        <v>0.55288865677762189</v>
      </c>
      <c r="F450" s="17">
        <f>'01_원자료'!P447*'03_가중치민감도'!$B$6+'01_원자료'!Q447*'03_가중치민감도'!$C$6+'01_원자료'!R447*'03_가중치민감도'!$D$6</f>
        <v>0.48245461364106329</v>
      </c>
      <c r="G450" s="17">
        <f>'01_원자료'!P447*'03_가중치민감도'!$B$7+'01_원자료'!Q447*'03_가중치민감도'!$C$7+'01_원자료'!R447*'03_가중치민감도'!$D$7</f>
        <v>0.5712239406864168</v>
      </c>
      <c r="H450" s="17">
        <f>'01_원자료'!P447*'03_가중치민감도'!$B$8+'01_원자료'!Q447*'03_가중치민감도'!$C$8+'01_원자료'!R447*'03_가중치민감도'!$D$8</f>
        <v>0.46121223723364713</v>
      </c>
      <c r="I450" s="17">
        <f>'01_원자료'!P447*'03_가중치민감도'!$B$9+'01_원자료'!Q447*'03_가중치민감도'!$C$9+'01_원자료'!R447*'03_가중치민감도'!$D$9</f>
        <v>0.49982086671698395</v>
      </c>
      <c r="J450" s="17">
        <f>'01_원자료'!P447*'03_가중치민감도'!$B$10+'01_원자료'!Q447*'03_가중치민감도'!$C$10+'01_원자료'!R447*'03_가중치민감도'!$D$10</f>
        <v>0.58665213209659051</v>
      </c>
      <c r="K450" s="31">
        <f t="shared" si="36"/>
        <v>219</v>
      </c>
      <c r="L450" s="31">
        <f t="shared" si="37"/>
        <v>282</v>
      </c>
      <c r="M450" s="31">
        <f t="shared" si="38"/>
        <v>250</v>
      </c>
      <c r="N450" s="31">
        <f t="shared" si="39"/>
        <v>151</v>
      </c>
      <c r="O450" s="31">
        <f t="shared" si="40"/>
        <v>245</v>
      </c>
      <c r="P450" s="31">
        <f t="shared" si="41"/>
        <v>147</v>
      </c>
    </row>
    <row r="451" spans="1:16">
      <c r="A451" s="2" t="str">
        <f>'01_원자료'!A448</f>
        <v>PAT-30</v>
      </c>
      <c r="B451" s="2" t="str">
        <f>'01_원자료'!B448</f>
        <v>mistral</v>
      </c>
      <c r="C451" s="2" t="str">
        <f>'01_원자료'!C448</f>
        <v>qwen</v>
      </c>
      <c r="E451" s="17">
        <f>'01_원자료'!P448*'03_가중치민감도'!$B$5+'01_원자료'!Q448*'03_가중치민감도'!$C$5+'01_원자료'!R448*'03_가중치민감도'!$D$5</f>
        <v>0.65709291411161863</v>
      </c>
      <c r="F451" s="17">
        <f>'01_원자료'!P448*'03_가중치민감도'!$B$6+'01_원자료'!Q448*'03_가중치민감도'!$C$6+'01_원자료'!R448*'03_가중치민감도'!$D$6</f>
        <v>0.58029131504039222</v>
      </c>
      <c r="G451" s="17">
        <f>'01_원자료'!P448*'03_가중치민감도'!$B$7+'01_원자료'!Q448*'03_가중치민감도'!$C$7+'01_원자료'!R448*'03_가중치민감도'!$D$7</f>
        <v>0.66053775526972736</v>
      </c>
      <c r="H451" s="17">
        <f>'01_원자료'!P448*'03_가중치민감도'!$B$8+'01_원자료'!Q448*'03_가중치민감도'!$C$8+'01_원자료'!R448*'03_가중치민감도'!$D$8</f>
        <v>0.63986870832107501</v>
      </c>
      <c r="I451" s="17">
        <f>'01_원자료'!P448*'03_가중치민감도'!$B$9+'01_원자료'!Q448*'03_가중치민감도'!$C$9+'01_원자료'!R448*'03_가중치민감도'!$D$9</f>
        <v>0.60474356767809745</v>
      </c>
      <c r="J451" s="17">
        <f>'01_원자료'!P448*'03_가중치민감도'!$B$10+'01_원자료'!Q448*'03_가중치민감도'!$C$10+'01_원자료'!R448*'03_가중치민감도'!$D$10</f>
        <v>0.72700483086662748</v>
      </c>
      <c r="K451" s="31">
        <f t="shared" si="36"/>
        <v>654</v>
      </c>
      <c r="L451" s="31">
        <f t="shared" si="37"/>
        <v>737</v>
      </c>
      <c r="M451" s="31">
        <f t="shared" si="38"/>
        <v>671</v>
      </c>
      <c r="N451" s="31">
        <f t="shared" si="39"/>
        <v>605</v>
      </c>
      <c r="O451" s="31">
        <f t="shared" si="40"/>
        <v>709</v>
      </c>
      <c r="P451" s="31">
        <f t="shared" si="41"/>
        <v>571</v>
      </c>
    </row>
    <row r="452" spans="1:16">
      <c r="A452" s="2" t="str">
        <f>'01_원자료'!A449</f>
        <v>PAT-30</v>
      </c>
      <c r="B452" s="2" t="str">
        <f>'01_원자료'!B449</f>
        <v>qwen3_6</v>
      </c>
      <c r="C452" s="2" t="str">
        <f>'01_원자료'!C449</f>
        <v>gemma</v>
      </c>
      <c r="E452" s="17">
        <f>'01_원자료'!P449*'03_가중치민감도'!$B$5+'01_원자료'!Q449*'03_가중치민감도'!$C$5+'01_원자료'!R449*'03_가중치민감도'!$D$5</f>
        <v>0.69256222079395147</v>
      </c>
      <c r="F452" s="17">
        <f>'01_원자료'!P449*'03_가중치민감도'!$B$6+'01_원자료'!Q449*'03_가중치민감도'!$C$6+'01_원자료'!R449*'03_가중치민감도'!$D$6</f>
        <v>0.59759276347278822</v>
      </c>
      <c r="G452" s="17">
        <f>'01_원자료'!P449*'03_가중치민감도'!$B$7+'01_원자료'!Q449*'03_가중치민감도'!$C$7+'01_원자료'!R449*'03_가중치민감도'!$D$7</f>
        <v>0.69025713198986338</v>
      </c>
      <c r="H452" s="17">
        <f>'01_원자료'!P449*'03_가중치민감도'!$B$8+'01_원자료'!Q449*'03_가중치민감도'!$C$8+'01_원자료'!R449*'03_가중치민감도'!$D$8</f>
        <v>0.70408766481439211</v>
      </c>
      <c r="I452" s="17">
        <f>'01_원자료'!P449*'03_가중치민감도'!$B$9+'01_원자료'!Q449*'03_가중치민감도'!$C$9+'01_원자료'!R449*'03_가중치민감도'!$D$9</f>
        <v>0.63001761218120467</v>
      </c>
      <c r="J452" s="17">
        <f>'01_원자료'!P449*'03_가중치민감도'!$B$10+'01_원자료'!Q449*'03_가중치민감도'!$C$10+'01_원자료'!R449*'03_가중치민감도'!$D$10</f>
        <v>0.79214185572329099</v>
      </c>
      <c r="K452" s="31">
        <f t="shared" si="36"/>
        <v>794</v>
      </c>
      <c r="L452" s="31">
        <f t="shared" si="37"/>
        <v>797</v>
      </c>
      <c r="M452" s="31">
        <f t="shared" si="38"/>
        <v>796</v>
      </c>
      <c r="N452" s="31">
        <f t="shared" si="39"/>
        <v>798</v>
      </c>
      <c r="O452" s="31">
        <f t="shared" si="40"/>
        <v>792</v>
      </c>
      <c r="P452" s="31">
        <f t="shared" si="41"/>
        <v>791</v>
      </c>
    </row>
    <row r="453" spans="1:16">
      <c r="A453" s="2" t="str">
        <f>'01_원자료'!A450</f>
        <v>PAT-30</v>
      </c>
      <c r="B453" s="2" t="str">
        <f>'01_원자료'!B450</f>
        <v>qwen3_6</v>
      </c>
      <c r="C453" s="2" t="str">
        <f>'01_원자료'!C450</f>
        <v>ministral</v>
      </c>
      <c r="E453" s="17">
        <f>'01_원자료'!P450*'03_가중치민감도'!$B$5+'01_원자료'!Q450*'03_가중치민감도'!$C$5+'01_원자료'!R450*'03_가중치민감도'!$D$5</f>
        <v>0.5160293450086364</v>
      </c>
      <c r="F453" s="17">
        <f>'01_원자료'!P450*'03_가중치민감도'!$B$6+'01_원자료'!Q450*'03_가중치민감도'!$C$6+'01_원자료'!R450*'03_가중치민감도'!$D$6</f>
        <v>0.43821124331408884</v>
      </c>
      <c r="G453" s="17">
        <f>'01_원자료'!P450*'03_가중치민감도'!$B$7+'01_원자료'!Q450*'03_가중치민감도'!$C$7+'01_원자료'!R450*'03_가중치민감도'!$D$7</f>
        <v>0.53518364803210372</v>
      </c>
      <c r="H453" s="17">
        <f>'01_원자료'!P450*'03_가중치민감도'!$B$8+'01_원자료'!Q450*'03_가중치민감도'!$C$8+'01_원자료'!R450*'03_가중치민감도'!$D$8</f>
        <v>0.42025782989129989</v>
      </c>
      <c r="I453" s="17">
        <f>'01_원자료'!P450*'03_가중치민감도'!$B$9+'01_원자료'!Q450*'03_가중치민감도'!$C$9+'01_원자료'!R450*'03_가중치민감도'!$D$9</f>
        <v>0.4577658428711151</v>
      </c>
      <c r="J453" s="17">
        <f>'01_원자료'!P450*'03_가중치민감도'!$B$10+'01_원자료'!Q450*'03_가중치민감도'!$C$10+'01_원자료'!R450*'03_가중치민감도'!$D$10</f>
        <v>0.55553884065624926</v>
      </c>
      <c r="K453" s="31">
        <f t="shared" ref="K453:K516" si="42">COUNTIF($E$5:$E$979,"&lt;"&amp;E453)+(COUNTIF($E$5:$E$979,"="&amp;E453)+1)/2</f>
        <v>84</v>
      </c>
      <c r="L453" s="31">
        <f t="shared" ref="L453:L516" si="43">COUNTIF($F$5:$F$979,"&lt;"&amp;F453)+(COUNTIF($F$5:$F$979,"="&amp;F453)+1)/2</f>
        <v>92</v>
      </c>
      <c r="M453" s="31">
        <f t="shared" ref="M453:M516" si="44">COUNTIF($G$5:$G$979,"&lt;"&amp;G453)+(COUNTIF($G$5:$G$979,"="&amp;G453)+1)/2</f>
        <v>87</v>
      </c>
      <c r="N453" s="31">
        <f t="shared" ref="N453:N516" si="45">COUNTIF($H$5:$H$979,"&lt;"&amp;H453)+(COUNTIF($H$5:$H$979,"="&amp;H453)+1)/2</f>
        <v>87</v>
      </c>
      <c r="O453" s="31">
        <f t="shared" ref="O453:O516" si="46">COUNTIF($I$5:$I$979,"&lt;"&amp;I453)+(COUNTIF($I$5:$I$979,"="&amp;I453)+1)/2</f>
        <v>86</v>
      </c>
      <c r="P453" s="31">
        <f t="shared" ref="P453:P516" si="47">COUNTIF($J$5:$J$979,"&lt;"&amp;J453)+(COUNTIF($J$5:$J$979,"="&amp;J453)+1)/2</f>
        <v>76</v>
      </c>
    </row>
    <row r="454" spans="1:16">
      <c r="A454" s="2" t="str">
        <f>'01_원자료'!A451</f>
        <v>PAT-30</v>
      </c>
      <c r="B454" s="2" t="str">
        <f>'01_원자료'!B451</f>
        <v>qwen3_6</v>
      </c>
      <c r="C454" s="2" t="str">
        <f>'01_원자료'!C451</f>
        <v>qwen</v>
      </c>
      <c r="E454" s="17">
        <f>'01_원자료'!P451*'03_가중치민감도'!$B$5+'01_원자료'!Q451*'03_가중치민감도'!$C$5+'01_원자료'!R451*'03_가중치민감도'!$D$5</f>
        <v>0.76345537209438208</v>
      </c>
      <c r="F454" s="17">
        <f>'01_원자료'!P451*'03_가중치민감도'!$B$6+'01_원자료'!Q451*'03_가중치민감도'!$C$6+'01_원자료'!R451*'03_가중치민감도'!$D$6</f>
        <v>0.6842577161458635</v>
      </c>
      <c r="G454" s="17">
        <f>'01_원자료'!P451*'03_가중치민감도'!$B$7+'01_원자료'!Q451*'03_가중치민감도'!$C$7+'01_원자료'!R451*'03_가중치민감도'!$D$7</f>
        <v>0.75525399324402842</v>
      </c>
      <c r="H454" s="17">
        <f>'01_원자료'!P451*'03_가중치민감도'!$B$8+'01_원자료'!Q451*'03_가중치민감도'!$C$8+'01_원자료'!R451*'03_가중치민감도'!$D$8</f>
        <v>0.80446226634615026</v>
      </c>
      <c r="I454" s="17">
        <f>'01_원자료'!P451*'03_가중치민감도'!$B$9+'01_원자료'!Q451*'03_가중치민감도'!$C$9+'01_원자료'!R451*'03_가중치민감도'!$D$9</f>
        <v>0.71339072774548673</v>
      </c>
      <c r="J454" s="17">
        <f>'01_원자료'!P451*'03_가중치민감도'!$B$10+'01_원자료'!Q451*'03_가중치민감도'!$C$10+'01_원자료'!R451*'03_가중치민감도'!$D$10</f>
        <v>0.85905578574360797</v>
      </c>
      <c r="K454" s="31">
        <f t="shared" si="42"/>
        <v>970</v>
      </c>
      <c r="L454" s="31">
        <f t="shared" si="43"/>
        <v>972</v>
      </c>
      <c r="M454" s="31">
        <f t="shared" si="44"/>
        <v>969</v>
      </c>
      <c r="N454" s="31">
        <f t="shared" si="45"/>
        <v>972</v>
      </c>
      <c r="O454" s="31">
        <f t="shared" si="46"/>
        <v>972</v>
      </c>
      <c r="P454" s="31">
        <f t="shared" si="47"/>
        <v>914</v>
      </c>
    </row>
    <row r="455" spans="1:16">
      <c r="A455" s="2" t="str">
        <f>'01_원자료'!A452</f>
        <v>PAT-31</v>
      </c>
      <c r="B455" s="2" t="str">
        <f>'01_원자료'!B452</f>
        <v>chatgpt</v>
      </c>
      <c r="C455" s="2" t="str">
        <f>'01_원자료'!C452</f>
        <v>gemma</v>
      </c>
      <c r="E455" s="17">
        <f>'01_원자료'!P452*'03_가중치민감도'!$B$5+'01_원자료'!Q452*'03_가중치민감도'!$C$5+'01_원자료'!R452*'03_가중치민감도'!$D$5</f>
        <v>0.53046839756676467</v>
      </c>
      <c r="F455" s="17">
        <f>'01_원자료'!P452*'03_가중치민감도'!$B$6+'01_원자료'!Q452*'03_가중치민감도'!$C$6+'01_원자료'!R452*'03_가중치민감도'!$D$6</f>
        <v>0.45032261954158925</v>
      </c>
      <c r="G455" s="17">
        <f>'01_원자료'!P452*'03_가중치민감도'!$B$7+'01_원자료'!Q452*'03_가중치민감도'!$C$7+'01_원자료'!R452*'03_가중치민감도'!$D$7</f>
        <v>0.54038476296514815</v>
      </c>
      <c r="H455" s="17">
        <f>'01_원자료'!P452*'03_가중치민감도'!$B$8+'01_원자료'!Q452*'03_가중치민감도'!$C$8+'01_원자료'!R452*'03_가중치민감도'!$D$8</f>
        <v>0.48088657057484752</v>
      </c>
      <c r="I455" s="17">
        <f>'01_원자료'!P452*'03_가중치민감도'!$B$9+'01_원자료'!Q452*'03_가중치민감도'!$C$9+'01_원자료'!R452*'03_가중치민감도'!$D$9</f>
        <v>0.47373242375051944</v>
      </c>
      <c r="J455" s="17">
        <f>'01_원자료'!P452*'03_가중치민감도'!$B$10+'01_원자료'!Q452*'03_가중치민감도'!$C$10+'01_원자료'!R452*'03_가중치민감도'!$D$10</f>
        <v>0.59078144479517325</v>
      </c>
      <c r="K455" s="31">
        <f t="shared" si="42"/>
        <v>135</v>
      </c>
      <c r="L455" s="31">
        <f t="shared" si="43"/>
        <v>142</v>
      </c>
      <c r="M455" s="31">
        <f t="shared" si="44"/>
        <v>107</v>
      </c>
      <c r="N455" s="31">
        <f t="shared" si="45"/>
        <v>177</v>
      </c>
      <c r="O455" s="31">
        <f t="shared" si="46"/>
        <v>145</v>
      </c>
      <c r="P455" s="31">
        <f t="shared" si="47"/>
        <v>158</v>
      </c>
    </row>
    <row r="456" spans="1:16">
      <c r="A456" s="2" t="str">
        <f>'01_원자료'!A453</f>
        <v>PAT-31</v>
      </c>
      <c r="B456" s="2" t="str">
        <f>'01_원자료'!B453</f>
        <v>chatgpt</v>
      </c>
      <c r="C456" s="2" t="str">
        <f>'01_원자료'!C453</f>
        <v>ministral</v>
      </c>
      <c r="E456" s="17">
        <f>'01_원자료'!P453*'03_가중치민감도'!$B$5+'01_원자료'!Q453*'03_가중치민감도'!$C$5+'01_원자료'!R453*'03_가중치민감도'!$D$5</f>
        <v>0.58791851287479513</v>
      </c>
      <c r="F456" s="17">
        <f>'01_원자료'!P453*'03_가중치민감도'!$B$6+'01_원자료'!Q453*'03_가중치민감도'!$C$6+'01_원자료'!R453*'03_가중치민감도'!$D$6</f>
        <v>0.4966341178193846</v>
      </c>
      <c r="G456" s="17">
        <f>'01_원자료'!P453*'03_가중치민감도'!$B$7+'01_원자료'!Q453*'03_가중치민감도'!$C$7+'01_원자료'!R453*'03_가중치민감도'!$D$7</f>
        <v>0.59225445192512782</v>
      </c>
      <c r="H456" s="17">
        <f>'01_원자료'!P453*'03_가중치민감도'!$B$8+'01_원자료'!Q453*'03_가중치민감도'!$C$8+'01_원자료'!R453*'03_가중치민감도'!$D$8</f>
        <v>0.566238817623132</v>
      </c>
      <c r="I456" s="17">
        <f>'01_원자료'!P453*'03_가중치민감도'!$B$9+'01_원자료'!Q453*'03_가중치민감도'!$C$9+'01_원자료'!R453*'03_가중치민감도'!$D$9</f>
        <v>0.52561693648774344</v>
      </c>
      <c r="J456" s="17">
        <f>'01_원자료'!P453*'03_가중치민감도'!$B$10+'01_원자료'!Q453*'03_가중치민감도'!$C$10+'01_원자료'!R453*'03_가중치민감도'!$D$10</f>
        <v>0.67053102982954038</v>
      </c>
      <c r="K456" s="31">
        <f t="shared" si="42"/>
        <v>344</v>
      </c>
      <c r="L456" s="31">
        <f t="shared" si="43"/>
        <v>345</v>
      </c>
      <c r="M456" s="31">
        <f t="shared" si="44"/>
        <v>331</v>
      </c>
      <c r="N456" s="31">
        <f t="shared" si="45"/>
        <v>388</v>
      </c>
      <c r="O456" s="31">
        <f t="shared" si="46"/>
        <v>351</v>
      </c>
      <c r="P456" s="31">
        <f t="shared" si="47"/>
        <v>357</v>
      </c>
    </row>
    <row r="457" spans="1:16">
      <c r="A457" s="2" t="str">
        <f>'01_원자료'!A454</f>
        <v>PAT-31</v>
      </c>
      <c r="B457" s="2" t="str">
        <f>'01_원자료'!B454</f>
        <v>chatgpt</v>
      </c>
      <c r="C457" s="2" t="str">
        <f>'01_원자료'!C454</f>
        <v>qwen</v>
      </c>
      <c r="E457" s="17">
        <f>'01_원자료'!P454*'03_가중치민감도'!$B$5+'01_원자료'!Q454*'03_가중치민감도'!$C$5+'01_원자료'!R454*'03_가중치민감도'!$D$5</f>
        <v>0.60155478117036032</v>
      </c>
      <c r="F457" s="17">
        <f>'01_원자료'!P454*'03_가중치민감도'!$B$6+'01_원자료'!Q454*'03_가중치민감도'!$C$6+'01_원자료'!R454*'03_가중치민감도'!$D$6</f>
        <v>0.52547858205018216</v>
      </c>
      <c r="G457" s="17">
        <f>'01_원자료'!P454*'03_가중치민감도'!$B$7+'01_원자료'!Q454*'03_가중치민감도'!$C$7+'01_원자료'!R454*'03_가중치민감도'!$D$7</f>
        <v>0.60378472790957127</v>
      </c>
      <c r="H457" s="17">
        <f>'01_원자료'!P454*'03_가중치민감도'!$B$8+'01_원자료'!Q454*'03_가중치민감도'!$C$8+'01_원자료'!R454*'03_가중치민감도'!$D$8</f>
        <v>0.59040504747430544</v>
      </c>
      <c r="I457" s="17">
        <f>'01_원자료'!P454*'03_가중치민감도'!$B$9+'01_원자료'!Q454*'03_가중치민감도'!$C$9+'01_원자료'!R454*'03_가중치민감도'!$D$9</f>
        <v>0.55009399951050386</v>
      </c>
      <c r="J457" s="17">
        <f>'01_원자료'!P454*'03_가중치민감도'!$B$10+'01_원자료'!Q454*'03_가중치민감도'!$C$10+'01_원자료'!R454*'03_가중치민감도'!$D$10</f>
        <v>0.67317108681211657</v>
      </c>
      <c r="K457" s="31">
        <f t="shared" si="42"/>
        <v>398</v>
      </c>
      <c r="L457" s="31">
        <f t="shared" si="43"/>
        <v>477</v>
      </c>
      <c r="M457" s="31">
        <f t="shared" si="44"/>
        <v>380</v>
      </c>
      <c r="N457" s="31">
        <f t="shared" si="45"/>
        <v>462</v>
      </c>
      <c r="O457" s="31">
        <f t="shared" si="46"/>
        <v>460</v>
      </c>
      <c r="P457" s="31">
        <f t="shared" si="47"/>
        <v>363</v>
      </c>
    </row>
    <row r="458" spans="1:16">
      <c r="A458" s="2" t="str">
        <f>'01_원자료'!A455</f>
        <v>PAT-31</v>
      </c>
      <c r="B458" s="2" t="str">
        <f>'01_원자료'!B455</f>
        <v>claude</v>
      </c>
      <c r="C458" s="2" t="str">
        <f>'01_원자료'!C455</f>
        <v>gemma</v>
      </c>
      <c r="E458" s="17">
        <f>'01_원자료'!P455*'03_가중치민감도'!$B$5+'01_원자료'!Q455*'03_가중치민감도'!$C$5+'01_원자료'!R455*'03_가중치민감도'!$D$5</f>
        <v>0.62581336000206167</v>
      </c>
      <c r="F458" s="17">
        <f>'01_원자료'!P455*'03_가중치민감도'!$B$6+'01_원자료'!Q455*'03_가중치민감도'!$C$6+'01_원자료'!R455*'03_가중치민감도'!$D$6</f>
        <v>0.51790500172146015</v>
      </c>
      <c r="G458" s="17">
        <f>'01_원자료'!P455*'03_가중치민감도'!$B$7+'01_원자료'!Q455*'03_가중치민감도'!$C$7+'01_원자료'!R455*'03_가중치민감도'!$D$7</f>
        <v>0.62503554022932062</v>
      </c>
      <c r="H458" s="17">
        <f>'01_원자료'!P455*'03_가중치민감도'!$B$8+'01_원자료'!Q455*'03_가중치민감도'!$C$8+'01_원자료'!R455*'03_가중치민감도'!$D$8</f>
        <v>0.6297024588657667</v>
      </c>
      <c r="I458" s="17">
        <f>'01_원자료'!P455*'03_가중치민감도'!$B$9+'01_원자료'!Q455*'03_가중치민감도'!$C$9+'01_원자료'!R455*'03_가중치민감도'!$D$9</f>
        <v>0.55413372773924041</v>
      </c>
      <c r="J458" s="17">
        <f>'01_원자료'!P455*'03_가중치민감도'!$B$10+'01_원자료'!Q455*'03_가중치민감도'!$C$10+'01_원자료'!R455*'03_가중치민감도'!$D$10</f>
        <v>0.73527735782814529</v>
      </c>
      <c r="K458" s="31">
        <f t="shared" si="42"/>
        <v>512</v>
      </c>
      <c r="L458" s="31">
        <f t="shared" si="43"/>
        <v>450</v>
      </c>
      <c r="M458" s="31">
        <f t="shared" si="44"/>
        <v>487</v>
      </c>
      <c r="N458" s="31">
        <f t="shared" si="45"/>
        <v>574</v>
      </c>
      <c r="O458" s="31">
        <f t="shared" si="46"/>
        <v>470</v>
      </c>
      <c r="P458" s="31">
        <f t="shared" si="47"/>
        <v>605</v>
      </c>
    </row>
    <row r="459" spans="1:16">
      <c r="A459" s="2" t="str">
        <f>'01_원자료'!A456</f>
        <v>PAT-31</v>
      </c>
      <c r="B459" s="2" t="str">
        <f>'01_원자료'!B456</f>
        <v>claude</v>
      </c>
      <c r="C459" s="2" t="str">
        <f>'01_원자료'!C456</f>
        <v>ministral</v>
      </c>
      <c r="E459" s="17">
        <f>'01_원자료'!P456*'03_가중치민감도'!$B$5+'01_원자료'!Q456*'03_가중치민감도'!$C$5+'01_원자료'!R456*'03_가중치민감도'!$D$5</f>
        <v>0.60626982673190244</v>
      </c>
      <c r="F459" s="17">
        <f>'01_원자료'!P456*'03_가중치민감도'!$B$6+'01_원자료'!Q456*'03_가중치민감도'!$C$6+'01_원자료'!R456*'03_가중치민감도'!$D$6</f>
        <v>0.50439966865857488</v>
      </c>
      <c r="G459" s="17">
        <f>'01_원자료'!P456*'03_가중치민감도'!$B$7+'01_원자료'!Q456*'03_가중치민감도'!$C$7+'01_원자료'!R456*'03_가중치민감도'!$D$7</f>
        <v>0.60848929288631448</v>
      </c>
      <c r="H459" s="17">
        <f>'01_원자료'!P456*'03_가중치민감도'!$B$8+'01_원자료'!Q456*'03_가중치민감도'!$C$8+'01_원자료'!R456*'03_가중치민감도'!$D$8</f>
        <v>0.59517249595984212</v>
      </c>
      <c r="I459" s="17">
        <f>'01_원자료'!P456*'03_가중치민감도'!$B$9+'01_원자료'!Q456*'03_가중치민감도'!$C$9+'01_원자료'!R456*'03_가중치민감도'!$D$9</f>
        <v>0.5376165659648795</v>
      </c>
      <c r="J459" s="17">
        <f>'01_원자료'!P456*'03_가중치민감도'!$B$10+'01_원자료'!Q456*'03_가중치민감도'!$C$10+'01_원자료'!R456*'03_가중치민감도'!$D$10</f>
        <v>0.7037010524964058</v>
      </c>
      <c r="K459" s="31">
        <f t="shared" si="42"/>
        <v>416</v>
      </c>
      <c r="L459" s="31">
        <f t="shared" si="43"/>
        <v>385</v>
      </c>
      <c r="M459" s="31">
        <f t="shared" si="44"/>
        <v>409</v>
      </c>
      <c r="N459" s="31">
        <f t="shared" si="45"/>
        <v>476</v>
      </c>
      <c r="O459" s="31">
        <f t="shared" si="46"/>
        <v>404</v>
      </c>
      <c r="P459" s="31">
        <f t="shared" si="47"/>
        <v>476</v>
      </c>
    </row>
    <row r="460" spans="1:16">
      <c r="A460" s="2" t="str">
        <f>'01_원자료'!A457</f>
        <v>PAT-31</v>
      </c>
      <c r="B460" s="2" t="str">
        <f>'01_원자료'!B457</f>
        <v>claude</v>
      </c>
      <c r="C460" s="2" t="str">
        <f>'01_원자료'!C457</f>
        <v>qwen</v>
      </c>
      <c r="E460" s="17">
        <f>'01_원자료'!P457*'03_가중치민감도'!$B$5+'01_원자료'!Q457*'03_가중치민감도'!$C$5+'01_원자료'!R457*'03_가중치민감도'!$D$5</f>
        <v>0.66588442204479437</v>
      </c>
      <c r="F460" s="17">
        <f>'01_원자료'!P457*'03_가중치민감도'!$B$6+'01_원자료'!Q457*'03_가중치민감도'!$C$6+'01_원자료'!R457*'03_가중치민감도'!$D$6</f>
        <v>0.5697401030015089</v>
      </c>
      <c r="G460" s="17">
        <f>'01_원자료'!P457*'03_가중치민감도'!$B$7+'01_원자료'!Q457*'03_가중치민감도'!$C$7+'01_원자료'!R457*'03_가중치민감도'!$D$7</f>
        <v>0.66391131727082753</v>
      </c>
      <c r="H460" s="17">
        <f>'01_원자료'!P457*'03_가중치민감도'!$B$8+'01_원자료'!Q457*'03_가중치민감도'!$C$8+'01_원자료'!R457*'03_가중치민감도'!$D$8</f>
        <v>0.67574994591462845</v>
      </c>
      <c r="I460" s="17">
        <f>'01_원자료'!P457*'03_가중치민감도'!$B$9+'01_원자료'!Q457*'03_가중치민감도'!$C$9+'01_원자료'!R457*'03_가중치민감도'!$D$9</f>
        <v>0.60244591094059241</v>
      </c>
      <c r="J460" s="17">
        <f>'01_원자료'!P457*'03_가중치민감도'!$B$10+'01_원자료'!Q457*'03_가중치민감도'!$C$10+'01_원자료'!R457*'03_가중치민감도'!$D$10</f>
        <v>0.76597495063601351</v>
      </c>
      <c r="K460" s="31">
        <f t="shared" si="42"/>
        <v>698</v>
      </c>
      <c r="L460" s="31">
        <f t="shared" si="43"/>
        <v>691</v>
      </c>
      <c r="M460" s="31">
        <f t="shared" si="44"/>
        <v>688</v>
      </c>
      <c r="N460" s="31">
        <f t="shared" si="45"/>
        <v>709</v>
      </c>
      <c r="O460" s="31">
        <f t="shared" si="46"/>
        <v>700</v>
      </c>
      <c r="P460" s="31">
        <f t="shared" si="47"/>
        <v>710</v>
      </c>
    </row>
    <row r="461" spans="1:16">
      <c r="A461" s="2" t="str">
        <f>'01_원자료'!A458</f>
        <v>PAT-31</v>
      </c>
      <c r="B461" s="2" t="str">
        <f>'01_원자료'!B458</f>
        <v>gemini</v>
      </c>
      <c r="C461" s="2" t="str">
        <f>'01_원자료'!C458</f>
        <v>gemma</v>
      </c>
      <c r="E461" s="17">
        <f>'01_원자료'!P458*'03_가중치민감도'!$B$5+'01_원자료'!Q458*'03_가중치민감도'!$C$5+'01_원자료'!R458*'03_가중치민감도'!$D$5</f>
        <v>0.73445125449145232</v>
      </c>
      <c r="F461" s="17">
        <f>'01_원자료'!P458*'03_가중치민감도'!$B$6+'01_원자료'!Q458*'03_가중치민감도'!$C$6+'01_원자료'!R458*'03_가중치민감도'!$D$6</f>
        <v>0.61668331908424345</v>
      </c>
      <c r="G461" s="17">
        <f>'01_원자료'!P458*'03_가중치민감도'!$B$7+'01_원자료'!Q458*'03_가중치민감도'!$C$7+'01_원자료'!R458*'03_가중치민감도'!$D$7</f>
        <v>0.72704705579574536</v>
      </c>
      <c r="H461" s="17">
        <f>'01_원자료'!P458*'03_가중치민감도'!$B$8+'01_원자료'!Q458*'03_가중치민감도'!$C$8+'01_원자료'!R458*'03_가중치민감도'!$D$8</f>
        <v>0.77147224796998692</v>
      </c>
      <c r="I461" s="17">
        <f>'01_원자료'!P458*'03_가중치민감도'!$B$9+'01_원자료'!Q458*'03_가중치민감도'!$C$9+'01_원자료'!R458*'03_가중치민감도'!$D$9</f>
        <v>0.65840736378521458</v>
      </c>
      <c r="J461" s="17">
        <f>'01_원자료'!P458*'03_가중치민감도'!$B$10+'01_원자료'!Q458*'03_가중치민감도'!$C$10+'01_원자료'!R458*'03_가중치민감도'!$D$10</f>
        <v>0.86702758729007501</v>
      </c>
      <c r="K461" s="31">
        <f t="shared" si="42"/>
        <v>914</v>
      </c>
      <c r="L461" s="31">
        <f t="shared" si="43"/>
        <v>881</v>
      </c>
      <c r="M461" s="31">
        <f t="shared" si="44"/>
        <v>916</v>
      </c>
      <c r="N461" s="31">
        <f t="shared" si="45"/>
        <v>906</v>
      </c>
      <c r="O461" s="31">
        <f t="shared" si="46"/>
        <v>900</v>
      </c>
      <c r="P461" s="31">
        <f t="shared" si="47"/>
        <v>939</v>
      </c>
    </row>
    <row r="462" spans="1:16">
      <c r="A462" s="2" t="str">
        <f>'01_원자료'!A459</f>
        <v>PAT-31</v>
      </c>
      <c r="B462" s="2" t="str">
        <f>'01_원자료'!B459</f>
        <v>gemini</v>
      </c>
      <c r="C462" s="2" t="str">
        <f>'01_원자료'!C459</f>
        <v>ministral</v>
      </c>
      <c r="E462" s="17">
        <f>'01_원자료'!P459*'03_가중치민감도'!$B$5+'01_원자료'!Q459*'03_가중치민감도'!$C$5+'01_원자료'!R459*'03_가중치민감도'!$D$5</f>
        <v>0.58881005620672555</v>
      </c>
      <c r="F462" s="17">
        <f>'01_원자료'!P459*'03_가중치민감도'!$B$6+'01_원자료'!Q459*'03_가중치민감도'!$C$6+'01_원자료'!R459*'03_가중치민감도'!$D$6</f>
        <v>0.48013024754819172</v>
      </c>
      <c r="G462" s="17">
        <f>'01_원자료'!P459*'03_가중치민감도'!$B$7+'01_원자료'!Q459*'03_가중치민감도'!$C$7+'01_원자료'!R459*'03_가중치민감도'!$D$7</f>
        <v>0.59872671757928342</v>
      </c>
      <c r="H462" s="17">
        <f>'01_원자료'!P459*'03_가중치민감도'!$B$8+'01_원자료'!Q459*'03_가중치민감도'!$C$8+'01_원자료'!R459*'03_가중치민감도'!$D$8</f>
        <v>0.53922674934393666</v>
      </c>
      <c r="I462" s="17">
        <f>'01_원자료'!P459*'03_가중치민감도'!$B$9+'01_원자료'!Q459*'03_가중치민감도'!$C$9+'01_원자료'!R459*'03_가중치민감도'!$D$9</f>
        <v>0.51305129664351656</v>
      </c>
      <c r="J462" s="17">
        <f>'01_원자료'!P459*'03_가중치민감도'!$B$10+'01_원자료'!Q459*'03_가중치민감도'!$C$10+'01_원자료'!R459*'03_가중치민감도'!$D$10</f>
        <v>0.67765654212014381</v>
      </c>
      <c r="K462" s="31">
        <f t="shared" si="42"/>
        <v>347</v>
      </c>
      <c r="L462" s="31">
        <f t="shared" si="43"/>
        <v>266</v>
      </c>
      <c r="M462" s="31">
        <f t="shared" si="44"/>
        <v>360</v>
      </c>
      <c r="N462" s="31">
        <f t="shared" si="45"/>
        <v>302</v>
      </c>
      <c r="O462" s="31">
        <f t="shared" si="46"/>
        <v>300</v>
      </c>
      <c r="P462" s="31">
        <f t="shared" si="47"/>
        <v>382</v>
      </c>
    </row>
    <row r="463" spans="1:16">
      <c r="A463" s="2" t="str">
        <f>'01_원자료'!A460</f>
        <v>PAT-31</v>
      </c>
      <c r="B463" s="2" t="str">
        <f>'01_원자료'!B460</f>
        <v>gemini</v>
      </c>
      <c r="C463" s="2" t="str">
        <f>'01_원자료'!C460</f>
        <v>qwen</v>
      </c>
      <c r="E463" s="17">
        <f>'01_원자료'!P460*'03_가중치민감도'!$B$5+'01_원자료'!Q460*'03_가중치민감도'!$C$5+'01_원자료'!R460*'03_가중치민감도'!$D$5</f>
        <v>0.66016362051319533</v>
      </c>
      <c r="F463" s="17">
        <f>'01_원자료'!P460*'03_가중치민감도'!$B$6+'01_원자료'!Q460*'03_가중치민감도'!$C$6+'01_원자료'!R460*'03_가중치민감도'!$D$6</f>
        <v>0.55589657825788608</v>
      </c>
      <c r="G463" s="17">
        <f>'01_원자료'!P460*'03_가중치민감도'!$B$7+'01_원자료'!Q460*'03_가중치민감도'!$C$7+'01_원자료'!R460*'03_가중치민감도'!$D$7</f>
        <v>0.6651667262073504</v>
      </c>
      <c r="H463" s="17">
        <f>'01_원자료'!P460*'03_가중치민감도'!$B$8+'01_원자료'!Q460*'03_가중치민감도'!$C$8+'01_원자료'!R460*'03_가중치민감도'!$D$8</f>
        <v>0.63514809204241984</v>
      </c>
      <c r="I463" s="17">
        <f>'01_원자료'!P460*'03_가중치민감도'!$B$9+'01_원자료'!Q460*'03_가중치민감도'!$C$9+'01_원자료'!R460*'03_가중치민감도'!$D$9</f>
        <v>0.58898455711160358</v>
      </c>
      <c r="J463" s="17">
        <f>'01_원자료'!P460*'03_가중치민감도'!$B$10+'01_원자료'!Q460*'03_가중치민감도'!$C$10+'01_원자료'!R460*'03_가중치민감도'!$D$10</f>
        <v>0.75442445138019443</v>
      </c>
      <c r="K463" s="31">
        <f t="shared" si="42"/>
        <v>673</v>
      </c>
      <c r="L463" s="31">
        <f t="shared" si="43"/>
        <v>620</v>
      </c>
      <c r="M463" s="31">
        <f t="shared" si="44"/>
        <v>695</v>
      </c>
      <c r="N463" s="31">
        <f t="shared" si="45"/>
        <v>592</v>
      </c>
      <c r="O463" s="31">
        <f t="shared" si="46"/>
        <v>625</v>
      </c>
      <c r="P463" s="31">
        <f t="shared" si="47"/>
        <v>676</v>
      </c>
    </row>
    <row r="464" spans="1:16">
      <c r="A464" s="2" t="str">
        <f>'01_원자료'!A461</f>
        <v>PAT-31</v>
      </c>
      <c r="B464" s="2" t="str">
        <f>'01_원자료'!B461</f>
        <v>mistral</v>
      </c>
      <c r="C464" s="2" t="str">
        <f>'01_원자료'!C461</f>
        <v>gemma</v>
      </c>
      <c r="E464" s="17">
        <f>'01_원자료'!P461*'03_가중치민감도'!$B$5+'01_원자료'!Q461*'03_가중치민감도'!$C$5+'01_원자료'!R461*'03_가중치민감도'!$D$5</f>
        <v>0.65868514618343443</v>
      </c>
      <c r="F464" s="17">
        <f>'01_원자료'!P461*'03_가중치민감도'!$B$6+'01_원자료'!Q461*'03_가중치민감도'!$C$6+'01_원자료'!R461*'03_가중치민감도'!$D$6</f>
        <v>0.56101474886771507</v>
      </c>
      <c r="G464" s="17">
        <f>'01_원자료'!P461*'03_가중치민감도'!$B$7+'01_원자료'!Q461*'03_가중치민감도'!$C$7+'01_원자료'!R461*'03_가중치민감도'!$D$7</f>
        <v>0.65723084643554663</v>
      </c>
      <c r="H464" s="17">
        <f>'01_원자료'!P461*'03_가중치민감도'!$B$8+'01_원자료'!Q461*'03_가중치민감도'!$C$8+'01_원자료'!R461*'03_가중치민감도'!$D$8</f>
        <v>0.66595664492287321</v>
      </c>
      <c r="I464" s="17">
        <f>'01_원자료'!P461*'03_가중치민감도'!$B$9+'01_원자료'!Q461*'03_가중치민감도'!$C$9+'01_원자료'!R461*'03_가중치민감도'!$D$9</f>
        <v>0.5940563145555835</v>
      </c>
      <c r="J464" s="17">
        <f>'01_원자료'!P461*'03_가중치민감도'!$B$10+'01_원자료'!Q461*'03_가중치민감도'!$C$10+'01_원자료'!R461*'03_가중치민감도'!$D$10</f>
        <v>0.75926414299492939</v>
      </c>
      <c r="K464" s="31">
        <f t="shared" si="42"/>
        <v>665</v>
      </c>
      <c r="L464" s="31">
        <f t="shared" si="43"/>
        <v>643</v>
      </c>
      <c r="M464" s="31">
        <f t="shared" si="44"/>
        <v>650</v>
      </c>
      <c r="N464" s="31">
        <f t="shared" si="45"/>
        <v>691</v>
      </c>
      <c r="O464" s="31">
        <f t="shared" si="46"/>
        <v>659</v>
      </c>
      <c r="P464" s="31">
        <f t="shared" si="47"/>
        <v>691</v>
      </c>
    </row>
    <row r="465" spans="1:16">
      <c r="A465" s="2" t="str">
        <f>'01_원자료'!A462</f>
        <v>PAT-31</v>
      </c>
      <c r="B465" s="2" t="str">
        <f>'01_원자료'!B462</f>
        <v>mistral</v>
      </c>
      <c r="C465" s="2" t="str">
        <f>'01_원자료'!C462</f>
        <v>ministral</v>
      </c>
      <c r="E465" s="17">
        <f>'01_원자료'!P462*'03_가중치민감도'!$B$5+'01_원자료'!Q462*'03_가중치민감도'!$C$5+'01_원자료'!R462*'03_가중치민감도'!$D$5</f>
        <v>0.57792543377592864</v>
      </c>
      <c r="F465" s="17">
        <f>'01_원자료'!P462*'03_가중치민감도'!$B$6+'01_원자료'!Q462*'03_가중치민감도'!$C$6+'01_원자료'!R462*'03_가중치민감도'!$D$6</f>
        <v>0.4810899811503262</v>
      </c>
      <c r="G465" s="17">
        <f>'01_원자료'!P462*'03_가중치민감도'!$B$7+'01_원자료'!Q462*'03_가중치민감도'!$C$7+'01_원자료'!R462*'03_가중치민감도'!$D$7</f>
        <v>0.58549629708705575</v>
      </c>
      <c r="H465" s="17">
        <f>'01_원자료'!P462*'03_가중치민감도'!$B$8+'01_원자료'!Q462*'03_가중치민감도'!$C$8+'01_원자료'!R462*'03_가중치민감도'!$D$8</f>
        <v>0.54007111722029288</v>
      </c>
      <c r="I465" s="17">
        <f>'01_원자료'!P462*'03_가중치민감도'!$B$9+'01_원자료'!Q462*'03_가중치민감도'!$C$9+'01_원자료'!R462*'03_가중치민감도'!$D$9</f>
        <v>0.51084484425515075</v>
      </c>
      <c r="J465" s="17">
        <f>'01_원자료'!P462*'03_가중치민감도'!$B$10+'01_원자료'!Q462*'03_가중치민감도'!$C$10+'01_원자료'!R462*'03_가중치민감도'!$D$10</f>
        <v>0.65961915977927665</v>
      </c>
      <c r="K465" s="31">
        <f t="shared" si="42"/>
        <v>315</v>
      </c>
      <c r="L465" s="31">
        <f t="shared" si="43"/>
        <v>273</v>
      </c>
      <c r="M465" s="31">
        <f t="shared" si="44"/>
        <v>317</v>
      </c>
      <c r="N465" s="31">
        <f t="shared" si="45"/>
        <v>304</v>
      </c>
      <c r="O465" s="31">
        <f t="shared" si="46"/>
        <v>292</v>
      </c>
      <c r="P465" s="31">
        <f t="shared" si="47"/>
        <v>329</v>
      </c>
    </row>
    <row r="466" spans="1:16">
      <c r="A466" s="2" t="str">
        <f>'01_원자료'!A463</f>
        <v>PAT-31</v>
      </c>
      <c r="B466" s="2" t="str">
        <f>'01_원자료'!B463</f>
        <v>mistral</v>
      </c>
      <c r="C466" s="2" t="str">
        <f>'01_원자료'!C463</f>
        <v>qwen</v>
      </c>
      <c r="E466" s="17">
        <f>'01_원자료'!P463*'03_가중치민감도'!$B$5+'01_원자료'!Q463*'03_가중치민감도'!$C$5+'01_원자료'!R463*'03_가중치민감도'!$D$5</f>
        <v>0.58900098088082409</v>
      </c>
      <c r="F466" s="17">
        <f>'01_원자료'!P463*'03_가중치민감도'!$B$6+'01_원자료'!Q463*'03_가중치민감도'!$C$6+'01_원자료'!R463*'03_가중치민감도'!$D$6</f>
        <v>0.50160162679431142</v>
      </c>
      <c r="G466" s="17">
        <f>'01_원자료'!P463*'03_가중치민감도'!$B$7+'01_원자료'!Q463*'03_가중치민감도'!$C$7+'01_원자료'!R463*'03_가중치민감도'!$D$7</f>
        <v>0.59507342890022052</v>
      </c>
      <c r="H466" s="17">
        <f>'01_원자료'!P463*'03_가중치민감도'!$B$8+'01_원자료'!Q463*'03_가중치민감도'!$C$8+'01_원자료'!R463*'03_가중치민감도'!$D$8</f>
        <v>0.55863874078384146</v>
      </c>
      <c r="I466" s="17">
        <f>'01_원자료'!P463*'03_가중치민감도'!$B$9+'01_원자료'!Q463*'03_가중치민감도'!$C$9+'01_원자료'!R463*'03_가중치민감도'!$D$9</f>
        <v>0.52871059548334953</v>
      </c>
      <c r="J466" s="17">
        <f>'01_원자료'!P463*'03_가중치민감도'!$B$10+'01_원자료'!Q463*'03_가중치민감도'!$C$10+'01_원자료'!R463*'03_가중치민감도'!$D$10</f>
        <v>0.66425543892854366</v>
      </c>
      <c r="K466" s="31">
        <f t="shared" si="42"/>
        <v>348</v>
      </c>
      <c r="L466" s="31">
        <f t="shared" si="43"/>
        <v>368</v>
      </c>
      <c r="M466" s="31">
        <f t="shared" si="44"/>
        <v>344</v>
      </c>
      <c r="N466" s="31">
        <f t="shared" si="45"/>
        <v>366</v>
      </c>
      <c r="O466" s="31">
        <f t="shared" si="46"/>
        <v>364</v>
      </c>
      <c r="P466" s="31">
        <f t="shared" si="47"/>
        <v>342</v>
      </c>
    </row>
    <row r="467" spans="1:16">
      <c r="A467" s="2" t="str">
        <f>'01_원자료'!A464</f>
        <v>PAT-31</v>
      </c>
      <c r="B467" s="2" t="str">
        <f>'01_원자료'!B464</f>
        <v>qwen3_6</v>
      </c>
      <c r="C467" s="2" t="str">
        <f>'01_원자료'!C464</f>
        <v>gemma</v>
      </c>
      <c r="E467" s="17">
        <f>'01_원자료'!P464*'03_가중치민감도'!$B$5+'01_원자료'!Q464*'03_가중치민감도'!$C$5+'01_원자료'!R464*'03_가중치민감도'!$D$5</f>
        <v>0.72088062064862957</v>
      </c>
      <c r="F467" s="17">
        <f>'01_원자료'!P464*'03_가중치민감도'!$B$6+'01_원자료'!Q464*'03_가중치민감도'!$C$6+'01_원자료'!R464*'03_가중치민감도'!$D$6</f>
        <v>0.60728894114196019</v>
      </c>
      <c r="G467" s="17">
        <f>'01_원자료'!P464*'03_가중치민감도'!$B$7+'01_원자료'!Q464*'03_가중치민감도'!$C$7+'01_원자료'!R464*'03_가중치민감도'!$D$7</f>
        <v>0.71199751447430915</v>
      </c>
      <c r="H467" s="17">
        <f>'01_원자료'!P464*'03_가중치민감도'!$B$8+'01_원자료'!Q464*'03_가중치민감도'!$C$8+'01_원자료'!R464*'03_가중치민감도'!$D$8</f>
        <v>0.76529615152023178</v>
      </c>
      <c r="I467" s="17">
        <f>'01_원자료'!P464*'03_가중치민감도'!$B$9+'01_원자료'!Q464*'03_가중치민감도'!$C$9+'01_원자료'!R464*'03_가중치민감도'!$D$9</f>
        <v>0.64811386970228946</v>
      </c>
      <c r="J467" s="17">
        <f>'01_원자료'!P464*'03_가중치민감도'!$B$10+'01_원자료'!Q464*'03_가중치민감도'!$C$10+'01_원자료'!R464*'03_가중치민감도'!$D$10</f>
        <v>0.85223851250393978</v>
      </c>
      <c r="K467" s="31">
        <f t="shared" si="42"/>
        <v>885</v>
      </c>
      <c r="L467" s="31">
        <f t="shared" si="43"/>
        <v>846</v>
      </c>
      <c r="M467" s="31">
        <f t="shared" si="44"/>
        <v>876</v>
      </c>
      <c r="N467" s="31">
        <f t="shared" si="45"/>
        <v>880</v>
      </c>
      <c r="O467" s="31">
        <f t="shared" si="46"/>
        <v>859</v>
      </c>
      <c r="P467" s="31">
        <f t="shared" si="47"/>
        <v>896</v>
      </c>
    </row>
    <row r="468" spans="1:16">
      <c r="A468" s="2" t="str">
        <f>'01_원자료'!A465</f>
        <v>PAT-31</v>
      </c>
      <c r="B468" s="2" t="str">
        <f>'01_원자료'!B465</f>
        <v>qwen3_6</v>
      </c>
      <c r="C468" s="2" t="str">
        <f>'01_원자료'!C465</f>
        <v>ministral</v>
      </c>
      <c r="E468" s="17">
        <f>'01_원자료'!P465*'03_가중치민감도'!$B$5+'01_원자료'!Q465*'03_가중치민감도'!$C$5+'01_원자료'!R465*'03_가중치민감도'!$D$5</f>
        <v>0.57307831863345804</v>
      </c>
      <c r="F468" s="17">
        <f>'01_원자료'!P465*'03_가중치민감도'!$B$6+'01_원자료'!Q465*'03_가중치민감도'!$C$6+'01_원자료'!R465*'03_가중치민감도'!$D$6</f>
        <v>0.47726991463104335</v>
      </c>
      <c r="G468" s="17">
        <f>'01_원자료'!P465*'03_가중치민감도'!$B$7+'01_원자료'!Q465*'03_가중치민감도'!$C$7+'01_원자료'!R465*'03_가중치민감도'!$D$7</f>
        <v>0.58061138482023344</v>
      </c>
      <c r="H468" s="17">
        <f>'01_원자료'!P465*'03_가중치민감도'!$B$8+'01_원자료'!Q465*'03_가중치민감도'!$C$8+'01_원자료'!R465*'03_가중치민감도'!$D$8</f>
        <v>0.53541298769958023</v>
      </c>
      <c r="I468" s="17">
        <f>'01_원자료'!P465*'03_가중치민감도'!$B$9+'01_원자료'!Q465*'03_가중치민감도'!$C$9+'01_원자료'!R465*'03_가중치민감도'!$D$9</f>
        <v>0.50669502723625581</v>
      </c>
      <c r="J468" s="17">
        <f>'01_원자료'!P465*'03_가중치민감도'!$B$10+'01_원자료'!Q465*'03_가중치민감도'!$C$10+'01_원자료'!R465*'03_가중치민감도'!$D$10</f>
        <v>0.65382059026232153</v>
      </c>
      <c r="K468" s="31">
        <f t="shared" si="42"/>
        <v>301</v>
      </c>
      <c r="L468" s="31">
        <f t="shared" si="43"/>
        <v>255</v>
      </c>
      <c r="M468" s="31">
        <f t="shared" si="44"/>
        <v>292</v>
      </c>
      <c r="N468" s="31">
        <f t="shared" si="45"/>
        <v>293</v>
      </c>
      <c r="O468" s="31">
        <f t="shared" si="46"/>
        <v>270</v>
      </c>
      <c r="P468" s="31">
        <f t="shared" si="47"/>
        <v>317</v>
      </c>
    </row>
    <row r="469" spans="1:16">
      <c r="A469" s="2" t="str">
        <f>'01_원자료'!A466</f>
        <v>PAT-31</v>
      </c>
      <c r="B469" s="2" t="str">
        <f>'01_원자료'!B466</f>
        <v>qwen3_6</v>
      </c>
      <c r="C469" s="2" t="str">
        <f>'01_원자료'!C466</f>
        <v>qwen</v>
      </c>
      <c r="E469" s="17">
        <f>'01_원자료'!P466*'03_가중치민감도'!$B$5+'01_원자료'!Q466*'03_가중치민감도'!$C$5+'01_원자료'!R466*'03_가중치민감도'!$D$5</f>
        <v>0.65775789039792021</v>
      </c>
      <c r="F469" s="17">
        <f>'01_원자료'!P466*'03_가중치민감도'!$B$6+'01_원자료'!Q466*'03_가중치민감도'!$C$6+'01_원자료'!R466*'03_가중치민감도'!$D$6</f>
        <v>0.56566242601825267</v>
      </c>
      <c r="G469" s="17">
        <f>'01_원자료'!P466*'03_가중치민감도'!$B$7+'01_원자료'!Q466*'03_가중치민감도'!$C$7+'01_원자료'!R466*'03_가중치민감도'!$D$7</f>
        <v>0.66154622042616551</v>
      </c>
      <c r="H469" s="17">
        <f>'01_원자료'!P466*'03_가중치민감도'!$B$8+'01_원자료'!Q466*'03_가중치민감도'!$C$8+'01_원자료'!R466*'03_가중치민감도'!$D$8</f>
        <v>0.63881624025669337</v>
      </c>
      <c r="I469" s="17">
        <f>'01_원자료'!P466*'03_가중치민감도'!$B$9+'01_원자료'!Q466*'03_가중치민감도'!$C$9+'01_원자료'!R466*'03_가중치민감도'!$D$9</f>
        <v>0.59509813746872608</v>
      </c>
      <c r="J469" s="17">
        <f>'01_원자료'!P466*'03_가중치민감도'!$B$10+'01_원자료'!Q466*'03_가중치민감도'!$C$10+'01_원자료'!R466*'03_가중치민감도'!$D$10</f>
        <v>0.74227669472109692</v>
      </c>
      <c r="K469" s="31">
        <f t="shared" si="42"/>
        <v>658</v>
      </c>
      <c r="L469" s="31">
        <f t="shared" si="43"/>
        <v>669</v>
      </c>
      <c r="M469" s="31">
        <f t="shared" si="44"/>
        <v>675</v>
      </c>
      <c r="N469" s="31">
        <f t="shared" si="45"/>
        <v>603</v>
      </c>
      <c r="O469" s="31">
        <f t="shared" si="46"/>
        <v>661</v>
      </c>
      <c r="P469" s="31">
        <f t="shared" si="47"/>
        <v>633</v>
      </c>
    </row>
    <row r="470" spans="1:16">
      <c r="A470" s="2" t="str">
        <f>'01_원자료'!A467</f>
        <v>RPT-01</v>
      </c>
      <c r="B470" s="2" t="str">
        <f>'01_원자료'!B467</f>
        <v>chatgpt</v>
      </c>
      <c r="C470" s="2" t="str">
        <f>'01_원자료'!C467</f>
        <v>gemma</v>
      </c>
      <c r="E470" s="17">
        <f>'01_원자료'!P467*'03_가중치민감도'!$B$5+'01_원자료'!Q467*'03_가중치민감도'!$C$5+'01_원자료'!R467*'03_가중치민감도'!$D$5</f>
        <v>0.55740370498496727</v>
      </c>
      <c r="F470" s="17">
        <f>'01_원자료'!P467*'03_가중치민감도'!$B$6+'01_원자료'!Q467*'03_가중치민감도'!$C$6+'01_원자료'!R467*'03_가중치민감도'!$D$6</f>
        <v>0.47751937646310993</v>
      </c>
      <c r="G470" s="17">
        <f>'01_원자료'!P467*'03_가중치민감도'!$B$7+'01_원자료'!Q467*'03_가중치민감도'!$C$7+'01_원자료'!R467*'03_가중치민감도'!$D$7</f>
        <v>0.56249341163223221</v>
      </c>
      <c r="H470" s="17">
        <f>'01_원자료'!P467*'03_가중치민감도'!$B$8+'01_원자료'!Q467*'03_가중치민감도'!$C$8+'01_원자료'!R467*'03_가중치민감도'!$D$8</f>
        <v>0.53195517174864193</v>
      </c>
      <c r="I470" s="17">
        <f>'01_원자료'!P467*'03_가중치민감도'!$B$9+'01_원자료'!Q467*'03_가중치민감도'!$C$9+'01_원자료'!R467*'03_가중치민감도'!$D$9</f>
        <v>0.50245091708797351</v>
      </c>
      <c r="J470" s="17">
        <f>'01_원자료'!P467*'03_가중치민감도'!$B$10+'01_원자료'!Q467*'03_가중치민감도'!$C$10+'01_원자료'!R467*'03_가중치민감도'!$D$10</f>
        <v>0.62710862021229441</v>
      </c>
      <c r="K470" s="31">
        <f t="shared" si="42"/>
        <v>239</v>
      </c>
      <c r="L470" s="31">
        <f t="shared" si="43"/>
        <v>260</v>
      </c>
      <c r="M470" s="31">
        <f t="shared" si="44"/>
        <v>212</v>
      </c>
      <c r="N470" s="31">
        <f t="shared" si="45"/>
        <v>284</v>
      </c>
      <c r="O470" s="31">
        <f t="shared" si="46"/>
        <v>255</v>
      </c>
      <c r="P470" s="31">
        <f t="shared" si="47"/>
        <v>256</v>
      </c>
    </row>
    <row r="471" spans="1:16">
      <c r="A471" s="2" t="str">
        <f>'01_원자료'!A468</f>
        <v>RPT-01</v>
      </c>
      <c r="B471" s="2" t="str">
        <f>'01_원자료'!B468</f>
        <v>chatgpt</v>
      </c>
      <c r="C471" s="2" t="str">
        <f>'01_원자료'!C468</f>
        <v>ministral</v>
      </c>
      <c r="E471" s="17">
        <f>'01_원자료'!P468*'03_가중치민감도'!$B$5+'01_원자료'!Q468*'03_가중치민감도'!$C$5+'01_원자료'!R468*'03_가중치민감도'!$D$5</f>
        <v>0.54909102757466455</v>
      </c>
      <c r="F471" s="17">
        <f>'01_원자료'!P468*'03_가중치민감도'!$B$6+'01_원자료'!Q468*'03_가중치민감도'!$C$6+'01_원자료'!R468*'03_가중치민감도'!$D$6</f>
        <v>0.4736487099866411</v>
      </c>
      <c r="G471" s="17">
        <f>'01_원자료'!P468*'03_가중치민감도'!$B$7+'01_원자료'!Q468*'03_가중치민감도'!$C$7+'01_원자료'!R468*'03_가중치민감도'!$D$7</f>
        <v>0.56088603989831265</v>
      </c>
      <c r="H471" s="17">
        <f>'01_원자료'!P468*'03_가중치민감도'!$B$8+'01_원자료'!Q468*'03_가중치민감도'!$C$8+'01_원자료'!R468*'03_가중치민감도'!$D$8</f>
        <v>0.49011596595642437</v>
      </c>
      <c r="I471" s="17">
        <f>'01_원자료'!P468*'03_가중치민감도'!$B$9+'01_원자료'!Q468*'03_가중치민감도'!$C$9+'01_원자료'!R468*'03_가중치민감도'!$D$9</f>
        <v>0.49486447840809905</v>
      </c>
      <c r="J471" s="17">
        <f>'01_원자료'!P468*'03_가중치민감도'!$B$10+'01_원자료'!Q468*'03_가중치민감도'!$C$10+'01_원자료'!R468*'03_가중치민감도'!$D$10</f>
        <v>0.60094332051539201</v>
      </c>
      <c r="K471" s="31">
        <f t="shared" si="42"/>
        <v>203</v>
      </c>
      <c r="L471" s="31">
        <f t="shared" si="43"/>
        <v>233</v>
      </c>
      <c r="M471" s="31">
        <f t="shared" si="44"/>
        <v>200</v>
      </c>
      <c r="N471" s="31">
        <f t="shared" si="45"/>
        <v>201</v>
      </c>
      <c r="O471" s="31">
        <f t="shared" si="46"/>
        <v>223</v>
      </c>
      <c r="P471" s="31">
        <f t="shared" si="47"/>
        <v>192</v>
      </c>
    </row>
    <row r="472" spans="1:16">
      <c r="A472" s="2" t="str">
        <f>'01_원자료'!A469</f>
        <v>RPT-01</v>
      </c>
      <c r="B472" s="2" t="str">
        <f>'01_원자료'!B469</f>
        <v>chatgpt</v>
      </c>
      <c r="C472" s="2" t="str">
        <f>'01_원자료'!C469</f>
        <v>qwen</v>
      </c>
      <c r="E472" s="17">
        <f>'01_원자료'!P469*'03_가중치민감도'!$B$5+'01_원자료'!Q469*'03_가중치민감도'!$C$5+'01_원자료'!R469*'03_가중치민감도'!$D$5</f>
        <v>0.57141088014501507</v>
      </c>
      <c r="F472" s="17">
        <f>'01_원자료'!P469*'03_가중치민감도'!$B$6+'01_원자료'!Q469*'03_가중치민감도'!$C$6+'01_원자료'!R469*'03_가중치민감도'!$D$6</f>
        <v>0.5046106955160079</v>
      </c>
      <c r="G472" s="17">
        <f>'01_원자료'!P469*'03_가중치민감도'!$B$7+'01_원자료'!Q469*'03_가중치민감도'!$C$7+'01_원자료'!R469*'03_가중치민감도'!$D$7</f>
        <v>0.57657750606454661</v>
      </c>
      <c r="H472" s="17">
        <f>'01_원자료'!P469*'03_가중치민감도'!$B$8+'01_원자료'!Q469*'03_가중치민감도'!$C$8+'01_원자료'!R469*'03_가중치민감도'!$D$8</f>
        <v>0.54557775054735735</v>
      </c>
      <c r="I472" s="17">
        <f>'01_원자료'!P469*'03_가중치민감도'!$B$9+'01_원자료'!Q469*'03_가중치민감도'!$C$9+'01_원자료'!R469*'03_가중치민감도'!$D$9</f>
        <v>0.52515521508583252</v>
      </c>
      <c r="J472" s="17">
        <f>'01_원자료'!P469*'03_가중치민감도'!$B$10+'01_원자료'!Q469*'03_가중치민감도'!$C$10+'01_원자료'!R469*'03_가중치민감도'!$D$10</f>
        <v>0.62787781293495915</v>
      </c>
      <c r="K472" s="31">
        <f t="shared" si="42"/>
        <v>290</v>
      </c>
      <c r="L472" s="31">
        <f t="shared" si="43"/>
        <v>387</v>
      </c>
      <c r="M472" s="31">
        <f t="shared" si="44"/>
        <v>278</v>
      </c>
      <c r="N472" s="31">
        <f t="shared" si="45"/>
        <v>325</v>
      </c>
      <c r="O472" s="31">
        <f t="shared" si="46"/>
        <v>349</v>
      </c>
      <c r="P472" s="31">
        <f t="shared" si="47"/>
        <v>258</v>
      </c>
    </row>
    <row r="473" spans="1:16">
      <c r="A473" s="2" t="str">
        <f>'01_원자료'!A470</f>
        <v>RPT-01</v>
      </c>
      <c r="B473" s="2" t="str">
        <f>'01_원자료'!B470</f>
        <v>claude</v>
      </c>
      <c r="C473" s="2" t="str">
        <f>'01_원자료'!C470</f>
        <v>gemma</v>
      </c>
      <c r="E473" s="17">
        <f>'01_원자료'!P470*'03_가중치민감도'!$B$5+'01_원자료'!Q470*'03_가중치민감도'!$C$5+'01_원자료'!R470*'03_가중치민감도'!$D$5</f>
        <v>0.6377638973169506</v>
      </c>
      <c r="F473" s="17">
        <f>'01_원자료'!P470*'03_가중치민감도'!$B$6+'01_원자료'!Q470*'03_가중치민감도'!$C$6+'01_원자료'!R470*'03_가중치민감도'!$D$6</f>
        <v>0.54537106924409029</v>
      </c>
      <c r="G473" s="17">
        <f>'01_원자료'!P470*'03_가중치민감도'!$B$7+'01_원자료'!Q470*'03_가중치민감도'!$C$7+'01_원자료'!R470*'03_가중치민감도'!$D$7</f>
        <v>0.6357812163801162</v>
      </c>
      <c r="H473" s="17">
        <f>'01_원자료'!P470*'03_가중치민감도'!$B$8+'01_원자료'!Q470*'03_가중치민감도'!$C$8+'01_원자료'!R470*'03_가중치민감도'!$D$8</f>
        <v>0.64767730200112239</v>
      </c>
      <c r="I473" s="17">
        <f>'01_원자료'!P470*'03_가중치민감도'!$B$9+'01_원자료'!Q470*'03_가중치민감도'!$C$9+'01_원자료'!R470*'03_가중치민감도'!$D$9</f>
        <v>0.57682957224732134</v>
      </c>
      <c r="J473" s="17">
        <f>'01_원자료'!P470*'03_가중치민감도'!$B$10+'01_원자료'!Q470*'03_가중치민감도'!$C$10+'01_원자료'!R470*'03_가중치민감도'!$D$10</f>
        <v>0.73412208726347949</v>
      </c>
      <c r="K473" s="31">
        <f t="shared" si="42"/>
        <v>569</v>
      </c>
      <c r="L473" s="31">
        <f t="shared" si="43"/>
        <v>561</v>
      </c>
      <c r="M473" s="31">
        <f t="shared" si="44"/>
        <v>541</v>
      </c>
      <c r="N473" s="31">
        <f t="shared" si="45"/>
        <v>636</v>
      </c>
      <c r="O473" s="31">
        <f t="shared" si="46"/>
        <v>576</v>
      </c>
      <c r="P473" s="31">
        <f t="shared" si="47"/>
        <v>601</v>
      </c>
    </row>
    <row r="474" spans="1:16">
      <c r="A474" s="2" t="str">
        <f>'01_원자료'!A471</f>
        <v>RPT-01</v>
      </c>
      <c r="B474" s="2" t="str">
        <f>'01_원자료'!B471</f>
        <v>claude</v>
      </c>
      <c r="C474" s="2" t="str">
        <f>'01_원자료'!C471</f>
        <v>ministral</v>
      </c>
      <c r="E474" s="17">
        <f>'01_원자료'!P471*'03_가중치민감도'!$B$5+'01_원자료'!Q471*'03_가중치민감도'!$C$5+'01_원자료'!R471*'03_가중치민감도'!$D$5</f>
        <v>0.64779161200633006</v>
      </c>
      <c r="F474" s="17">
        <f>'01_원자료'!P471*'03_가중치민감도'!$B$6+'01_원자료'!Q471*'03_가중치민감도'!$C$6+'01_원자료'!R471*'03_가중치민감도'!$D$6</f>
        <v>0.56043481178034682</v>
      </c>
      <c r="G474" s="17">
        <f>'01_원자료'!P471*'03_가중치민감도'!$B$7+'01_원자료'!Q471*'03_가중치민감도'!$C$7+'01_원자료'!R471*'03_가중치민감도'!$D$7</f>
        <v>0.65057419889114687</v>
      </c>
      <c r="H474" s="17">
        <f>'01_원자료'!P471*'03_가중치민감도'!$B$8+'01_원자료'!Q471*'03_가중치민감도'!$C$8+'01_원자료'!R471*'03_가중치민감도'!$D$8</f>
        <v>0.63387867758224636</v>
      </c>
      <c r="I474" s="17">
        <f>'01_원자료'!P471*'03_가중치민감도'!$B$9+'01_원자료'!Q471*'03_가중치민감도'!$C$9+'01_원자료'!R471*'03_가중치민감도'!$D$9</f>
        <v>0.58862621622740163</v>
      </c>
      <c r="J474" s="17">
        <f>'01_원자료'!P471*'03_가중치민감도'!$B$10+'01_원자료'!Q471*'03_가중치민감도'!$C$10+'01_원자료'!R471*'03_가중치민감도'!$D$10</f>
        <v>0.72958323846267992</v>
      </c>
      <c r="K474" s="31">
        <f t="shared" si="42"/>
        <v>608</v>
      </c>
      <c r="L474" s="31">
        <f t="shared" si="43"/>
        <v>639</v>
      </c>
      <c r="M474" s="31">
        <f t="shared" si="44"/>
        <v>620</v>
      </c>
      <c r="N474" s="31">
        <f t="shared" si="45"/>
        <v>590</v>
      </c>
      <c r="O474" s="31">
        <f t="shared" si="46"/>
        <v>622</v>
      </c>
      <c r="P474" s="31">
        <f t="shared" si="47"/>
        <v>578</v>
      </c>
    </row>
    <row r="475" spans="1:16">
      <c r="A475" s="2" t="str">
        <f>'01_원자료'!A472</f>
        <v>RPT-01</v>
      </c>
      <c r="B475" s="2" t="str">
        <f>'01_원자료'!B472</f>
        <v>claude</v>
      </c>
      <c r="C475" s="2" t="str">
        <f>'01_원자료'!C472</f>
        <v>qwen</v>
      </c>
      <c r="E475" s="17">
        <f>'01_원자료'!P472*'03_가중치민감도'!$B$5+'01_원자료'!Q472*'03_가중치민감도'!$C$5+'01_원자료'!R472*'03_가중치민감도'!$D$5</f>
        <v>0.66012675380655839</v>
      </c>
      <c r="F475" s="17">
        <f>'01_원자료'!P472*'03_가중치민감도'!$B$6+'01_원자료'!Q472*'03_가중치민감도'!$C$6+'01_원자료'!R472*'03_가중치민감도'!$D$6</f>
        <v>0.57754027516540463</v>
      </c>
      <c r="G475" s="17">
        <f>'01_원자료'!P472*'03_가중치민감도'!$B$7+'01_원자료'!Q472*'03_가중치민감도'!$C$7+'01_원자료'!R472*'03_가중치민감도'!$D$7</f>
        <v>0.65919044845788244</v>
      </c>
      <c r="H475" s="17">
        <f>'01_원자료'!P472*'03_가중치민감도'!$B$8+'01_원자료'!Q472*'03_가중치민감도'!$C$8+'01_원자료'!R472*'03_가중치민감도'!$D$8</f>
        <v>0.66480828054993801</v>
      </c>
      <c r="I475" s="17">
        <f>'01_원자료'!P472*'03_가중치민감도'!$B$9+'01_원자료'!Q472*'03_가중치민감도'!$C$9+'01_원자료'!R472*'03_가중치민감도'!$D$9</f>
        <v>0.60538120316201394</v>
      </c>
      <c r="J475" s="17">
        <f>'01_원자료'!P472*'03_가중치민감도'!$B$10+'01_원자료'!Q472*'03_가중치민감도'!$C$10+'01_원자료'!R472*'03_가중치민감도'!$D$10</f>
        <v>0.74458584314506404</v>
      </c>
      <c r="K475" s="31">
        <f t="shared" si="42"/>
        <v>671</v>
      </c>
      <c r="L475" s="31">
        <f t="shared" si="43"/>
        <v>727</v>
      </c>
      <c r="M475" s="31">
        <f t="shared" si="44"/>
        <v>665</v>
      </c>
      <c r="N475" s="31">
        <f t="shared" si="45"/>
        <v>683</v>
      </c>
      <c r="O475" s="31">
        <f t="shared" si="46"/>
        <v>716</v>
      </c>
      <c r="P475" s="31">
        <f t="shared" si="47"/>
        <v>643</v>
      </c>
    </row>
    <row r="476" spans="1:16">
      <c r="A476" s="2" t="str">
        <f>'01_원자료'!A473</f>
        <v>RPT-01</v>
      </c>
      <c r="B476" s="2" t="str">
        <f>'01_원자료'!B473</f>
        <v>gemini</v>
      </c>
      <c r="C476" s="2" t="str">
        <f>'01_원자료'!C473</f>
        <v>gemma</v>
      </c>
      <c r="E476" s="17">
        <f>'01_원자료'!P473*'03_가중치민감도'!$B$5+'01_원자료'!Q473*'03_가중치민감도'!$C$5+'01_원자료'!R473*'03_가중치민감도'!$D$5</f>
        <v>0.7407337197443512</v>
      </c>
      <c r="F476" s="17">
        <f>'01_원자료'!P473*'03_가중치민감도'!$B$6+'01_원자료'!Q473*'03_가중치민감도'!$C$6+'01_원자료'!R473*'03_가중치민감도'!$D$6</f>
        <v>0.62282804397962999</v>
      </c>
      <c r="G476" s="17">
        <f>'01_원자료'!P473*'03_가중치민감도'!$B$7+'01_원자료'!Q473*'03_가중치민감도'!$C$7+'01_원자료'!R473*'03_가중치민감도'!$D$7</f>
        <v>0.73386453818284514</v>
      </c>
      <c r="H476" s="17">
        <f>'01_원자료'!P473*'03_가중치민감도'!$B$8+'01_원자료'!Q473*'03_가중치민감도'!$C$8+'01_원자료'!R473*'03_가중치민감도'!$D$8</f>
        <v>0.7750796275518812</v>
      </c>
      <c r="I476" s="17">
        <f>'01_원자료'!P473*'03_가중치민감도'!$B$9+'01_원자료'!Q473*'03_가중치민감도'!$C$9+'01_원자료'!R473*'03_가중치민감도'!$D$9</f>
        <v>0.66441966308837164</v>
      </c>
      <c r="J476" s="17">
        <f>'01_원자료'!P473*'03_가중치민감도'!$B$10+'01_원자료'!Q473*'03_가중치민감도'!$C$10+'01_원자료'!R473*'03_가중치민감도'!$D$10</f>
        <v>0.87237775863208433</v>
      </c>
      <c r="K476" s="31">
        <f t="shared" si="42"/>
        <v>925</v>
      </c>
      <c r="L476" s="31">
        <f t="shared" si="43"/>
        <v>909</v>
      </c>
      <c r="M476" s="31">
        <f t="shared" si="44"/>
        <v>927</v>
      </c>
      <c r="N476" s="31">
        <f t="shared" si="45"/>
        <v>921</v>
      </c>
      <c r="O476" s="31">
        <f t="shared" si="46"/>
        <v>918</v>
      </c>
      <c r="P476" s="31">
        <f t="shared" si="47"/>
        <v>950</v>
      </c>
    </row>
    <row r="477" spans="1:16">
      <c r="A477" s="2" t="str">
        <f>'01_원자료'!A474</f>
        <v>RPT-01</v>
      </c>
      <c r="B477" s="2" t="str">
        <f>'01_원자료'!B474</f>
        <v>gemini</v>
      </c>
      <c r="C477" s="2" t="str">
        <f>'01_원자료'!C474</f>
        <v>ministral</v>
      </c>
      <c r="E477" s="17">
        <f>'01_원자료'!P474*'03_가중치민감도'!$B$5+'01_원자료'!Q474*'03_가중치민감도'!$C$5+'01_원자료'!R474*'03_가중치민감도'!$D$5</f>
        <v>0.6349269557894015</v>
      </c>
      <c r="F477" s="17">
        <f>'01_원자료'!P474*'03_가중치민감도'!$B$6+'01_원자료'!Q474*'03_가중치민감도'!$C$6+'01_원자료'!R474*'03_가중치민감도'!$D$6</f>
        <v>0.53045419290103113</v>
      </c>
      <c r="G477" s="17">
        <f>'01_원자료'!P474*'03_가중치민감도'!$B$7+'01_원자료'!Q474*'03_가중치민감도'!$C$7+'01_원자료'!R474*'03_가중치민감도'!$D$7</f>
        <v>0.64503660732698598</v>
      </c>
      <c r="H477" s="17">
        <f>'01_원자료'!P474*'03_가중치민감도'!$B$8+'01_원자료'!Q474*'03_가중치민감도'!$C$8+'01_원자료'!R474*'03_가중치민감도'!$D$8</f>
        <v>0.58437869810147891</v>
      </c>
      <c r="I477" s="17">
        <f>'01_원자료'!P474*'03_가중치민감도'!$B$9+'01_원자료'!Q474*'03_가중치민감도'!$C$9+'01_원자료'!R474*'03_가중치민감도'!$D$9</f>
        <v>0.56190856335129258</v>
      </c>
      <c r="J477" s="17">
        <f>'01_원자료'!P474*'03_가중치민감도'!$B$10+'01_원자료'!Q474*'03_가중치민감도'!$C$10+'01_원자료'!R474*'03_가중치민감도'!$D$10</f>
        <v>0.71918041560260271</v>
      </c>
      <c r="K477" s="31">
        <f t="shared" si="42"/>
        <v>555</v>
      </c>
      <c r="L477" s="31">
        <f t="shared" si="43"/>
        <v>501</v>
      </c>
      <c r="M477" s="31">
        <f t="shared" si="44"/>
        <v>591</v>
      </c>
      <c r="N477" s="31">
        <f t="shared" si="45"/>
        <v>445</v>
      </c>
      <c r="O477" s="31">
        <f t="shared" si="46"/>
        <v>511</v>
      </c>
      <c r="P477" s="31">
        <f t="shared" si="47"/>
        <v>536</v>
      </c>
    </row>
    <row r="478" spans="1:16">
      <c r="A478" s="2" t="str">
        <f>'01_원자료'!A475</f>
        <v>RPT-01</v>
      </c>
      <c r="B478" s="2" t="str">
        <f>'01_원자료'!B475</f>
        <v>gemini</v>
      </c>
      <c r="C478" s="2" t="str">
        <f>'01_원자료'!C475</f>
        <v>qwen</v>
      </c>
      <c r="E478" s="17">
        <f>'01_원자료'!P475*'03_가중치민감도'!$B$5+'01_원자료'!Q475*'03_가중치민감도'!$C$5+'01_원자료'!R475*'03_가중치민감도'!$D$5</f>
        <v>0.76044785245947277</v>
      </c>
      <c r="F478" s="17">
        <f>'01_원자료'!P475*'03_가중치민감도'!$B$6+'01_원자료'!Q475*'03_가중치민감도'!$C$6+'01_원자료'!R475*'03_가중치민감도'!$D$6</f>
        <v>0.65275676973183661</v>
      </c>
      <c r="G478" s="17">
        <f>'01_원자료'!P475*'03_가중치민감도'!$B$7+'01_원자료'!Q475*'03_가중치민감도'!$C$7+'01_원자료'!R475*'03_가중치민감도'!$D$7</f>
        <v>0.75437029920446985</v>
      </c>
      <c r="H478" s="17">
        <f>'01_원자료'!P475*'03_가중치민감도'!$B$8+'01_원자료'!Q475*'03_가중치민감도'!$C$8+'01_원자료'!R475*'03_가중치민감도'!$D$8</f>
        <v>0.79083561873448749</v>
      </c>
      <c r="I478" s="17">
        <f>'01_원자료'!P475*'03_가중치민감도'!$B$9+'01_원자료'!Q475*'03_가중치민감도'!$C$9+'01_원자료'!R475*'03_가중치민감도'!$D$9</f>
        <v>0.69067964839271556</v>
      </c>
      <c r="J478" s="17">
        <f>'01_원자료'!P475*'03_가중치민감도'!$B$10+'01_원자료'!Q475*'03_가중치민감도'!$C$10+'01_원자료'!R475*'03_가중치민감도'!$D$10</f>
        <v>0.88029404169711478</v>
      </c>
      <c r="K478" s="31">
        <f t="shared" si="42"/>
        <v>963</v>
      </c>
      <c r="L478" s="31">
        <f t="shared" si="43"/>
        <v>954</v>
      </c>
      <c r="M478" s="31">
        <f t="shared" si="44"/>
        <v>966</v>
      </c>
      <c r="N478" s="31">
        <f t="shared" si="45"/>
        <v>957</v>
      </c>
      <c r="O478" s="31">
        <f t="shared" si="46"/>
        <v>957</v>
      </c>
      <c r="P478" s="31">
        <f t="shared" si="47"/>
        <v>970</v>
      </c>
    </row>
    <row r="479" spans="1:16">
      <c r="A479" s="2" t="str">
        <f>'01_원자료'!A476</f>
        <v>RPT-01</v>
      </c>
      <c r="B479" s="2" t="str">
        <f>'01_원자료'!B476</f>
        <v>mistral</v>
      </c>
      <c r="C479" s="2" t="str">
        <f>'01_원자료'!C476</f>
        <v>gemma</v>
      </c>
      <c r="E479" s="17">
        <f>'01_원자료'!P476*'03_가중치민감도'!$B$5+'01_원자료'!Q476*'03_가중치민감도'!$C$5+'01_원자료'!R476*'03_가중치민감도'!$D$5</f>
        <v>0.64972234115153615</v>
      </c>
      <c r="F479" s="17">
        <f>'01_원자료'!P476*'03_가중치민감도'!$B$6+'01_원자료'!Q476*'03_가중치민감도'!$C$6+'01_원자료'!R476*'03_가중치민감도'!$D$6</f>
        <v>0.54768567334424101</v>
      </c>
      <c r="G479" s="17">
        <f>'01_원자료'!P476*'03_가중치민감도'!$B$7+'01_원자료'!Q476*'03_가중치민감도'!$C$7+'01_원자료'!R476*'03_가중치민감도'!$D$7</f>
        <v>0.64788499685862155</v>
      </c>
      <c r="H479" s="17">
        <f>'01_원자료'!P476*'03_가중치민감도'!$B$8+'01_원자료'!Q476*'03_가중치민감도'!$C$8+'01_원자료'!R476*'03_가중치민감도'!$D$8</f>
        <v>0.65890906261610938</v>
      </c>
      <c r="I479" s="17">
        <f>'01_원자료'!P476*'03_가중치민감도'!$B$9+'01_원자료'!Q476*'03_가중치민감도'!$C$9+'01_원자료'!R476*'03_가중치민감도'!$D$9</f>
        <v>0.58231034404431026</v>
      </c>
      <c r="J479" s="17">
        <f>'01_원자료'!P476*'03_가중치민감도'!$B$10+'01_원자료'!Q476*'03_가중치민감도'!$C$10+'01_원자료'!R476*'03_가중치민감도'!$D$10</f>
        <v>0.75543369754466072</v>
      </c>
      <c r="K479" s="31">
        <f t="shared" si="42"/>
        <v>617</v>
      </c>
      <c r="L479" s="31">
        <f t="shared" si="43"/>
        <v>576</v>
      </c>
      <c r="M479" s="31">
        <f t="shared" si="44"/>
        <v>605</v>
      </c>
      <c r="N479" s="31">
        <f t="shared" si="45"/>
        <v>662</v>
      </c>
      <c r="O479" s="31">
        <f t="shared" si="46"/>
        <v>586</v>
      </c>
      <c r="P479" s="31">
        <f t="shared" si="47"/>
        <v>680</v>
      </c>
    </row>
    <row r="480" spans="1:16">
      <c r="A480" s="2" t="str">
        <f>'01_원자료'!A477</f>
        <v>RPT-01</v>
      </c>
      <c r="B480" s="2" t="str">
        <f>'01_원자료'!B477</f>
        <v>mistral</v>
      </c>
      <c r="C480" s="2" t="str">
        <f>'01_원자료'!C477</f>
        <v>ministral</v>
      </c>
      <c r="E480" s="17">
        <f>'01_원자료'!P477*'03_가중치민감도'!$B$5+'01_원자료'!Q477*'03_가중치민감도'!$C$5+'01_원자료'!R477*'03_가중치민감도'!$D$5</f>
        <v>0.62184846295124152</v>
      </c>
      <c r="F480" s="17">
        <f>'01_원자료'!P477*'03_가중치민감도'!$B$6+'01_원자료'!Q477*'03_가중치민감도'!$C$6+'01_원자료'!R477*'03_가중치민감도'!$D$6</f>
        <v>0.5412545180582663</v>
      </c>
      <c r="G480" s="17">
        <f>'01_원자료'!P477*'03_가중치민감도'!$B$7+'01_원자료'!Q477*'03_가중치민감도'!$C$7+'01_원자료'!R477*'03_가중치민감도'!$D$7</f>
        <v>0.63064988053614324</v>
      </c>
      <c r="H480" s="17">
        <f>'01_원자료'!P477*'03_가중치민감도'!$B$8+'01_원자료'!Q477*'03_가중치민감도'!$C$8+'01_원자료'!R477*'03_가중치민감도'!$D$8</f>
        <v>0.57784137502673316</v>
      </c>
      <c r="I480" s="17">
        <f>'01_원자료'!P477*'03_가중치민감도'!$B$9+'01_원자료'!Q477*'03_가중치민감도'!$C$9+'01_원자료'!R477*'03_가중치민감도'!$D$9</f>
        <v>0.56518536049429025</v>
      </c>
      <c r="J480" s="17">
        <f>'01_원자료'!P477*'03_가중치민감도'!$B$10+'01_원자료'!Q477*'03_가중치민감도'!$C$10+'01_원자료'!R477*'03_가중치민감도'!$D$10</f>
        <v>0.68483957267441342</v>
      </c>
      <c r="K480" s="31">
        <f t="shared" si="42"/>
        <v>498</v>
      </c>
      <c r="L480" s="31">
        <f t="shared" si="43"/>
        <v>547</v>
      </c>
      <c r="M480" s="31">
        <f t="shared" si="44"/>
        <v>518</v>
      </c>
      <c r="N480" s="31">
        <f t="shared" si="45"/>
        <v>419</v>
      </c>
      <c r="O480" s="31">
        <f t="shared" si="46"/>
        <v>525</v>
      </c>
      <c r="P480" s="31">
        <f t="shared" si="47"/>
        <v>411</v>
      </c>
    </row>
    <row r="481" spans="1:16">
      <c r="A481" s="2" t="str">
        <f>'01_원자료'!A478</f>
        <v>RPT-01</v>
      </c>
      <c r="B481" s="2" t="str">
        <f>'01_원자료'!B478</f>
        <v>mistral</v>
      </c>
      <c r="C481" s="2" t="str">
        <f>'01_원자료'!C478</f>
        <v>qwen</v>
      </c>
      <c r="E481" s="17">
        <f>'01_원자료'!P478*'03_가중치민감도'!$B$5+'01_원자료'!Q478*'03_가중치민감도'!$C$5+'01_원자료'!R478*'03_가중치민감도'!$D$5</f>
        <v>0.6767284192044789</v>
      </c>
      <c r="F481" s="17">
        <f>'01_원자료'!P478*'03_가중치민감도'!$B$6+'01_원자료'!Q478*'03_가중치민감도'!$C$6+'01_원자료'!R478*'03_가중치민감도'!$D$6</f>
        <v>0.59947735639155231</v>
      </c>
      <c r="G481" s="17">
        <f>'01_원자료'!P478*'03_가중치민감도'!$B$7+'01_원자료'!Q478*'03_가중치민감도'!$C$7+'01_원자료'!R478*'03_가중치민감도'!$D$7</f>
        <v>0.6750761143331121</v>
      </c>
      <c r="H481" s="17">
        <f>'01_원자료'!P478*'03_가중치민감도'!$B$8+'01_원자료'!Q478*'03_가중치민감도'!$C$8+'01_원자료'!R478*'03_가중치민감도'!$D$8</f>
        <v>0.68498994356131282</v>
      </c>
      <c r="I481" s="17">
        <f>'01_원자료'!P478*'03_가중치민감도'!$B$9+'01_원자료'!Q478*'03_가중치민감도'!$C$9+'01_원자료'!R478*'03_가중치민감도'!$D$9</f>
        <v>0.62577847895298278</v>
      </c>
      <c r="J481" s="17">
        <f>'01_원자료'!P478*'03_가중치민감도'!$B$10+'01_원자료'!Q478*'03_가중치민감도'!$C$10+'01_원자료'!R478*'03_가중치민감도'!$D$10</f>
        <v>0.75728409176013889</v>
      </c>
      <c r="K481" s="31">
        <f t="shared" si="42"/>
        <v>745</v>
      </c>
      <c r="L481" s="31">
        <f t="shared" si="43"/>
        <v>807</v>
      </c>
      <c r="M481" s="31">
        <f t="shared" si="44"/>
        <v>741</v>
      </c>
      <c r="N481" s="31">
        <f t="shared" si="45"/>
        <v>730</v>
      </c>
      <c r="O481" s="31">
        <f t="shared" si="46"/>
        <v>778</v>
      </c>
      <c r="P481" s="31">
        <f t="shared" si="47"/>
        <v>686</v>
      </c>
    </row>
    <row r="482" spans="1:16">
      <c r="A482" s="2" t="str">
        <f>'01_원자료'!A479</f>
        <v>RPT-01</v>
      </c>
      <c r="B482" s="2" t="str">
        <f>'01_원자료'!B479</f>
        <v>qwen3_6</v>
      </c>
      <c r="C482" s="2" t="str">
        <f>'01_원자료'!C479</f>
        <v>gemma</v>
      </c>
      <c r="E482" s="17">
        <f>'01_원자료'!P479*'03_가중치민감도'!$B$5+'01_원자료'!Q479*'03_가중치민감도'!$C$5+'01_원자료'!R479*'03_가중치민감도'!$D$5</f>
        <v>0.73009817287462331</v>
      </c>
      <c r="F482" s="17">
        <f>'01_원자료'!P479*'03_가중치민감도'!$B$6+'01_원자료'!Q479*'03_가중치민감도'!$C$6+'01_원자료'!R479*'03_가중치민감도'!$D$6</f>
        <v>0.62255914777957055</v>
      </c>
      <c r="G482" s="17">
        <f>'01_원자료'!P479*'03_가중치민감도'!$B$7+'01_원자료'!Q479*'03_가중치민감도'!$C$7+'01_원자료'!R479*'03_가중치민감도'!$D$7</f>
        <v>0.72147880818483434</v>
      </c>
      <c r="H482" s="17">
        <f>'01_원자료'!P479*'03_가중치민감도'!$B$8+'01_원자료'!Q479*'03_가중치민감도'!$C$8+'01_원자료'!R479*'03_가중치민감도'!$D$8</f>
        <v>0.77319499632356836</v>
      </c>
      <c r="I482" s="17">
        <f>'01_원자료'!P479*'03_가중치민감도'!$B$9+'01_원자료'!Q479*'03_가중치민감도'!$C$9+'01_원자료'!R479*'03_가중치민감도'!$D$9</f>
        <v>0.66127861104118379</v>
      </c>
      <c r="J482" s="17">
        <f>'01_원자료'!P479*'03_가중치민감도'!$B$10+'01_원자료'!Q479*'03_가중치민감도'!$C$10+'01_원자료'!R479*'03_가중치민감도'!$D$10</f>
        <v>0.85487592734925411</v>
      </c>
      <c r="K482" s="31">
        <f t="shared" si="42"/>
        <v>903</v>
      </c>
      <c r="L482" s="31">
        <f t="shared" si="43"/>
        <v>906</v>
      </c>
      <c r="M482" s="31">
        <f t="shared" si="44"/>
        <v>900</v>
      </c>
      <c r="N482" s="31">
        <f t="shared" si="45"/>
        <v>914</v>
      </c>
      <c r="O482" s="31">
        <f t="shared" si="46"/>
        <v>909</v>
      </c>
      <c r="P482" s="31">
        <f t="shared" si="47"/>
        <v>902</v>
      </c>
    </row>
    <row r="483" spans="1:16">
      <c r="A483" s="2" t="str">
        <f>'01_원자료'!A480</f>
        <v>RPT-01</v>
      </c>
      <c r="B483" s="2" t="str">
        <f>'01_원자료'!B480</f>
        <v>qwen3_6</v>
      </c>
      <c r="C483" s="2" t="str">
        <f>'01_원자료'!C480</f>
        <v>ministral</v>
      </c>
      <c r="E483" s="17">
        <f>'01_원자료'!P480*'03_가중치민감도'!$B$5+'01_원자료'!Q480*'03_가중치민감도'!$C$5+'01_원자료'!R480*'03_가중치민감도'!$D$5</f>
        <v>0.61836829415916184</v>
      </c>
      <c r="F483" s="17">
        <f>'01_원자료'!P480*'03_가중치민감도'!$B$6+'01_원자료'!Q480*'03_가중치민감도'!$C$6+'01_원자료'!R480*'03_가중치민감도'!$D$6</f>
        <v>0.52803510000003606</v>
      </c>
      <c r="G483" s="17">
        <f>'01_원자료'!P480*'03_가중치민감도'!$B$7+'01_원자료'!Q480*'03_가중치민감도'!$C$7+'01_원자료'!R480*'03_가중치민감도'!$D$7</f>
        <v>0.62591975983345605</v>
      </c>
      <c r="H483" s="17">
        <f>'01_원자료'!P480*'03_가중치민감도'!$B$8+'01_원자료'!Q480*'03_가중치민감도'!$C$8+'01_원자료'!R480*'03_가중치민감도'!$D$8</f>
        <v>0.580610965787691</v>
      </c>
      <c r="I483" s="17">
        <f>'01_원자료'!P480*'03_가중치민감도'!$B$9+'01_원자료'!Q480*'03_가중치민감도'!$C$9+'01_원자료'!R480*'03_가중치민감도'!$D$9</f>
        <v>0.5556290094949794</v>
      </c>
      <c r="J483" s="17">
        <f>'01_원자료'!P480*'03_가중치민감도'!$B$10+'01_원자료'!Q480*'03_가중치민감도'!$C$10+'01_원자료'!R480*'03_가중치민감도'!$D$10</f>
        <v>0.69359855696969919</v>
      </c>
      <c r="K483" s="31">
        <f t="shared" si="42"/>
        <v>483</v>
      </c>
      <c r="L483" s="31">
        <f t="shared" si="43"/>
        <v>490</v>
      </c>
      <c r="M483" s="31">
        <f t="shared" si="44"/>
        <v>492</v>
      </c>
      <c r="N483" s="31">
        <f t="shared" si="45"/>
        <v>426</v>
      </c>
      <c r="O483" s="31">
        <f t="shared" si="46"/>
        <v>481</v>
      </c>
      <c r="P483" s="31">
        <f t="shared" si="47"/>
        <v>436</v>
      </c>
    </row>
    <row r="484" spans="1:16">
      <c r="A484" s="2" t="str">
        <f>'01_원자료'!A481</f>
        <v>RPT-01</v>
      </c>
      <c r="B484" s="2" t="str">
        <f>'01_원자료'!B481</f>
        <v>qwen3_6</v>
      </c>
      <c r="C484" s="2" t="str">
        <f>'01_원자료'!C481</f>
        <v>qwen</v>
      </c>
      <c r="E484" s="17">
        <f>'01_원자료'!P481*'03_가중치민감도'!$B$5+'01_원자료'!Q481*'03_가중치민감도'!$C$5+'01_원자료'!R481*'03_가중치민감도'!$D$5</f>
        <v>0.75507295308515665</v>
      </c>
      <c r="F484" s="17">
        <f>'01_원자료'!P481*'03_가중치민감도'!$B$6+'01_원자료'!Q481*'03_가중치민감도'!$C$6+'01_원자료'!R481*'03_가중치민감도'!$D$6</f>
        <v>0.6644868918602026</v>
      </c>
      <c r="G484" s="17">
        <f>'01_원자료'!P481*'03_가중치민감도'!$B$7+'01_원자료'!Q481*'03_가중치민감도'!$C$7+'01_원자료'!R481*'03_가중치민감도'!$D$7</f>
        <v>0.7471220730904039</v>
      </c>
      <c r="H484" s="17">
        <f>'01_원자료'!P481*'03_가중치민감도'!$B$8+'01_원자료'!Q481*'03_가중치민감도'!$C$8+'01_원자료'!R481*'03_가중치민감도'!$D$8</f>
        <v>0.7948273530589206</v>
      </c>
      <c r="I484" s="17">
        <f>'01_원자료'!P481*'03_가중치민감도'!$B$9+'01_원자료'!Q481*'03_가중치민감도'!$C$9+'01_원자료'!R481*'03_가중치민감도'!$D$9</f>
        <v>0.6973325389334375</v>
      </c>
      <c r="J484" s="17">
        <f>'01_원자료'!P481*'03_가중치민감도'!$B$10+'01_원자료'!Q481*'03_가중치민감도'!$C$10+'01_원자료'!R481*'03_가중치민감도'!$D$10</f>
        <v>0.86156077429961631</v>
      </c>
      <c r="K484" s="31">
        <f t="shared" si="42"/>
        <v>959</v>
      </c>
      <c r="L484" s="31">
        <f t="shared" si="43"/>
        <v>965</v>
      </c>
      <c r="M484" s="31">
        <f t="shared" si="44"/>
        <v>958</v>
      </c>
      <c r="N484" s="31">
        <f t="shared" si="45"/>
        <v>965</v>
      </c>
      <c r="O484" s="31">
        <f t="shared" si="46"/>
        <v>965</v>
      </c>
      <c r="P484" s="31">
        <f t="shared" si="47"/>
        <v>921</v>
      </c>
    </row>
    <row r="485" spans="1:16">
      <c r="A485" s="2" t="str">
        <f>'01_원자료'!A482</f>
        <v>RPT-02</v>
      </c>
      <c r="B485" s="2" t="str">
        <f>'01_원자료'!B482</f>
        <v>chatgpt</v>
      </c>
      <c r="C485" s="2" t="str">
        <f>'01_원자료'!C482</f>
        <v>gemma</v>
      </c>
      <c r="E485" s="17">
        <f>'01_원자료'!P482*'03_가중치민감도'!$B$5+'01_원자료'!Q482*'03_가중치민감도'!$C$5+'01_원자료'!R482*'03_가중치민감도'!$D$5</f>
        <v>0.54399797955656859</v>
      </c>
      <c r="F485" s="17">
        <f>'01_원자료'!P482*'03_가중치민감도'!$B$6+'01_원자료'!Q482*'03_가중치민감도'!$C$6+'01_원자료'!R482*'03_가중치민감도'!$D$6</f>
        <v>0.45698924343946701</v>
      </c>
      <c r="G485" s="17">
        <f>'01_원자료'!P482*'03_가중치민감도'!$B$7+'01_원자료'!Q482*'03_가중치민감도'!$C$7+'01_원자료'!R482*'03_가중치민감도'!$D$7</f>
        <v>0.54856424305107077</v>
      </c>
      <c r="H485" s="17">
        <f>'01_원자료'!P482*'03_가중치민감도'!$B$8+'01_원자료'!Q482*'03_가중치민감도'!$C$8+'01_원자료'!R482*'03_가중치민감도'!$D$8</f>
        <v>0.5211666620840576</v>
      </c>
      <c r="I485" s="17">
        <f>'01_원자료'!P482*'03_가중치민감도'!$B$9+'01_원자료'!Q482*'03_가중치민감도'!$C$9+'01_원자료'!R482*'03_가중치민감도'!$D$9</f>
        <v>0.48447006764699962</v>
      </c>
      <c r="J485" s="17">
        <f>'01_원자료'!P482*'03_가중치민감도'!$B$10+'01_원자료'!Q482*'03_가중치민감도'!$C$10+'01_원자료'!R482*'03_가중치민감도'!$D$10</f>
        <v>0.62187418868466571</v>
      </c>
      <c r="K485" s="31">
        <f t="shared" si="42"/>
        <v>183</v>
      </c>
      <c r="L485" s="31">
        <f t="shared" si="43"/>
        <v>165</v>
      </c>
      <c r="M485" s="31">
        <f t="shared" si="44"/>
        <v>148</v>
      </c>
      <c r="N485" s="31">
        <f t="shared" si="45"/>
        <v>259</v>
      </c>
      <c r="O485" s="31">
        <f t="shared" si="46"/>
        <v>179</v>
      </c>
      <c r="P485" s="31">
        <f t="shared" si="47"/>
        <v>246</v>
      </c>
    </row>
    <row r="486" spans="1:16">
      <c r="A486" s="2" t="str">
        <f>'01_원자료'!A483</f>
        <v>RPT-02</v>
      </c>
      <c r="B486" s="2" t="str">
        <f>'01_원자료'!B483</f>
        <v>chatgpt</v>
      </c>
      <c r="C486" s="2" t="str">
        <f>'01_원자료'!C483</f>
        <v>ministral</v>
      </c>
      <c r="E486" s="17">
        <f>'01_원자료'!P483*'03_가중치민감도'!$B$5+'01_원자료'!Q483*'03_가중치민감도'!$C$5+'01_원자료'!R483*'03_가중치민감도'!$D$5</f>
        <v>0.55229641651610684</v>
      </c>
      <c r="F486" s="17">
        <f>'01_원자료'!P483*'03_가중치민감도'!$B$6+'01_원자료'!Q483*'03_가중치민감도'!$C$6+'01_원자료'!R483*'03_가중치민감도'!$D$6</f>
        <v>0.47112174395060918</v>
      </c>
      <c r="G486" s="17">
        <f>'01_원자료'!P483*'03_가중치민감도'!$B$7+'01_원자료'!Q483*'03_가중치민감도'!$C$7+'01_원자료'!R483*'03_가중치민감도'!$D$7</f>
        <v>0.56371140493372596</v>
      </c>
      <c r="H486" s="17">
        <f>'01_원자료'!P483*'03_가중치민감도'!$B$8+'01_원자료'!Q483*'03_가중치민감도'!$C$8+'01_원자료'!R483*'03_가중치민감도'!$D$8</f>
        <v>0.49522147442801134</v>
      </c>
      <c r="I486" s="17">
        <f>'01_원자료'!P483*'03_가중치민감도'!$B$9+'01_원자료'!Q483*'03_가중치민감도'!$C$9+'01_원자료'!R483*'03_가중치민감도'!$D$9</f>
        <v>0.49437497199990155</v>
      </c>
      <c r="J486" s="17">
        <f>'01_원자료'!P483*'03_가중치민감도'!$B$10+'01_원자료'!Q483*'03_가중치민감도'!$C$10+'01_원자료'!R483*'03_가중치민감도'!$D$10</f>
        <v>0.61064111224636641</v>
      </c>
      <c r="K486" s="31">
        <f t="shared" si="42"/>
        <v>214</v>
      </c>
      <c r="L486" s="31">
        <f t="shared" si="43"/>
        <v>223</v>
      </c>
      <c r="M486" s="31">
        <f t="shared" si="44"/>
        <v>215</v>
      </c>
      <c r="N486" s="31">
        <f t="shared" si="45"/>
        <v>214</v>
      </c>
      <c r="O486" s="31">
        <f t="shared" si="46"/>
        <v>218</v>
      </c>
      <c r="P486" s="31">
        <f t="shared" si="47"/>
        <v>214</v>
      </c>
    </row>
    <row r="487" spans="1:16">
      <c r="A487" s="2" t="str">
        <f>'01_원자료'!A484</f>
        <v>RPT-02</v>
      </c>
      <c r="B487" s="2" t="str">
        <f>'01_원자료'!B484</f>
        <v>chatgpt</v>
      </c>
      <c r="C487" s="2" t="str">
        <f>'01_원자료'!C484</f>
        <v>qwen</v>
      </c>
      <c r="E487" s="17">
        <f>'01_원자료'!P484*'03_가중치민감도'!$B$5+'01_원자료'!Q484*'03_가중치민감도'!$C$5+'01_원자료'!R484*'03_가중치민감도'!$D$5</f>
        <v>0.5433285800243246</v>
      </c>
      <c r="F487" s="17">
        <f>'01_원자료'!P484*'03_가중치민감도'!$B$6+'01_원자료'!Q484*'03_가중치민감도'!$C$6+'01_원자료'!R484*'03_가중치민감도'!$D$6</f>
        <v>0.46833984235637938</v>
      </c>
      <c r="G487" s="17">
        <f>'01_원자료'!P484*'03_가중치민감도'!$B$7+'01_원자료'!Q484*'03_가중치민감도'!$C$7+'01_원자료'!R484*'03_가중치민감도'!$D$7</f>
        <v>0.5528330888607399</v>
      </c>
      <c r="H487" s="17">
        <f>'01_원자료'!P484*'03_가중치민감도'!$B$8+'01_원자료'!Q484*'03_가중치민감도'!$C$8+'01_원자료'!R484*'03_가중치민감도'!$D$8</f>
        <v>0.49580603584224853</v>
      </c>
      <c r="I487" s="17">
        <f>'01_원자료'!P484*'03_가중치민감도'!$B$9+'01_원자료'!Q484*'03_가중치민감도'!$C$9+'01_원자료'!R484*'03_가중치민감도'!$D$9</f>
        <v>0.49016791863355558</v>
      </c>
      <c r="J487" s="17">
        <f>'01_원자료'!P484*'03_가중치민감도'!$B$10+'01_원자료'!Q484*'03_가중치민감도'!$C$10+'01_원자료'!R484*'03_가중치민감도'!$D$10</f>
        <v>0.59930830001943947</v>
      </c>
      <c r="K487" s="31">
        <f t="shared" si="42"/>
        <v>179</v>
      </c>
      <c r="L487" s="31">
        <f t="shared" si="43"/>
        <v>210</v>
      </c>
      <c r="M487" s="31">
        <f t="shared" si="44"/>
        <v>173</v>
      </c>
      <c r="N487" s="31">
        <f t="shared" si="45"/>
        <v>217</v>
      </c>
      <c r="O487" s="31">
        <f t="shared" si="46"/>
        <v>200</v>
      </c>
      <c r="P487" s="31">
        <f t="shared" si="47"/>
        <v>187</v>
      </c>
    </row>
    <row r="488" spans="1:16">
      <c r="A488" s="2" t="str">
        <f>'01_원자료'!A485</f>
        <v>RPT-02</v>
      </c>
      <c r="B488" s="2" t="str">
        <f>'01_원자료'!B485</f>
        <v>claude</v>
      </c>
      <c r="C488" s="2" t="str">
        <f>'01_원자료'!C485</f>
        <v>gemma</v>
      </c>
      <c r="E488" s="17">
        <f>'01_원자료'!P485*'03_가중치민감도'!$B$5+'01_원자료'!Q485*'03_가중치민감도'!$C$5+'01_원자료'!R485*'03_가중치민감도'!$D$5</f>
        <v>0.66063064699852314</v>
      </c>
      <c r="F488" s="17">
        <f>'01_원자료'!P485*'03_가중치민감도'!$B$6+'01_원자료'!Q485*'03_가중치민감도'!$C$6+'01_원자료'!R485*'03_가중치민감도'!$D$6</f>
        <v>0.54929519954720862</v>
      </c>
      <c r="G488" s="17">
        <f>'01_원자료'!P485*'03_가중치민감도'!$B$7+'01_원자료'!Q485*'03_가중치민감도'!$C$7+'01_원자료'!R485*'03_가중치민감도'!$D$7</f>
        <v>0.65395870080237284</v>
      </c>
      <c r="H488" s="17">
        <f>'01_원자료'!P485*'03_가중치민감도'!$B$8+'01_원자료'!Q485*'03_가중치민감도'!$C$8+'01_원자료'!R485*'03_가중치민감도'!$D$8</f>
        <v>0.6939903779792751</v>
      </c>
      <c r="I488" s="17">
        <f>'01_원자료'!P485*'03_가중치민감도'!$B$9+'01_원자료'!Q485*'03_가중치민감도'!$C$9+'01_원자료'!R485*'03_가중치민감도'!$D$9</f>
        <v>0.58863099742969627</v>
      </c>
      <c r="J488" s="17">
        <f>'01_원자료'!P485*'03_가중치민감도'!$B$10+'01_원자료'!Q485*'03_가중치민감도'!$C$10+'01_원자료'!R485*'03_가중치민감도'!$D$10</f>
        <v>0.78530998684213849</v>
      </c>
      <c r="K488" s="31">
        <f t="shared" si="42"/>
        <v>675</v>
      </c>
      <c r="L488" s="31">
        <f t="shared" si="43"/>
        <v>587</v>
      </c>
      <c r="M488" s="31">
        <f t="shared" si="44"/>
        <v>635</v>
      </c>
      <c r="N488" s="31">
        <f t="shared" si="45"/>
        <v>765</v>
      </c>
      <c r="O488" s="31">
        <f t="shared" si="46"/>
        <v>623</v>
      </c>
      <c r="P488" s="31">
        <f t="shared" si="47"/>
        <v>773</v>
      </c>
    </row>
    <row r="489" spans="1:16">
      <c r="A489" s="2" t="str">
        <f>'01_원자료'!A486</f>
        <v>RPT-02</v>
      </c>
      <c r="B489" s="2" t="str">
        <f>'01_원자료'!B486</f>
        <v>claude</v>
      </c>
      <c r="C489" s="2" t="str">
        <f>'01_원자료'!C486</f>
        <v>ministral</v>
      </c>
      <c r="E489" s="17">
        <f>'01_원자료'!P486*'03_가중치민감도'!$B$5+'01_원자료'!Q486*'03_가중치민감도'!$C$5+'01_원자료'!R486*'03_가중치민감도'!$D$5</f>
        <v>0.6141437334291534</v>
      </c>
      <c r="F489" s="17">
        <f>'01_원자료'!P486*'03_가중치민감도'!$B$6+'01_원자료'!Q486*'03_가중치민감도'!$C$6+'01_원자료'!R486*'03_가중치민감도'!$D$6</f>
        <v>0.51439613145214769</v>
      </c>
      <c r="G489" s="17">
        <f>'01_원자료'!P486*'03_가중치민감도'!$B$7+'01_원자료'!Q486*'03_가중치민감도'!$C$7+'01_원자료'!R486*'03_가중치민감도'!$D$7</f>
        <v>0.618729850618286</v>
      </c>
      <c r="H489" s="17">
        <f>'01_원자료'!P486*'03_가중치민감도'!$B$8+'01_원자료'!Q486*'03_가중치민감도'!$C$8+'01_원자료'!R486*'03_가중치민감도'!$D$8</f>
        <v>0.59121314748349008</v>
      </c>
      <c r="I489" s="17">
        <f>'01_원자료'!P486*'03_가중치민감도'!$B$9+'01_원자료'!Q486*'03_가중치민감도'!$C$9+'01_원자료'!R486*'03_가중치민감도'!$D$9</f>
        <v>0.5461166263814381</v>
      </c>
      <c r="J489" s="17">
        <f>'01_원자료'!P486*'03_가중치민감도'!$B$10+'01_원자료'!Q486*'03_가중치민감도'!$C$10+'01_원자료'!R486*'03_가중치민감도'!$D$10</f>
        <v>0.7047191010278937</v>
      </c>
      <c r="K489" s="31">
        <f t="shared" si="42"/>
        <v>457</v>
      </c>
      <c r="L489" s="31">
        <f t="shared" si="43"/>
        <v>437</v>
      </c>
      <c r="M489" s="31">
        <f t="shared" si="44"/>
        <v>460</v>
      </c>
      <c r="N489" s="31">
        <f t="shared" si="45"/>
        <v>466</v>
      </c>
      <c r="O489" s="31">
        <f t="shared" si="46"/>
        <v>446</v>
      </c>
      <c r="P489" s="31">
        <f t="shared" si="47"/>
        <v>479</v>
      </c>
    </row>
    <row r="490" spans="1:16">
      <c r="A490" s="2" t="str">
        <f>'01_원자료'!A487</f>
        <v>RPT-02</v>
      </c>
      <c r="B490" s="2" t="str">
        <f>'01_원자료'!B487</f>
        <v>claude</v>
      </c>
      <c r="C490" s="2" t="str">
        <f>'01_원자료'!C487</f>
        <v>qwen</v>
      </c>
      <c r="E490" s="17">
        <f>'01_원자료'!P487*'03_가중치민감도'!$B$5+'01_원자료'!Q487*'03_가중치민감도'!$C$5+'01_원자료'!R487*'03_가중치민감도'!$D$5</f>
        <v>0.6616764919555389</v>
      </c>
      <c r="F490" s="17">
        <f>'01_원자료'!P487*'03_가중치민감도'!$B$6+'01_원자료'!Q487*'03_가중치민감도'!$C$6+'01_원자료'!R487*'03_가중치민감도'!$D$6</f>
        <v>0.56221946149118418</v>
      </c>
      <c r="G490" s="17">
        <f>'01_원자료'!P487*'03_가중치민감도'!$B$7+'01_원자료'!Q487*'03_가중치민감도'!$C$7+'01_원자료'!R487*'03_가중치민감도'!$D$7</f>
        <v>0.66083288335834689</v>
      </c>
      <c r="H490" s="17">
        <f>'01_원자료'!P487*'03_가중치민감도'!$B$8+'01_원자료'!Q487*'03_가중치민감도'!$C$8+'01_원자료'!R487*'03_가중치민감도'!$D$8</f>
        <v>0.66589453494149897</v>
      </c>
      <c r="I490" s="17">
        <f>'01_원자료'!P487*'03_가중치민감도'!$B$9+'01_원자료'!Q487*'03_가중치민감도'!$C$9+'01_원자료'!R487*'03_가중치민감도'!$D$9</f>
        <v>0.59565300784503261</v>
      </c>
      <c r="J490" s="17">
        <f>'01_원자료'!P487*'03_가중치민감도'!$B$10+'01_원자료'!Q487*'03_가중치민감도'!$C$10+'01_원자료'!R487*'03_가중치민감도'!$D$10</f>
        <v>0.76282073961427754</v>
      </c>
      <c r="K490" s="31">
        <f t="shared" si="42"/>
        <v>681</v>
      </c>
      <c r="L490" s="31">
        <f t="shared" si="43"/>
        <v>649</v>
      </c>
      <c r="M490" s="31">
        <f t="shared" si="44"/>
        <v>673</v>
      </c>
      <c r="N490" s="31">
        <f t="shared" si="45"/>
        <v>689</v>
      </c>
      <c r="O490" s="31">
        <f t="shared" si="46"/>
        <v>663</v>
      </c>
      <c r="P490" s="31">
        <f t="shared" si="47"/>
        <v>701</v>
      </c>
    </row>
    <row r="491" spans="1:16">
      <c r="A491" s="2" t="str">
        <f>'01_원자료'!A488</f>
        <v>RPT-02</v>
      </c>
      <c r="B491" s="2" t="str">
        <f>'01_원자료'!B488</f>
        <v>gemini</v>
      </c>
      <c r="C491" s="2" t="str">
        <f>'01_원자료'!C488</f>
        <v>gemma</v>
      </c>
      <c r="E491" s="17">
        <f>'01_원자료'!P488*'03_가중치민감도'!$B$5+'01_원자료'!Q488*'03_가중치민감도'!$C$5+'01_원자료'!R488*'03_가중치민감도'!$D$5</f>
        <v>0.71759329120759507</v>
      </c>
      <c r="F491" s="17">
        <f>'01_원자료'!P488*'03_가중치민감도'!$B$6+'01_원자료'!Q488*'03_가중치민감도'!$C$6+'01_원자료'!R488*'03_가중치민감도'!$D$6</f>
        <v>0.59777216086644169</v>
      </c>
      <c r="G491" s="17">
        <f>'01_원자료'!P488*'03_가중치민감도'!$B$7+'01_원자료'!Q488*'03_가중치민감도'!$C$7+'01_원자료'!R488*'03_가중치민감도'!$D$7</f>
        <v>0.70895536181606211</v>
      </c>
      <c r="H491" s="17">
        <f>'01_원자료'!P488*'03_가중치민감도'!$B$8+'01_원자료'!Q488*'03_가중치민감도'!$C$8+'01_원자료'!R488*'03_가중치민감도'!$D$8</f>
        <v>0.76078293816525999</v>
      </c>
      <c r="I491" s="17">
        <f>'01_원자료'!P488*'03_가중치민감도'!$B$9+'01_원자료'!Q488*'03_가중치민감도'!$C$9+'01_원자료'!R488*'03_가중치민감도'!$D$9</f>
        <v>0.6405918474440031</v>
      </c>
      <c r="J491" s="17">
        <f>'01_원자료'!P488*'03_가중치민감도'!$B$10+'01_원자료'!Q488*'03_가중치민감도'!$C$10+'01_원자료'!R488*'03_가중치민감도'!$D$10</f>
        <v>0.85469028033181449</v>
      </c>
      <c r="K491" s="31">
        <f t="shared" si="42"/>
        <v>868</v>
      </c>
      <c r="L491" s="31">
        <f t="shared" si="43"/>
        <v>800</v>
      </c>
      <c r="M491" s="31">
        <f t="shared" si="44"/>
        <v>865</v>
      </c>
      <c r="N491" s="31">
        <f t="shared" si="45"/>
        <v>869</v>
      </c>
      <c r="O491" s="31">
        <f t="shared" si="46"/>
        <v>840</v>
      </c>
      <c r="P491" s="31">
        <f t="shared" si="47"/>
        <v>901</v>
      </c>
    </row>
    <row r="492" spans="1:16">
      <c r="A492" s="2" t="str">
        <f>'01_원자료'!A489</f>
        <v>RPT-02</v>
      </c>
      <c r="B492" s="2" t="str">
        <f>'01_원자료'!B489</f>
        <v>gemini</v>
      </c>
      <c r="C492" s="2" t="str">
        <f>'01_원자료'!C489</f>
        <v>ministral</v>
      </c>
      <c r="E492" s="17">
        <f>'01_원자료'!P489*'03_가중치민감도'!$B$5+'01_원자료'!Q489*'03_가중치민감도'!$C$5+'01_원자료'!R489*'03_가중치민감도'!$D$5</f>
        <v>0.64944001041805632</v>
      </c>
      <c r="F492" s="17">
        <f>'01_원자료'!P489*'03_가중치민감도'!$B$6+'01_원자료'!Q489*'03_가중치민감도'!$C$6+'01_원자료'!R489*'03_가중치민감도'!$D$6</f>
        <v>0.5456001845345646</v>
      </c>
      <c r="G492" s="17">
        <f>'01_원자료'!P489*'03_가중치민감도'!$B$7+'01_원자료'!Q489*'03_가중치민감도'!$C$7+'01_원자료'!R489*'03_가중치민감도'!$D$7</f>
        <v>0.65527605227474139</v>
      </c>
      <c r="H492" s="17">
        <f>'01_원자료'!P489*'03_가중치민감도'!$B$8+'01_원자료'!Q489*'03_가중치민감도'!$C$8+'01_원자료'!R489*'03_가중치민감도'!$D$8</f>
        <v>0.62025980113463131</v>
      </c>
      <c r="I492" s="17">
        <f>'01_원자료'!P489*'03_가중치민감도'!$B$9+'01_원자료'!Q489*'03_가중치민감도'!$C$9+'01_원자료'!R489*'03_가중치민감도'!$D$9</f>
        <v>0.57826811254349952</v>
      </c>
      <c r="J492" s="17">
        <f>'01_원자료'!P489*'03_가중치민감도'!$B$10+'01_원자료'!Q489*'03_가중치민감도'!$C$10+'01_원자료'!R489*'03_가중치민감도'!$D$10</f>
        <v>0.74160775258817802</v>
      </c>
      <c r="K492" s="31">
        <f t="shared" si="42"/>
        <v>616</v>
      </c>
      <c r="L492" s="31">
        <f t="shared" si="43"/>
        <v>564</v>
      </c>
      <c r="M492" s="31">
        <f t="shared" si="44"/>
        <v>642</v>
      </c>
      <c r="N492" s="31">
        <f t="shared" si="45"/>
        <v>550</v>
      </c>
      <c r="O492" s="31">
        <f t="shared" si="46"/>
        <v>580</v>
      </c>
      <c r="P492" s="31">
        <f t="shared" si="47"/>
        <v>631</v>
      </c>
    </row>
    <row r="493" spans="1:16">
      <c r="A493" s="2" t="str">
        <f>'01_원자료'!A490</f>
        <v>RPT-02</v>
      </c>
      <c r="B493" s="2" t="str">
        <f>'01_원자료'!B490</f>
        <v>gemini</v>
      </c>
      <c r="C493" s="2" t="str">
        <f>'01_원자료'!C490</f>
        <v>qwen</v>
      </c>
      <c r="E493" s="17">
        <f>'01_원자료'!P490*'03_가중치민감도'!$B$5+'01_원자료'!Q490*'03_가중치민감도'!$C$5+'01_원자료'!R490*'03_가중치민감도'!$D$5</f>
        <v>0.72018646495705685</v>
      </c>
      <c r="F493" s="17">
        <f>'01_원자료'!P490*'03_가중치민감도'!$B$6+'01_원자료'!Q490*'03_가중치민감도'!$C$6+'01_원자료'!R490*'03_가중치민감도'!$D$6</f>
        <v>0.61683205683338427</v>
      </c>
      <c r="G493" s="17">
        <f>'01_원자료'!P490*'03_가중치민감도'!$B$7+'01_원자료'!Q490*'03_가중치민감도'!$C$7+'01_원자료'!R490*'03_가중치민감도'!$D$7</f>
        <v>0.71754175838412249</v>
      </c>
      <c r="H493" s="17">
        <f>'01_원자료'!P490*'03_가중치민감도'!$B$8+'01_원자료'!Q490*'03_가중치민감도'!$C$8+'01_원자료'!R490*'03_가중치민감도'!$D$8</f>
        <v>0.73340999782172878</v>
      </c>
      <c r="I493" s="17">
        <f>'01_원자료'!P490*'03_가중치민감도'!$B$9+'01_원자료'!Q490*'03_가중치민감도'!$C$9+'01_원자료'!R490*'03_가중치민감도'!$D$9</f>
        <v>0.65216509506558595</v>
      </c>
      <c r="J493" s="17">
        <f>'01_원자료'!P490*'03_가중치민감도'!$B$10+'01_원자료'!Q490*'03_가중치민감도'!$C$10+'01_원자료'!R490*'03_가중치민감도'!$D$10</f>
        <v>0.82883028622659827</v>
      </c>
      <c r="K493" s="31">
        <f t="shared" si="42"/>
        <v>880</v>
      </c>
      <c r="L493" s="31">
        <f t="shared" si="43"/>
        <v>882</v>
      </c>
      <c r="M493" s="31">
        <f t="shared" si="44"/>
        <v>897</v>
      </c>
      <c r="N493" s="31">
        <f t="shared" si="45"/>
        <v>838</v>
      </c>
      <c r="O493" s="31">
        <f t="shared" si="46"/>
        <v>876</v>
      </c>
      <c r="P493" s="31">
        <f t="shared" si="47"/>
        <v>850</v>
      </c>
    </row>
    <row r="494" spans="1:16">
      <c r="A494" s="2" t="str">
        <f>'01_원자료'!A491</f>
        <v>RPT-02</v>
      </c>
      <c r="B494" s="2" t="str">
        <f>'01_원자료'!B491</f>
        <v>mistral</v>
      </c>
      <c r="C494" s="2" t="str">
        <f>'01_원자료'!C491</f>
        <v>gemma</v>
      </c>
      <c r="E494" s="17">
        <f>'01_원자료'!P491*'03_가중치민감도'!$B$5+'01_원자료'!Q491*'03_가중치민감도'!$C$5+'01_원자료'!R491*'03_가중치민감도'!$D$5</f>
        <v>0.54633102650659382</v>
      </c>
      <c r="F494" s="17">
        <f>'01_원자료'!P491*'03_가중치민감도'!$B$6+'01_원자료'!Q491*'03_가중치민감도'!$C$6+'01_원자료'!R491*'03_가중치민감도'!$D$6</f>
        <v>0.45964349549273775</v>
      </c>
      <c r="G494" s="17">
        <f>'01_원자료'!P491*'03_가중치민감도'!$B$7+'01_원자료'!Q491*'03_가중치민감도'!$C$7+'01_원자료'!R491*'03_가중치민감도'!$D$7</f>
        <v>0.5538825628900611</v>
      </c>
      <c r="H494" s="17">
        <f>'01_원자료'!P491*'03_가중치민감도'!$B$8+'01_원자료'!Q491*'03_가중치민감도'!$C$8+'01_원자료'!R491*'03_가중치민감도'!$D$8</f>
        <v>0.50857334458925707</v>
      </c>
      <c r="I494" s="17">
        <f>'01_원자료'!P491*'03_가중치민감도'!$B$9+'01_원자료'!Q491*'03_가중치민감도'!$C$9+'01_원자료'!R491*'03_가중치민감도'!$D$9</f>
        <v>0.48602216036953344</v>
      </c>
      <c r="J494" s="17">
        <f>'01_원자료'!P491*'03_가중치민감도'!$B$10+'01_원자료'!Q491*'03_가중치민감도'!$C$10+'01_원자료'!R491*'03_가중치민감도'!$D$10</f>
        <v>0.6179154847535151</v>
      </c>
      <c r="K494" s="31">
        <f t="shared" si="42"/>
        <v>191</v>
      </c>
      <c r="L494" s="31">
        <f t="shared" si="43"/>
        <v>177</v>
      </c>
      <c r="M494" s="31">
        <f t="shared" si="44"/>
        <v>178</v>
      </c>
      <c r="N494" s="31">
        <f t="shared" si="45"/>
        <v>242</v>
      </c>
      <c r="O494" s="31">
        <f t="shared" si="46"/>
        <v>183</v>
      </c>
      <c r="P494" s="31">
        <f t="shared" si="47"/>
        <v>234</v>
      </c>
    </row>
    <row r="495" spans="1:16">
      <c r="A495" s="2" t="str">
        <f>'01_원자료'!A492</f>
        <v>RPT-02</v>
      </c>
      <c r="B495" s="2" t="str">
        <f>'01_원자료'!B492</f>
        <v>mistral</v>
      </c>
      <c r="C495" s="2" t="str">
        <f>'01_원자료'!C492</f>
        <v>ministral</v>
      </c>
      <c r="E495" s="17">
        <f>'01_원자료'!P492*'03_가중치민감도'!$B$5+'01_원자료'!Q492*'03_가중치민감도'!$C$5+'01_원자료'!R492*'03_가중치민감도'!$D$5</f>
        <v>0.59411526467849862</v>
      </c>
      <c r="F495" s="17">
        <f>'01_원자료'!P492*'03_가중치민감도'!$B$6+'01_원자료'!Q492*'03_가중치민감도'!$C$6+'01_원자료'!R492*'03_가중치민감도'!$D$6</f>
        <v>0.51179536059817399</v>
      </c>
      <c r="G495" s="17">
        <f>'01_원자료'!P492*'03_가중치민감도'!$B$7+'01_원자료'!Q492*'03_가중치민감도'!$C$7+'01_원자료'!R492*'03_가중치민감도'!$D$7</f>
        <v>0.60138785485112511</v>
      </c>
      <c r="H495" s="17">
        <f>'01_원자료'!P492*'03_가중치민감도'!$B$8+'01_원자료'!Q492*'03_가중치민감도'!$C$8+'01_원자료'!R492*'03_가중치민감도'!$D$8</f>
        <v>0.55775231381536672</v>
      </c>
      <c r="I495" s="17">
        <f>'01_원자료'!P492*'03_가중치민감도'!$B$9+'01_원자료'!Q492*'03_가중치민감도'!$C$9+'01_원자료'!R492*'03_가중치민감도'!$D$9</f>
        <v>0.53681113190073948</v>
      </c>
      <c r="J495" s="17">
        <f>'01_원자료'!P492*'03_가중치민감도'!$B$10+'01_원자료'!Q492*'03_가중치민감도'!$C$10+'01_원자료'!R492*'03_가중치민감도'!$D$10</f>
        <v>0.66188998841357072</v>
      </c>
      <c r="K495" s="31">
        <f t="shared" si="42"/>
        <v>359</v>
      </c>
      <c r="L495" s="31">
        <f t="shared" si="43"/>
        <v>421</v>
      </c>
      <c r="M495" s="31">
        <f t="shared" si="44"/>
        <v>368</v>
      </c>
      <c r="N495" s="31">
        <f t="shared" si="45"/>
        <v>364</v>
      </c>
      <c r="O495" s="31">
        <f t="shared" si="46"/>
        <v>398</v>
      </c>
      <c r="P495" s="31">
        <f t="shared" si="47"/>
        <v>334</v>
      </c>
    </row>
    <row r="496" spans="1:16">
      <c r="A496" s="2" t="str">
        <f>'01_원자료'!A493</f>
        <v>RPT-02</v>
      </c>
      <c r="B496" s="2" t="str">
        <f>'01_원자료'!B493</f>
        <v>mistral</v>
      </c>
      <c r="C496" s="2" t="str">
        <f>'01_원자료'!C493</f>
        <v>qwen</v>
      </c>
      <c r="E496" s="17">
        <f>'01_원자료'!P493*'03_가중치민감도'!$B$5+'01_원자료'!Q493*'03_가중치민감도'!$C$5+'01_원자료'!R493*'03_가중치민감도'!$D$5</f>
        <v>0.58871135715002698</v>
      </c>
      <c r="F496" s="17">
        <f>'01_원자료'!P493*'03_가중치민감도'!$B$6+'01_원자료'!Q493*'03_가중치민감도'!$C$6+'01_원자료'!R493*'03_가중치민감도'!$D$6</f>
        <v>0.50524458242914361</v>
      </c>
      <c r="G496" s="17">
        <f>'01_원자료'!P493*'03_가중치민감도'!$B$7+'01_원자료'!Q493*'03_가중치민감도'!$C$7+'01_원자료'!R493*'03_가중치민감도'!$D$7</f>
        <v>0.59557931130485553</v>
      </c>
      <c r="H496" s="17">
        <f>'01_원자료'!P493*'03_가중치민감도'!$B$8+'01_원자료'!Q493*'03_가중치민감도'!$C$8+'01_원자료'!R493*'03_가중치민감도'!$D$8</f>
        <v>0.55437158637588446</v>
      </c>
      <c r="I496" s="17">
        <f>'01_원자료'!P493*'03_가중치민감도'!$B$9+'01_원자료'!Q493*'03_가중치민감도'!$C$9+'01_원자료'!R493*'03_가중치민감도'!$D$9</f>
        <v>0.53077752261782796</v>
      </c>
      <c r="J496" s="17">
        <f>'01_원자료'!P493*'03_가중치민감도'!$B$10+'01_원자료'!Q493*'03_가중치민감도'!$C$10+'01_원자료'!R493*'03_가중치민감도'!$D$10</f>
        <v>0.65844222356125348</v>
      </c>
      <c r="K496" s="31">
        <f t="shared" si="42"/>
        <v>346</v>
      </c>
      <c r="L496" s="31">
        <f t="shared" si="43"/>
        <v>391</v>
      </c>
      <c r="M496" s="31">
        <f t="shared" si="44"/>
        <v>345</v>
      </c>
      <c r="N496" s="31">
        <f t="shared" si="45"/>
        <v>354</v>
      </c>
      <c r="O496" s="31">
        <f t="shared" si="46"/>
        <v>376</v>
      </c>
      <c r="P496" s="31">
        <f t="shared" si="47"/>
        <v>327</v>
      </c>
    </row>
    <row r="497" spans="1:16">
      <c r="A497" s="2" t="str">
        <f>'01_원자료'!A494</f>
        <v>RPT-02</v>
      </c>
      <c r="B497" s="2" t="str">
        <f>'01_원자료'!B494</f>
        <v>qwen3_6</v>
      </c>
      <c r="C497" s="2" t="str">
        <f>'01_원자료'!C494</f>
        <v>gemma</v>
      </c>
      <c r="E497" s="17">
        <f>'01_원자료'!P494*'03_가중치민감도'!$B$5+'01_원자료'!Q494*'03_가중치민감도'!$C$5+'01_원자료'!R494*'03_가중치민감도'!$D$5</f>
        <v>0.69133052435524101</v>
      </c>
      <c r="F497" s="17">
        <f>'01_원자료'!P494*'03_가중치민감도'!$B$6+'01_원자료'!Q494*'03_가중치민감도'!$C$6+'01_원자료'!R494*'03_가중치민감도'!$D$6</f>
        <v>0.57734432737371422</v>
      </c>
      <c r="G497" s="17">
        <f>'01_원자료'!P494*'03_가중치민감도'!$B$7+'01_원자료'!Q494*'03_가중치민감도'!$C$7+'01_원자료'!R494*'03_가중치민감도'!$D$7</f>
        <v>0.68001778661270951</v>
      </c>
      <c r="H497" s="17">
        <f>'01_원자료'!P494*'03_가중치민감도'!$B$8+'01_원자료'!Q494*'03_가중치민감도'!$C$8+'01_원자료'!R494*'03_가중치민감도'!$D$8</f>
        <v>0.74789421306789783</v>
      </c>
      <c r="I497" s="17">
        <f>'01_원자료'!P494*'03_가중치민감도'!$B$9+'01_원자료'!Q494*'03_가중치민감도'!$C$9+'01_원자료'!R494*'03_가중치민감도'!$D$9</f>
        <v>0.61911063894839957</v>
      </c>
      <c r="J497" s="17">
        <f>'01_원자료'!P494*'03_가중치민감도'!$B$10+'01_원자료'!Q494*'03_가중치민감도'!$C$10+'01_원자료'!R494*'03_가중치민감도'!$D$10</f>
        <v>0.82794219682183046</v>
      </c>
      <c r="K497" s="31">
        <f t="shared" si="42"/>
        <v>791</v>
      </c>
      <c r="L497" s="31">
        <f t="shared" si="43"/>
        <v>725</v>
      </c>
      <c r="M497" s="31">
        <f t="shared" si="44"/>
        <v>763</v>
      </c>
      <c r="N497" s="31">
        <f t="shared" si="45"/>
        <v>845</v>
      </c>
      <c r="O497" s="31">
        <f t="shared" si="46"/>
        <v>760</v>
      </c>
      <c r="P497" s="31">
        <f t="shared" si="47"/>
        <v>848</v>
      </c>
    </row>
    <row r="498" spans="1:16">
      <c r="A498" s="2" t="str">
        <f>'01_원자료'!A495</f>
        <v>RPT-02</v>
      </c>
      <c r="B498" s="2" t="str">
        <f>'01_원자료'!B495</f>
        <v>qwen3_6</v>
      </c>
      <c r="C498" s="2" t="str">
        <f>'01_원자료'!C495</f>
        <v>ministral</v>
      </c>
      <c r="E498" s="17">
        <f>'01_원자료'!P495*'03_가중치민감도'!$B$5+'01_원자료'!Q495*'03_가중치민감도'!$C$5+'01_원자료'!R495*'03_가중치민감도'!$D$5</f>
        <v>0.62149308843971651</v>
      </c>
      <c r="F498" s="17">
        <f>'01_원자료'!P495*'03_가중치민감도'!$B$6+'01_원자료'!Q495*'03_가중치민감도'!$C$6+'01_원자료'!R495*'03_가중치민감도'!$D$6</f>
        <v>0.52951462697114349</v>
      </c>
      <c r="G498" s="17">
        <f>'01_원자료'!P495*'03_가중치민감도'!$B$7+'01_원자료'!Q495*'03_가중치민감도'!$C$7+'01_원자료'!R495*'03_가중치민감도'!$D$7</f>
        <v>0.62401177309696343</v>
      </c>
      <c r="H498" s="17">
        <f>'01_원자료'!P495*'03_가중치민감도'!$B$8+'01_원자료'!Q495*'03_가중치민감도'!$C$8+'01_원자료'!R495*'03_가중치민감도'!$D$8</f>
        <v>0.60889966515348259</v>
      </c>
      <c r="I498" s="17">
        <f>'01_원자료'!P495*'03_가중치민감도'!$B$9+'01_원자료'!Q495*'03_가중치민감도'!$C$9+'01_원자료'!R495*'03_가중치민감도'!$D$9</f>
        <v>0.55933455257491826</v>
      </c>
      <c r="J498" s="17">
        <f>'01_원자료'!P495*'03_가중치민감도'!$B$10+'01_원자료'!Q495*'03_가중치민감도'!$C$10+'01_원자료'!R495*'03_가중치민감도'!$D$10</f>
        <v>0.70843418059379615</v>
      </c>
      <c r="K498" s="31">
        <f t="shared" si="42"/>
        <v>494</v>
      </c>
      <c r="L498" s="31">
        <f t="shared" si="43"/>
        <v>497</v>
      </c>
      <c r="M498" s="31">
        <f t="shared" si="44"/>
        <v>485</v>
      </c>
      <c r="N498" s="31">
        <f t="shared" si="45"/>
        <v>519</v>
      </c>
      <c r="O498" s="31">
        <f t="shared" si="46"/>
        <v>498</v>
      </c>
      <c r="P498" s="31">
        <f t="shared" si="47"/>
        <v>490</v>
      </c>
    </row>
    <row r="499" spans="1:16">
      <c r="A499" s="2" t="str">
        <f>'01_원자료'!A496</f>
        <v>RPT-02</v>
      </c>
      <c r="B499" s="2" t="str">
        <f>'01_원자료'!B496</f>
        <v>qwen3_6</v>
      </c>
      <c r="C499" s="2" t="str">
        <f>'01_원자료'!C496</f>
        <v>qwen</v>
      </c>
      <c r="E499" s="17">
        <f>'01_원자료'!P496*'03_가중치민감도'!$B$5+'01_원자료'!Q496*'03_가중치민감도'!$C$5+'01_원자료'!R496*'03_가중치민감도'!$D$5</f>
        <v>0.69456263598423407</v>
      </c>
      <c r="F499" s="17">
        <f>'01_원자료'!P496*'03_가중치민감도'!$B$6+'01_원자료'!Q496*'03_가중치민감도'!$C$6+'01_원자료'!R496*'03_가중치민감도'!$D$6</f>
        <v>0.60141478323601349</v>
      </c>
      <c r="G499" s="17">
        <f>'01_원자료'!P496*'03_가중치민감도'!$B$7+'01_원자료'!Q496*'03_가중치민감도'!$C$7+'01_원자료'!R496*'03_가중치민감도'!$D$7</f>
        <v>0.68893206404894347</v>
      </c>
      <c r="H499" s="17">
        <f>'01_원자료'!P496*'03_가중치민감도'!$B$8+'01_원자료'!Q496*'03_가중치민감도'!$C$8+'01_원자료'!R496*'03_가중치민감도'!$D$8</f>
        <v>0.72271549566068716</v>
      </c>
      <c r="I499" s="17">
        <f>'01_원자료'!P496*'03_가중치민감도'!$B$9+'01_원자료'!Q496*'03_가중치민감도'!$C$9+'01_원자료'!R496*'03_가중치민감도'!$D$9</f>
        <v>0.63434092479718318</v>
      </c>
      <c r="J499" s="17">
        <f>'01_원자료'!P496*'03_가중치민감도'!$B$10+'01_원자료'!Q496*'03_가중치민감도'!$C$10+'01_원자료'!R496*'03_가중치민감도'!$D$10</f>
        <v>0.79897163260303594</v>
      </c>
      <c r="K499" s="31">
        <f t="shared" si="42"/>
        <v>804</v>
      </c>
      <c r="L499" s="31">
        <f t="shared" si="43"/>
        <v>820</v>
      </c>
      <c r="M499" s="31">
        <f t="shared" si="44"/>
        <v>792</v>
      </c>
      <c r="N499" s="31">
        <f t="shared" si="45"/>
        <v>830</v>
      </c>
      <c r="O499" s="31">
        <f t="shared" si="46"/>
        <v>813</v>
      </c>
      <c r="P499" s="31">
        <f t="shared" si="47"/>
        <v>815</v>
      </c>
    </row>
    <row r="500" spans="1:16">
      <c r="A500" s="2" t="str">
        <f>'01_원자료'!A497</f>
        <v>RPT-03</v>
      </c>
      <c r="B500" s="2" t="str">
        <f>'01_원자료'!B497</f>
        <v>chatgpt</v>
      </c>
      <c r="C500" s="2" t="str">
        <f>'01_원자료'!C497</f>
        <v>gemma</v>
      </c>
      <c r="E500" s="17">
        <f>'01_원자료'!P497*'03_가중치민감도'!$B$5+'01_원자료'!Q497*'03_가중치민감도'!$C$5+'01_원자료'!R497*'03_가중치민감도'!$D$5</f>
        <v>0.57211313021646981</v>
      </c>
      <c r="F500" s="17">
        <f>'01_원자료'!P497*'03_가중치민감도'!$B$6+'01_원자료'!Q497*'03_가중치민감도'!$C$6+'01_원자료'!R497*'03_가중치민감도'!$D$6</f>
        <v>0.47627787993815529</v>
      </c>
      <c r="G500" s="17">
        <f>'01_원자료'!P497*'03_가중치민감도'!$B$7+'01_원자료'!Q497*'03_가중치민감도'!$C$7+'01_원자료'!R497*'03_가중치민감도'!$D$7</f>
        <v>0.57975786577939814</v>
      </c>
      <c r="H500" s="17">
        <f>'01_원자료'!P497*'03_가중치민감도'!$B$8+'01_원자료'!Q497*'03_가중치민감도'!$C$8+'01_원자료'!R497*'03_가중치민감도'!$D$8</f>
        <v>0.53388945240182784</v>
      </c>
      <c r="I500" s="17">
        <f>'01_원자료'!P497*'03_가중치민감도'!$B$9+'01_원자료'!Q497*'03_가중치민감도'!$C$9+'01_원자료'!R497*'03_가중치민감도'!$D$9</f>
        <v>0.5056747181766168</v>
      </c>
      <c r="J500" s="17">
        <f>'01_원자료'!P497*'03_가중치민감도'!$B$10+'01_원자료'!Q497*'03_가중치민감도'!$C$10+'01_원자료'!R497*'03_가중치민감도'!$D$10</f>
        <v>0.65265890936892745</v>
      </c>
      <c r="K500" s="31">
        <f t="shared" si="42"/>
        <v>296</v>
      </c>
      <c r="L500" s="31">
        <f t="shared" si="43"/>
        <v>248</v>
      </c>
      <c r="M500" s="31">
        <f t="shared" si="44"/>
        <v>290</v>
      </c>
      <c r="N500" s="31">
        <f t="shared" si="45"/>
        <v>290</v>
      </c>
      <c r="O500" s="31">
        <f t="shared" si="46"/>
        <v>266</v>
      </c>
      <c r="P500" s="31">
        <f t="shared" si="47"/>
        <v>312</v>
      </c>
    </row>
    <row r="501" spans="1:16">
      <c r="A501" s="2" t="str">
        <f>'01_원자료'!A498</f>
        <v>RPT-03</v>
      </c>
      <c r="B501" s="2" t="str">
        <f>'01_원자료'!B498</f>
        <v>chatgpt</v>
      </c>
      <c r="C501" s="2" t="str">
        <f>'01_원자료'!C498</f>
        <v>ministral</v>
      </c>
      <c r="E501" s="17">
        <f>'01_원자료'!P498*'03_가중치민감도'!$B$5+'01_원자료'!Q498*'03_가중치민감도'!$C$5+'01_원자료'!R498*'03_가중치민감도'!$D$5</f>
        <v>0.56570670692416547</v>
      </c>
      <c r="F501" s="17">
        <f>'01_원자료'!P498*'03_가중치민감도'!$B$6+'01_원자료'!Q498*'03_가중치민감도'!$C$6+'01_원자료'!R498*'03_가중치민감도'!$D$6</f>
        <v>0.46437283989680672</v>
      </c>
      <c r="G501" s="17">
        <f>'01_원자료'!P498*'03_가중치민감도'!$B$7+'01_원자료'!Q498*'03_가중치민감도'!$C$7+'01_원자료'!R498*'03_가중치민감도'!$D$7</f>
        <v>0.5798432440609711</v>
      </c>
      <c r="H501" s="17">
        <f>'01_원자료'!P498*'03_가중치민감도'!$B$8+'01_원자료'!Q498*'03_가중치민감도'!$C$8+'01_원자료'!R498*'03_가중치민감도'!$D$8</f>
        <v>0.49502402124013667</v>
      </c>
      <c r="I501" s="17">
        <f>'01_원자료'!P498*'03_가중치민감도'!$B$9+'01_원자료'!Q498*'03_가중치민감도'!$C$9+'01_원자료'!R498*'03_가중치민감도'!$D$9</f>
        <v>0.4934386165269905</v>
      </c>
      <c r="J501" s="17">
        <f>'01_원자료'!P498*'03_가중치민감도'!$B$10+'01_원자료'!Q498*'03_가중치민감도'!$C$10+'01_원자료'!R498*'03_가중치민감도'!$D$10</f>
        <v>0.63876749967791258</v>
      </c>
      <c r="K501" s="31">
        <f t="shared" si="42"/>
        <v>269</v>
      </c>
      <c r="L501" s="31">
        <f t="shared" si="43"/>
        <v>197</v>
      </c>
      <c r="M501" s="31">
        <f t="shared" si="44"/>
        <v>291</v>
      </c>
      <c r="N501" s="31">
        <f t="shared" si="45"/>
        <v>213</v>
      </c>
      <c r="O501" s="31">
        <f t="shared" si="46"/>
        <v>212</v>
      </c>
      <c r="P501" s="31">
        <f t="shared" si="47"/>
        <v>284</v>
      </c>
    </row>
    <row r="502" spans="1:16">
      <c r="A502" s="2" t="str">
        <f>'01_원자료'!A499</f>
        <v>RPT-03</v>
      </c>
      <c r="B502" s="2" t="str">
        <f>'01_원자료'!B499</f>
        <v>chatgpt</v>
      </c>
      <c r="C502" s="2" t="str">
        <f>'01_원자료'!C499</f>
        <v>qwen</v>
      </c>
      <c r="E502" s="17">
        <f>'01_원자료'!P499*'03_가중치민감도'!$B$5+'01_원자료'!Q499*'03_가중치민감도'!$C$5+'01_원자료'!R499*'03_가중치민감도'!$D$5</f>
        <v>0.61729493585047823</v>
      </c>
      <c r="F502" s="17">
        <f>'01_원자료'!P499*'03_가중치민감도'!$B$6+'01_원자료'!Q499*'03_가중치민감도'!$C$6+'01_원자료'!R499*'03_가중치민감도'!$D$6</f>
        <v>0.53874838307447803</v>
      </c>
      <c r="G502" s="17">
        <f>'01_원자료'!P499*'03_가중치민감도'!$B$7+'01_원자료'!Q499*'03_가중치민감도'!$C$7+'01_원자료'!R499*'03_가중치민감도'!$D$7</f>
        <v>0.62726409709104769</v>
      </c>
      <c r="H502" s="17">
        <f>'01_원자료'!P499*'03_가중치민감도'!$B$8+'01_원자료'!Q499*'03_가중치민감도'!$C$8+'01_원자료'!R499*'03_가중치민감도'!$D$8</f>
        <v>0.56744912964763039</v>
      </c>
      <c r="I502" s="17">
        <f>'01_원자료'!P499*'03_가중치민감도'!$B$9+'01_원자료'!Q499*'03_가중치민감도'!$C$9+'01_원자료'!R499*'03_가중치민감도'!$D$9</f>
        <v>0.56160751358628758</v>
      </c>
      <c r="J502" s="17">
        <f>'01_원자료'!P499*'03_가중치민감도'!$B$10+'01_원자료'!Q499*'03_가중치민감도'!$C$10+'01_원자료'!R499*'03_가중치민감도'!$D$10</f>
        <v>0.67590316614533918</v>
      </c>
      <c r="K502" s="31">
        <f t="shared" si="42"/>
        <v>476</v>
      </c>
      <c r="L502" s="31">
        <f t="shared" si="43"/>
        <v>540</v>
      </c>
      <c r="M502" s="31">
        <f t="shared" si="44"/>
        <v>501</v>
      </c>
      <c r="N502" s="31">
        <f t="shared" si="45"/>
        <v>391</v>
      </c>
      <c r="O502" s="31">
        <f t="shared" si="46"/>
        <v>509</v>
      </c>
      <c r="P502" s="31">
        <f t="shared" si="47"/>
        <v>375</v>
      </c>
    </row>
    <row r="503" spans="1:16">
      <c r="A503" s="2" t="str">
        <f>'01_원자료'!A500</f>
        <v>RPT-03</v>
      </c>
      <c r="B503" s="2" t="str">
        <f>'01_원자료'!B500</f>
        <v>claude</v>
      </c>
      <c r="C503" s="2" t="str">
        <f>'01_원자료'!C500</f>
        <v>gemma</v>
      </c>
      <c r="E503" s="17">
        <f>'01_원자료'!P500*'03_가중치민감도'!$B$5+'01_원자료'!Q500*'03_가중치민감도'!$C$5+'01_원자료'!R500*'03_가중치민감도'!$D$5</f>
        <v>0.60732771684855569</v>
      </c>
      <c r="F503" s="17">
        <f>'01_원자료'!P500*'03_가중치민감도'!$B$6+'01_원자료'!Q500*'03_가중치민감도'!$C$6+'01_원자료'!R500*'03_가중치민감도'!$D$6</f>
        <v>0.51335341194765316</v>
      </c>
      <c r="G503" s="17">
        <f>'01_원자료'!P500*'03_가중치민감도'!$B$7+'01_원자료'!Q500*'03_가중치민감도'!$C$7+'01_원자료'!R500*'03_가중치민감도'!$D$7</f>
        <v>0.60775983625888863</v>
      </c>
      <c r="H503" s="17">
        <f>'01_원자료'!P500*'03_가중치민감도'!$B$8+'01_원자료'!Q500*'03_가중치민감도'!$C$8+'01_원자료'!R500*'03_가중치민감도'!$D$8</f>
        <v>0.60516711979689086</v>
      </c>
      <c r="I503" s="17">
        <f>'01_원자료'!P500*'03_가중치민감도'!$B$9+'01_원자료'!Q500*'03_가중치민감도'!$C$9+'01_원자료'!R500*'03_가중치민감도'!$D$9</f>
        <v>0.5445341404445091</v>
      </c>
      <c r="J503" s="17">
        <f>'01_원자료'!P500*'03_가중치민감도'!$B$10+'01_원자료'!Q500*'03_가중치민감도'!$C$10+'01_원자료'!R500*'03_가중치민감도'!$D$10</f>
        <v>0.70043778292879233</v>
      </c>
      <c r="K503" s="31">
        <f t="shared" si="42"/>
        <v>420</v>
      </c>
      <c r="L503" s="31">
        <f t="shared" si="43"/>
        <v>429</v>
      </c>
      <c r="M503" s="31">
        <f t="shared" si="44"/>
        <v>405</v>
      </c>
      <c r="N503" s="31">
        <f t="shared" si="45"/>
        <v>504</v>
      </c>
      <c r="O503" s="31">
        <f t="shared" si="46"/>
        <v>433</v>
      </c>
      <c r="P503" s="31">
        <f t="shared" si="47"/>
        <v>456</v>
      </c>
    </row>
    <row r="504" spans="1:16">
      <c r="A504" s="2" t="str">
        <f>'01_원자료'!A501</f>
        <v>RPT-03</v>
      </c>
      <c r="B504" s="2" t="str">
        <f>'01_원자료'!B501</f>
        <v>claude</v>
      </c>
      <c r="C504" s="2" t="str">
        <f>'01_원자료'!C501</f>
        <v>ministral</v>
      </c>
      <c r="E504" s="17">
        <f>'01_원자료'!P501*'03_가중치민감도'!$B$5+'01_원자료'!Q501*'03_가중치민감도'!$C$5+'01_원자료'!R501*'03_가중치민감도'!$D$5</f>
        <v>0.62279755731672326</v>
      </c>
      <c r="F504" s="17">
        <f>'01_원자료'!P501*'03_가중치민감도'!$B$6+'01_원자료'!Q501*'03_가중치민감도'!$C$6+'01_원자료'!R501*'03_가중치민감도'!$D$6</f>
        <v>0.52495658634723574</v>
      </c>
      <c r="G504" s="17">
        <f>'01_원자료'!P501*'03_가중치민감도'!$B$7+'01_원자료'!Q501*'03_가중치민감도'!$C$7+'01_원자료'!R501*'03_가중치민감도'!$D$7</f>
        <v>0.62569527543039294</v>
      </c>
      <c r="H504" s="17">
        <f>'01_원자료'!P501*'03_가중치민감도'!$B$8+'01_원자료'!Q501*'03_가중치민감도'!$C$8+'01_원자료'!R501*'03_가중치민감도'!$D$8</f>
        <v>0.6083089667483752</v>
      </c>
      <c r="I504" s="17">
        <f>'01_원자료'!P501*'03_가중치민감도'!$B$9+'01_원자료'!Q501*'03_가중치민감도'!$C$9+'01_원자료'!R501*'03_가중치민감도'!$D$9</f>
        <v>0.55660433729917447</v>
      </c>
      <c r="J504" s="17">
        <f>'01_원자료'!P501*'03_가중치민감도'!$B$10+'01_원자료'!Q501*'03_가중치민감도'!$C$10+'01_원자료'!R501*'03_가중치민감도'!$D$10</f>
        <v>0.71484309205887164</v>
      </c>
      <c r="K504" s="31">
        <f t="shared" si="42"/>
        <v>502</v>
      </c>
      <c r="L504" s="31">
        <f t="shared" si="43"/>
        <v>475</v>
      </c>
      <c r="M504" s="31">
        <f t="shared" si="44"/>
        <v>490</v>
      </c>
      <c r="N504" s="31">
        <f t="shared" si="45"/>
        <v>516</v>
      </c>
      <c r="O504" s="31">
        <f t="shared" si="46"/>
        <v>486</v>
      </c>
      <c r="P504" s="31">
        <f t="shared" si="47"/>
        <v>519</v>
      </c>
    </row>
    <row r="505" spans="1:16">
      <c r="A505" s="2" t="str">
        <f>'01_원자료'!A502</f>
        <v>RPT-03</v>
      </c>
      <c r="B505" s="2" t="str">
        <f>'01_원자료'!B502</f>
        <v>claude</v>
      </c>
      <c r="C505" s="2" t="str">
        <f>'01_원자료'!C502</f>
        <v>qwen</v>
      </c>
      <c r="E505" s="17">
        <f>'01_원자료'!P502*'03_가중치민감도'!$B$5+'01_원자료'!Q502*'03_가중치민감도'!$C$5+'01_원자료'!R502*'03_가중치민감도'!$D$5</f>
        <v>0.62623896020163172</v>
      </c>
      <c r="F505" s="17">
        <f>'01_원자료'!P502*'03_가중치민감도'!$B$6+'01_원자료'!Q502*'03_가중치민감도'!$C$6+'01_원자료'!R502*'03_가중치민감도'!$D$6</f>
        <v>0.53161628452878373</v>
      </c>
      <c r="G505" s="17">
        <f>'01_원자료'!P502*'03_가중치민감도'!$B$7+'01_원자료'!Q502*'03_가중치민감도'!$C$7+'01_원자료'!R502*'03_가중치민감도'!$D$7</f>
        <v>0.62830104745571647</v>
      </c>
      <c r="H505" s="17">
        <f>'01_원자료'!P502*'03_가중치민감도'!$B$8+'01_원자료'!Q502*'03_가중치민감도'!$C$8+'01_원자료'!R502*'03_가중치민감도'!$D$8</f>
        <v>0.61592852393120801</v>
      </c>
      <c r="I505" s="17">
        <f>'01_원자료'!P502*'03_가중치민감도'!$B$9+'01_원자료'!Q502*'03_가중치민감도'!$C$9+'01_원자료'!R502*'03_가중치민감도'!$D$9</f>
        <v>0.56246981400170415</v>
      </c>
      <c r="J505" s="17">
        <f>'01_원자료'!P502*'03_가중치민감도'!$B$10+'01_원자료'!Q502*'03_가중치민감도'!$C$10+'01_원자료'!R502*'03_가중치민감도'!$D$10</f>
        <v>0.71673746136631022</v>
      </c>
      <c r="K505" s="31">
        <f t="shared" si="42"/>
        <v>514</v>
      </c>
      <c r="L505" s="31">
        <f t="shared" si="43"/>
        <v>508</v>
      </c>
      <c r="M505" s="31">
        <f t="shared" si="44"/>
        <v>508</v>
      </c>
      <c r="N505" s="31">
        <f t="shared" si="45"/>
        <v>537</v>
      </c>
      <c r="O505" s="31">
        <f t="shared" si="46"/>
        <v>517</v>
      </c>
      <c r="P505" s="31">
        <f t="shared" si="47"/>
        <v>527</v>
      </c>
    </row>
    <row r="506" spans="1:16">
      <c r="A506" s="2" t="str">
        <f>'01_원자료'!A503</f>
        <v>RPT-03</v>
      </c>
      <c r="B506" s="2" t="str">
        <f>'01_원자료'!B503</f>
        <v>gemini</v>
      </c>
      <c r="C506" s="2" t="str">
        <f>'01_원자료'!C503</f>
        <v>gemma</v>
      </c>
      <c r="E506" s="17">
        <f>'01_원자료'!P503*'03_가중치민감도'!$B$5+'01_원자료'!Q503*'03_가중치민감도'!$C$5+'01_원자료'!R503*'03_가중치민감도'!$D$5</f>
        <v>0.74438781450652425</v>
      </c>
      <c r="F506" s="17">
        <f>'01_원자료'!P503*'03_가중치민감도'!$B$6+'01_원자료'!Q503*'03_가중치민감도'!$C$6+'01_원자료'!R503*'03_가중치민감도'!$D$6</f>
        <v>0.62585658201554961</v>
      </c>
      <c r="G506" s="17">
        <f>'01_원자료'!P503*'03_가중치민감도'!$B$7+'01_원자료'!Q503*'03_가중치민감도'!$C$7+'01_원자료'!R503*'03_가중치민감도'!$D$7</f>
        <v>0.73787527056905378</v>
      </c>
      <c r="H506" s="17">
        <f>'01_원자료'!P503*'03_가중치민감도'!$B$8+'01_원자료'!Q503*'03_가중치민감도'!$C$8+'01_원자료'!R503*'03_가중치민감도'!$D$8</f>
        <v>0.7769505341938765</v>
      </c>
      <c r="I506" s="17">
        <f>'01_원자료'!P503*'03_가중치민감도'!$B$9+'01_원자료'!Q503*'03_가중치민감도'!$C$9+'01_원자료'!R503*'03_가중치민감도'!$D$9</f>
        <v>0.66753784082503065</v>
      </c>
      <c r="J506" s="17">
        <f>'01_원자료'!P503*'03_가중치민감도'!$B$10+'01_원자료'!Q503*'03_가중치민감도'!$C$10+'01_원자료'!R503*'03_가중치민감도'!$D$10</f>
        <v>0.87594413487243983</v>
      </c>
      <c r="K506" s="31">
        <f t="shared" si="42"/>
        <v>941</v>
      </c>
      <c r="L506" s="31">
        <f t="shared" si="43"/>
        <v>914</v>
      </c>
      <c r="M506" s="31">
        <f t="shared" si="44"/>
        <v>944</v>
      </c>
      <c r="N506" s="31">
        <f t="shared" si="45"/>
        <v>924</v>
      </c>
      <c r="O506" s="31">
        <f t="shared" si="46"/>
        <v>922</v>
      </c>
      <c r="P506" s="31">
        <f t="shared" si="47"/>
        <v>957</v>
      </c>
    </row>
    <row r="507" spans="1:16">
      <c r="A507" s="2" t="str">
        <f>'01_원자료'!A504</f>
        <v>RPT-03</v>
      </c>
      <c r="B507" s="2" t="str">
        <f>'01_원자료'!B504</f>
        <v>gemini</v>
      </c>
      <c r="C507" s="2" t="str">
        <f>'01_원자료'!C504</f>
        <v>ministral</v>
      </c>
      <c r="E507" s="17">
        <f>'01_원자료'!P504*'03_가중치민감도'!$B$5+'01_원자료'!Q504*'03_가중치민감도'!$C$5+'01_원자료'!R504*'03_가중치민감도'!$D$5</f>
        <v>0.60834370580925978</v>
      </c>
      <c r="F507" s="17">
        <f>'01_원자료'!P504*'03_가중치민감도'!$B$6+'01_원자료'!Q504*'03_가중치민감도'!$C$6+'01_원자료'!R504*'03_가중치민감도'!$D$6</f>
        <v>0.49293507076766102</v>
      </c>
      <c r="G507" s="17">
        <f>'01_원자료'!P504*'03_가중치민감도'!$B$7+'01_원자료'!Q504*'03_가중치민감도'!$C$7+'01_원자료'!R504*'03_가중치민감도'!$D$7</f>
        <v>0.61937787754562734</v>
      </c>
      <c r="H507" s="17">
        <f>'01_원자료'!P504*'03_가중치민감도'!$B$8+'01_원자료'!Q504*'03_가중치민감도'!$C$8+'01_원자료'!R504*'03_가중치민감도'!$D$8</f>
        <v>0.5531728471274221</v>
      </c>
      <c r="I507" s="17">
        <f>'01_원자료'!P504*'03_가중치민감도'!$B$9+'01_원자료'!Q504*'03_가중치민감도'!$C$9+'01_원자료'!R504*'03_가중치민감도'!$D$9</f>
        <v>0.52772655853607087</v>
      </c>
      <c r="J507" s="17">
        <f>'01_원자료'!P504*'03_가중치민감도'!$B$10+'01_원자료'!Q504*'03_가중치민감도'!$C$10+'01_원자료'!R504*'03_가중치민감도'!$D$10</f>
        <v>0.70168399737812348</v>
      </c>
      <c r="K507" s="31">
        <f t="shared" si="42"/>
        <v>426</v>
      </c>
      <c r="L507" s="31">
        <f t="shared" si="43"/>
        <v>329</v>
      </c>
      <c r="M507" s="31">
        <f t="shared" si="44"/>
        <v>464</v>
      </c>
      <c r="N507" s="31">
        <f t="shared" si="45"/>
        <v>349</v>
      </c>
      <c r="O507" s="31">
        <f t="shared" si="46"/>
        <v>358</v>
      </c>
      <c r="P507" s="31">
        <f t="shared" si="47"/>
        <v>463</v>
      </c>
    </row>
    <row r="508" spans="1:16">
      <c r="A508" s="2" t="str">
        <f>'01_원자료'!A505</f>
        <v>RPT-03</v>
      </c>
      <c r="B508" s="2" t="str">
        <f>'01_원자료'!B505</f>
        <v>gemini</v>
      </c>
      <c r="C508" s="2" t="str">
        <f>'01_원자료'!C505</f>
        <v>qwen</v>
      </c>
      <c r="E508" s="17">
        <f>'01_원자료'!P505*'03_가중치민감도'!$B$5+'01_원자료'!Q505*'03_가중치민감도'!$C$5+'01_원자료'!R505*'03_가중치민감도'!$D$5</f>
        <v>0.76061100621185851</v>
      </c>
      <c r="F508" s="17">
        <f>'01_원자료'!P505*'03_가중치민감도'!$B$6+'01_원자료'!Q505*'03_가중치민감도'!$C$6+'01_원자료'!R505*'03_가중치민감도'!$D$6</f>
        <v>0.65828789121226805</v>
      </c>
      <c r="G508" s="17">
        <f>'01_원자료'!P505*'03_가중치민감도'!$B$7+'01_원자료'!Q505*'03_가중치민감도'!$C$7+'01_원자료'!R505*'03_가중치민감도'!$D$7</f>
        <v>0.75409971845888391</v>
      </c>
      <c r="H508" s="17">
        <f>'01_원자료'!P505*'03_가중치민감도'!$B$8+'01_원자료'!Q505*'03_가중치민감도'!$C$8+'01_원자료'!R505*'03_가중치민감도'!$D$8</f>
        <v>0.79316744497673153</v>
      </c>
      <c r="I508" s="17">
        <f>'01_원자료'!P505*'03_가중치민감도'!$B$9+'01_원자료'!Q505*'03_가중치민감도'!$C$9+'01_원자료'!R505*'03_가중치민감도'!$D$9</f>
        <v>0.69456602546312229</v>
      </c>
      <c r="J508" s="17">
        <f>'01_원자료'!P505*'03_가중치민감도'!$B$10+'01_원자료'!Q505*'03_가중치민감도'!$C$10+'01_원자료'!R505*'03_가중치민감도'!$D$10</f>
        <v>0.87595669671739818</v>
      </c>
      <c r="K508" s="31">
        <f t="shared" si="42"/>
        <v>964</v>
      </c>
      <c r="L508" s="31">
        <f t="shared" si="43"/>
        <v>959</v>
      </c>
      <c r="M508" s="31">
        <f t="shared" si="44"/>
        <v>964</v>
      </c>
      <c r="N508" s="31">
        <f t="shared" si="45"/>
        <v>961</v>
      </c>
      <c r="O508" s="31">
        <f t="shared" si="46"/>
        <v>961</v>
      </c>
      <c r="P508" s="31">
        <f t="shared" si="47"/>
        <v>958</v>
      </c>
    </row>
    <row r="509" spans="1:16">
      <c r="A509" s="2" t="str">
        <f>'01_원자료'!A506</f>
        <v>RPT-03</v>
      </c>
      <c r="B509" s="2" t="str">
        <f>'01_원자료'!B506</f>
        <v>mistral</v>
      </c>
      <c r="C509" s="2" t="str">
        <f>'01_원자료'!C506</f>
        <v>gemma</v>
      </c>
      <c r="E509" s="17">
        <f>'01_원자료'!P506*'03_가중치민감도'!$B$5+'01_원자료'!Q506*'03_가중치민감도'!$C$5+'01_원자료'!R506*'03_가중치민감도'!$D$5</f>
        <v>0.65040313947321504</v>
      </c>
      <c r="F509" s="17">
        <f>'01_원자료'!P506*'03_가중치민감도'!$B$6+'01_원자료'!Q506*'03_가중치민감도'!$C$6+'01_원자료'!R506*'03_가중치민감도'!$D$6</f>
        <v>0.55201150998332205</v>
      </c>
      <c r="G509" s="17">
        <f>'01_원자료'!P506*'03_가중치민감도'!$B$7+'01_원자료'!Q506*'03_가중치민감도'!$C$7+'01_원자료'!R506*'03_가중치민감도'!$D$7</f>
        <v>0.64831877518065673</v>
      </c>
      <c r="H509" s="17">
        <f>'01_원자료'!P506*'03_가중치민감도'!$B$8+'01_원자료'!Q506*'03_가중치민감도'!$C$8+'01_원자료'!R506*'03_가중치민감도'!$D$8</f>
        <v>0.66082496093600618</v>
      </c>
      <c r="I509" s="17">
        <f>'01_원자료'!P506*'03_가중치민감도'!$B$9+'01_원자료'!Q506*'03_가중치민감도'!$C$9+'01_원자료'!R506*'03_가중치민감도'!$D$9</f>
        <v>0.58550350791080508</v>
      </c>
      <c r="J509" s="17">
        <f>'01_원자료'!P506*'03_가중치민감도'!$B$10+'01_원자료'!Q506*'03_가중치민감도'!$C$10+'01_원자료'!R506*'03_가중치민감도'!$D$10</f>
        <v>0.75296349754822445</v>
      </c>
      <c r="K509" s="31">
        <f t="shared" si="42"/>
        <v>619</v>
      </c>
      <c r="L509" s="31">
        <f t="shared" si="43"/>
        <v>600</v>
      </c>
      <c r="M509" s="31">
        <f t="shared" si="44"/>
        <v>609</v>
      </c>
      <c r="N509" s="31">
        <f t="shared" si="45"/>
        <v>670</v>
      </c>
      <c r="O509" s="31">
        <f t="shared" si="46"/>
        <v>610</v>
      </c>
      <c r="P509" s="31">
        <f t="shared" si="47"/>
        <v>667</v>
      </c>
    </row>
    <row r="510" spans="1:16">
      <c r="A510" s="2" t="str">
        <f>'01_원자료'!A507</f>
        <v>RPT-03</v>
      </c>
      <c r="B510" s="2" t="str">
        <f>'01_원자료'!B507</f>
        <v>mistral</v>
      </c>
      <c r="C510" s="2" t="str">
        <f>'01_원자료'!C507</f>
        <v>ministral</v>
      </c>
      <c r="E510" s="17">
        <f>'01_원자료'!P507*'03_가중치민감도'!$B$5+'01_원자료'!Q507*'03_가중치민감도'!$C$5+'01_원자료'!R507*'03_가중치민감도'!$D$5</f>
        <v>0.59498284073314245</v>
      </c>
      <c r="F510" s="17">
        <f>'01_원자료'!P507*'03_가중치민감도'!$B$6+'01_원자료'!Q507*'03_가중치민감도'!$C$6+'01_원자료'!R507*'03_가중치민감도'!$D$6</f>
        <v>0.49350819143140578</v>
      </c>
      <c r="G510" s="17">
        <f>'01_원자료'!P507*'03_가중치민감도'!$B$7+'01_원자료'!Q507*'03_가중치민감도'!$C$7+'01_원자료'!R507*'03_가중치민감도'!$D$7</f>
        <v>0.60305940043752526</v>
      </c>
      <c r="H510" s="17">
        <f>'01_원자료'!P507*'03_가중치민감도'!$B$8+'01_원자료'!Q507*'03_가중치민감도'!$C$8+'01_원자료'!R507*'03_가중치민감도'!$D$8</f>
        <v>0.55460004221122805</v>
      </c>
      <c r="I510" s="17">
        <f>'01_원자료'!P507*'03_가중치민감도'!$B$9+'01_원자료'!Q507*'03_가중치민감도'!$C$9+'01_원자료'!R507*'03_가중치민감도'!$D$9</f>
        <v>0.52464088796385655</v>
      </c>
      <c r="J510" s="17">
        <f>'01_원자료'!P507*'03_가중치민감도'!$B$10+'01_원자료'!Q507*'03_가중치민감도'!$C$10+'01_원자료'!R507*'03_가중치민감도'!$D$10</f>
        <v>0.68030437062611337</v>
      </c>
      <c r="K510" s="31">
        <f t="shared" si="42"/>
        <v>367</v>
      </c>
      <c r="L510" s="31">
        <f t="shared" si="43"/>
        <v>332</v>
      </c>
      <c r="M510" s="31">
        <f t="shared" si="44"/>
        <v>375</v>
      </c>
      <c r="N510" s="31">
        <f t="shared" si="45"/>
        <v>356</v>
      </c>
      <c r="O510" s="31">
        <f t="shared" si="46"/>
        <v>342</v>
      </c>
      <c r="P510" s="31">
        <f t="shared" si="47"/>
        <v>389</v>
      </c>
    </row>
    <row r="511" spans="1:16">
      <c r="A511" s="2" t="str">
        <f>'01_원자료'!A508</f>
        <v>RPT-03</v>
      </c>
      <c r="B511" s="2" t="str">
        <f>'01_원자료'!B508</f>
        <v>mistral</v>
      </c>
      <c r="C511" s="2" t="str">
        <f>'01_원자료'!C508</f>
        <v>qwen</v>
      </c>
      <c r="E511" s="17">
        <f>'01_원자료'!P508*'03_가중치민감도'!$B$5+'01_원자료'!Q508*'03_가중치민감도'!$C$5+'01_원자료'!R508*'03_가중치민감도'!$D$5</f>
        <v>0.66784940864700415</v>
      </c>
      <c r="F511" s="17">
        <f>'01_원자료'!P508*'03_가중치민감도'!$B$6+'01_원자료'!Q508*'03_가중치민감도'!$C$6+'01_원자료'!R508*'03_가중치민감도'!$D$6</f>
        <v>0.58243621415263247</v>
      </c>
      <c r="G511" s="17">
        <f>'01_원자료'!P508*'03_가중치민감도'!$B$7+'01_원자료'!Q508*'03_가중치민감도'!$C$7+'01_원자료'!R508*'03_가중치민감도'!$D$7</f>
        <v>0.66613736386930156</v>
      </c>
      <c r="H511" s="17">
        <f>'01_원자료'!P508*'03_가중치민감도'!$B$8+'01_원자료'!Q508*'03_가중치민감도'!$C$8+'01_원자료'!R508*'03_가중치민감도'!$D$8</f>
        <v>0.67640963253551711</v>
      </c>
      <c r="I511" s="17">
        <f>'01_원자료'!P508*'03_가중치민감도'!$B$9+'01_원자료'!Q508*'03_가중치민감도'!$C$9+'01_원자료'!R508*'03_가중치민감도'!$D$9</f>
        <v>0.61147796057665671</v>
      </c>
      <c r="J511" s="17">
        <f>'01_원자료'!P508*'03_가중치민감도'!$B$10+'01_원자료'!Q508*'03_가중치민감도'!$C$10+'01_원자료'!R508*'03_가중치민감도'!$D$10</f>
        <v>0.75668669269678102</v>
      </c>
      <c r="K511" s="31">
        <f t="shared" si="42"/>
        <v>707</v>
      </c>
      <c r="L511" s="31">
        <f t="shared" si="43"/>
        <v>748</v>
      </c>
      <c r="M511" s="31">
        <f t="shared" si="44"/>
        <v>700</v>
      </c>
      <c r="N511" s="31">
        <f t="shared" si="45"/>
        <v>712</v>
      </c>
      <c r="O511" s="31">
        <f t="shared" si="46"/>
        <v>729</v>
      </c>
      <c r="P511" s="31">
        <f t="shared" si="47"/>
        <v>685</v>
      </c>
    </row>
    <row r="512" spans="1:16">
      <c r="A512" s="2" t="str">
        <f>'01_원자료'!A509</f>
        <v>RPT-03</v>
      </c>
      <c r="B512" s="2" t="str">
        <f>'01_원자료'!B509</f>
        <v>qwen3_6</v>
      </c>
      <c r="C512" s="2" t="str">
        <f>'01_원자료'!C509</f>
        <v>gemma</v>
      </c>
      <c r="E512" s="17">
        <f>'01_원자료'!P509*'03_가중치민감도'!$B$5+'01_원자료'!Q509*'03_가중치민감도'!$C$5+'01_원자료'!R509*'03_가중치민감도'!$D$5</f>
        <v>0.72568785067118857</v>
      </c>
      <c r="F512" s="17">
        <f>'01_원자료'!P509*'03_가중치민감도'!$B$6+'01_원자료'!Q509*'03_가중치민감도'!$C$6+'01_원자료'!R509*'03_가중치민감도'!$D$6</f>
        <v>0.62169818636789709</v>
      </c>
      <c r="G512" s="17">
        <f>'01_원자료'!P509*'03_가중치민감도'!$B$7+'01_원자료'!Q509*'03_가중치민감도'!$C$7+'01_원자료'!R509*'03_가중치민감도'!$D$7</f>
        <v>0.71640517906513324</v>
      </c>
      <c r="H512" s="17">
        <f>'01_원자료'!P509*'03_가중치민감도'!$B$8+'01_원자료'!Q509*'03_가중치민감도'!$C$8+'01_원자료'!R509*'03_가중치민감도'!$D$8</f>
        <v>0.77210120870146537</v>
      </c>
      <c r="I512" s="17">
        <f>'01_원자료'!P509*'03_가중치민감도'!$B$9+'01_원자료'!Q509*'03_가중치민감도'!$C$9+'01_원자료'!R509*'03_가중치민감도'!$D$9</f>
        <v>0.65945563167101207</v>
      </c>
      <c r="J512" s="17">
        <f>'01_원자료'!P509*'03_가중치민감도'!$B$10+'01_원자료'!Q509*'03_가중치민감도'!$C$10+'01_원자료'!R509*'03_가중치민감도'!$D$10</f>
        <v>0.84824285818659084</v>
      </c>
      <c r="K512" s="31">
        <f t="shared" si="42"/>
        <v>896</v>
      </c>
      <c r="L512" s="31">
        <f t="shared" si="43"/>
        <v>902</v>
      </c>
      <c r="M512" s="31">
        <f t="shared" si="44"/>
        <v>893</v>
      </c>
      <c r="N512" s="31">
        <f t="shared" si="45"/>
        <v>908</v>
      </c>
      <c r="O512" s="31">
        <f t="shared" si="46"/>
        <v>902</v>
      </c>
      <c r="P512" s="31">
        <f t="shared" si="47"/>
        <v>887</v>
      </c>
    </row>
    <row r="513" spans="1:16">
      <c r="A513" s="2" t="str">
        <f>'01_원자료'!A510</f>
        <v>RPT-03</v>
      </c>
      <c r="B513" s="2" t="str">
        <f>'01_원자료'!B510</f>
        <v>qwen3_6</v>
      </c>
      <c r="C513" s="2" t="str">
        <f>'01_원자료'!C510</f>
        <v>ministral</v>
      </c>
      <c r="E513" s="17">
        <f>'01_원자료'!P510*'03_가중치민감도'!$B$5+'01_원자료'!Q510*'03_가중치민감도'!$C$5+'01_원자료'!R510*'03_가중치민감도'!$D$5</f>
        <v>0.58743250370791045</v>
      </c>
      <c r="F513" s="17">
        <f>'01_원자료'!P510*'03_가중치민감도'!$B$6+'01_원자료'!Q510*'03_가중치민감도'!$C$6+'01_원자료'!R510*'03_가중치민감도'!$D$6</f>
        <v>0.48441364249212249</v>
      </c>
      <c r="G513" s="17">
        <f>'01_원자료'!P510*'03_가중치민감도'!$B$7+'01_원자료'!Q510*'03_가중치민감도'!$C$7+'01_원자료'!R510*'03_가중치민감도'!$D$7</f>
        <v>0.59569159411701467</v>
      </c>
      <c r="H513" s="17">
        <f>'01_원자료'!P510*'03_가중치민감도'!$B$8+'01_원자료'!Q510*'03_가중치민감도'!$C$8+'01_원자료'!R510*'03_가중치민감도'!$D$8</f>
        <v>0.54613705166238946</v>
      </c>
      <c r="I513" s="17">
        <f>'01_원자료'!P510*'03_가중치민감도'!$B$9+'01_원자료'!Q510*'03_가중치민감도'!$C$9+'01_원자료'!R510*'03_가중치민감도'!$D$9</f>
        <v>0.51600023276101659</v>
      </c>
      <c r="J513" s="17">
        <f>'01_원자료'!P510*'03_가중치민감도'!$B$10+'01_원자료'!Q510*'03_가중치민감도'!$C$10+'01_원자료'!R510*'03_가중치민감도'!$D$10</f>
        <v>0.67393318410548997</v>
      </c>
      <c r="K513" s="31">
        <f t="shared" si="42"/>
        <v>343</v>
      </c>
      <c r="L513" s="31">
        <f t="shared" si="43"/>
        <v>292</v>
      </c>
      <c r="M513" s="31">
        <f t="shared" si="44"/>
        <v>346</v>
      </c>
      <c r="N513" s="31">
        <f t="shared" si="45"/>
        <v>326</v>
      </c>
      <c r="O513" s="31">
        <f t="shared" si="46"/>
        <v>313</v>
      </c>
      <c r="P513" s="31">
        <f t="shared" si="47"/>
        <v>365</v>
      </c>
    </row>
    <row r="514" spans="1:16">
      <c r="A514" s="2" t="str">
        <f>'01_원자료'!A511</f>
        <v>RPT-03</v>
      </c>
      <c r="B514" s="2" t="str">
        <f>'01_원자료'!B511</f>
        <v>qwen3_6</v>
      </c>
      <c r="C514" s="2" t="str">
        <f>'01_원자료'!C511</f>
        <v>qwen</v>
      </c>
      <c r="E514" s="17">
        <f>'01_원자료'!P511*'03_가중치민감도'!$B$5+'01_원자료'!Q511*'03_가중치민감도'!$C$5+'01_원자료'!R511*'03_가중치민감도'!$D$5</f>
        <v>0.74880601893168164</v>
      </c>
      <c r="F514" s="17">
        <f>'01_원자료'!P511*'03_가중치민감도'!$B$6+'01_원자료'!Q511*'03_가중치민감도'!$C$6+'01_원자료'!R511*'03_가중치민감도'!$D$6</f>
        <v>0.64810713595643987</v>
      </c>
      <c r="G514" s="17">
        <f>'01_원자료'!P511*'03_가중치민감도'!$B$7+'01_원자료'!Q511*'03_가중치민감도'!$C$7+'01_원자료'!R511*'03_가중치민감도'!$D$7</f>
        <v>0.7411756295699965</v>
      </c>
      <c r="H514" s="17">
        <f>'01_원자료'!P511*'03_가중치민감도'!$B$8+'01_원자료'!Q511*'03_가중치민감도'!$C$8+'01_원자료'!R511*'03_가중치민감도'!$D$8</f>
        <v>0.78695796574010701</v>
      </c>
      <c r="I514" s="17">
        <f>'01_원자료'!P511*'03_가중치민감도'!$B$9+'01_원자료'!Q511*'03_가중치민감도'!$C$9+'01_원자료'!R511*'03_가중치민감도'!$D$9</f>
        <v>0.68421689340208136</v>
      </c>
      <c r="J514" s="17">
        <f>'01_원자료'!P511*'03_가중치민감도'!$B$10+'01_원자료'!Q511*'03_가중치민감도'!$C$10+'01_원자료'!R511*'03_가중치민감도'!$D$10</f>
        <v>0.86476568063029347</v>
      </c>
      <c r="K514" s="31">
        <f t="shared" si="42"/>
        <v>950</v>
      </c>
      <c r="L514" s="31">
        <f t="shared" si="43"/>
        <v>951</v>
      </c>
      <c r="M514" s="31">
        <f t="shared" si="44"/>
        <v>950</v>
      </c>
      <c r="N514" s="31">
        <f t="shared" si="45"/>
        <v>951</v>
      </c>
      <c r="O514" s="31">
        <f t="shared" si="46"/>
        <v>951</v>
      </c>
      <c r="P514" s="31">
        <f t="shared" si="47"/>
        <v>932</v>
      </c>
    </row>
    <row r="515" spans="1:16">
      <c r="A515" s="2" t="str">
        <f>'01_원자료'!A512</f>
        <v>RPT-04</v>
      </c>
      <c r="B515" s="2" t="str">
        <f>'01_원자료'!B512</f>
        <v>chatgpt</v>
      </c>
      <c r="C515" s="2" t="str">
        <f>'01_원자료'!C512</f>
        <v>gemma</v>
      </c>
      <c r="E515" s="17">
        <f>'01_원자료'!P512*'03_가중치민감도'!$B$5+'01_원자료'!Q512*'03_가중치민감도'!$C$5+'01_원자료'!R512*'03_가중치민감도'!$D$5</f>
        <v>0.56857954254018361</v>
      </c>
      <c r="F515" s="17">
        <f>'01_원자료'!P512*'03_가중치민감도'!$B$6+'01_원자료'!Q512*'03_가중치민감도'!$C$6+'01_원자료'!R512*'03_가중치민감도'!$D$6</f>
        <v>0.48571652812205179</v>
      </c>
      <c r="G515" s="17">
        <f>'01_원자료'!P512*'03_가중치민감도'!$B$7+'01_원자료'!Q512*'03_가중치민감도'!$C$7+'01_원자료'!R512*'03_가중치민감도'!$D$7</f>
        <v>0.57484879280840628</v>
      </c>
      <c r="H515" s="17">
        <f>'01_원자료'!P512*'03_가중치민감도'!$B$8+'01_원자료'!Q512*'03_가중치민감도'!$C$8+'01_원자료'!R512*'03_가중치민감도'!$D$8</f>
        <v>0.53723329119907037</v>
      </c>
      <c r="I515" s="17">
        <f>'01_원자료'!P512*'03_가중치민감도'!$B$9+'01_원자료'!Q512*'03_가중치민감도'!$C$9+'01_원자료'!R512*'03_가중치민감도'!$D$9</f>
        <v>0.51124778283868766</v>
      </c>
      <c r="J515" s="17">
        <f>'01_원자료'!P512*'03_가중치민감도'!$B$10+'01_원자료'!Q512*'03_가중치민감도'!$C$10+'01_원자료'!R512*'03_가중치민감도'!$D$10</f>
        <v>0.6389040564218702</v>
      </c>
      <c r="K515" s="31">
        <f t="shared" si="42"/>
        <v>278</v>
      </c>
      <c r="L515" s="31">
        <f t="shared" si="43"/>
        <v>298</v>
      </c>
      <c r="M515" s="31">
        <f t="shared" si="44"/>
        <v>268</v>
      </c>
      <c r="N515" s="31">
        <f t="shared" si="45"/>
        <v>298</v>
      </c>
      <c r="O515" s="31">
        <f t="shared" si="46"/>
        <v>293</v>
      </c>
      <c r="P515" s="31">
        <f t="shared" si="47"/>
        <v>285</v>
      </c>
    </row>
    <row r="516" spans="1:16">
      <c r="A516" s="2" t="str">
        <f>'01_원자료'!A513</f>
        <v>RPT-04</v>
      </c>
      <c r="B516" s="2" t="str">
        <f>'01_원자료'!B513</f>
        <v>chatgpt</v>
      </c>
      <c r="C516" s="2" t="str">
        <f>'01_원자료'!C513</f>
        <v>ministral</v>
      </c>
      <c r="E516" s="17">
        <f>'01_원자료'!P513*'03_가중치민감도'!$B$5+'01_원자료'!Q513*'03_가중치민감도'!$C$5+'01_원자료'!R513*'03_가중치민감도'!$D$5</f>
        <v>0.48917894873747714</v>
      </c>
      <c r="F516" s="17">
        <f>'01_원자료'!P513*'03_가중치민감도'!$B$6+'01_원자료'!Q513*'03_가중치민감도'!$C$6+'01_원자료'!R513*'03_가중치민감도'!$D$6</f>
        <v>0.41381937531200014</v>
      </c>
      <c r="G516" s="17">
        <f>'01_원자료'!P513*'03_가중치민감도'!$B$7+'01_원자료'!Q513*'03_가중치민감도'!$C$7+'01_원자료'!R513*'03_가중치민감도'!$D$7</f>
        <v>0.50937068279363817</v>
      </c>
      <c r="H516" s="17">
        <f>'01_원자료'!P513*'03_가중치민감도'!$B$8+'01_원자료'!Q513*'03_가중치민감도'!$C$8+'01_원자료'!R513*'03_가중치민감도'!$D$8</f>
        <v>0.38822027845667151</v>
      </c>
      <c r="I516" s="17">
        <f>'01_원자료'!P513*'03_가중치민감도'!$B$9+'01_원자료'!Q513*'03_가중치민감도'!$C$9+'01_원자료'!R513*'03_가중치민감도'!$D$9</f>
        <v>0.43220865510177159</v>
      </c>
      <c r="J516" s="17">
        <f>'01_원자료'!P513*'03_가중치민감도'!$B$10+'01_원자료'!Q513*'03_가중치민감도'!$C$10+'01_원자료'!R513*'03_가중치민감도'!$D$10</f>
        <v>0.5241550540506319</v>
      </c>
      <c r="K516" s="31">
        <f t="shared" si="42"/>
        <v>30</v>
      </c>
      <c r="L516" s="31">
        <f t="shared" si="43"/>
        <v>39</v>
      </c>
      <c r="M516" s="31">
        <f t="shared" si="44"/>
        <v>28</v>
      </c>
      <c r="N516" s="31">
        <f t="shared" si="45"/>
        <v>27</v>
      </c>
      <c r="O516" s="31">
        <f t="shared" si="46"/>
        <v>34</v>
      </c>
      <c r="P516" s="31">
        <f t="shared" si="47"/>
        <v>24</v>
      </c>
    </row>
    <row r="517" spans="1:16">
      <c r="A517" s="2" t="str">
        <f>'01_원자료'!A514</f>
        <v>RPT-04</v>
      </c>
      <c r="B517" s="2" t="str">
        <f>'01_원자료'!B514</f>
        <v>chatgpt</v>
      </c>
      <c r="C517" s="2" t="str">
        <f>'01_원자료'!C514</f>
        <v>qwen</v>
      </c>
      <c r="E517" s="17">
        <f>'01_원자료'!P514*'03_가중치민감도'!$B$5+'01_원자료'!Q514*'03_가중치민감도'!$C$5+'01_원자료'!R514*'03_가중치민감도'!$D$5</f>
        <v>0.53493947939264541</v>
      </c>
      <c r="F517" s="17">
        <f>'01_원자료'!P514*'03_가중치민감도'!$B$6+'01_원자료'!Q514*'03_가중치민감도'!$C$6+'01_원자료'!R514*'03_가중치민감도'!$D$6</f>
        <v>0.44923839277255273</v>
      </c>
      <c r="G517" s="17">
        <f>'01_원자료'!P514*'03_가중치민감도'!$B$7+'01_원자료'!Q514*'03_가중치민감도'!$C$7+'01_원자료'!R514*'03_가중치민감도'!$D$7</f>
        <v>0.54619783198909</v>
      </c>
      <c r="H517" s="17">
        <f>'01_원자료'!P514*'03_가중치민감도'!$B$8+'01_원자료'!Q514*'03_가중치민감도'!$C$8+'01_원자료'!R514*'03_가중치민감도'!$D$8</f>
        <v>0.47864771641042259</v>
      </c>
      <c r="I517" s="17">
        <f>'01_원자료'!P514*'03_가중치민감도'!$B$9+'01_원자료'!Q514*'03_가중치민감도'!$C$9+'01_원자료'!R514*'03_가중치민감도'!$D$9</f>
        <v>0.47405263744710158</v>
      </c>
      <c r="J517" s="17">
        <f>'01_원자료'!P514*'03_가중치민감도'!$B$10+'01_원자료'!Q514*'03_가중치민감도'!$C$10+'01_원자료'!R514*'03_가중치민감도'!$D$10</f>
        <v>0.59812386081984903</v>
      </c>
      <c r="K517" s="31">
        <f t="shared" ref="K517:K580" si="48">COUNTIF($E$5:$E$979,"&lt;"&amp;E517)+(COUNTIF($E$5:$E$979,"="&amp;E517)+1)/2</f>
        <v>152</v>
      </c>
      <c r="L517" s="31">
        <f t="shared" ref="L517:L580" si="49">COUNTIF($F$5:$F$979,"&lt;"&amp;F517)+(COUNTIF($F$5:$F$979,"="&amp;F517)+1)/2</f>
        <v>136</v>
      </c>
      <c r="M517" s="31">
        <f t="shared" ref="M517:M580" si="50">COUNTIF($G$5:$G$979,"&lt;"&amp;G517)+(COUNTIF($G$5:$G$979,"="&amp;G517)+1)/2</f>
        <v>138</v>
      </c>
      <c r="N517" s="31">
        <f t="shared" ref="N517:N580" si="51">COUNTIF($H$5:$H$979,"&lt;"&amp;H517)+(COUNTIF($H$5:$H$979,"="&amp;H517)+1)/2</f>
        <v>171</v>
      </c>
      <c r="O517" s="31">
        <f t="shared" ref="O517:O580" si="52">COUNTIF($I$5:$I$979,"&lt;"&amp;I517)+(COUNTIF($I$5:$I$979,"="&amp;I517)+1)/2</f>
        <v>149</v>
      </c>
      <c r="P517" s="31">
        <f t="shared" ref="P517:P580" si="53">COUNTIF($J$5:$J$979,"&lt;"&amp;J517)+(COUNTIF($J$5:$J$979,"="&amp;J517)+1)/2</f>
        <v>182</v>
      </c>
    </row>
    <row r="518" spans="1:16">
      <c r="A518" s="2" t="str">
        <f>'01_원자료'!A515</f>
        <v>RPT-04</v>
      </c>
      <c r="B518" s="2" t="str">
        <f>'01_원자료'!B515</f>
        <v>claude</v>
      </c>
      <c r="C518" s="2" t="str">
        <f>'01_원자료'!C515</f>
        <v>gemma</v>
      </c>
      <c r="E518" s="17">
        <f>'01_원자료'!P515*'03_가중치민감도'!$B$5+'01_원자료'!Q515*'03_가중치민감도'!$C$5+'01_원자료'!R515*'03_가중치민감도'!$D$5</f>
        <v>0.63109040177906783</v>
      </c>
      <c r="F518" s="17">
        <f>'01_원자료'!P515*'03_가중치민감도'!$B$6+'01_원자료'!Q515*'03_가중치민감도'!$C$6+'01_원자료'!R515*'03_가중치민감도'!$D$6</f>
        <v>0.53240706444527675</v>
      </c>
      <c r="G518" s="17">
        <f>'01_원자료'!P515*'03_가중치민감도'!$B$7+'01_원자료'!Q515*'03_가중치민감도'!$C$7+'01_원자료'!R515*'03_가중치민감도'!$D$7</f>
        <v>0.63125992473834502</v>
      </c>
      <c r="H518" s="17">
        <f>'01_원자료'!P515*'03_가중치민감도'!$B$8+'01_원자료'!Q515*'03_가중치민감도'!$C$8+'01_원자료'!R515*'03_가중치민감도'!$D$8</f>
        <v>0.63024278698268199</v>
      </c>
      <c r="I518" s="17">
        <f>'01_원자료'!P515*'03_가중치민감도'!$B$9+'01_원자료'!Q515*'03_가중치민감도'!$C$9+'01_원자료'!R515*'03_가중치민감도'!$D$9</f>
        <v>0.56524500257011423</v>
      </c>
      <c r="J518" s="17">
        <f>'01_원자료'!P515*'03_가중치민감도'!$B$10+'01_원자료'!Q515*'03_가중치민감도'!$C$10+'01_원자료'!R515*'03_가중치민감도'!$D$10</f>
        <v>0.72943469319430454</v>
      </c>
      <c r="K518" s="31">
        <f t="shared" si="48"/>
        <v>531</v>
      </c>
      <c r="L518" s="31">
        <f t="shared" si="49"/>
        <v>514</v>
      </c>
      <c r="M518" s="31">
        <f t="shared" si="50"/>
        <v>521</v>
      </c>
      <c r="N518" s="31">
        <f t="shared" si="51"/>
        <v>576</v>
      </c>
      <c r="O518" s="31">
        <f t="shared" si="52"/>
        <v>526</v>
      </c>
      <c r="P518" s="31">
        <f t="shared" si="53"/>
        <v>575</v>
      </c>
    </row>
    <row r="519" spans="1:16">
      <c r="A519" s="2" t="str">
        <f>'01_원자료'!A516</f>
        <v>RPT-04</v>
      </c>
      <c r="B519" s="2" t="str">
        <f>'01_원자료'!B516</f>
        <v>claude</v>
      </c>
      <c r="C519" s="2" t="str">
        <f>'01_원자료'!C516</f>
        <v>ministral</v>
      </c>
      <c r="E519" s="17">
        <f>'01_원자료'!P516*'03_가중치민감도'!$B$5+'01_원자료'!Q516*'03_가중치민감도'!$C$5+'01_원자료'!R516*'03_가중치민감도'!$D$5</f>
        <v>0.50930400171682966</v>
      </c>
      <c r="F519" s="17">
        <f>'01_원자료'!P516*'03_가중치민감도'!$B$6+'01_원자료'!Q516*'03_가중치민감도'!$C$6+'01_원자료'!R516*'03_가중치민감도'!$D$6</f>
        <v>0.42803811414783799</v>
      </c>
      <c r="G519" s="17">
        <f>'01_원자료'!P516*'03_가중치민감도'!$B$7+'01_원자료'!Q516*'03_가중치민감도'!$C$7+'01_원자료'!R516*'03_가중치민감도'!$D$7</f>
        <v>0.52503661312888827</v>
      </c>
      <c r="H519" s="17">
        <f>'01_원자료'!P516*'03_가중치민감도'!$B$8+'01_원자료'!Q516*'03_가중치민감도'!$C$8+'01_원자료'!R516*'03_가중치민감도'!$D$8</f>
        <v>0.43064094465653646</v>
      </c>
      <c r="I519" s="17">
        <f>'01_원자료'!P516*'03_가중치민감도'!$B$9+'01_원자료'!Q516*'03_가중치민감도'!$C$9+'01_원자료'!R516*'03_가중치민감도'!$D$9</f>
        <v>0.44988253953348178</v>
      </c>
      <c r="J519" s="17">
        <f>'01_원자료'!P516*'03_가중치민감도'!$B$10+'01_원자료'!Q516*'03_가중치민감도'!$C$10+'01_원자료'!R516*'03_가중치민감도'!$D$10</f>
        <v>0.55910466646170398</v>
      </c>
      <c r="K519" s="31">
        <f t="shared" si="48"/>
        <v>63</v>
      </c>
      <c r="L519" s="31">
        <f t="shared" si="49"/>
        <v>64</v>
      </c>
      <c r="M519" s="31">
        <f t="shared" si="50"/>
        <v>59</v>
      </c>
      <c r="N519" s="31">
        <f t="shared" si="51"/>
        <v>104</v>
      </c>
      <c r="O519" s="31">
        <f t="shared" si="52"/>
        <v>64</v>
      </c>
      <c r="P519" s="31">
        <f t="shared" si="53"/>
        <v>85</v>
      </c>
    </row>
    <row r="520" spans="1:16">
      <c r="A520" s="2" t="str">
        <f>'01_원자료'!A517</f>
        <v>RPT-04</v>
      </c>
      <c r="B520" s="2" t="str">
        <f>'01_원자료'!B517</f>
        <v>claude</v>
      </c>
      <c r="C520" s="2" t="str">
        <f>'01_원자료'!C517</f>
        <v>qwen</v>
      </c>
      <c r="E520" s="17">
        <f>'01_원자료'!P517*'03_가중치민감도'!$B$5+'01_원자료'!Q517*'03_가중치민감도'!$C$5+'01_원자료'!R517*'03_가중치민감도'!$D$5</f>
        <v>0.63130842539070198</v>
      </c>
      <c r="F520" s="17">
        <f>'01_원자료'!P517*'03_가중치민감도'!$B$6+'01_원자료'!Q517*'03_가중치민감도'!$C$6+'01_원자료'!R517*'03_가중치민감도'!$D$6</f>
        <v>0.54695557863934152</v>
      </c>
      <c r="G520" s="17">
        <f>'01_원자료'!P517*'03_가중치민감도'!$B$7+'01_원자료'!Q517*'03_가중치민감도'!$C$7+'01_원자료'!R517*'03_가중치민감도'!$D$7</f>
        <v>0.63196014707335713</v>
      </c>
      <c r="H520" s="17">
        <f>'01_원자료'!P517*'03_가중치민감도'!$B$8+'01_원자료'!Q517*'03_가중치민감도'!$C$8+'01_원자료'!R517*'03_가중치민감도'!$D$8</f>
        <v>0.62804981697742646</v>
      </c>
      <c r="I520" s="17">
        <f>'01_원자료'!P517*'03_가중치민감도'!$B$9+'01_원자료'!Q517*'03_가중치민감도'!$C$9+'01_원자료'!R517*'03_가중치민감도'!$D$9</f>
        <v>0.57485595366224274</v>
      </c>
      <c r="J520" s="17">
        <f>'01_원자료'!P517*'03_가중치민감도'!$B$10+'01_원자료'!Q517*'03_가중치민감도'!$C$10+'01_원자료'!R517*'03_가중치민감도'!$D$10</f>
        <v>0.71435782877675225</v>
      </c>
      <c r="K520" s="31">
        <f t="shared" si="48"/>
        <v>534</v>
      </c>
      <c r="L520" s="31">
        <f t="shared" si="49"/>
        <v>573</v>
      </c>
      <c r="M520" s="31">
        <f t="shared" si="50"/>
        <v>527</v>
      </c>
      <c r="N520" s="31">
        <f t="shared" si="51"/>
        <v>569</v>
      </c>
      <c r="O520" s="31">
        <f t="shared" si="52"/>
        <v>562</v>
      </c>
      <c r="P520" s="31">
        <f t="shared" si="53"/>
        <v>517</v>
      </c>
    </row>
    <row r="521" spans="1:16">
      <c r="A521" s="2" t="str">
        <f>'01_원자료'!A518</f>
        <v>RPT-04</v>
      </c>
      <c r="B521" s="2" t="str">
        <f>'01_원자료'!B518</f>
        <v>gemini</v>
      </c>
      <c r="C521" s="2" t="str">
        <f>'01_원자료'!C518</f>
        <v>gemma</v>
      </c>
      <c r="E521" s="17">
        <f>'01_원자료'!P518*'03_가중치민감도'!$B$5+'01_원자료'!Q518*'03_가중치민감도'!$C$5+'01_원자료'!R518*'03_가중치민감도'!$D$5</f>
        <v>0.7389065987949639</v>
      </c>
      <c r="F521" s="17">
        <f>'01_원자료'!P518*'03_가중치민감도'!$B$6+'01_원자료'!Q518*'03_가중치민감도'!$C$6+'01_원자료'!R518*'03_가중치민감도'!$D$6</f>
        <v>0.6237090488078838</v>
      </c>
      <c r="G521" s="17">
        <f>'01_원자료'!P518*'03_가중치민감도'!$B$7+'01_원자료'!Q518*'03_가중치민감도'!$C$7+'01_원자료'!R518*'03_가중치민감도'!$D$7</f>
        <v>0.73165948000620562</v>
      </c>
      <c r="H521" s="17">
        <f>'01_원자료'!P518*'03_가중치민감도'!$B$8+'01_원자료'!Q518*'03_가중치민감도'!$C$8+'01_원자료'!R518*'03_가중치민감도'!$D$8</f>
        <v>0.77514219273875562</v>
      </c>
      <c r="I521" s="17">
        <f>'01_원자료'!P518*'03_가중치민감도'!$B$9+'01_원자료'!Q518*'03_가중치민감도'!$C$9+'01_원자료'!R518*'03_가중치민감도'!$D$9</f>
        <v>0.66452393839982937</v>
      </c>
      <c r="J521" s="17">
        <f>'01_원자료'!P518*'03_가중치민감도'!$B$10+'01_원자료'!Q518*'03_가중치민감도'!$C$10+'01_원자료'!R518*'03_가중치민감도'!$D$10</f>
        <v>0.86859838635956077</v>
      </c>
      <c r="K521" s="31">
        <f t="shared" si="48"/>
        <v>923</v>
      </c>
      <c r="L521" s="31">
        <f t="shared" si="49"/>
        <v>912</v>
      </c>
      <c r="M521" s="31">
        <f t="shared" si="50"/>
        <v>923</v>
      </c>
      <c r="N521" s="31">
        <f t="shared" si="51"/>
        <v>922</v>
      </c>
      <c r="O521" s="31">
        <f t="shared" si="52"/>
        <v>919</v>
      </c>
      <c r="P521" s="31">
        <f t="shared" si="53"/>
        <v>944</v>
      </c>
    </row>
    <row r="522" spans="1:16">
      <c r="A522" s="2" t="str">
        <f>'01_원자료'!A519</f>
        <v>RPT-04</v>
      </c>
      <c r="B522" s="2" t="str">
        <f>'01_원자료'!B519</f>
        <v>gemini</v>
      </c>
      <c r="C522" s="2" t="str">
        <f>'01_원자료'!C519</f>
        <v>ministral</v>
      </c>
      <c r="E522" s="17">
        <f>'01_원자료'!P519*'03_가중치민감도'!$B$5+'01_원자료'!Q519*'03_가중치민감도'!$C$5+'01_원자료'!R519*'03_가중치민감도'!$D$5</f>
        <v>0.53608574713734636</v>
      </c>
      <c r="F522" s="17">
        <f>'01_원자료'!P519*'03_가중치민감도'!$B$6+'01_원자료'!Q519*'03_가중치민감도'!$C$6+'01_원자료'!R519*'03_가중치민감도'!$D$6</f>
        <v>0.44239086683661333</v>
      </c>
      <c r="G522" s="17">
        <f>'01_원자료'!P519*'03_가중치민감도'!$B$7+'01_원자료'!Q519*'03_가중치민감도'!$C$7+'01_원자료'!R519*'03_가중치민감도'!$D$7</f>
        <v>0.55680335935569136</v>
      </c>
      <c r="H522" s="17">
        <f>'01_원자료'!P519*'03_가중치민감도'!$B$8+'01_원자료'!Q519*'03_가중치민감도'!$C$8+'01_원자료'!R519*'03_가중치민감도'!$D$8</f>
        <v>0.43249768604562111</v>
      </c>
      <c r="I522" s="17">
        <f>'01_원자료'!P519*'03_가중치민감도'!$B$9+'01_원자료'!Q519*'03_가중치민감도'!$C$9+'01_원자료'!R519*'03_가중치민감도'!$D$9</f>
        <v>0.46671662286407556</v>
      </c>
      <c r="J522" s="17">
        <f>'01_원자료'!P519*'03_가중치민감도'!$B$10+'01_원자료'!Q519*'03_가중치민감도'!$C$10+'01_원자료'!R519*'03_가중치민감도'!$D$10</f>
        <v>0.58834540300138916</v>
      </c>
      <c r="K522" s="31">
        <f t="shared" si="48"/>
        <v>156</v>
      </c>
      <c r="L522" s="31">
        <f t="shared" si="49"/>
        <v>104</v>
      </c>
      <c r="M522" s="31">
        <f t="shared" si="50"/>
        <v>189</v>
      </c>
      <c r="N522" s="31">
        <f t="shared" si="51"/>
        <v>109</v>
      </c>
      <c r="O522" s="31">
        <f t="shared" si="52"/>
        <v>115</v>
      </c>
      <c r="P522" s="31">
        <f t="shared" si="53"/>
        <v>153</v>
      </c>
    </row>
    <row r="523" spans="1:16">
      <c r="A523" s="2" t="str">
        <f>'01_원자료'!A520</f>
        <v>RPT-04</v>
      </c>
      <c r="B523" s="2" t="str">
        <f>'01_원자료'!B520</f>
        <v>gemini</v>
      </c>
      <c r="C523" s="2" t="str">
        <f>'01_원자료'!C520</f>
        <v>qwen</v>
      </c>
      <c r="E523" s="17">
        <f>'01_원자료'!P520*'03_가중치민감도'!$B$5+'01_원자료'!Q520*'03_가중치민감도'!$C$5+'01_원자료'!R520*'03_가중치민감도'!$D$5</f>
        <v>0.63540010476341313</v>
      </c>
      <c r="F523" s="17">
        <f>'01_원자료'!P520*'03_가중치민감도'!$B$6+'01_원자료'!Q520*'03_가중치민감도'!$C$6+'01_원자료'!R520*'03_가중치민감도'!$D$6</f>
        <v>0.53362922299214632</v>
      </c>
      <c r="G523" s="17">
        <f>'01_원자료'!P520*'03_가중치민감도'!$B$7+'01_원자료'!Q520*'03_가중치민감도'!$C$7+'01_원자료'!R520*'03_가중치민감도'!$D$7</f>
        <v>0.64369191351589494</v>
      </c>
      <c r="H523" s="17">
        <f>'01_원자료'!P520*'03_가중치민감도'!$B$8+'01_원자료'!Q520*'03_가중치민감도'!$C$8+'01_원자료'!R520*'03_가중치민감도'!$D$8</f>
        <v>0.59394106100100397</v>
      </c>
      <c r="I523" s="17">
        <f>'01_원자료'!P520*'03_가중치민감도'!$B$9+'01_원자료'!Q520*'03_가중치민감도'!$C$9+'01_원자료'!R520*'03_가중치민감도'!$D$9</f>
        <v>0.56478891399840747</v>
      </c>
      <c r="J523" s="17">
        <f>'01_원자료'!P520*'03_가중치민감도'!$B$10+'01_원자료'!Q520*'03_가중치민감도'!$C$10+'01_원자료'!R520*'03_가중치민감도'!$D$10</f>
        <v>0.72058736902971621</v>
      </c>
      <c r="K523" s="31">
        <f t="shared" si="48"/>
        <v>557</v>
      </c>
      <c r="L523" s="31">
        <f t="shared" si="49"/>
        <v>520</v>
      </c>
      <c r="M523" s="31">
        <f t="shared" si="50"/>
        <v>582</v>
      </c>
      <c r="N523" s="31">
        <f t="shared" si="51"/>
        <v>473</v>
      </c>
      <c r="O523" s="31">
        <f t="shared" si="52"/>
        <v>522</v>
      </c>
      <c r="P523" s="31">
        <f t="shared" si="53"/>
        <v>552</v>
      </c>
    </row>
    <row r="524" spans="1:16">
      <c r="A524" s="2" t="str">
        <f>'01_원자료'!A521</f>
        <v>RPT-04</v>
      </c>
      <c r="B524" s="2" t="str">
        <f>'01_원자료'!B521</f>
        <v>mistral</v>
      </c>
      <c r="C524" s="2" t="str">
        <f>'01_원자료'!C521</f>
        <v>gemma</v>
      </c>
      <c r="E524" s="17">
        <f>'01_원자료'!P521*'03_가중치민감도'!$B$5+'01_원자료'!Q521*'03_가중치민감도'!$C$5+'01_원자료'!R521*'03_가중치민감도'!$D$5</f>
        <v>0.61545075082601097</v>
      </c>
      <c r="F524" s="17">
        <f>'01_원자료'!P521*'03_가중치민감도'!$B$6+'01_원자료'!Q521*'03_가중치민감도'!$C$6+'01_원자료'!R521*'03_가중치민감도'!$D$6</f>
        <v>0.51815481617291748</v>
      </c>
      <c r="G524" s="17">
        <f>'01_원자료'!P521*'03_가중치민감도'!$B$7+'01_원자료'!Q521*'03_가중치민감도'!$C$7+'01_원자료'!R521*'03_가중치민감도'!$D$7</f>
        <v>0.6140972815848339</v>
      </c>
      <c r="H524" s="17">
        <f>'01_원자료'!P521*'03_가중치민감도'!$B$8+'01_원자료'!Q521*'03_가중치민감도'!$C$8+'01_원자료'!R521*'03_가중치민감도'!$D$8</f>
        <v>0.62221809703189668</v>
      </c>
      <c r="I524" s="17">
        <f>'01_원자료'!P521*'03_가중치민감도'!$B$9+'01_원자료'!Q521*'03_가중치민감도'!$C$9+'01_원자료'!R521*'03_가중치민감도'!$D$9</f>
        <v>0.55103795080434048</v>
      </c>
      <c r="J524" s="17">
        <f>'01_원자료'!P521*'03_가중치민감도'!$B$10+'01_원자료'!Q521*'03_가중치민감도'!$C$10+'01_원자료'!R521*'03_가중치민감도'!$D$10</f>
        <v>0.71545362396145884</v>
      </c>
      <c r="K524" s="31">
        <f t="shared" si="48"/>
        <v>465</v>
      </c>
      <c r="L524" s="31">
        <f t="shared" si="49"/>
        <v>453</v>
      </c>
      <c r="M524" s="31">
        <f t="shared" si="50"/>
        <v>430</v>
      </c>
      <c r="N524" s="31">
        <f t="shared" si="51"/>
        <v>554</v>
      </c>
      <c r="O524" s="31">
        <f t="shared" si="52"/>
        <v>463</v>
      </c>
      <c r="P524" s="31">
        <f t="shared" si="53"/>
        <v>523</v>
      </c>
    </row>
    <row r="525" spans="1:16">
      <c r="A525" s="2" t="str">
        <f>'01_원자료'!A522</f>
        <v>RPT-04</v>
      </c>
      <c r="B525" s="2" t="str">
        <f>'01_원자료'!B522</f>
        <v>mistral</v>
      </c>
      <c r="C525" s="2" t="str">
        <f>'01_원자료'!C522</f>
        <v>ministral</v>
      </c>
      <c r="E525" s="17">
        <f>'01_원자료'!P522*'03_가중치민감도'!$B$5+'01_원자료'!Q522*'03_가중치민감도'!$C$5+'01_원자료'!R522*'03_가중치민감도'!$D$5</f>
        <v>0.51319281855765042</v>
      </c>
      <c r="F525" s="17">
        <f>'01_원자료'!P522*'03_가중치민감도'!$B$6+'01_원자료'!Q522*'03_가중치민감도'!$C$6+'01_원자료'!R522*'03_가중치민감도'!$D$6</f>
        <v>0.42940608857279716</v>
      </c>
      <c r="G525" s="17">
        <f>'01_원자료'!P522*'03_가중치민감도'!$B$7+'01_원자료'!Q522*'03_가중치민감도'!$C$7+'01_원자료'!R522*'03_가중치민감도'!$D$7</f>
        <v>0.5324941524942266</v>
      </c>
      <c r="H525" s="17">
        <f>'01_원자료'!P522*'03_가중치민감도'!$B$8+'01_원자료'!Q522*'03_가중치민감도'!$C$8+'01_원자료'!R522*'03_가중치민감도'!$D$8</f>
        <v>0.41668614887476974</v>
      </c>
      <c r="I525" s="17">
        <f>'01_원자료'!P522*'03_가중치민감도'!$B$9+'01_원자료'!Q522*'03_가중치민감도'!$C$9+'01_원자료'!R522*'03_가중치민감도'!$D$9</f>
        <v>0.4509012205888891</v>
      </c>
      <c r="J525" s="17">
        <f>'01_원자료'!P522*'03_가중치민감도'!$B$10+'01_원자료'!Q522*'03_가중치민감도'!$C$10+'01_원자료'!R522*'03_가중치민감도'!$D$10</f>
        <v>0.55837688066935143</v>
      </c>
      <c r="K525" s="31">
        <f t="shared" si="48"/>
        <v>76</v>
      </c>
      <c r="L525" s="31">
        <f t="shared" si="49"/>
        <v>70</v>
      </c>
      <c r="M525" s="31">
        <f t="shared" si="50"/>
        <v>80</v>
      </c>
      <c r="N525" s="31">
        <f t="shared" si="51"/>
        <v>79</v>
      </c>
      <c r="O525" s="31">
        <f t="shared" si="52"/>
        <v>68</v>
      </c>
      <c r="P525" s="31">
        <f t="shared" si="53"/>
        <v>83</v>
      </c>
    </row>
    <row r="526" spans="1:16">
      <c r="A526" s="2" t="str">
        <f>'01_원자료'!A523</f>
        <v>RPT-04</v>
      </c>
      <c r="B526" s="2" t="str">
        <f>'01_원자료'!B523</f>
        <v>mistral</v>
      </c>
      <c r="C526" s="2" t="str">
        <f>'01_원자료'!C523</f>
        <v>qwen</v>
      </c>
      <c r="E526" s="17">
        <f>'01_원자료'!P523*'03_가중치민감도'!$B$5+'01_원자료'!Q523*'03_가중치민감도'!$C$5+'01_원자료'!R523*'03_가중치민감도'!$D$5</f>
        <v>0.59576387868198277</v>
      </c>
      <c r="F526" s="17">
        <f>'01_원자료'!P523*'03_가중치민감도'!$B$6+'01_원자료'!Q523*'03_가중치민감도'!$C$6+'01_원자료'!R523*'03_가중치민감도'!$D$6</f>
        <v>0.51069335674195082</v>
      </c>
      <c r="G526" s="17">
        <f>'01_원자료'!P523*'03_가중치민감도'!$B$7+'01_원자료'!Q523*'03_가중치민감도'!$C$7+'01_원자료'!R523*'03_가중치민감도'!$D$7</f>
        <v>0.60448657524086191</v>
      </c>
      <c r="H526" s="17">
        <f>'01_원자료'!P523*'03_가중치민감도'!$B$8+'01_원자료'!Q523*'03_가중치민감도'!$C$8+'01_원자료'!R523*'03_가중치민감도'!$D$8</f>
        <v>0.55215039588758774</v>
      </c>
      <c r="I526" s="17">
        <f>'01_원자료'!P523*'03_가중치민감도'!$B$9+'01_원자료'!Q523*'03_가중치민감도'!$C$9+'01_원자료'!R523*'03_가중치민감도'!$D$9</f>
        <v>0.53614263186900124</v>
      </c>
      <c r="J526" s="17">
        <f>'01_원자료'!P523*'03_가중치민감도'!$B$10+'01_원자료'!Q523*'03_가중치민감도'!$C$10+'01_원자료'!R523*'03_가중치민감도'!$D$10</f>
        <v>0.66338900750425678</v>
      </c>
      <c r="K526" s="31">
        <f t="shared" si="48"/>
        <v>373</v>
      </c>
      <c r="L526" s="31">
        <f t="shared" si="49"/>
        <v>417</v>
      </c>
      <c r="M526" s="31">
        <f t="shared" si="50"/>
        <v>388</v>
      </c>
      <c r="N526" s="31">
        <f t="shared" si="51"/>
        <v>346</v>
      </c>
      <c r="O526" s="31">
        <f t="shared" si="52"/>
        <v>394</v>
      </c>
      <c r="P526" s="31">
        <f t="shared" si="53"/>
        <v>338</v>
      </c>
    </row>
    <row r="527" spans="1:16">
      <c r="A527" s="2" t="str">
        <f>'01_원자료'!A524</f>
        <v>RPT-04</v>
      </c>
      <c r="B527" s="2" t="str">
        <f>'01_원자료'!B524</f>
        <v>qwen3_6</v>
      </c>
      <c r="C527" s="2" t="str">
        <f>'01_원자료'!C524</f>
        <v>gemma</v>
      </c>
      <c r="E527" s="17">
        <f>'01_원자료'!P524*'03_가중치민감도'!$B$5+'01_원자료'!Q524*'03_가중치민감도'!$C$5+'01_원자료'!R524*'03_가중치민감도'!$D$5</f>
        <v>0.71963237326085328</v>
      </c>
      <c r="F527" s="17">
        <f>'01_원자료'!P524*'03_가중치민감도'!$B$6+'01_원자료'!Q524*'03_가중치민감도'!$C$6+'01_원자료'!R524*'03_가중치민감도'!$D$6</f>
        <v>0.61458168133310176</v>
      </c>
      <c r="G527" s="17">
        <f>'01_원자료'!P524*'03_가중치민감도'!$B$7+'01_원자료'!Q524*'03_가중치민감도'!$C$7+'01_원자료'!R524*'03_가중치민감도'!$D$7</f>
        <v>0.70993349750597501</v>
      </c>
      <c r="H527" s="17">
        <f>'01_원자료'!P524*'03_가중치민감도'!$B$8+'01_원자료'!Q524*'03_가중치민감도'!$C$8+'01_원자료'!R524*'03_가중치민감도'!$D$8</f>
        <v>0.76812675203524472</v>
      </c>
      <c r="I527" s="17">
        <f>'01_원자료'!P524*'03_가중치민감도'!$B$9+'01_원자료'!Q524*'03_가중치민감도'!$C$9+'01_원자료'!R524*'03_가중치민감도'!$D$9</f>
        <v>0.65283153722731102</v>
      </c>
      <c r="J527" s="17">
        <f>'01_원자료'!P524*'03_가중치민감도'!$B$10+'01_원자료'!Q524*'03_가중치민감도'!$C$10+'01_원자료'!R524*'03_가중치민감도'!$D$10</f>
        <v>0.84408081669836144</v>
      </c>
      <c r="K527" s="31">
        <f t="shared" si="48"/>
        <v>877</v>
      </c>
      <c r="L527" s="31">
        <f t="shared" si="49"/>
        <v>874</v>
      </c>
      <c r="M527" s="31">
        <f t="shared" si="50"/>
        <v>869</v>
      </c>
      <c r="N527" s="31">
        <f t="shared" si="51"/>
        <v>893</v>
      </c>
      <c r="O527" s="31">
        <f t="shared" si="52"/>
        <v>880</v>
      </c>
      <c r="P527" s="31">
        <f t="shared" si="53"/>
        <v>870</v>
      </c>
    </row>
    <row r="528" spans="1:16">
      <c r="A528" s="2" t="str">
        <f>'01_원자료'!A525</f>
        <v>RPT-04</v>
      </c>
      <c r="B528" s="2" t="str">
        <f>'01_원자료'!B525</f>
        <v>qwen3_6</v>
      </c>
      <c r="C528" s="2" t="str">
        <f>'01_원자료'!C525</f>
        <v>ministral</v>
      </c>
      <c r="E528" s="17">
        <f>'01_원자료'!P525*'03_가중치민감도'!$B$5+'01_원자료'!Q525*'03_가중치민감도'!$C$5+'01_원자료'!R525*'03_가중치민감도'!$D$5</f>
        <v>0.51121647318044172</v>
      </c>
      <c r="F528" s="17">
        <f>'01_원자료'!P525*'03_가중치민감도'!$B$6+'01_원자료'!Q525*'03_가중치민감도'!$C$6+'01_원자료'!R525*'03_가중치민감도'!$D$6</f>
        <v>0.42982436392210732</v>
      </c>
      <c r="G528" s="17">
        <f>'01_원자료'!P525*'03_가중치민감도'!$B$7+'01_원자료'!Q525*'03_가중치민감도'!$C$7+'01_원자료'!R525*'03_가중치민감도'!$D$7</f>
        <v>0.52883641498217815</v>
      </c>
      <c r="H528" s="17">
        <f>'01_원자료'!P525*'03_가중치민감도'!$B$8+'01_원자료'!Q525*'03_가중치민감도'!$C$8+'01_원자료'!R525*'03_가중치민감도'!$D$8</f>
        <v>0.42311676417175947</v>
      </c>
      <c r="I528" s="17">
        <f>'01_원자료'!P525*'03_가중치민감도'!$B$9+'01_원자료'!Q525*'03_가중치민감도'!$C$9+'01_원자료'!R525*'03_가중치민감도'!$D$9</f>
        <v>0.45108175307430609</v>
      </c>
      <c r="J528" s="17">
        <f>'01_원자료'!P525*'03_가중치민감도'!$B$10+'01_원자료'!Q525*'03_가중치민감도'!$C$10+'01_원자료'!R525*'03_가중치민감도'!$D$10</f>
        <v>0.55736869883530316</v>
      </c>
      <c r="K528" s="31">
        <f t="shared" si="48"/>
        <v>70</v>
      </c>
      <c r="L528" s="31">
        <f t="shared" si="49"/>
        <v>71</v>
      </c>
      <c r="M528" s="31">
        <f t="shared" si="50"/>
        <v>68</v>
      </c>
      <c r="N528" s="31">
        <f t="shared" si="51"/>
        <v>93</v>
      </c>
      <c r="O528" s="31">
        <f t="shared" si="52"/>
        <v>70</v>
      </c>
      <c r="P528" s="31">
        <f t="shared" si="53"/>
        <v>81</v>
      </c>
    </row>
    <row r="529" spans="1:16">
      <c r="A529" s="2" t="str">
        <f>'01_원자료'!A526</f>
        <v>RPT-04</v>
      </c>
      <c r="B529" s="2" t="str">
        <f>'01_원자료'!B526</f>
        <v>qwen3_6</v>
      </c>
      <c r="C529" s="2" t="str">
        <f>'01_원자료'!C526</f>
        <v>qwen</v>
      </c>
      <c r="E529" s="17">
        <f>'01_원자료'!P526*'03_가중치민감도'!$B$5+'01_원자료'!Q526*'03_가중치민감도'!$C$5+'01_원자료'!R526*'03_가중치민감도'!$D$5</f>
        <v>0.63180187284723366</v>
      </c>
      <c r="F529" s="17">
        <f>'01_원자료'!P526*'03_가중치민감도'!$B$6+'01_원자료'!Q526*'03_가중치민감도'!$C$6+'01_원자료'!R526*'03_가중치민감도'!$D$6</f>
        <v>0.54877472066731026</v>
      </c>
      <c r="G529" s="17">
        <f>'01_원자료'!P526*'03_가중치민감도'!$B$7+'01_원자료'!Q526*'03_가중치민감도'!$C$7+'01_원자료'!R526*'03_가중치민감도'!$D$7</f>
        <v>0.63823185147408856</v>
      </c>
      <c r="H529" s="17">
        <f>'01_원자료'!P526*'03_가중치민감도'!$B$8+'01_원자료'!Q526*'03_가중치민감도'!$C$8+'01_원자료'!R526*'03_가중치민감도'!$D$8</f>
        <v>0.59965197971295903</v>
      </c>
      <c r="I529" s="17">
        <f>'01_원자료'!P526*'03_가중치민감도'!$B$9+'01_원자료'!Q526*'03_가중치민감도'!$C$9+'01_원자료'!R526*'03_가중치민감도'!$D$9</f>
        <v>0.57430711185166583</v>
      </c>
      <c r="J529" s="17">
        <f>'01_원자료'!P526*'03_가중치민감도'!$B$10+'01_원자료'!Q526*'03_가중치민감도'!$C$10+'01_원자료'!R526*'03_가중치민감도'!$D$10</f>
        <v>0.70196906777344714</v>
      </c>
      <c r="K529" s="31">
        <f t="shared" si="48"/>
        <v>537</v>
      </c>
      <c r="L529" s="31">
        <f t="shared" si="49"/>
        <v>586</v>
      </c>
      <c r="M529" s="31">
        <f t="shared" si="50"/>
        <v>558</v>
      </c>
      <c r="N529" s="31">
        <f t="shared" si="51"/>
        <v>486</v>
      </c>
      <c r="O529" s="31">
        <f t="shared" si="52"/>
        <v>559</v>
      </c>
      <c r="P529" s="31">
        <f t="shared" si="53"/>
        <v>465</v>
      </c>
    </row>
    <row r="530" spans="1:16">
      <c r="A530" s="2" t="str">
        <f>'01_원자료'!A527</f>
        <v>RPT-05</v>
      </c>
      <c r="B530" s="2" t="str">
        <f>'01_원자료'!B527</f>
        <v>chatgpt</v>
      </c>
      <c r="C530" s="2" t="str">
        <f>'01_원자료'!C527</f>
        <v>gemma</v>
      </c>
      <c r="E530" s="17">
        <f>'01_원자료'!P527*'03_가중치민감도'!$B$5+'01_원자료'!Q527*'03_가중치민감도'!$C$5+'01_원자료'!R527*'03_가중치민감도'!$D$5</f>
        <v>0.54345774189518903</v>
      </c>
      <c r="F530" s="17">
        <f>'01_원자료'!P527*'03_가중치민감도'!$B$6+'01_원자료'!Q527*'03_가중치민감도'!$C$6+'01_원자료'!R527*'03_가중치민감도'!$D$6</f>
        <v>0.46016929297895126</v>
      </c>
      <c r="G530" s="17">
        <f>'01_원자료'!P527*'03_가중치민감도'!$B$7+'01_원자료'!Q527*'03_가중치민감도'!$C$7+'01_원자료'!R527*'03_가중치민감도'!$D$7</f>
        <v>0.54766896165117096</v>
      </c>
      <c r="H530" s="17">
        <f>'01_원자료'!P527*'03_가중치민감도'!$B$8+'01_원자료'!Q527*'03_가중치민감도'!$C$8+'01_원자료'!R527*'03_가중치민감도'!$D$8</f>
        <v>0.52240164311527937</v>
      </c>
      <c r="I530" s="17">
        <f>'01_원자료'!P527*'03_가중치민감도'!$B$9+'01_원자료'!Q527*'03_가중치민감도'!$C$9+'01_원자료'!R527*'03_가중치민감도'!$D$9</f>
        <v>0.48652836936570276</v>
      </c>
      <c r="J530" s="17">
        <f>'01_원자료'!P527*'03_가중치민감도'!$B$10+'01_원자료'!Q527*'03_가중치민감도'!$C$10+'01_원자료'!R527*'03_가중치민감도'!$D$10</f>
        <v>0.61832375129946304</v>
      </c>
      <c r="K530" s="31">
        <f t="shared" si="48"/>
        <v>181</v>
      </c>
      <c r="L530" s="31">
        <f t="shared" si="49"/>
        <v>179</v>
      </c>
      <c r="M530" s="31">
        <f t="shared" si="50"/>
        <v>142</v>
      </c>
      <c r="N530" s="31">
        <f t="shared" si="51"/>
        <v>261</v>
      </c>
      <c r="O530" s="31">
        <f t="shared" si="52"/>
        <v>185</v>
      </c>
      <c r="P530" s="31">
        <f t="shared" si="53"/>
        <v>235</v>
      </c>
    </row>
    <row r="531" spans="1:16">
      <c r="A531" s="2" t="str">
        <f>'01_원자료'!A528</f>
        <v>RPT-05</v>
      </c>
      <c r="B531" s="2" t="str">
        <f>'01_원자료'!B528</f>
        <v>chatgpt</v>
      </c>
      <c r="C531" s="2" t="str">
        <f>'01_원자료'!C528</f>
        <v>ministral</v>
      </c>
      <c r="E531" s="17">
        <f>'01_원자료'!P528*'03_가중치민감도'!$B$5+'01_원자료'!Q528*'03_가중치민감도'!$C$5+'01_원자료'!R528*'03_가중치민감도'!$D$5</f>
        <v>0.49155817309528382</v>
      </c>
      <c r="F531" s="17">
        <f>'01_원자료'!P528*'03_가중치민감도'!$B$6+'01_원자료'!Q528*'03_가중치민감도'!$C$6+'01_원자료'!R528*'03_가중치민감도'!$D$6</f>
        <v>0.41844431958652051</v>
      </c>
      <c r="G531" s="17">
        <f>'01_원자료'!P528*'03_가중치민감도'!$B$7+'01_원자료'!Q528*'03_가중치민감도'!$C$7+'01_원자료'!R528*'03_가중치민감도'!$D$7</f>
        <v>0.51039117446739923</v>
      </c>
      <c r="H531" s="17">
        <f>'01_원자료'!P528*'03_가중치민감도'!$B$8+'01_원자료'!Q528*'03_가중치민감도'!$C$8+'01_원자료'!R528*'03_가중치민감도'!$D$8</f>
        <v>0.39739316623470639</v>
      </c>
      <c r="I531" s="17">
        <f>'01_원자료'!P528*'03_가중치민감도'!$B$9+'01_원자료'!Q528*'03_가중치민감도'!$C$9+'01_원자료'!R528*'03_가중치민감도'!$D$9</f>
        <v>0.43653793696540261</v>
      </c>
      <c r="J531" s="17">
        <f>'01_원자료'!P528*'03_가중치민감도'!$B$10+'01_원자료'!Q528*'03_가중치민감도'!$C$10+'01_원자료'!R528*'03_가중치민감도'!$D$10</f>
        <v>0.5270060238598161</v>
      </c>
      <c r="K531" s="31">
        <f t="shared" si="48"/>
        <v>34</v>
      </c>
      <c r="L531" s="31">
        <f t="shared" si="49"/>
        <v>46</v>
      </c>
      <c r="M531" s="31">
        <f t="shared" si="50"/>
        <v>31</v>
      </c>
      <c r="N531" s="31">
        <f t="shared" si="51"/>
        <v>40</v>
      </c>
      <c r="O531" s="31">
        <f t="shared" si="52"/>
        <v>43</v>
      </c>
      <c r="P531" s="31">
        <f t="shared" si="53"/>
        <v>26</v>
      </c>
    </row>
    <row r="532" spans="1:16">
      <c r="A532" s="2" t="str">
        <f>'01_원자료'!A529</f>
        <v>RPT-05</v>
      </c>
      <c r="B532" s="2" t="str">
        <f>'01_원자료'!B529</f>
        <v>chatgpt</v>
      </c>
      <c r="C532" s="2" t="str">
        <f>'01_원자료'!C529</f>
        <v>qwen</v>
      </c>
      <c r="E532" s="17">
        <f>'01_원자료'!P529*'03_가중치민감도'!$B$5+'01_원자료'!Q529*'03_가중치민감도'!$C$5+'01_원자료'!R529*'03_가중치민감도'!$D$5</f>
        <v>0.53752342422271648</v>
      </c>
      <c r="F532" s="17">
        <f>'01_원자료'!P529*'03_가중치민감도'!$B$6+'01_원자료'!Q529*'03_가중치민감도'!$C$6+'01_원자료'!R529*'03_가중치민감도'!$D$6</f>
        <v>0.47894730962048926</v>
      </c>
      <c r="G532" s="17">
        <f>'01_원자료'!P529*'03_가중치민감도'!$B$7+'01_원자료'!Q529*'03_가중치민감도'!$C$7+'01_원자료'!R529*'03_가중치민감도'!$D$7</f>
        <v>0.54873684732992334</v>
      </c>
      <c r="H532" s="17">
        <f>'01_원자료'!P529*'03_가중치민감도'!$B$8+'01_원자료'!Q529*'03_가중치민감도'!$C$8+'01_원자료'!R529*'03_가중치민감도'!$D$8</f>
        <v>0.48145630868668232</v>
      </c>
      <c r="I532" s="17">
        <f>'01_원자료'!P529*'03_가중치민감도'!$B$9+'01_원자료'!Q529*'03_가중치민감도'!$C$9+'01_원자료'!R529*'03_가중치민감도'!$D$9</f>
        <v>0.49473487345216216</v>
      </c>
      <c r="J532" s="17">
        <f>'01_원자료'!P529*'03_가중치민감도'!$B$10+'01_원자료'!Q529*'03_가중치민감도'!$C$10+'01_원자료'!R529*'03_가중치민감도'!$D$10</f>
        <v>0.57367269261053</v>
      </c>
      <c r="K532" s="31">
        <f t="shared" si="48"/>
        <v>159</v>
      </c>
      <c r="L532" s="31">
        <f t="shared" si="49"/>
        <v>263</v>
      </c>
      <c r="M532" s="31">
        <f t="shared" si="50"/>
        <v>151</v>
      </c>
      <c r="N532" s="31">
        <f t="shared" si="51"/>
        <v>178</v>
      </c>
      <c r="O532" s="31">
        <f t="shared" si="52"/>
        <v>221</v>
      </c>
      <c r="P532" s="31">
        <f t="shared" si="53"/>
        <v>114</v>
      </c>
    </row>
    <row r="533" spans="1:16">
      <c r="A533" s="2" t="str">
        <f>'01_원자료'!A530</f>
        <v>RPT-05</v>
      </c>
      <c r="B533" s="2" t="str">
        <f>'01_원자료'!B530</f>
        <v>claude</v>
      </c>
      <c r="C533" s="2" t="str">
        <f>'01_원자료'!C530</f>
        <v>gemma</v>
      </c>
      <c r="E533" s="17">
        <f>'01_원자료'!P530*'03_가중치민감도'!$B$5+'01_원자료'!Q530*'03_가중치민감도'!$C$5+'01_원자료'!R530*'03_가중치민감도'!$D$5</f>
        <v>0.60332264718767115</v>
      </c>
      <c r="F533" s="17">
        <f>'01_원자료'!P530*'03_가중치민감도'!$B$6+'01_원자료'!Q530*'03_가중치민감도'!$C$6+'01_원자료'!R530*'03_가중치민감도'!$D$6</f>
        <v>0.50607879490975249</v>
      </c>
      <c r="G533" s="17">
        <f>'01_원자료'!P530*'03_가중치민감도'!$B$7+'01_원자료'!Q530*'03_가중치민감도'!$C$7+'01_원자료'!R530*'03_가중치민감도'!$D$7</f>
        <v>0.6036934730743484</v>
      </c>
      <c r="H533" s="17">
        <f>'01_원자료'!P530*'03_가중치민감도'!$B$8+'01_원자료'!Q530*'03_가중치민감도'!$C$8+'01_원자료'!R530*'03_가중치민감도'!$D$8</f>
        <v>0.60146851775428489</v>
      </c>
      <c r="I533" s="17">
        <f>'01_원자료'!P530*'03_가중치민감도'!$B$9+'01_원자료'!Q530*'03_가중치민감도'!$C$9+'01_원자료'!R530*'03_가중치민감도'!$D$9</f>
        <v>0.53836980370683241</v>
      </c>
      <c r="J533" s="17">
        <f>'01_원자료'!P530*'03_가중치민감도'!$B$10+'01_원자료'!Q530*'03_가중치민감도'!$C$10+'01_원자료'!R530*'03_가중치민감도'!$D$10</f>
        <v>0.69982484769223519</v>
      </c>
      <c r="K533" s="31">
        <f t="shared" si="48"/>
        <v>403</v>
      </c>
      <c r="L533" s="31">
        <f t="shared" si="49"/>
        <v>396</v>
      </c>
      <c r="M533" s="31">
        <f t="shared" si="50"/>
        <v>378</v>
      </c>
      <c r="N533" s="31">
        <f t="shared" si="51"/>
        <v>494</v>
      </c>
      <c r="O533" s="31">
        <f t="shared" si="52"/>
        <v>408</v>
      </c>
      <c r="P533" s="31">
        <f t="shared" si="53"/>
        <v>454</v>
      </c>
    </row>
    <row r="534" spans="1:16">
      <c r="A534" s="2" t="str">
        <f>'01_원자료'!A531</f>
        <v>RPT-05</v>
      </c>
      <c r="B534" s="2" t="str">
        <f>'01_원자료'!B531</f>
        <v>claude</v>
      </c>
      <c r="C534" s="2" t="str">
        <f>'01_원자료'!C531</f>
        <v>ministral</v>
      </c>
      <c r="E534" s="17">
        <f>'01_원자료'!P531*'03_가중치민감도'!$B$5+'01_원자료'!Q531*'03_가중치민감도'!$C$5+'01_원자료'!R531*'03_가중치민감도'!$D$5</f>
        <v>0.5339201530000699</v>
      </c>
      <c r="F534" s="17">
        <f>'01_원자료'!P531*'03_가중치민감도'!$B$6+'01_원자료'!Q531*'03_가중치민감도'!$C$6+'01_원자료'!R531*'03_가중치민감도'!$D$6</f>
        <v>0.45287834656364878</v>
      </c>
      <c r="G534" s="17">
        <f>'01_원자료'!P531*'03_가중치민감도'!$B$7+'01_원자료'!Q531*'03_가중치민감도'!$C$7+'01_원자료'!R531*'03_가중치민감도'!$D$7</f>
        <v>0.5491305036528773</v>
      </c>
      <c r="H534" s="17">
        <f>'01_원자료'!P531*'03_가중치민감도'!$B$8+'01_원자료'!Q531*'03_가중치민감도'!$C$8+'01_원자료'!R531*'03_가중치민감도'!$D$8</f>
        <v>0.45786839973603327</v>
      </c>
      <c r="I534" s="17">
        <f>'01_원자료'!P531*'03_가중치민감도'!$B$9+'01_원자료'!Q531*'03_가중치민감도'!$C$9+'01_원자료'!R531*'03_가중치민감도'!$D$9</f>
        <v>0.4748221651581862</v>
      </c>
      <c r="J534" s="17">
        <f>'01_원자료'!P531*'03_가중치민감도'!$B$10+'01_원자료'!Q531*'03_가중치민감도'!$C$10+'01_원자료'!R531*'03_가중치민감도'!$D$10</f>
        <v>0.58454125813087654</v>
      </c>
      <c r="K534" s="31">
        <f t="shared" si="48"/>
        <v>147</v>
      </c>
      <c r="L534" s="31">
        <f t="shared" si="49"/>
        <v>152</v>
      </c>
      <c r="M534" s="31">
        <f t="shared" si="50"/>
        <v>153</v>
      </c>
      <c r="N534" s="31">
        <f t="shared" si="51"/>
        <v>140</v>
      </c>
      <c r="O534" s="31">
        <f t="shared" si="52"/>
        <v>151</v>
      </c>
      <c r="P534" s="31">
        <f t="shared" si="53"/>
        <v>142</v>
      </c>
    </row>
    <row r="535" spans="1:16">
      <c r="A535" s="2" t="str">
        <f>'01_원자료'!A532</f>
        <v>RPT-05</v>
      </c>
      <c r="B535" s="2" t="str">
        <f>'01_원자료'!B532</f>
        <v>claude</v>
      </c>
      <c r="C535" s="2" t="str">
        <f>'01_원자료'!C532</f>
        <v>qwen</v>
      </c>
      <c r="E535" s="17">
        <f>'01_원자료'!P532*'03_가중치민감도'!$B$5+'01_원자료'!Q532*'03_가중치민감도'!$C$5+'01_원자료'!R532*'03_가중치민감도'!$D$5</f>
        <v>0.64943473123897422</v>
      </c>
      <c r="F535" s="17">
        <f>'01_원자료'!P532*'03_가중치민감도'!$B$6+'01_원자료'!Q532*'03_가중치민감도'!$C$6+'01_원자료'!R532*'03_가중치민감도'!$D$6</f>
        <v>0.56518693137066456</v>
      </c>
      <c r="G535" s="17">
        <f>'01_원자료'!P532*'03_가중치민감도'!$B$7+'01_원자료'!Q532*'03_가중치민감도'!$C$7+'01_원자료'!R532*'03_가중치민감도'!$D$7</f>
        <v>0.65045260263047699</v>
      </c>
      <c r="H535" s="17">
        <f>'01_원자료'!P532*'03_가중치민감도'!$B$8+'01_원자료'!Q532*'03_가중치민감도'!$C$8+'01_원자료'!R532*'03_가중치민감도'!$D$8</f>
        <v>0.64434537428146044</v>
      </c>
      <c r="I535" s="17">
        <f>'01_원자료'!P532*'03_가중치민감도'!$B$9+'01_원자료'!Q532*'03_가중치민감도'!$C$9+'01_원자료'!R532*'03_가중치민감도'!$D$9</f>
        <v>0.59293024086293289</v>
      </c>
      <c r="J535" s="17">
        <f>'01_원자료'!P532*'03_가중치민감도'!$B$10+'01_원자료'!Q532*'03_가중치민감도'!$C$10+'01_원자료'!R532*'03_가중치민감도'!$D$10</f>
        <v>0.73164678832427832</v>
      </c>
      <c r="K535" s="31">
        <f t="shared" si="48"/>
        <v>615</v>
      </c>
      <c r="L535" s="31">
        <f t="shared" si="49"/>
        <v>666</v>
      </c>
      <c r="M535" s="31">
        <f t="shared" si="50"/>
        <v>619</v>
      </c>
      <c r="N535" s="31">
        <f t="shared" si="51"/>
        <v>622</v>
      </c>
      <c r="O535" s="31">
        <f t="shared" si="52"/>
        <v>653</v>
      </c>
      <c r="P535" s="31">
        <f t="shared" si="53"/>
        <v>589</v>
      </c>
    </row>
    <row r="536" spans="1:16">
      <c r="A536" s="2" t="str">
        <f>'01_원자료'!A533</f>
        <v>RPT-05</v>
      </c>
      <c r="B536" s="2" t="str">
        <f>'01_원자료'!B533</f>
        <v>gemini</v>
      </c>
      <c r="C536" s="2" t="str">
        <f>'01_원자료'!C533</f>
        <v>gemma</v>
      </c>
      <c r="E536" s="17">
        <f>'01_원자료'!P533*'03_가중치민감도'!$B$5+'01_원자료'!Q533*'03_가중치민감도'!$C$5+'01_원자료'!R533*'03_가중치민감도'!$D$5</f>
        <v>0.73488985014859542</v>
      </c>
      <c r="F536" s="17">
        <f>'01_원자료'!P533*'03_가중치민감도'!$B$6+'01_원자료'!Q533*'03_가중치민감도'!$C$6+'01_원자료'!R533*'03_가중치민감도'!$D$6</f>
        <v>0.60920232203970059</v>
      </c>
      <c r="G536" s="17">
        <f>'01_원자료'!P533*'03_가중치민감도'!$B$7+'01_원자료'!Q533*'03_가중치민감도'!$C$7+'01_원자료'!R533*'03_가중치민감도'!$D$7</f>
        <v>0.72818216714945749</v>
      </c>
      <c r="H536" s="17">
        <f>'01_원자료'!P533*'03_가중치민감도'!$B$8+'01_원자료'!Q533*'03_가중치민감도'!$C$8+'01_원자료'!R533*'03_가중치민감도'!$D$8</f>
        <v>0.76842826514428464</v>
      </c>
      <c r="I536" s="17">
        <f>'01_원자료'!P533*'03_가중치민감도'!$B$9+'01_원자료'!Q533*'03_가중치민감도'!$C$9+'01_원자료'!R533*'03_가중치민감도'!$D$9</f>
        <v>0.65333405907571085</v>
      </c>
      <c r="J536" s="17">
        <f>'01_원자료'!P533*'03_가중치민감도'!$B$10+'01_원자료'!Q533*'03_가중치민감도'!$C$10+'01_원자료'!R533*'03_가중치민감도'!$D$10</f>
        <v>0.87399274425576579</v>
      </c>
      <c r="K536" s="31">
        <f t="shared" si="48"/>
        <v>915</v>
      </c>
      <c r="L536" s="31">
        <f t="shared" si="49"/>
        <v>852</v>
      </c>
      <c r="M536" s="31">
        <f t="shared" si="50"/>
        <v>918</v>
      </c>
      <c r="N536" s="31">
        <f t="shared" si="51"/>
        <v>894</v>
      </c>
      <c r="O536" s="31">
        <f t="shared" si="52"/>
        <v>881</v>
      </c>
      <c r="P536" s="31">
        <f t="shared" si="53"/>
        <v>953</v>
      </c>
    </row>
    <row r="537" spans="1:16">
      <c r="A537" s="2" t="str">
        <f>'01_원자료'!A534</f>
        <v>RPT-05</v>
      </c>
      <c r="B537" s="2" t="str">
        <f>'01_원자료'!B534</f>
        <v>gemini</v>
      </c>
      <c r="C537" s="2" t="str">
        <f>'01_원자료'!C534</f>
        <v>ministral</v>
      </c>
      <c r="E537" s="17">
        <f>'01_원자료'!P534*'03_가중치민감도'!$B$5+'01_원자료'!Q534*'03_가중치민감도'!$C$5+'01_원자료'!R534*'03_가중치민감도'!$D$5</f>
        <v>0.53974477620673633</v>
      </c>
      <c r="F537" s="17">
        <f>'01_원자료'!P534*'03_가중치민감도'!$B$6+'01_원자료'!Q534*'03_가중치민감도'!$C$6+'01_원자료'!R534*'03_가중치민감도'!$D$6</f>
        <v>0.44578712267370002</v>
      </c>
      <c r="G537" s="17">
        <f>'01_원자료'!P534*'03_가중치민감도'!$B$7+'01_원자료'!Q534*'03_가중치민감도'!$C$7+'01_원자료'!R534*'03_가중치민감도'!$D$7</f>
        <v>0.56014449646360165</v>
      </c>
      <c r="H537" s="17">
        <f>'01_원자료'!P534*'03_가중치민감도'!$B$8+'01_원자료'!Q534*'03_가중치민감도'!$C$8+'01_원자료'!R534*'03_가중치민감도'!$D$8</f>
        <v>0.43774617492241008</v>
      </c>
      <c r="I537" s="17">
        <f>'01_원자료'!P534*'03_가중치민감도'!$B$9+'01_원자료'!Q534*'03_가중치민감도'!$C$9+'01_원자료'!R534*'03_가중치민감도'!$D$9</f>
        <v>0.47030643376575659</v>
      </c>
      <c r="J537" s="17">
        <f>'01_원자료'!P534*'03_가중치민감도'!$B$10+'01_원자료'!Q534*'03_가중치민감도'!$C$10+'01_원자료'!R534*'03_가중치민감도'!$D$10</f>
        <v>0.59290298922604223</v>
      </c>
      <c r="K537" s="31">
        <f t="shared" si="48"/>
        <v>168</v>
      </c>
      <c r="L537" s="31">
        <f t="shared" si="49"/>
        <v>120</v>
      </c>
      <c r="M537" s="31">
        <f t="shared" si="50"/>
        <v>199</v>
      </c>
      <c r="N537" s="31">
        <f t="shared" si="51"/>
        <v>119</v>
      </c>
      <c r="O537" s="31">
        <f t="shared" si="52"/>
        <v>134</v>
      </c>
      <c r="P537" s="31">
        <f t="shared" si="53"/>
        <v>165</v>
      </c>
    </row>
    <row r="538" spans="1:16">
      <c r="A538" s="2" t="str">
        <f>'01_원자료'!A535</f>
        <v>RPT-05</v>
      </c>
      <c r="B538" s="2" t="str">
        <f>'01_원자료'!B535</f>
        <v>gemini</v>
      </c>
      <c r="C538" s="2" t="str">
        <f>'01_원자료'!C535</f>
        <v>qwen</v>
      </c>
      <c r="E538" s="17">
        <f>'01_원자료'!P535*'03_가중치민감도'!$B$5+'01_원자료'!Q535*'03_가중치민감도'!$C$5+'01_원자료'!R535*'03_가중치민감도'!$D$5</f>
        <v>0.67047919608082773</v>
      </c>
      <c r="F538" s="17">
        <f>'01_원자료'!P535*'03_가중치민감도'!$B$6+'01_원자료'!Q535*'03_가중치민감도'!$C$6+'01_원자료'!R535*'03_가중치민감도'!$D$6</f>
        <v>0.57457092659201214</v>
      </c>
      <c r="G538" s="17">
        <f>'01_원자료'!P535*'03_가중치민감도'!$B$7+'01_원자료'!Q535*'03_가중치민감도'!$C$7+'01_원자료'!R535*'03_가중치민감도'!$D$7</f>
        <v>0.67564536867507774</v>
      </c>
      <c r="H538" s="17">
        <f>'01_원자료'!P535*'03_가중치민감도'!$B$8+'01_원자료'!Q535*'03_가중치민감도'!$C$8+'01_원자료'!R535*'03_가중치민감도'!$D$8</f>
        <v>0.64464833310957781</v>
      </c>
      <c r="I538" s="17">
        <f>'01_원자료'!P535*'03_가중치민감도'!$B$9+'01_원자료'!Q535*'03_가중치민감도'!$C$9+'01_원자료'!R535*'03_가중치민감도'!$D$9</f>
        <v>0.60481829222353334</v>
      </c>
      <c r="J538" s="17">
        <f>'01_원자료'!P535*'03_가중치민감도'!$B$10+'01_원자료'!Q535*'03_가중치민감도'!$C$10+'01_원자료'!R535*'03_가중치민감도'!$D$10</f>
        <v>0.75605512038114342</v>
      </c>
      <c r="K538" s="31">
        <f t="shared" si="48"/>
        <v>720</v>
      </c>
      <c r="L538" s="31">
        <f t="shared" si="49"/>
        <v>717</v>
      </c>
      <c r="M538" s="31">
        <f t="shared" si="50"/>
        <v>744</v>
      </c>
      <c r="N538" s="31">
        <f t="shared" si="51"/>
        <v>625</v>
      </c>
      <c r="O538" s="31">
        <f t="shared" si="52"/>
        <v>711</v>
      </c>
      <c r="P538" s="31">
        <f t="shared" si="53"/>
        <v>682</v>
      </c>
    </row>
    <row r="539" spans="1:16">
      <c r="A539" s="2" t="str">
        <f>'01_원자료'!A536</f>
        <v>RPT-05</v>
      </c>
      <c r="B539" s="2" t="str">
        <f>'01_원자료'!B536</f>
        <v>mistral</v>
      </c>
      <c r="C539" s="2" t="str">
        <f>'01_원자료'!C536</f>
        <v>gemma</v>
      </c>
      <c r="E539" s="17">
        <f>'01_원자료'!P536*'03_가중치민감도'!$B$5+'01_원자료'!Q536*'03_가중치민감도'!$C$5+'01_원자료'!R536*'03_가중치민감도'!$D$5</f>
        <v>0.60819618521055796</v>
      </c>
      <c r="F539" s="17">
        <f>'01_원자료'!P536*'03_가중치민감도'!$B$6+'01_원자료'!Q536*'03_가중치민감도'!$C$6+'01_원자료'!R536*'03_가중치민감도'!$D$6</f>
        <v>0.5150510112373694</v>
      </c>
      <c r="G539" s="17">
        <f>'01_원자료'!P536*'03_가중치민감도'!$B$7+'01_원자료'!Q536*'03_가중치민감도'!$C$7+'01_원자료'!R536*'03_가중치민감도'!$D$7</f>
        <v>0.61122803118760283</v>
      </c>
      <c r="H539" s="17">
        <f>'01_원자료'!P536*'03_가중치민감도'!$B$8+'01_원자료'!Q536*'03_가중치민감도'!$C$8+'01_원자료'!R536*'03_가중치민감도'!$D$8</f>
        <v>0.59303695532533329</v>
      </c>
      <c r="I539" s="17">
        <f>'01_원자료'!P536*'03_가중치민감도'!$B$9+'01_원자료'!Q536*'03_가중치민감도'!$C$9+'01_원자료'!R536*'03_가중치민감도'!$D$9</f>
        <v>0.54508878723608323</v>
      </c>
      <c r="J539" s="17">
        <f>'01_원자료'!P536*'03_가중치민감도'!$B$10+'01_원자료'!Q536*'03_가중치민감도'!$C$10+'01_원자료'!R536*'03_가중치민감도'!$D$10</f>
        <v>0.69527766722965656</v>
      </c>
      <c r="K539" s="31">
        <f t="shared" si="48"/>
        <v>424</v>
      </c>
      <c r="L539" s="31">
        <f t="shared" si="49"/>
        <v>439</v>
      </c>
      <c r="M539" s="31">
        <f t="shared" si="50"/>
        <v>416</v>
      </c>
      <c r="N539" s="31">
        <f t="shared" si="51"/>
        <v>471</v>
      </c>
      <c r="O539" s="31">
        <f t="shared" si="52"/>
        <v>438</v>
      </c>
      <c r="P539" s="31">
        <f t="shared" si="53"/>
        <v>440</v>
      </c>
    </row>
    <row r="540" spans="1:16">
      <c r="A540" s="2" t="str">
        <f>'01_원자료'!A537</f>
        <v>RPT-05</v>
      </c>
      <c r="B540" s="2" t="str">
        <f>'01_원자료'!B537</f>
        <v>mistral</v>
      </c>
      <c r="C540" s="2" t="str">
        <f>'01_원자료'!C537</f>
        <v>ministral</v>
      </c>
      <c r="E540" s="17">
        <f>'01_원자료'!P537*'03_가중치민감도'!$B$5+'01_원자료'!Q537*'03_가중치민감도'!$C$5+'01_원자료'!R537*'03_가중치민감도'!$D$5</f>
        <v>0.51013190309319312</v>
      </c>
      <c r="F540" s="17">
        <f>'01_원자료'!P537*'03_가중치민감도'!$B$6+'01_원자료'!Q537*'03_가중치민감도'!$C$6+'01_원자료'!R537*'03_가중치민감도'!$D$6</f>
        <v>0.43461005254683216</v>
      </c>
      <c r="G540" s="17">
        <f>'01_원자료'!P537*'03_가중치민감도'!$B$7+'01_원자료'!Q537*'03_가중치민감도'!$C$7+'01_원자료'!R537*'03_가중치민감도'!$D$7</f>
        <v>0.53122050804841459</v>
      </c>
      <c r="H540" s="17">
        <f>'01_원자료'!P537*'03_가중치민감도'!$B$8+'01_원자료'!Q537*'03_가중치민감도'!$C$8+'01_원자료'!R537*'03_가중치민감도'!$D$8</f>
        <v>0.40468887831708589</v>
      </c>
      <c r="I540" s="17">
        <f>'01_원자료'!P537*'03_가중치민감도'!$B$9+'01_원자료'!Q537*'03_가중치민감도'!$C$9+'01_원자료'!R537*'03_가중치민감도'!$D$9</f>
        <v>0.45275446774387823</v>
      </c>
      <c r="J540" s="17">
        <f>'01_원자료'!P537*'03_가중치민감도'!$B$10+'01_원자료'!Q537*'03_가중치민감도'!$C$10+'01_원자료'!R537*'03_가중치민감도'!$D$10</f>
        <v>0.54347654372911114</v>
      </c>
      <c r="K540" s="31">
        <f t="shared" si="48"/>
        <v>67</v>
      </c>
      <c r="L540" s="31">
        <f t="shared" si="49"/>
        <v>83</v>
      </c>
      <c r="M540" s="31">
        <f t="shared" si="50"/>
        <v>76</v>
      </c>
      <c r="N540" s="31">
        <f t="shared" si="51"/>
        <v>51</v>
      </c>
      <c r="O540" s="31">
        <f t="shared" si="52"/>
        <v>76</v>
      </c>
      <c r="P540" s="31">
        <f t="shared" si="53"/>
        <v>55</v>
      </c>
    </row>
    <row r="541" spans="1:16">
      <c r="A541" s="2" t="str">
        <f>'01_원자료'!A538</f>
        <v>RPT-05</v>
      </c>
      <c r="B541" s="2" t="str">
        <f>'01_원자료'!B538</f>
        <v>mistral</v>
      </c>
      <c r="C541" s="2" t="str">
        <f>'01_원자료'!C538</f>
        <v>qwen</v>
      </c>
      <c r="E541" s="17">
        <f>'01_원자료'!P538*'03_가중치민감도'!$B$5+'01_원자료'!Q538*'03_가중치민감도'!$C$5+'01_원자료'!R538*'03_가중치민감도'!$D$5</f>
        <v>0.58458346656250781</v>
      </c>
      <c r="F541" s="17">
        <f>'01_원자료'!P538*'03_가중치민감도'!$B$6+'01_원자료'!Q538*'03_가중치민감도'!$C$6+'01_원자료'!R538*'03_가중치민감도'!$D$6</f>
        <v>0.50641820746996091</v>
      </c>
      <c r="G541" s="17">
        <f>'01_원자료'!P538*'03_가중치민감도'!$B$7+'01_원자료'!Q538*'03_가중치민감도'!$C$7+'01_원자료'!R538*'03_가중치민감도'!$D$7</f>
        <v>0.59666837522445226</v>
      </c>
      <c r="H541" s="17">
        <f>'01_원자료'!P538*'03_가중치민감도'!$B$8+'01_원자료'!Q538*'03_가중치민감도'!$C$8+'01_원자료'!R538*'03_가중치민감도'!$D$8</f>
        <v>0.5241589232527859</v>
      </c>
      <c r="I541" s="17">
        <f>'01_원자료'!P538*'03_가중치민감도'!$B$9+'01_원자료'!Q538*'03_가중치민감도'!$C$9+'01_원자료'!R538*'03_가중치민감도'!$D$9</f>
        <v>0.52844499094682784</v>
      </c>
      <c r="J541" s="17">
        <f>'01_원자료'!P538*'03_가중치민감도'!$B$10+'01_원자료'!Q538*'03_가중치민감도'!$C$10+'01_원자료'!R538*'03_가중치민감도'!$D$10</f>
        <v>0.63857890833116593</v>
      </c>
      <c r="K541" s="31">
        <f t="shared" si="48"/>
        <v>336</v>
      </c>
      <c r="L541" s="31">
        <f t="shared" si="49"/>
        <v>399</v>
      </c>
      <c r="M541" s="31">
        <f t="shared" si="50"/>
        <v>349</v>
      </c>
      <c r="N541" s="31">
        <f t="shared" si="51"/>
        <v>266</v>
      </c>
      <c r="O541" s="31">
        <f t="shared" si="52"/>
        <v>362</v>
      </c>
      <c r="P541" s="31">
        <f t="shared" si="53"/>
        <v>282</v>
      </c>
    </row>
    <row r="542" spans="1:16">
      <c r="A542" s="2" t="str">
        <f>'01_원자료'!A539</f>
        <v>RPT-05</v>
      </c>
      <c r="B542" s="2" t="str">
        <f>'01_원자료'!B539</f>
        <v>qwen3_6</v>
      </c>
      <c r="C542" s="2" t="str">
        <f>'01_원자료'!C539</f>
        <v>gemma</v>
      </c>
      <c r="E542" s="17">
        <f>'01_원자료'!P539*'03_가중치민감도'!$B$5+'01_원자료'!Q539*'03_가중치민감도'!$C$5+'01_원자료'!R539*'03_가중치민감도'!$D$5</f>
        <v>0.72617676412748156</v>
      </c>
      <c r="F542" s="17">
        <f>'01_원자료'!P539*'03_가중치민감도'!$B$6+'01_원자료'!Q539*'03_가중치민감도'!$C$6+'01_원자료'!R539*'03_가중치민감도'!$D$6</f>
        <v>0.62257566138508169</v>
      </c>
      <c r="G542" s="17">
        <f>'01_원자료'!P539*'03_가중치민감도'!$B$7+'01_원자료'!Q539*'03_가중치민감도'!$C$7+'01_원자료'!R539*'03_가중치민감도'!$D$7</f>
        <v>0.71690245517937634</v>
      </c>
      <c r="H542" s="17">
        <f>'01_원자료'!P539*'03_가중치민감도'!$B$8+'01_원자료'!Q539*'03_가중치민감도'!$C$8+'01_원자료'!R539*'03_가중치민감도'!$D$8</f>
        <v>0.77254830886800774</v>
      </c>
      <c r="I542" s="17">
        <f>'01_원자료'!P539*'03_가중치민감도'!$B$9+'01_원자료'!Q539*'03_가중치민감도'!$C$9+'01_원자료'!R539*'03_가중치민감도'!$D$9</f>
        <v>0.66020079861524938</v>
      </c>
      <c r="J542" s="17">
        <f>'01_원자료'!P539*'03_가중치민감도'!$B$10+'01_원자료'!Q539*'03_가중치민감도'!$C$10+'01_원자료'!R539*'03_가중치민감도'!$D$10</f>
        <v>0.84832648476609196</v>
      </c>
      <c r="K542" s="31">
        <f t="shared" si="48"/>
        <v>897</v>
      </c>
      <c r="L542" s="31">
        <f t="shared" si="49"/>
        <v>907</v>
      </c>
      <c r="M542" s="31">
        <f t="shared" si="50"/>
        <v>895</v>
      </c>
      <c r="N542" s="31">
        <f t="shared" si="51"/>
        <v>912</v>
      </c>
      <c r="O542" s="31">
        <f t="shared" si="52"/>
        <v>906</v>
      </c>
      <c r="P542" s="31">
        <f t="shared" si="53"/>
        <v>888</v>
      </c>
    </row>
    <row r="543" spans="1:16">
      <c r="A543" s="2" t="str">
        <f>'01_원자료'!A540</f>
        <v>RPT-05</v>
      </c>
      <c r="B543" s="2" t="str">
        <f>'01_원자료'!B540</f>
        <v>qwen3_6</v>
      </c>
      <c r="C543" s="2" t="str">
        <f>'01_원자료'!C540</f>
        <v>ministral</v>
      </c>
      <c r="E543" s="17">
        <f>'01_원자료'!P540*'03_가중치민감도'!$B$5+'01_원자료'!Q540*'03_가중치민감도'!$C$5+'01_원자료'!R540*'03_가중치민감도'!$D$5</f>
        <v>0.52754731661304077</v>
      </c>
      <c r="F543" s="17">
        <f>'01_원자료'!P540*'03_가중치민감도'!$B$6+'01_원자료'!Q540*'03_가중치민감도'!$C$6+'01_원자료'!R540*'03_가중치민감도'!$D$6</f>
        <v>0.44302767992086822</v>
      </c>
      <c r="G543" s="17">
        <f>'01_원자료'!P540*'03_가중치민감도'!$B$7+'01_원자료'!Q540*'03_가중치민감도'!$C$7+'01_원자료'!R540*'03_가중치민감도'!$D$7</f>
        <v>0.54614408050035934</v>
      </c>
      <c r="H543" s="17">
        <f>'01_원자료'!P540*'03_가중치민감도'!$B$8+'01_원자료'!Q540*'03_가중치민감도'!$C$8+'01_원자료'!R540*'03_가중치민감도'!$D$8</f>
        <v>0.43456349717644754</v>
      </c>
      <c r="I543" s="17">
        <f>'01_원자료'!P540*'03_가중치민감도'!$B$9+'01_원자료'!Q540*'03_가중치민감도'!$C$9+'01_원자료'!R540*'03_가중치민감도'!$D$9</f>
        <v>0.46500197085581901</v>
      </c>
      <c r="J543" s="17">
        <f>'01_원자료'!P540*'03_가중치민감도'!$B$10+'01_원자료'!Q540*'03_가중치민감도'!$C$10+'01_원자료'!R540*'03_가중치민감도'!$D$10</f>
        <v>0.57487342553057597</v>
      </c>
      <c r="K543" s="31">
        <f t="shared" si="48"/>
        <v>123</v>
      </c>
      <c r="L543" s="31">
        <f t="shared" si="49"/>
        <v>108</v>
      </c>
      <c r="M543" s="31">
        <f t="shared" si="50"/>
        <v>137</v>
      </c>
      <c r="N543" s="31">
        <f t="shared" si="51"/>
        <v>112</v>
      </c>
      <c r="O543" s="31">
        <f t="shared" si="52"/>
        <v>111</v>
      </c>
      <c r="P543" s="31">
        <f t="shared" si="53"/>
        <v>118</v>
      </c>
    </row>
    <row r="544" spans="1:16">
      <c r="A544" s="2" t="str">
        <f>'01_원자료'!A541</f>
        <v>RPT-05</v>
      </c>
      <c r="B544" s="2" t="str">
        <f>'01_원자료'!B541</f>
        <v>qwen3_6</v>
      </c>
      <c r="C544" s="2" t="str">
        <f>'01_원자료'!C541</f>
        <v>qwen</v>
      </c>
      <c r="E544" s="17">
        <f>'01_원자료'!P541*'03_가중치민감도'!$B$5+'01_원자료'!Q541*'03_가중치민감도'!$C$5+'01_원자료'!R541*'03_가중치민감도'!$D$5</f>
        <v>0.67146311263238201</v>
      </c>
      <c r="F544" s="17">
        <f>'01_원자료'!P541*'03_가중치민감도'!$B$6+'01_원자료'!Q541*'03_가중치민감도'!$C$6+'01_원자료'!R541*'03_가중치민감도'!$D$6</f>
        <v>0.5873603190613168</v>
      </c>
      <c r="G544" s="17">
        <f>'01_원자료'!P541*'03_가중치민감도'!$B$7+'01_원자료'!Q541*'03_가중치민감도'!$C$7+'01_원자료'!R541*'03_가중치민감도'!$D$7</f>
        <v>0.67572748861278231</v>
      </c>
      <c r="H544" s="17">
        <f>'01_원자료'!P541*'03_가중치민감도'!$B$8+'01_원자료'!Q541*'03_가중치민감도'!$C$8+'01_원자료'!R541*'03_가중치민감도'!$D$8</f>
        <v>0.65014123273038038</v>
      </c>
      <c r="I544" s="17">
        <f>'01_원자료'!P541*'03_가중치민감도'!$B$9+'01_원자료'!Q541*'03_가중치민감도'!$C$9+'01_원자료'!R541*'03_가중치민감도'!$D$9</f>
        <v>0.61397312492487122</v>
      </c>
      <c r="J544" s="17">
        <f>'01_원자료'!P541*'03_가중치민감도'!$B$10+'01_원자료'!Q541*'03_가중치민감도'!$C$10+'01_원자료'!R541*'03_가중치민감도'!$D$10</f>
        <v>0.74703715424264661</v>
      </c>
      <c r="K544" s="31">
        <f t="shared" si="48"/>
        <v>724</v>
      </c>
      <c r="L544" s="31">
        <f t="shared" si="49"/>
        <v>758</v>
      </c>
      <c r="M544" s="31">
        <f t="shared" si="50"/>
        <v>745</v>
      </c>
      <c r="N544" s="31">
        <f t="shared" si="51"/>
        <v>641</v>
      </c>
      <c r="O544" s="31">
        <f t="shared" si="52"/>
        <v>744</v>
      </c>
      <c r="P544" s="31">
        <f t="shared" si="53"/>
        <v>647</v>
      </c>
    </row>
    <row r="545" spans="1:16">
      <c r="A545" s="2" t="str">
        <f>'01_원자료'!A542</f>
        <v>RPT-06</v>
      </c>
      <c r="B545" s="2" t="str">
        <f>'01_원자료'!B542</f>
        <v>chatgpt</v>
      </c>
      <c r="C545" s="2" t="str">
        <f>'01_원자료'!C542</f>
        <v>gemma</v>
      </c>
      <c r="E545" s="17">
        <f>'01_원자료'!P542*'03_가중치민감도'!$B$5+'01_원자료'!Q542*'03_가중치민감도'!$C$5+'01_원자료'!R542*'03_가중치민감도'!$D$5</f>
        <v>0.50528793961514173</v>
      </c>
      <c r="F545" s="17">
        <f>'01_원자료'!P542*'03_가중치민감도'!$B$6+'01_원자료'!Q542*'03_가중치민감도'!$C$6+'01_원자료'!R542*'03_가중치민감도'!$D$6</f>
        <v>0.43399896672171212</v>
      </c>
      <c r="G545" s="17">
        <f>'01_원자료'!P542*'03_가중치민감도'!$B$7+'01_원자료'!Q542*'03_가중치민감도'!$C$7+'01_원자료'!R542*'03_가중치민감도'!$D$7</f>
        <v>0.51572300079386013</v>
      </c>
      <c r="H545" s="17">
        <f>'01_원자료'!P542*'03_가중치민감도'!$B$8+'01_원자료'!Q542*'03_가중치민감도'!$C$8+'01_원자료'!R542*'03_가중치민감도'!$D$8</f>
        <v>0.45311263372154964</v>
      </c>
      <c r="I545" s="17">
        <f>'01_원자료'!P542*'03_가중치민감도'!$B$9+'01_원자료'!Q542*'03_가중치민감도'!$C$9+'01_원자료'!R542*'03_가중치민감도'!$D$9</f>
        <v>0.45428360395994871</v>
      </c>
      <c r="J545" s="17">
        <f>'01_원자료'!P542*'03_가중치민감도'!$B$10+'01_원자료'!Q542*'03_가중치민감도'!$C$10+'01_원자료'!R542*'03_가중치민감도'!$D$10</f>
        <v>0.55570679015113433</v>
      </c>
      <c r="K545" s="31">
        <f t="shared" si="48"/>
        <v>57</v>
      </c>
      <c r="L545" s="31">
        <f t="shared" si="49"/>
        <v>81</v>
      </c>
      <c r="M545" s="31">
        <f t="shared" si="50"/>
        <v>39</v>
      </c>
      <c r="N545" s="31">
        <f t="shared" si="51"/>
        <v>137</v>
      </c>
      <c r="O545" s="31">
        <f t="shared" si="52"/>
        <v>80</v>
      </c>
      <c r="P545" s="31">
        <f t="shared" si="53"/>
        <v>78</v>
      </c>
    </row>
    <row r="546" spans="1:16">
      <c r="A546" s="2" t="str">
        <f>'01_원자료'!A543</f>
        <v>RPT-06</v>
      </c>
      <c r="B546" s="2" t="str">
        <f>'01_원자료'!B543</f>
        <v>chatgpt</v>
      </c>
      <c r="C546" s="2" t="str">
        <f>'01_원자료'!C543</f>
        <v>ministral</v>
      </c>
      <c r="E546" s="17">
        <f>'01_원자료'!P543*'03_가중치민감도'!$B$5+'01_원자료'!Q543*'03_가중치민감도'!$C$5+'01_원자료'!R543*'03_가중치민감도'!$D$5</f>
        <v>0.50492102980421638</v>
      </c>
      <c r="F546" s="17">
        <f>'01_원자료'!P543*'03_가중치민감도'!$B$6+'01_원자료'!Q543*'03_가중치민감도'!$C$6+'01_원자료'!R543*'03_가중치민감도'!$D$6</f>
        <v>0.433164433664672</v>
      </c>
      <c r="G546" s="17">
        <f>'01_원자료'!P543*'03_가중치민감도'!$B$7+'01_원자료'!Q543*'03_가중치민감도'!$C$7+'01_원자료'!R543*'03_가중치민감도'!$D$7</f>
        <v>0.52414101720350237</v>
      </c>
      <c r="H546" s="17">
        <f>'01_원자료'!P543*'03_가중치민감도'!$B$8+'01_원자료'!Q543*'03_가중치민감도'!$C$8+'01_원자료'!R543*'03_가중치민감도'!$D$8</f>
        <v>0.40882109280778617</v>
      </c>
      <c r="I546" s="17">
        <f>'01_원자료'!P543*'03_가중치민감도'!$B$9+'01_원자료'!Q543*'03_가중치민감도'!$C$9+'01_원자료'!R543*'03_가중치민감도'!$D$9</f>
        <v>0.45067663657809093</v>
      </c>
      <c r="J546" s="17">
        <f>'01_원자료'!P543*'03_가중치민감도'!$B$10+'01_원자료'!Q543*'03_가중치민감도'!$C$10+'01_원자료'!R543*'03_가중치민감도'!$D$10</f>
        <v>0.53823765114518862</v>
      </c>
      <c r="K546" s="31">
        <f t="shared" si="48"/>
        <v>54</v>
      </c>
      <c r="L546" s="31">
        <f t="shared" si="49"/>
        <v>79</v>
      </c>
      <c r="M546" s="31">
        <f t="shared" si="50"/>
        <v>57</v>
      </c>
      <c r="N546" s="31">
        <f t="shared" si="51"/>
        <v>59</v>
      </c>
      <c r="O546" s="31">
        <f t="shared" si="52"/>
        <v>66</v>
      </c>
      <c r="P546" s="31">
        <f t="shared" si="53"/>
        <v>45</v>
      </c>
    </row>
    <row r="547" spans="1:16">
      <c r="A547" s="2" t="str">
        <f>'01_원자료'!A544</f>
        <v>RPT-06</v>
      </c>
      <c r="B547" s="2" t="str">
        <f>'01_원자료'!B544</f>
        <v>chatgpt</v>
      </c>
      <c r="C547" s="2" t="str">
        <f>'01_원자료'!C544</f>
        <v>qwen</v>
      </c>
      <c r="E547" s="17">
        <f>'01_원자료'!P544*'03_가중치민감도'!$B$5+'01_원자료'!Q544*'03_가중치민감도'!$C$5+'01_원자료'!R544*'03_가중치민감도'!$D$5</f>
        <v>0.53426706494990195</v>
      </c>
      <c r="F547" s="17">
        <f>'01_원자료'!P544*'03_가중치민감도'!$B$6+'01_원자료'!Q544*'03_가중치민감도'!$C$6+'01_원자료'!R544*'03_가중치민감도'!$D$6</f>
        <v>0.47114907682987112</v>
      </c>
      <c r="G547" s="17">
        <f>'01_원자료'!P544*'03_가중치민감도'!$B$7+'01_원자료'!Q544*'03_가중치민감도'!$C$7+'01_원자료'!R544*'03_가중치민감도'!$D$7</f>
        <v>0.54806757527337502</v>
      </c>
      <c r="H547" s="17">
        <f>'01_원자료'!P544*'03_가중치민감도'!$B$8+'01_원자료'!Q544*'03_가중치민감도'!$C$8+'01_원자료'!R544*'03_가중치민감도'!$D$8</f>
        <v>0.46526451333253649</v>
      </c>
      <c r="I547" s="17">
        <f>'01_원자료'!P544*'03_가중치민감도'!$B$9+'01_원자료'!Q544*'03_가중치민감도'!$C$9+'01_원자료'!R544*'03_가중치민감도'!$D$9</f>
        <v>0.48758823609538982</v>
      </c>
      <c r="J547" s="17">
        <f>'01_원자료'!P544*'03_가중치민감도'!$B$10+'01_원자료'!Q544*'03_가중치민감도'!$C$10+'01_원자료'!R544*'03_가중치민감도'!$D$10</f>
        <v>0.56978403242298659</v>
      </c>
      <c r="K547" s="31">
        <f t="shared" si="48"/>
        <v>150</v>
      </c>
      <c r="L547" s="31">
        <f t="shared" si="49"/>
        <v>224</v>
      </c>
      <c r="M547" s="31">
        <f t="shared" si="50"/>
        <v>145</v>
      </c>
      <c r="N547" s="31">
        <f t="shared" si="51"/>
        <v>154</v>
      </c>
      <c r="O547" s="31">
        <f t="shared" si="52"/>
        <v>188</v>
      </c>
      <c r="P547" s="31">
        <f t="shared" si="53"/>
        <v>111</v>
      </c>
    </row>
    <row r="548" spans="1:16">
      <c r="A548" s="2" t="str">
        <f>'01_원자료'!A545</f>
        <v>RPT-06</v>
      </c>
      <c r="B548" s="2" t="str">
        <f>'01_원자료'!B545</f>
        <v>claude</v>
      </c>
      <c r="C548" s="2" t="str">
        <f>'01_원자료'!C545</f>
        <v>gemma</v>
      </c>
      <c r="E548" s="17">
        <f>'01_원자료'!P545*'03_가중치민감도'!$B$5+'01_원자료'!Q545*'03_가중치민감도'!$C$5+'01_원자료'!R545*'03_가중치민감도'!$D$5</f>
        <v>0.60382220975569445</v>
      </c>
      <c r="F548" s="17">
        <f>'01_원자료'!P545*'03_가중치민감도'!$B$6+'01_원자료'!Q545*'03_가중치민감도'!$C$6+'01_원자료'!R545*'03_가중치민감도'!$D$6</f>
        <v>0.51243588664392414</v>
      </c>
      <c r="G548" s="17">
        <f>'01_원자료'!P545*'03_가중치민감도'!$B$7+'01_원자료'!Q545*'03_가중치민감도'!$C$7+'01_원자료'!R545*'03_가중치민감도'!$D$7</f>
        <v>0.60374653842586135</v>
      </c>
      <c r="H548" s="17">
        <f>'01_원자료'!P545*'03_가중치민감도'!$B$8+'01_원자료'!Q545*'03_가중치민감도'!$C$8+'01_원자료'!R545*'03_가중치민감도'!$D$8</f>
        <v>0.60420056640486031</v>
      </c>
      <c r="I548" s="17">
        <f>'01_원자료'!P545*'03_가중치민감도'!$B$9+'01_원자료'!Q545*'03_가중치민감도'!$C$9+'01_원자료'!R545*'03_가중치민감도'!$D$9</f>
        <v>0.5429232181244581</v>
      </c>
      <c r="J548" s="17">
        <f>'01_원자료'!P545*'03_가중치민감도'!$B$10+'01_원자료'!Q545*'03_가중치민감도'!$C$10+'01_원자료'!R545*'03_가중치민감도'!$D$10</f>
        <v>0.69535987552713119</v>
      </c>
      <c r="K548" s="31">
        <f t="shared" si="48"/>
        <v>406</v>
      </c>
      <c r="L548" s="31">
        <f t="shared" si="49"/>
        <v>426</v>
      </c>
      <c r="M548" s="31">
        <f t="shared" si="50"/>
        <v>379</v>
      </c>
      <c r="N548" s="31">
        <f t="shared" si="51"/>
        <v>501</v>
      </c>
      <c r="O548" s="31">
        <f t="shared" si="52"/>
        <v>427</v>
      </c>
      <c r="P548" s="31">
        <f t="shared" si="53"/>
        <v>441</v>
      </c>
    </row>
    <row r="549" spans="1:16">
      <c r="A549" s="2" t="str">
        <f>'01_원자료'!A546</f>
        <v>RPT-06</v>
      </c>
      <c r="B549" s="2" t="str">
        <f>'01_원자료'!B546</f>
        <v>claude</v>
      </c>
      <c r="C549" s="2" t="str">
        <f>'01_원자료'!C546</f>
        <v>ministral</v>
      </c>
      <c r="E549" s="17">
        <f>'01_원자료'!P546*'03_가중치민감도'!$B$5+'01_원자료'!Q546*'03_가중치민감도'!$C$5+'01_원자료'!R546*'03_가중치민감도'!$D$5</f>
        <v>0.53293775403060539</v>
      </c>
      <c r="F549" s="17">
        <f>'01_원자료'!P546*'03_가중치민감도'!$B$6+'01_원자료'!Q546*'03_가중치민감도'!$C$6+'01_원자료'!R546*'03_가중치민감도'!$D$6</f>
        <v>0.44766019135239365</v>
      </c>
      <c r="G549" s="17">
        <f>'01_원자료'!P546*'03_가중치민감도'!$B$7+'01_원자료'!Q546*'03_가중치민감도'!$C$7+'01_원자료'!R546*'03_가중치민감도'!$D$7</f>
        <v>0.54825677455984168</v>
      </c>
      <c r="H549" s="17">
        <f>'01_원자료'!P546*'03_가중치민감도'!$B$8+'01_원자료'!Q546*'03_가중치민감도'!$C$8+'01_원자료'!R546*'03_가중치민감도'!$D$8</f>
        <v>0.45634265138442442</v>
      </c>
      <c r="I549" s="17">
        <f>'01_원자료'!P546*'03_가중치민감도'!$B$9+'01_원자료'!Q546*'03_가중치민감도'!$C$9+'01_원자료'!R546*'03_가중치민감도'!$D$9</f>
        <v>0.4709797054020517</v>
      </c>
      <c r="J549" s="17">
        <f>'01_원자료'!P546*'03_가중치민감도'!$B$10+'01_원자료'!Q546*'03_가중치민감도'!$C$10+'01_원자료'!R546*'03_가중치민감도'!$D$10</f>
        <v>0.58757727565034479</v>
      </c>
      <c r="K549" s="31">
        <f t="shared" si="48"/>
        <v>142</v>
      </c>
      <c r="L549" s="31">
        <f t="shared" si="49"/>
        <v>131</v>
      </c>
      <c r="M549" s="31">
        <f t="shared" si="50"/>
        <v>146</v>
      </c>
      <c r="N549" s="31">
        <f t="shared" si="51"/>
        <v>138</v>
      </c>
      <c r="O549" s="31">
        <f t="shared" si="52"/>
        <v>136</v>
      </c>
      <c r="P549" s="31">
        <f t="shared" si="53"/>
        <v>149</v>
      </c>
    </row>
    <row r="550" spans="1:16">
      <c r="A550" s="2" t="str">
        <f>'01_원자료'!A547</f>
        <v>RPT-06</v>
      </c>
      <c r="B550" s="2" t="str">
        <f>'01_원자료'!B547</f>
        <v>claude</v>
      </c>
      <c r="C550" s="2" t="str">
        <f>'01_원자료'!C547</f>
        <v>qwen</v>
      </c>
      <c r="E550" s="17">
        <f>'01_원자료'!P547*'03_가중치민감도'!$B$5+'01_원자료'!Q547*'03_가중치민감도'!$C$5+'01_원자료'!R547*'03_가중치민감도'!$D$5</f>
        <v>0.67413933283436278</v>
      </c>
      <c r="F550" s="17">
        <f>'01_원자료'!P547*'03_가중치민감도'!$B$6+'01_원자료'!Q547*'03_가중치민감도'!$C$6+'01_원자료'!R547*'03_가중치민감도'!$D$6</f>
        <v>0.58318240352700612</v>
      </c>
      <c r="G550" s="17">
        <f>'01_원자료'!P547*'03_가중치민감도'!$B$7+'01_원자료'!Q547*'03_가중치민감도'!$C$7+'01_원자료'!R547*'03_가중치민감도'!$D$7</f>
        <v>0.67042056289031149</v>
      </c>
      <c r="H550" s="17">
        <f>'01_원자료'!P547*'03_가중치민감도'!$B$8+'01_원자료'!Q547*'03_가중치민감도'!$C$8+'01_원자료'!R547*'03_가중치민감도'!$D$8</f>
        <v>0.6927331825546188</v>
      </c>
      <c r="I550" s="17">
        <f>'01_원자료'!P547*'03_가중치민감도'!$B$9+'01_원자료'!Q547*'03_가중치민감도'!$C$9+'01_원자료'!R547*'03_가중치민감도'!$D$9</f>
        <v>0.6147409699441414</v>
      </c>
      <c r="J550" s="17">
        <f>'01_원자료'!P547*'03_가중치민감도'!$B$10+'01_원자료'!Q547*'03_가중치민감도'!$C$10+'01_원자료'!R547*'03_가중치민감도'!$D$10</f>
        <v>0.77253380202982169</v>
      </c>
      <c r="K550" s="31">
        <f t="shared" si="48"/>
        <v>734</v>
      </c>
      <c r="L550" s="31">
        <f t="shared" si="49"/>
        <v>752</v>
      </c>
      <c r="M550" s="31">
        <f t="shared" si="50"/>
        <v>722</v>
      </c>
      <c r="N550" s="31">
        <f t="shared" si="51"/>
        <v>758</v>
      </c>
      <c r="O550" s="31">
        <f t="shared" si="52"/>
        <v>751</v>
      </c>
      <c r="P550" s="31">
        <f t="shared" si="53"/>
        <v>732</v>
      </c>
    </row>
    <row r="551" spans="1:16">
      <c r="A551" s="2" t="str">
        <f>'01_원자료'!A548</f>
        <v>RPT-06</v>
      </c>
      <c r="B551" s="2" t="str">
        <f>'01_원자료'!B548</f>
        <v>gemini</v>
      </c>
      <c r="C551" s="2" t="str">
        <f>'01_원자료'!C548</f>
        <v>gemma</v>
      </c>
      <c r="E551" s="17">
        <f>'01_원자료'!P548*'03_가중치민감도'!$B$5+'01_원자료'!Q548*'03_가중치민감도'!$C$5+'01_원자료'!R548*'03_가중치민감도'!$D$5</f>
        <v>0.74164014925269106</v>
      </c>
      <c r="F551" s="17">
        <f>'01_원자료'!P548*'03_가중치민감도'!$B$6+'01_원자료'!Q548*'03_가중치민감도'!$C$6+'01_원자료'!R548*'03_가중치민감도'!$D$6</f>
        <v>0.6212733654848146</v>
      </c>
      <c r="G551" s="17">
        <f>'01_원자료'!P548*'03_가중치민감도'!$B$7+'01_원자료'!Q548*'03_가중치민감도'!$C$7+'01_원자료'!R548*'03_가중치민감도'!$D$7</f>
        <v>0.73505159581714297</v>
      </c>
      <c r="H551" s="17">
        <f>'01_원자료'!P548*'03_가중치민감도'!$B$8+'01_원자료'!Q548*'03_가중치민감도'!$C$8+'01_원자료'!R548*'03_가중치민감도'!$D$8</f>
        <v>0.77458291643043142</v>
      </c>
      <c r="I551" s="17">
        <f>'01_원자료'!P548*'03_가중치민감도'!$B$9+'01_원자료'!Q548*'03_가중치민감도'!$C$9+'01_원자료'!R548*'03_가중치민감도'!$D$9</f>
        <v>0.6635918112192889</v>
      </c>
      <c r="J551" s="17">
        <f>'01_원자료'!P548*'03_가중치민감도'!$B$10+'01_원자료'!Q548*'03_가중치민감도'!$C$10+'01_원자료'!R548*'03_가중치민감도'!$D$10</f>
        <v>0.87518403989166349</v>
      </c>
      <c r="K551" s="31">
        <f t="shared" si="48"/>
        <v>930</v>
      </c>
      <c r="L551" s="31">
        <f t="shared" si="49"/>
        <v>900</v>
      </c>
      <c r="M551" s="31">
        <f t="shared" si="50"/>
        <v>932</v>
      </c>
      <c r="N551" s="31">
        <f t="shared" si="51"/>
        <v>920</v>
      </c>
      <c r="O551" s="31">
        <f t="shared" si="52"/>
        <v>916</v>
      </c>
      <c r="P551" s="31">
        <f t="shared" si="53"/>
        <v>954</v>
      </c>
    </row>
    <row r="552" spans="1:16">
      <c r="A552" s="2" t="str">
        <f>'01_원자료'!A549</f>
        <v>RPT-06</v>
      </c>
      <c r="B552" s="2" t="str">
        <f>'01_원자료'!B549</f>
        <v>gemini</v>
      </c>
      <c r="C552" s="2" t="str">
        <f>'01_원자료'!C549</f>
        <v>ministral</v>
      </c>
      <c r="E552" s="17">
        <f>'01_원자료'!P549*'03_가중치민감도'!$B$5+'01_원자료'!Q549*'03_가중치민감도'!$C$5+'01_원자료'!R549*'03_가중치민감도'!$D$5</f>
        <v>0.54336943014045369</v>
      </c>
      <c r="F552" s="17">
        <f>'01_원자료'!P549*'03_가중치민감도'!$B$6+'01_원자료'!Q549*'03_가중치민감도'!$C$6+'01_원자료'!R549*'03_가중치민감도'!$D$6</f>
        <v>0.44611795567541468</v>
      </c>
      <c r="G552" s="17">
        <f>'01_원자료'!P549*'03_가중치민감도'!$B$7+'01_원자료'!Q549*'03_가중치민감도'!$C$7+'01_원자료'!R549*'03_가중치민감도'!$D$7</f>
        <v>0.56580713340625199</v>
      </c>
      <c r="H552" s="17">
        <f>'01_원자료'!P549*'03_가중치민감도'!$B$8+'01_원자료'!Q549*'03_가중치민감도'!$C$8+'01_원자료'!R549*'03_가중치민감도'!$D$8</f>
        <v>0.43118091381146229</v>
      </c>
      <c r="I552" s="17">
        <f>'01_원자료'!P549*'03_가중치민감도'!$B$9+'01_원자료'!Q549*'03_가중치민감도'!$C$9+'01_원자료'!R549*'03_가중치민감도'!$D$9</f>
        <v>0.47105587940849442</v>
      </c>
      <c r="J552" s="17">
        <f>'01_원자료'!P549*'03_가중치민감도'!$B$10+'01_원자료'!Q549*'03_가중치민감도'!$C$10+'01_원자료'!R549*'03_가중치민감도'!$D$10</f>
        <v>0.5957454980738961</v>
      </c>
      <c r="K552" s="31">
        <f t="shared" si="48"/>
        <v>180</v>
      </c>
      <c r="L552" s="31">
        <f t="shared" si="49"/>
        <v>121</v>
      </c>
      <c r="M552" s="31">
        <f t="shared" si="50"/>
        <v>227</v>
      </c>
      <c r="N552" s="31">
        <f t="shared" si="51"/>
        <v>105</v>
      </c>
      <c r="O552" s="31">
        <f t="shared" si="52"/>
        <v>137</v>
      </c>
      <c r="P552" s="31">
        <f t="shared" si="53"/>
        <v>173</v>
      </c>
    </row>
    <row r="553" spans="1:16">
      <c r="A553" s="2" t="str">
        <f>'01_원자료'!A550</f>
        <v>RPT-06</v>
      </c>
      <c r="B553" s="2" t="str">
        <f>'01_원자료'!B550</f>
        <v>gemini</v>
      </c>
      <c r="C553" s="2" t="str">
        <f>'01_원자료'!C550</f>
        <v>qwen</v>
      </c>
      <c r="E553" s="17">
        <f>'01_원자료'!P550*'03_가중치민감도'!$B$5+'01_원자료'!Q550*'03_가중치민감도'!$C$5+'01_원자료'!R550*'03_가중치민감도'!$D$5</f>
        <v>0.69094653128835204</v>
      </c>
      <c r="F553" s="17">
        <f>'01_원자료'!P550*'03_가중치민감도'!$B$6+'01_원자료'!Q550*'03_가중치민감도'!$C$6+'01_원자료'!R550*'03_가중치민감도'!$D$6</f>
        <v>0.58380289992351164</v>
      </c>
      <c r="G553" s="17">
        <f>'01_원자료'!P550*'03_가중치민감도'!$B$7+'01_원자료'!Q550*'03_가중치민감도'!$C$7+'01_원자료'!R550*'03_가중치민감도'!$D$7</f>
        <v>0.69128985327601677</v>
      </c>
      <c r="H553" s="17">
        <f>'01_원자료'!P550*'03_가중치민감도'!$B$8+'01_원자료'!Q550*'03_가중치민감도'!$C$8+'01_원자료'!R550*'03_가중치민감도'!$D$8</f>
        <v>0.68922992135002881</v>
      </c>
      <c r="I553" s="17">
        <f>'01_원자료'!P550*'03_가중치민감도'!$B$9+'01_원자료'!Q550*'03_가중치민감도'!$C$9+'01_원자료'!R550*'03_가중치민감도'!$D$9</f>
        <v>0.61940300304923634</v>
      </c>
      <c r="J553" s="17">
        <f>'01_원자료'!P550*'03_가중치민감도'!$B$10+'01_원자료'!Q550*'03_가중치민감도'!$C$10+'01_원자료'!R550*'03_가중치민감도'!$D$10</f>
        <v>0.79740351867786319</v>
      </c>
      <c r="K553" s="31">
        <f t="shared" si="48"/>
        <v>790</v>
      </c>
      <c r="L553" s="31">
        <f t="shared" si="49"/>
        <v>754</v>
      </c>
      <c r="M553" s="31">
        <f t="shared" si="50"/>
        <v>802</v>
      </c>
      <c r="N553" s="31">
        <f t="shared" si="51"/>
        <v>745</v>
      </c>
      <c r="O553" s="31">
        <f t="shared" si="52"/>
        <v>764</v>
      </c>
      <c r="P553" s="31">
        <f t="shared" si="53"/>
        <v>803</v>
      </c>
    </row>
    <row r="554" spans="1:16">
      <c r="A554" s="2" t="str">
        <f>'01_원자료'!A551</f>
        <v>RPT-06</v>
      </c>
      <c r="B554" s="2" t="str">
        <f>'01_원자료'!B551</f>
        <v>mistral</v>
      </c>
      <c r="C554" s="2" t="str">
        <f>'01_원자료'!C551</f>
        <v>gemma</v>
      </c>
      <c r="E554" s="17">
        <f>'01_원자료'!P551*'03_가중치민감도'!$B$5+'01_원자료'!Q551*'03_가중치민감도'!$C$5+'01_원자료'!R551*'03_가중치민감도'!$D$5</f>
        <v>0.63935295470867848</v>
      </c>
      <c r="F554" s="17">
        <f>'01_원자료'!P551*'03_가중치민감도'!$B$6+'01_원자료'!Q551*'03_가중치민감도'!$C$6+'01_원자료'!R551*'03_가중치민감도'!$D$6</f>
        <v>0.54224795552136817</v>
      </c>
      <c r="G554" s="17">
        <f>'01_원자료'!P551*'03_가중치민감도'!$B$7+'01_원자료'!Q551*'03_가중치민감도'!$C$7+'01_원자료'!R551*'03_가중치민감도'!$D$7</f>
        <v>0.63624052249386032</v>
      </c>
      <c r="H554" s="17">
        <f>'01_원자료'!P551*'03_가중치민감도'!$B$8+'01_원자료'!Q551*'03_가중치민감도'!$C$8+'01_원자료'!R551*'03_가중치민감도'!$D$8</f>
        <v>0.6549151157827694</v>
      </c>
      <c r="I554" s="17">
        <f>'01_원자료'!P551*'03_가중치민감도'!$B$9+'01_원자료'!Q551*'03_가중치민감도'!$C$9+'01_원자료'!R551*'03_가중치민감도'!$D$9</f>
        <v>0.57565376598874374</v>
      </c>
      <c r="J554" s="17">
        <f>'01_원자료'!P551*'03_가중치민감도'!$B$10+'01_원자료'!Q551*'03_가중치민감도'!$C$10+'01_원자료'!R551*'03_가중치민감도'!$D$10</f>
        <v>0.7426828183256251</v>
      </c>
      <c r="K554" s="31">
        <f t="shared" si="48"/>
        <v>571</v>
      </c>
      <c r="L554" s="31">
        <f t="shared" si="49"/>
        <v>550</v>
      </c>
      <c r="M554" s="31">
        <f t="shared" si="50"/>
        <v>546</v>
      </c>
      <c r="N554" s="31">
        <f t="shared" si="51"/>
        <v>653</v>
      </c>
      <c r="O554" s="31">
        <f t="shared" si="52"/>
        <v>569</v>
      </c>
      <c r="P554" s="31">
        <f t="shared" si="53"/>
        <v>636</v>
      </c>
    </row>
    <row r="555" spans="1:16">
      <c r="A555" s="2" t="str">
        <f>'01_원자료'!A552</f>
        <v>RPT-06</v>
      </c>
      <c r="B555" s="2" t="str">
        <f>'01_원자료'!B552</f>
        <v>mistral</v>
      </c>
      <c r="C555" s="2" t="str">
        <f>'01_원자료'!C552</f>
        <v>ministral</v>
      </c>
      <c r="E555" s="17">
        <f>'01_원자료'!P552*'03_가중치민감도'!$B$5+'01_원자료'!Q552*'03_가중치민감도'!$C$5+'01_원자료'!R552*'03_가중치민감도'!$D$5</f>
        <v>0.5193336118819889</v>
      </c>
      <c r="F555" s="17">
        <f>'01_원자료'!P552*'03_가중치민감도'!$B$6+'01_원자료'!Q552*'03_가중치민감도'!$C$6+'01_원자료'!R552*'03_가중치민감도'!$D$6</f>
        <v>0.44448531455815332</v>
      </c>
      <c r="G555" s="17">
        <f>'01_원자료'!P552*'03_가중치민감도'!$B$7+'01_원자료'!Q552*'03_가중치민감도'!$C$7+'01_원자료'!R552*'03_가중치민감도'!$D$7</f>
        <v>0.53643682724772124</v>
      </c>
      <c r="H555" s="17">
        <f>'01_원자료'!P552*'03_가중치민감도'!$B$8+'01_원자료'!Q552*'03_가중치민감도'!$C$8+'01_원자료'!R552*'03_가중치민감도'!$D$8</f>
        <v>0.43381753505332776</v>
      </c>
      <c r="I555" s="17">
        <f>'01_원자료'!P552*'03_가중치민감도'!$B$9+'01_원자료'!Q552*'03_가중치민감도'!$C$9+'01_원자료'!R552*'03_가중치민감도'!$D$9</f>
        <v>0.46373367521085401</v>
      </c>
      <c r="J555" s="17">
        <f>'01_원자료'!P552*'03_가중치민감도'!$B$10+'01_원자료'!Q552*'03_가중치민감도'!$C$10+'01_원자료'!R552*'03_가중치민감도'!$D$10</f>
        <v>0.55997547847436002</v>
      </c>
      <c r="K555" s="31">
        <f t="shared" si="48"/>
        <v>91</v>
      </c>
      <c r="L555" s="31">
        <f t="shared" si="49"/>
        <v>113</v>
      </c>
      <c r="M555" s="31">
        <f t="shared" si="50"/>
        <v>93</v>
      </c>
      <c r="N555" s="31">
        <f t="shared" si="51"/>
        <v>111</v>
      </c>
      <c r="O555" s="31">
        <f t="shared" si="52"/>
        <v>106</v>
      </c>
      <c r="P555" s="31">
        <f t="shared" si="53"/>
        <v>87</v>
      </c>
    </row>
    <row r="556" spans="1:16">
      <c r="A556" s="2" t="str">
        <f>'01_원자료'!A553</f>
        <v>RPT-06</v>
      </c>
      <c r="B556" s="2" t="str">
        <f>'01_원자료'!B553</f>
        <v>mistral</v>
      </c>
      <c r="C556" s="2" t="str">
        <f>'01_원자료'!C553</f>
        <v>qwen</v>
      </c>
      <c r="E556" s="17">
        <f>'01_원자료'!P553*'03_가중치민감도'!$B$5+'01_원자료'!Q553*'03_가중치민감도'!$C$5+'01_원자료'!R553*'03_가중치민감도'!$D$5</f>
        <v>0.63222485990096899</v>
      </c>
      <c r="F556" s="17">
        <f>'01_원자료'!P553*'03_가중치민감도'!$B$6+'01_원자료'!Q553*'03_가중치민감도'!$C$6+'01_원자료'!R553*'03_가중치민감도'!$D$6</f>
        <v>0.54648072647528534</v>
      </c>
      <c r="G556" s="17">
        <f>'01_원자료'!P553*'03_가중치민감도'!$B$7+'01_원자료'!Q553*'03_가중치민감도'!$C$7+'01_원자료'!R553*'03_가중치민감도'!$D$7</f>
        <v>0.63677589323583295</v>
      </c>
      <c r="H556" s="17">
        <f>'01_원자료'!P553*'03_가중치민감도'!$B$8+'01_원자료'!Q553*'03_가중치민감도'!$C$8+'01_원자료'!R553*'03_가중치민감도'!$D$8</f>
        <v>0.60946969322664879</v>
      </c>
      <c r="I556" s="17">
        <f>'01_원자료'!P553*'03_가중치민감도'!$B$9+'01_원자료'!Q553*'03_가중치민감도'!$C$9+'01_원자료'!R553*'03_가중치민감도'!$D$9</f>
        <v>0.57354509317222457</v>
      </c>
      <c r="J556" s="17">
        <f>'01_원자료'!P553*'03_가중치민감도'!$B$10+'01_원자료'!Q553*'03_가중치민감도'!$C$10+'01_원자료'!R553*'03_가중치민감도'!$D$10</f>
        <v>0.70886692665692452</v>
      </c>
      <c r="K556" s="31">
        <f t="shared" si="48"/>
        <v>540</v>
      </c>
      <c r="L556" s="31">
        <f t="shared" si="49"/>
        <v>571</v>
      </c>
      <c r="M556" s="31">
        <f t="shared" si="50"/>
        <v>550</v>
      </c>
      <c r="N556" s="31">
        <f t="shared" si="51"/>
        <v>520</v>
      </c>
      <c r="O556" s="31">
        <f t="shared" si="52"/>
        <v>555</v>
      </c>
      <c r="P556" s="31">
        <f t="shared" si="53"/>
        <v>492</v>
      </c>
    </row>
    <row r="557" spans="1:16">
      <c r="A557" s="2" t="str">
        <f>'01_원자료'!A554</f>
        <v>RPT-06</v>
      </c>
      <c r="B557" s="2" t="str">
        <f>'01_원자료'!B554</f>
        <v>qwen3_6</v>
      </c>
      <c r="C557" s="2" t="str">
        <f>'01_원자료'!C554</f>
        <v>gemma</v>
      </c>
      <c r="E557" s="17">
        <f>'01_원자료'!P554*'03_가중치민감도'!$B$5+'01_원자료'!Q554*'03_가중치민감도'!$C$5+'01_원자료'!R554*'03_가중치민감도'!$D$5</f>
        <v>0.71680135262360078</v>
      </c>
      <c r="F557" s="17">
        <f>'01_원자료'!P554*'03_가중치민감도'!$B$6+'01_원자료'!Q554*'03_가중치민감도'!$C$6+'01_원자료'!R554*'03_가중치민감도'!$D$6</f>
        <v>0.6146872184726091</v>
      </c>
      <c r="G557" s="17">
        <f>'01_원자료'!P554*'03_가중치민감도'!$B$7+'01_원자료'!Q554*'03_가중치민감도'!$C$7+'01_원자료'!R554*'03_가중치민감도'!$D$7</f>
        <v>0.70662184533422145</v>
      </c>
      <c r="H557" s="17">
        <f>'01_원자료'!P554*'03_가중치민감도'!$B$8+'01_원자료'!Q554*'03_가중치민감도'!$C$8+'01_원자료'!R554*'03_가중치민감도'!$D$8</f>
        <v>0.76769888907049733</v>
      </c>
      <c r="I557" s="17">
        <f>'01_원자료'!P554*'03_가중치민감도'!$B$9+'01_원자료'!Q554*'03_가중치민감도'!$C$9+'01_원자료'!R554*'03_가중치민감도'!$D$9</f>
        <v>0.65211843228606536</v>
      </c>
      <c r="J557" s="17">
        <f>'01_원자료'!P554*'03_가중치민감도'!$B$10+'01_원자료'!Q554*'03_가중치민감도'!$C$10+'01_원자료'!R554*'03_가중치민감도'!$D$10</f>
        <v>0.83927450135335113</v>
      </c>
      <c r="K557" s="31">
        <f t="shared" si="48"/>
        <v>866</v>
      </c>
      <c r="L557" s="31">
        <f t="shared" si="49"/>
        <v>875</v>
      </c>
      <c r="M557" s="31">
        <f t="shared" si="50"/>
        <v>854</v>
      </c>
      <c r="N557" s="31">
        <f t="shared" si="51"/>
        <v>889</v>
      </c>
      <c r="O557" s="31">
        <f t="shared" si="52"/>
        <v>873</v>
      </c>
      <c r="P557" s="31">
        <f t="shared" si="53"/>
        <v>858</v>
      </c>
    </row>
    <row r="558" spans="1:16">
      <c r="A558" s="2" t="str">
        <f>'01_원자료'!A555</f>
        <v>RPT-06</v>
      </c>
      <c r="B558" s="2" t="str">
        <f>'01_원자료'!B555</f>
        <v>qwen3_6</v>
      </c>
      <c r="C558" s="2" t="str">
        <f>'01_원자료'!C555</f>
        <v>ministral</v>
      </c>
      <c r="E558" s="17">
        <f>'01_원자료'!P555*'03_가중치민감도'!$B$5+'01_원자료'!Q555*'03_가중치민감도'!$C$5+'01_원자료'!R555*'03_가중치민감도'!$D$5</f>
        <v>0.51312937734183617</v>
      </c>
      <c r="F558" s="17">
        <f>'01_원자료'!P555*'03_가중치민감도'!$B$6+'01_원자료'!Q555*'03_가중치민감도'!$C$6+'01_원자료'!R555*'03_가중치민감도'!$D$6</f>
        <v>0.42808069233284318</v>
      </c>
      <c r="G558" s="17">
        <f>'01_원자료'!P555*'03_가중치민감도'!$B$7+'01_원자료'!Q555*'03_가중치민감도'!$C$7+'01_원자료'!R555*'03_가중치민감도'!$D$7</f>
        <v>0.53203017708641254</v>
      </c>
      <c r="H558" s="17">
        <f>'01_원자료'!P555*'03_가중치민감도'!$B$8+'01_원자료'!Q555*'03_가중치민감도'!$C$8+'01_원자료'!R555*'03_가중치민감도'!$D$8</f>
        <v>0.4186253786189546</v>
      </c>
      <c r="I558" s="17">
        <f>'01_원자료'!P555*'03_가중치민감도'!$B$9+'01_원자료'!Q555*'03_가중치민감도'!$C$9+'01_원자료'!R555*'03_가중치민감도'!$D$9</f>
        <v>0.45012998742098159</v>
      </c>
      <c r="J558" s="17">
        <f>'01_원자료'!P555*'03_가중치민감도'!$B$10+'01_원자료'!Q555*'03_가중치민감도'!$C$10+'01_원자료'!R555*'03_가중치민감도'!$D$10</f>
        <v>0.56037646286167653</v>
      </c>
      <c r="K558" s="31">
        <f t="shared" si="48"/>
        <v>75</v>
      </c>
      <c r="L558" s="31">
        <f t="shared" si="49"/>
        <v>65</v>
      </c>
      <c r="M558" s="31">
        <f t="shared" si="50"/>
        <v>79</v>
      </c>
      <c r="N558" s="31">
        <f t="shared" si="51"/>
        <v>81</v>
      </c>
      <c r="O558" s="31">
        <f t="shared" si="52"/>
        <v>65</v>
      </c>
      <c r="P558" s="31">
        <f t="shared" si="53"/>
        <v>89</v>
      </c>
    </row>
    <row r="559" spans="1:16">
      <c r="A559" s="2" t="str">
        <f>'01_원자료'!A556</f>
        <v>RPT-06</v>
      </c>
      <c r="B559" s="2" t="str">
        <f>'01_원자료'!B556</f>
        <v>qwen3_6</v>
      </c>
      <c r="C559" s="2" t="str">
        <f>'01_원자료'!C556</f>
        <v>qwen</v>
      </c>
      <c r="E559" s="17">
        <f>'01_원자료'!P556*'03_가중치민감도'!$B$5+'01_원자료'!Q556*'03_가중치민감도'!$C$5+'01_원자료'!R556*'03_가중치민감도'!$D$5</f>
        <v>0.69640629076909599</v>
      </c>
      <c r="F559" s="17">
        <f>'01_원자료'!P556*'03_가중치민감도'!$B$6+'01_원자료'!Q556*'03_가중치민감도'!$C$6+'01_원자료'!R556*'03_가중치민감도'!$D$6</f>
        <v>0.60607197215203423</v>
      </c>
      <c r="G559" s="17">
        <f>'01_원자료'!P556*'03_가중치민감도'!$B$7+'01_원자료'!Q556*'03_가중치민감도'!$C$7+'01_원자료'!R556*'03_가중치민감도'!$D$7</f>
        <v>0.69580381665117441</v>
      </c>
      <c r="H559" s="17">
        <f>'01_원자료'!P556*'03_가중치민감도'!$B$8+'01_원자료'!Q556*'03_가중치민감도'!$C$8+'01_원자료'!R556*'03_가중치민감도'!$D$8</f>
        <v>0.6994186613587039</v>
      </c>
      <c r="I559" s="17">
        <f>'01_원자료'!P556*'03_가중치민감도'!$B$9+'01_원자료'!Q556*'03_가중치민감도'!$C$9+'01_원자료'!R556*'03_가중치민감도'!$D$9</f>
        <v>0.63638423639702801</v>
      </c>
      <c r="J559" s="17">
        <f>'01_원자료'!P556*'03_가중치민감도'!$B$10+'01_원자료'!Q556*'03_가중치민감도'!$C$10+'01_원자료'!R556*'03_가중치민감도'!$D$10</f>
        <v>0.7879455576220008</v>
      </c>
      <c r="K559" s="31">
        <f t="shared" si="48"/>
        <v>813</v>
      </c>
      <c r="L559" s="31">
        <f t="shared" si="49"/>
        <v>841</v>
      </c>
      <c r="M559" s="31">
        <f t="shared" si="50"/>
        <v>818</v>
      </c>
      <c r="N559" s="31">
        <f t="shared" si="51"/>
        <v>787</v>
      </c>
      <c r="O559" s="31">
        <f t="shared" si="52"/>
        <v>820</v>
      </c>
      <c r="P559" s="31">
        <f t="shared" si="53"/>
        <v>779</v>
      </c>
    </row>
    <row r="560" spans="1:16">
      <c r="A560" s="2" t="str">
        <f>'01_원자료'!A557</f>
        <v>RPT-07</v>
      </c>
      <c r="B560" s="2" t="str">
        <f>'01_원자료'!B557</f>
        <v>chatgpt</v>
      </c>
      <c r="C560" s="2" t="str">
        <f>'01_원자료'!C557</f>
        <v>gemma</v>
      </c>
      <c r="E560" s="17">
        <f>'01_원자료'!P557*'03_가중치민감도'!$B$5+'01_원자료'!Q557*'03_가중치민감도'!$C$5+'01_원자료'!R557*'03_가중치민감도'!$D$5</f>
        <v>0.5602829547386089</v>
      </c>
      <c r="F560" s="17">
        <f>'01_원자료'!P557*'03_가중치민감도'!$B$6+'01_원자료'!Q557*'03_가중치민감도'!$C$6+'01_원자료'!R557*'03_가중치민감도'!$D$6</f>
        <v>0.47614047687052974</v>
      </c>
      <c r="G560" s="17">
        <f>'01_원자료'!P557*'03_가중치민감도'!$B$7+'01_원자료'!Q557*'03_가중치민감도'!$C$7+'01_원자료'!R557*'03_가중치민감도'!$D$7</f>
        <v>0.56596744464419591</v>
      </c>
      <c r="H560" s="17">
        <f>'01_원자료'!P557*'03_가중치민감도'!$B$8+'01_원자료'!Q557*'03_가중치민감도'!$C$8+'01_원자료'!R557*'03_가중치민감도'!$D$8</f>
        <v>0.53186050521067374</v>
      </c>
      <c r="I560" s="17">
        <f>'01_원자료'!P557*'03_가중치민감도'!$B$9+'01_원자료'!Q557*'03_가중치민감도'!$C$9+'01_원자료'!R557*'03_가중치민감도'!$D$9</f>
        <v>0.50229313952469323</v>
      </c>
      <c r="J560" s="17">
        <f>'01_원자료'!P557*'03_가중치민감도'!$B$10+'01_원자료'!Q557*'03_가중치민감도'!$C$10+'01_원자료'!R557*'03_가중치민감도'!$D$10</f>
        <v>0.63305645279551404</v>
      </c>
      <c r="K560" s="31">
        <f t="shared" si="48"/>
        <v>253</v>
      </c>
      <c r="L560" s="31">
        <f t="shared" si="49"/>
        <v>245</v>
      </c>
      <c r="M560" s="31">
        <f t="shared" si="50"/>
        <v>228</v>
      </c>
      <c r="N560" s="31">
        <f t="shared" si="51"/>
        <v>283</v>
      </c>
      <c r="O560" s="31">
        <f t="shared" si="52"/>
        <v>254</v>
      </c>
      <c r="P560" s="31">
        <f t="shared" si="53"/>
        <v>272</v>
      </c>
    </row>
    <row r="561" spans="1:16">
      <c r="A561" s="2" t="str">
        <f>'01_원자료'!A558</f>
        <v>RPT-07</v>
      </c>
      <c r="B561" s="2" t="str">
        <f>'01_원자료'!B558</f>
        <v>chatgpt</v>
      </c>
      <c r="C561" s="2" t="str">
        <f>'01_원자료'!C558</f>
        <v>ministral</v>
      </c>
      <c r="E561" s="17">
        <f>'01_원자료'!P558*'03_가중치민감도'!$B$5+'01_원자료'!Q558*'03_가중치민감도'!$C$5+'01_원자료'!R558*'03_가중치민감도'!$D$5</f>
        <v>0.48936393073160678</v>
      </c>
      <c r="F561" s="17">
        <f>'01_원자료'!P558*'03_가중치민감도'!$B$6+'01_원자료'!Q558*'03_가중치민감도'!$C$6+'01_원자료'!R558*'03_가중치민감도'!$D$6</f>
        <v>0.4051753142021855</v>
      </c>
      <c r="G561" s="17">
        <f>'01_원자료'!P558*'03_가중치민감도'!$B$7+'01_원자료'!Q558*'03_가중치민감도'!$C$7+'01_원자료'!R558*'03_가중치민감도'!$D$7</f>
        <v>0.50623918595823492</v>
      </c>
      <c r="H561" s="17">
        <f>'01_원자료'!P558*'03_가중치민감도'!$B$8+'01_원자료'!Q558*'03_가중치민감도'!$C$8+'01_원자료'!R558*'03_가중치민감도'!$D$8</f>
        <v>0.40498765459846575</v>
      </c>
      <c r="I561" s="17">
        <f>'01_원자료'!P558*'03_가중치민감도'!$B$9+'01_원자료'!Q558*'03_가중치민감도'!$C$9+'01_원자료'!R558*'03_가중치민감도'!$D$9</f>
        <v>0.42761310130311603</v>
      </c>
      <c r="J561" s="17">
        <f>'01_원자료'!P558*'03_가중치민감도'!$B$10+'01_원자료'!Q558*'03_가중치민감도'!$C$10+'01_원자료'!R558*'03_가중치민감도'!$D$10</f>
        <v>0.53980203680777161</v>
      </c>
      <c r="K561" s="31">
        <f t="shared" si="48"/>
        <v>31</v>
      </c>
      <c r="L561" s="31">
        <f t="shared" si="49"/>
        <v>24</v>
      </c>
      <c r="M561" s="31">
        <f t="shared" si="50"/>
        <v>24</v>
      </c>
      <c r="N561" s="31">
        <f t="shared" si="51"/>
        <v>53</v>
      </c>
      <c r="O561" s="31">
        <f t="shared" si="52"/>
        <v>26</v>
      </c>
      <c r="P561" s="31">
        <f t="shared" si="53"/>
        <v>46</v>
      </c>
    </row>
    <row r="562" spans="1:16">
      <c r="A562" s="2" t="str">
        <f>'01_원자료'!A559</f>
        <v>RPT-07</v>
      </c>
      <c r="B562" s="2" t="str">
        <f>'01_원자료'!B559</f>
        <v>chatgpt</v>
      </c>
      <c r="C562" s="2" t="str">
        <f>'01_원자료'!C559</f>
        <v>qwen</v>
      </c>
      <c r="E562" s="17">
        <f>'01_원자료'!P559*'03_가중치민감도'!$B$5+'01_원자료'!Q559*'03_가중치민감도'!$C$5+'01_원자료'!R559*'03_가중치민감도'!$D$5</f>
        <v>0.54850401150754624</v>
      </c>
      <c r="F562" s="17">
        <f>'01_원자료'!P559*'03_가중치민감도'!$B$6+'01_원자료'!Q559*'03_가중치민감도'!$C$6+'01_원자료'!R559*'03_가중치민감도'!$D$6</f>
        <v>0.47004936894206983</v>
      </c>
      <c r="G562" s="17">
        <f>'01_원자료'!P559*'03_가중치민감도'!$B$7+'01_원자료'!Q559*'03_가중치민감도'!$C$7+'01_원자료'!R559*'03_가중치민감도'!$D$7</f>
        <v>0.55273293653532785</v>
      </c>
      <c r="H562" s="17">
        <f>'01_원자료'!P559*'03_가중치민감도'!$B$8+'01_원자료'!Q559*'03_가중치민감도'!$C$8+'01_원자료'!R559*'03_가중치민감도'!$D$8</f>
        <v>0.52735938636863833</v>
      </c>
      <c r="I562" s="17">
        <f>'01_원자료'!P559*'03_가중치민감도'!$B$9+'01_원자료'!Q559*'03_가중치민감도'!$C$9+'01_원자료'!R559*'03_가중치민감도'!$D$9</f>
        <v>0.49479127478796758</v>
      </c>
      <c r="J562" s="17">
        <f>'01_원자료'!P559*'03_가중치민감도'!$B$10+'01_원자료'!Q559*'03_가중치민감도'!$C$10+'01_원자료'!R559*'03_가중치민감도'!$D$10</f>
        <v>0.61850080401745955</v>
      </c>
      <c r="K562" s="31">
        <f t="shared" si="48"/>
        <v>198</v>
      </c>
      <c r="L562" s="31">
        <f t="shared" si="49"/>
        <v>218</v>
      </c>
      <c r="M562" s="31">
        <f t="shared" si="50"/>
        <v>172</v>
      </c>
      <c r="N562" s="31">
        <f t="shared" si="51"/>
        <v>273</v>
      </c>
      <c r="O562" s="31">
        <f t="shared" si="52"/>
        <v>222</v>
      </c>
      <c r="P562" s="31">
        <f t="shared" si="53"/>
        <v>237</v>
      </c>
    </row>
    <row r="563" spans="1:16">
      <c r="A563" s="2" t="str">
        <f>'01_원자료'!A560</f>
        <v>RPT-07</v>
      </c>
      <c r="B563" s="2" t="str">
        <f>'01_원자료'!B560</f>
        <v>claude</v>
      </c>
      <c r="C563" s="2" t="str">
        <f>'01_원자료'!C560</f>
        <v>gemma</v>
      </c>
      <c r="E563" s="17">
        <f>'01_원자료'!P560*'03_가중치민감도'!$B$5+'01_원자료'!Q560*'03_가중치민감도'!$C$5+'01_원자료'!R560*'03_가중치민감도'!$D$5</f>
        <v>0.6344658378990703</v>
      </c>
      <c r="F563" s="17">
        <f>'01_원자료'!P560*'03_가중치민감도'!$B$6+'01_원자료'!Q560*'03_가중치민감도'!$C$6+'01_원자료'!R560*'03_가중치민감도'!$D$6</f>
        <v>0.53215149757648184</v>
      </c>
      <c r="G563" s="17">
        <f>'01_원자료'!P560*'03_가중치민감도'!$B$7+'01_원자료'!Q560*'03_가중치민감도'!$C$7+'01_원자료'!R560*'03_가중치민감도'!$D$7</f>
        <v>0.63394288978791224</v>
      </c>
      <c r="H563" s="17">
        <f>'01_원자료'!P560*'03_가중치민감도'!$B$8+'01_원자료'!Q560*'03_가중치민감도'!$C$8+'01_원자료'!R560*'03_가중치민감도'!$D$8</f>
        <v>0.63708057845486055</v>
      </c>
      <c r="I563" s="17">
        <f>'01_원자료'!P560*'03_가중치민감도'!$B$9+'01_원자료'!Q560*'03_가중치민감도'!$C$9+'01_원자료'!R560*'03_가중치민감도'!$D$9</f>
        <v>0.56643059372106352</v>
      </c>
      <c r="J563" s="17">
        <f>'01_원자료'!P560*'03_가중치민감도'!$B$10+'01_원자료'!Q560*'03_가중치민감도'!$C$10+'01_원자료'!R560*'03_가중치민감도'!$D$10</f>
        <v>0.73782607444397486</v>
      </c>
      <c r="K563" s="31">
        <f t="shared" si="48"/>
        <v>551</v>
      </c>
      <c r="L563" s="31">
        <f t="shared" si="49"/>
        <v>512</v>
      </c>
      <c r="M563" s="31">
        <f t="shared" si="50"/>
        <v>532</v>
      </c>
      <c r="N563" s="31">
        <f t="shared" si="51"/>
        <v>597</v>
      </c>
      <c r="O563" s="31">
        <f t="shared" si="52"/>
        <v>533</v>
      </c>
      <c r="P563" s="31">
        <f t="shared" si="53"/>
        <v>616</v>
      </c>
    </row>
    <row r="564" spans="1:16">
      <c r="A564" s="2" t="str">
        <f>'01_원자료'!A561</f>
        <v>RPT-07</v>
      </c>
      <c r="B564" s="2" t="str">
        <f>'01_원자료'!B561</f>
        <v>claude</v>
      </c>
      <c r="C564" s="2" t="str">
        <f>'01_원자료'!C561</f>
        <v>ministral</v>
      </c>
      <c r="E564" s="17">
        <f>'01_원자료'!P561*'03_가중치민감도'!$B$5+'01_원자료'!Q561*'03_가중치민감도'!$C$5+'01_원자료'!R561*'03_가중치민감도'!$D$5</f>
        <v>0.52851310341636326</v>
      </c>
      <c r="F564" s="17">
        <f>'01_원자료'!P561*'03_가중치민감도'!$B$6+'01_원자료'!Q561*'03_가중치민감도'!$C$6+'01_원자료'!R561*'03_가중치민감도'!$D$6</f>
        <v>0.4401180257192131</v>
      </c>
      <c r="G564" s="17">
        <f>'01_원자료'!P561*'03_가중치민감도'!$B$7+'01_원자료'!Q561*'03_가중치민감도'!$C$7+'01_원자료'!R561*'03_가중치민감도'!$D$7</f>
        <v>0.54532425161776754</v>
      </c>
      <c r="H564" s="17">
        <f>'01_원자료'!P561*'03_가중치민감도'!$B$8+'01_원자료'!Q561*'03_가중치민감도'!$C$8+'01_원자료'!R561*'03_가중치민감도'!$D$8</f>
        <v>0.44445736240934175</v>
      </c>
      <c r="I564" s="17">
        <f>'01_원자료'!P561*'03_가중치민감도'!$B$9+'01_원자료'!Q561*'03_가중치민감도'!$C$9+'01_원자료'!R561*'03_가중치민감도'!$D$9</f>
        <v>0.46397933555112791</v>
      </c>
      <c r="J564" s="17">
        <f>'01_원자료'!P561*'03_가중치민감도'!$B$10+'01_원자료'!Q561*'03_가중치민감도'!$C$10+'01_원자료'!R561*'03_가중치민감도'!$D$10</f>
        <v>0.58328588471070464</v>
      </c>
      <c r="K564" s="31">
        <f t="shared" si="48"/>
        <v>128</v>
      </c>
      <c r="L564" s="31">
        <f t="shared" si="49"/>
        <v>97</v>
      </c>
      <c r="M564" s="31">
        <f t="shared" si="50"/>
        <v>131</v>
      </c>
      <c r="N564" s="31">
        <f t="shared" si="51"/>
        <v>128</v>
      </c>
      <c r="O564" s="31">
        <f t="shared" si="52"/>
        <v>107</v>
      </c>
      <c r="P564" s="31">
        <f t="shared" si="53"/>
        <v>138</v>
      </c>
    </row>
    <row r="565" spans="1:16">
      <c r="A565" s="2" t="str">
        <f>'01_원자료'!A562</f>
        <v>RPT-07</v>
      </c>
      <c r="B565" s="2" t="str">
        <f>'01_원자료'!B562</f>
        <v>claude</v>
      </c>
      <c r="C565" s="2" t="str">
        <f>'01_원자료'!C562</f>
        <v>qwen</v>
      </c>
      <c r="E565" s="17">
        <f>'01_원자료'!P562*'03_가중치민감도'!$B$5+'01_원자료'!Q562*'03_가중치민감도'!$C$5+'01_원자료'!R562*'03_가중치민감도'!$D$5</f>
        <v>0.64589775986720399</v>
      </c>
      <c r="F565" s="17">
        <f>'01_원자료'!P562*'03_가중치민감도'!$B$6+'01_원자료'!Q562*'03_가중치민감도'!$C$6+'01_원자료'!R562*'03_가중치민감도'!$D$6</f>
        <v>0.56442375434756231</v>
      </c>
      <c r="G565" s="17">
        <f>'01_원자료'!P562*'03_가중치민감도'!$B$7+'01_원자료'!Q562*'03_가중치민감도'!$C$7+'01_원자료'!R562*'03_가중치민감도'!$D$7</f>
        <v>0.64459077735314485</v>
      </c>
      <c r="H565" s="17">
        <f>'01_원자료'!P562*'03_가중치민감도'!$B$8+'01_원자료'!Q562*'03_가중치민감도'!$C$8+'01_원자료'!R562*'03_가중치민감도'!$D$8</f>
        <v>0.65243267243749969</v>
      </c>
      <c r="I565" s="17">
        <f>'01_원자료'!P562*'03_가중치민감도'!$B$9+'01_원자료'!Q562*'03_가중치민감도'!$C$9+'01_원자료'!R562*'03_가중치민감도'!$D$9</f>
        <v>0.59201741702546207</v>
      </c>
      <c r="J565" s="17">
        <f>'01_원자료'!P562*'03_가중치민감도'!$B$10+'01_원자료'!Q562*'03_가중치민감도'!$C$10+'01_원자료'!R562*'03_가중치민감도'!$D$10</f>
        <v>0.72998573041496395</v>
      </c>
      <c r="K565" s="31">
        <f t="shared" si="48"/>
        <v>598</v>
      </c>
      <c r="L565" s="31">
        <f t="shared" si="49"/>
        <v>659</v>
      </c>
      <c r="M565" s="31">
        <f t="shared" si="50"/>
        <v>588</v>
      </c>
      <c r="N565" s="31">
        <f t="shared" si="51"/>
        <v>648</v>
      </c>
      <c r="O565" s="31">
        <f t="shared" si="52"/>
        <v>648</v>
      </c>
      <c r="P565" s="31">
        <f t="shared" si="53"/>
        <v>579</v>
      </c>
    </row>
    <row r="566" spans="1:16">
      <c r="A566" s="2" t="str">
        <f>'01_원자료'!A563</f>
        <v>RPT-07</v>
      </c>
      <c r="B566" s="2" t="str">
        <f>'01_원자료'!B563</f>
        <v>gemini</v>
      </c>
      <c r="C566" s="2" t="str">
        <f>'01_원자료'!C563</f>
        <v>gemma</v>
      </c>
      <c r="E566" s="17">
        <f>'01_원자료'!P563*'03_가중치민감도'!$B$5+'01_원자료'!Q563*'03_가중치민감도'!$C$5+'01_원자료'!R563*'03_가중치민감도'!$D$5</f>
        <v>0.72053381773884562</v>
      </c>
      <c r="F566" s="17">
        <f>'01_원자료'!P563*'03_가중치민감도'!$B$6+'01_원자료'!Q563*'03_가중치민감도'!$C$6+'01_원자료'!R563*'03_가중치민감도'!$D$6</f>
        <v>0.60410703867487314</v>
      </c>
      <c r="G566" s="17">
        <f>'01_원자료'!P563*'03_가중치민감도'!$B$7+'01_원자료'!Q563*'03_가중치민감도'!$C$7+'01_원자료'!R563*'03_가중치민감도'!$D$7</f>
        <v>0.7138224171435803</v>
      </c>
      <c r="H566" s="17">
        <f>'01_원자료'!P563*'03_가중치민감도'!$B$8+'01_원자료'!Q563*'03_가중치민감도'!$C$8+'01_원자료'!R563*'03_가중치민감도'!$D$8</f>
        <v>0.75409082071517219</v>
      </c>
      <c r="I566" s="17">
        <f>'01_원자료'!P563*'03_가중치민감도'!$B$9+'01_원자료'!Q563*'03_가중치민감도'!$C$9+'01_원자료'!R563*'03_가중치민감도'!$D$9</f>
        <v>0.64515309856128511</v>
      </c>
      <c r="J566" s="17">
        <f>'01_원자료'!P563*'03_가중치민감도'!$B$10+'01_원자료'!Q563*'03_가중치민감도'!$C$10+'01_원자료'!R563*'03_가중치민감도'!$D$10</f>
        <v>0.85038339799334861</v>
      </c>
      <c r="K566" s="31">
        <f t="shared" si="48"/>
        <v>883</v>
      </c>
      <c r="L566" s="31">
        <f t="shared" si="49"/>
        <v>830</v>
      </c>
      <c r="M566" s="31">
        <f t="shared" si="50"/>
        <v>884</v>
      </c>
      <c r="N566" s="31">
        <f t="shared" si="51"/>
        <v>855</v>
      </c>
      <c r="O566" s="31">
        <f t="shared" si="52"/>
        <v>851</v>
      </c>
      <c r="P566" s="31">
        <f t="shared" si="53"/>
        <v>891</v>
      </c>
    </row>
    <row r="567" spans="1:16">
      <c r="A567" s="2" t="str">
        <f>'01_원자료'!A564</f>
        <v>RPT-07</v>
      </c>
      <c r="B567" s="2" t="str">
        <f>'01_원자료'!B564</f>
        <v>gemini</v>
      </c>
      <c r="C567" s="2" t="str">
        <f>'01_원자료'!C564</f>
        <v>ministral</v>
      </c>
      <c r="E567" s="17">
        <f>'01_원자료'!P564*'03_가중치민감도'!$B$5+'01_원자료'!Q564*'03_가중치민감도'!$C$5+'01_원자료'!R564*'03_가중치민감도'!$D$5</f>
        <v>0.52964071900024734</v>
      </c>
      <c r="F567" s="17">
        <f>'01_원자료'!P564*'03_가중치민감도'!$B$6+'01_원자료'!Q564*'03_가중치민감도'!$C$6+'01_원자료'!R564*'03_가중치민감도'!$D$6</f>
        <v>0.42582847928736567</v>
      </c>
      <c r="G567" s="17">
        <f>'01_원자료'!P564*'03_가중치민감도'!$B$7+'01_원자료'!Q564*'03_가중치민감도'!$C$7+'01_원자료'!R564*'03_가중치민감도'!$D$7</f>
        <v>0.55239627617445719</v>
      </c>
      <c r="H567" s="17">
        <f>'01_원자료'!P564*'03_가중치민감도'!$B$8+'01_원자료'!Q564*'03_가중치민감도'!$C$8+'01_원자료'!R564*'03_가중치민감도'!$D$8</f>
        <v>0.41586293312919775</v>
      </c>
      <c r="I567" s="17">
        <f>'01_원자료'!P564*'03_가중치민감도'!$B$9+'01_원자료'!Q564*'03_가중치민감도'!$C$9+'01_원자료'!R564*'03_가중치민감도'!$D$9</f>
        <v>0.45284737346692244</v>
      </c>
      <c r="J567" s="17">
        <f>'01_원자료'!P564*'03_가중치민감도'!$B$10+'01_원자료'!Q564*'03_가중치민감도'!$C$10+'01_원자료'!R564*'03_가중치민감도'!$D$10</f>
        <v>0.58794184436470909</v>
      </c>
      <c r="K567" s="31">
        <f t="shared" si="48"/>
        <v>132</v>
      </c>
      <c r="L567" s="31">
        <f t="shared" si="49"/>
        <v>59</v>
      </c>
      <c r="M567" s="31">
        <f t="shared" si="50"/>
        <v>170</v>
      </c>
      <c r="N567" s="31">
        <f t="shared" si="51"/>
        <v>77</v>
      </c>
      <c r="O567" s="31">
        <f t="shared" si="52"/>
        <v>77</v>
      </c>
      <c r="P567" s="31">
        <f t="shared" si="53"/>
        <v>150</v>
      </c>
    </row>
    <row r="568" spans="1:16">
      <c r="A568" s="2" t="str">
        <f>'01_원자료'!A565</f>
        <v>RPT-07</v>
      </c>
      <c r="B568" s="2" t="str">
        <f>'01_원자료'!B565</f>
        <v>gemini</v>
      </c>
      <c r="C568" s="2" t="str">
        <f>'01_원자료'!C565</f>
        <v>qwen</v>
      </c>
      <c r="E568" s="17">
        <f>'01_원자료'!P565*'03_가중치민감도'!$B$5+'01_원자료'!Q565*'03_가중치민감도'!$C$5+'01_원자료'!R565*'03_가중치민감도'!$D$5</f>
        <v>0.74110061398498561</v>
      </c>
      <c r="F568" s="17">
        <f>'01_원자료'!P565*'03_가중치민감도'!$B$6+'01_원자료'!Q565*'03_가중치민감도'!$C$6+'01_원자료'!R565*'03_가중치민감도'!$D$6</f>
        <v>0.64406277417063196</v>
      </c>
      <c r="G568" s="17">
        <f>'01_원자료'!P565*'03_가중치민감도'!$B$7+'01_원자료'!Q565*'03_가중치민감도'!$C$7+'01_원자료'!R565*'03_가중치민감도'!$D$7</f>
        <v>0.7344873681394305</v>
      </c>
      <c r="H568" s="17">
        <f>'01_원자료'!P565*'03_가중치민감도'!$B$8+'01_원자료'!Q565*'03_가중치민감도'!$C$8+'01_원자료'!R565*'03_가중치민감도'!$D$8</f>
        <v>0.77416684321276175</v>
      </c>
      <c r="I568" s="17">
        <f>'01_원자료'!P565*'03_가중치민감도'!$B$9+'01_원자료'!Q565*'03_가중치민감도'!$C$9+'01_원자료'!R565*'03_가중치민감도'!$D$9</f>
        <v>0.67861313605726759</v>
      </c>
      <c r="J568" s="17">
        <f>'01_원자료'!P565*'03_가중치민감도'!$B$10+'01_원자료'!Q565*'03_가중치민감도'!$C$10+'01_원자료'!R565*'03_가중치민감도'!$D$10</f>
        <v>0.85136494549044994</v>
      </c>
      <c r="K568" s="31">
        <f t="shared" si="48"/>
        <v>926</v>
      </c>
      <c r="L568" s="31">
        <f t="shared" si="49"/>
        <v>948</v>
      </c>
      <c r="M568" s="31">
        <f t="shared" si="50"/>
        <v>931</v>
      </c>
      <c r="N568" s="31">
        <f t="shared" si="51"/>
        <v>919</v>
      </c>
      <c r="O568" s="31">
        <f t="shared" si="52"/>
        <v>945</v>
      </c>
      <c r="P568" s="31">
        <f t="shared" si="53"/>
        <v>894</v>
      </c>
    </row>
    <row r="569" spans="1:16">
      <c r="A569" s="2" t="str">
        <f>'01_원자료'!A566</f>
        <v>RPT-07</v>
      </c>
      <c r="B569" s="2" t="str">
        <f>'01_원자료'!B566</f>
        <v>mistral</v>
      </c>
      <c r="C569" s="2" t="str">
        <f>'01_원자료'!C566</f>
        <v>gemma</v>
      </c>
      <c r="E569" s="17">
        <f>'01_원자료'!P566*'03_가중치민감도'!$B$5+'01_원자료'!Q566*'03_가중치민감도'!$C$5+'01_원자료'!R566*'03_가중치민감도'!$D$5</f>
        <v>0.66773467522751928</v>
      </c>
      <c r="F569" s="17">
        <f>'01_원자료'!P566*'03_가중치민감도'!$B$6+'01_원자료'!Q566*'03_가중치민감도'!$C$6+'01_원자료'!R566*'03_가중치민감도'!$D$6</f>
        <v>0.56387398067335348</v>
      </c>
      <c r="G569" s="17">
        <f>'01_원자료'!P566*'03_가중치민감도'!$B$7+'01_원자료'!Q566*'03_가중치민감도'!$C$7+'01_원자료'!R566*'03_가중치민감도'!$D$7</f>
        <v>0.66285863931799005</v>
      </c>
      <c r="H569" s="17">
        <f>'01_원자료'!P566*'03_가중치민감도'!$B$8+'01_원자료'!Q566*'03_가중치민감도'!$C$8+'01_원자료'!R566*'03_가중치민감도'!$D$8</f>
        <v>0.69211485477516543</v>
      </c>
      <c r="I569" s="17">
        <f>'01_원자료'!P566*'03_가중치민감도'!$B$9+'01_원자료'!Q566*'03_가중치민감도'!$C$9+'01_원자료'!R566*'03_가중치민감도'!$D$9</f>
        <v>0.60011955749458457</v>
      </c>
      <c r="J569" s="17">
        <f>'01_원자료'!P566*'03_가중치민감도'!$B$10+'01_원자료'!Q566*'03_가중치민감도'!$C$10+'01_원자료'!R566*'03_가중치민감도'!$D$10</f>
        <v>0.78134744160074365</v>
      </c>
      <c r="K569" s="31">
        <f t="shared" si="48"/>
        <v>706</v>
      </c>
      <c r="L569" s="31">
        <f t="shared" si="49"/>
        <v>656</v>
      </c>
      <c r="M569" s="31">
        <f t="shared" si="50"/>
        <v>681</v>
      </c>
      <c r="N569" s="31">
        <f t="shared" si="51"/>
        <v>755</v>
      </c>
      <c r="O569" s="31">
        <f t="shared" si="52"/>
        <v>686</v>
      </c>
      <c r="P569" s="31">
        <f t="shared" si="53"/>
        <v>761</v>
      </c>
    </row>
    <row r="570" spans="1:16">
      <c r="A570" s="2" t="str">
        <f>'01_원자료'!A567</f>
        <v>RPT-07</v>
      </c>
      <c r="B570" s="2" t="str">
        <f>'01_원자료'!B567</f>
        <v>mistral</v>
      </c>
      <c r="C570" s="2" t="str">
        <f>'01_원자료'!C567</f>
        <v>ministral</v>
      </c>
      <c r="E570" s="17">
        <f>'01_원자료'!P567*'03_가중치민감도'!$B$5+'01_원자료'!Q567*'03_가중치민감도'!$C$5+'01_원자료'!R567*'03_가중치민감도'!$D$5</f>
        <v>0.52288330908208192</v>
      </c>
      <c r="F570" s="17">
        <f>'01_원자료'!P567*'03_가중치민감도'!$B$6+'01_원자료'!Q567*'03_가중치민감도'!$C$6+'01_원자료'!R567*'03_가중치민감도'!$D$6</f>
        <v>0.44113000979826555</v>
      </c>
      <c r="G570" s="17">
        <f>'01_원자료'!P567*'03_가중치민감도'!$B$7+'01_원자료'!Q567*'03_가중치민감도'!$C$7+'01_원자료'!R567*'03_가중치민감도'!$D$7</f>
        <v>0.54365654414901232</v>
      </c>
      <c r="H570" s="17">
        <f>'01_원자료'!P567*'03_가중치민감도'!$B$8+'01_원자료'!Q567*'03_가중치민감도'!$C$8+'01_원자료'!R567*'03_가중치민감도'!$D$8</f>
        <v>0.41901713374742988</v>
      </c>
      <c r="I570" s="17">
        <f>'01_원자료'!P567*'03_가중치민감도'!$B$9+'01_원자료'!Q567*'03_가중치민감도'!$C$9+'01_원자료'!R567*'03_가중치민감도'!$D$9</f>
        <v>0.46145669787056043</v>
      </c>
      <c r="J570" s="17">
        <f>'01_원자료'!P567*'03_가중치민감도'!$B$10+'01_원자료'!Q567*'03_가중치민감도'!$C$10+'01_원자료'!R567*'03_가중치민감도'!$D$10</f>
        <v>0.56309013823203746</v>
      </c>
      <c r="K570" s="31">
        <f t="shared" si="48"/>
        <v>109</v>
      </c>
      <c r="L570" s="31">
        <f t="shared" si="49"/>
        <v>100</v>
      </c>
      <c r="M570" s="31">
        <f t="shared" si="50"/>
        <v>124</v>
      </c>
      <c r="N570" s="31">
        <f t="shared" si="51"/>
        <v>84</v>
      </c>
      <c r="O570" s="31">
        <f t="shared" si="52"/>
        <v>98</v>
      </c>
      <c r="P570" s="31">
        <f t="shared" si="53"/>
        <v>95</v>
      </c>
    </row>
    <row r="571" spans="1:16">
      <c r="A571" s="2" t="str">
        <f>'01_원자료'!A568</f>
        <v>RPT-07</v>
      </c>
      <c r="B571" s="2" t="str">
        <f>'01_원자료'!B568</f>
        <v>mistral</v>
      </c>
      <c r="C571" s="2" t="str">
        <f>'01_원자료'!C568</f>
        <v>qwen</v>
      </c>
      <c r="E571" s="17">
        <f>'01_원자료'!P568*'03_가중치민감도'!$B$5+'01_원자료'!Q568*'03_가중치민감도'!$C$5+'01_원자료'!R568*'03_가중치민감도'!$D$5</f>
        <v>0.66826112146618744</v>
      </c>
      <c r="F571" s="17">
        <f>'01_원자료'!P568*'03_가중치민감도'!$B$6+'01_원자료'!Q568*'03_가중치민감도'!$C$6+'01_원자료'!R568*'03_가중치민감도'!$D$6</f>
        <v>0.56671905354869689</v>
      </c>
      <c r="G571" s="17">
        <f>'01_원자료'!P568*'03_가중치민감도'!$B$7+'01_원자료'!Q568*'03_가중치민감도'!$C$7+'01_원자료'!R568*'03_가중치민감도'!$D$7</f>
        <v>0.6632357371901576</v>
      </c>
      <c r="H571" s="17">
        <f>'01_원자료'!P568*'03_가중치민감도'!$B$8+'01_원자료'!Q568*'03_가중치민감도'!$C$8+'01_원자료'!R568*'03_가중치민감도'!$D$8</f>
        <v>0.69338804284633659</v>
      </c>
      <c r="I571" s="17">
        <f>'01_원자료'!P568*'03_가중치민감도'!$B$9+'01_원자료'!Q568*'03_가중치민감도'!$C$9+'01_원자료'!R568*'03_가중치민감도'!$D$9</f>
        <v>0.60224153761320309</v>
      </c>
      <c r="J571" s="17">
        <f>'01_원자료'!P568*'03_가중치민감도'!$B$10+'01_원자료'!Q568*'03_가중치민감도'!$C$10+'01_원자료'!R568*'03_가중치민감도'!$D$10</f>
        <v>0.77985395793573764</v>
      </c>
      <c r="K571" s="31">
        <f t="shared" si="48"/>
        <v>709</v>
      </c>
      <c r="L571" s="31">
        <f t="shared" si="49"/>
        <v>674</v>
      </c>
      <c r="M571" s="31">
        <f t="shared" si="50"/>
        <v>683</v>
      </c>
      <c r="N571" s="31">
        <f t="shared" si="51"/>
        <v>762</v>
      </c>
      <c r="O571" s="31">
        <f t="shared" si="52"/>
        <v>699</v>
      </c>
      <c r="P571" s="31">
        <f t="shared" si="53"/>
        <v>757</v>
      </c>
    </row>
    <row r="572" spans="1:16">
      <c r="A572" s="2" t="str">
        <f>'01_원자료'!A569</f>
        <v>RPT-07</v>
      </c>
      <c r="B572" s="2" t="str">
        <f>'01_원자료'!B569</f>
        <v>qwen3_6</v>
      </c>
      <c r="C572" s="2" t="str">
        <f>'01_원자료'!C569</f>
        <v>gemma</v>
      </c>
      <c r="E572" s="17">
        <f>'01_원자료'!P569*'03_가중치민감도'!$B$5+'01_원자료'!Q569*'03_가중치민감도'!$C$5+'01_원자료'!R569*'03_가중치민감도'!$D$5</f>
        <v>0.73720705902577344</v>
      </c>
      <c r="F572" s="17">
        <f>'01_원자료'!P569*'03_가중치민감도'!$B$6+'01_원자료'!Q569*'03_가중치민감도'!$C$6+'01_원자료'!R569*'03_가중치민감도'!$D$6</f>
        <v>0.63095655992432342</v>
      </c>
      <c r="G572" s="17">
        <f>'01_원자료'!P569*'03_가중치민감도'!$B$7+'01_원자료'!Q569*'03_가중치민감도'!$C$7+'01_원자료'!R569*'03_가중치민감도'!$D$7</f>
        <v>0.72907272434911341</v>
      </c>
      <c r="H572" s="17">
        <f>'01_원자료'!P569*'03_가중치민감도'!$B$8+'01_원자료'!Q569*'03_가중치민감도'!$C$8+'01_원자료'!R569*'03_가중치민감도'!$D$8</f>
        <v>0.77787873240907379</v>
      </c>
      <c r="I572" s="17">
        <f>'01_원자료'!P569*'03_가중치민감도'!$B$9+'01_원자료'!Q569*'03_가중치민감도'!$C$9+'01_원자료'!R569*'03_가중치민감도'!$D$9</f>
        <v>0.66908483785035955</v>
      </c>
      <c r="J572" s="17">
        <f>'01_원자료'!P569*'03_가중치민감도'!$B$10+'01_원자료'!Q569*'03_가중치민감도'!$C$10+'01_원자료'!R569*'03_가중치민감도'!$D$10</f>
        <v>0.85972622748054361</v>
      </c>
      <c r="K572" s="31">
        <f t="shared" si="48"/>
        <v>919</v>
      </c>
      <c r="L572" s="31">
        <f t="shared" si="49"/>
        <v>925</v>
      </c>
      <c r="M572" s="31">
        <f t="shared" si="50"/>
        <v>919</v>
      </c>
      <c r="N572" s="31">
        <f t="shared" si="51"/>
        <v>928</v>
      </c>
      <c r="O572" s="31">
        <f t="shared" si="52"/>
        <v>926</v>
      </c>
      <c r="P572" s="31">
        <f t="shared" si="53"/>
        <v>916</v>
      </c>
    </row>
    <row r="573" spans="1:16">
      <c r="A573" s="2" t="str">
        <f>'01_원자료'!A570</f>
        <v>RPT-07</v>
      </c>
      <c r="B573" s="2" t="str">
        <f>'01_원자료'!B570</f>
        <v>qwen3_6</v>
      </c>
      <c r="C573" s="2" t="str">
        <f>'01_원자료'!C570</f>
        <v>ministral</v>
      </c>
      <c r="E573" s="17">
        <f>'01_원자료'!P570*'03_가중치민감도'!$B$5+'01_원자료'!Q570*'03_가중치민감도'!$C$5+'01_원자료'!R570*'03_가중치민감도'!$D$5</f>
        <v>0.49952553670119298</v>
      </c>
      <c r="F573" s="17">
        <f>'01_원자료'!P570*'03_가중치민감도'!$B$6+'01_원자료'!Q570*'03_가중치민감도'!$C$6+'01_원자료'!R570*'03_가중치민감도'!$D$6</f>
        <v>0.40294726491259741</v>
      </c>
      <c r="G573" s="17">
        <f>'01_원자료'!P570*'03_가중치민감도'!$B$7+'01_원자료'!Q570*'03_가중치민감도'!$C$7+'01_원자료'!R570*'03_가중치민감도'!$D$7</f>
        <v>0.51972438633932372</v>
      </c>
      <c r="H573" s="17">
        <f>'01_원자료'!P570*'03_가중치민감도'!$B$8+'01_원자료'!Q570*'03_가중치민감도'!$C$8+'01_원자료'!R570*'03_가중치민감도'!$D$8</f>
        <v>0.39853128851053943</v>
      </c>
      <c r="I573" s="17">
        <f>'01_원자료'!P570*'03_가중치민감도'!$B$9+'01_원자료'!Q570*'03_가중치민감도'!$C$9+'01_원자료'!R570*'03_가중치민감도'!$D$9</f>
        <v>0.42840707229608521</v>
      </c>
      <c r="J573" s="17">
        <f>'01_원자료'!P570*'03_가중치민감도'!$B$10+'01_원자료'!Q570*'03_가중치민감도'!$C$10+'01_원자료'!R570*'03_가중치민감도'!$D$10</f>
        <v>0.55570610921352714</v>
      </c>
      <c r="K573" s="31">
        <f t="shared" si="48"/>
        <v>45</v>
      </c>
      <c r="L573" s="31">
        <f t="shared" si="49"/>
        <v>22</v>
      </c>
      <c r="M573" s="31">
        <f t="shared" si="50"/>
        <v>47</v>
      </c>
      <c r="N573" s="31">
        <f t="shared" si="51"/>
        <v>42</v>
      </c>
      <c r="O573" s="31">
        <f t="shared" si="52"/>
        <v>28</v>
      </c>
      <c r="P573" s="31">
        <f t="shared" si="53"/>
        <v>77</v>
      </c>
    </row>
    <row r="574" spans="1:16">
      <c r="A574" s="2" t="str">
        <f>'01_원자료'!A571</f>
        <v>RPT-07</v>
      </c>
      <c r="B574" s="2" t="str">
        <f>'01_원자료'!B571</f>
        <v>qwen3_6</v>
      </c>
      <c r="C574" s="2" t="str">
        <f>'01_원자료'!C571</f>
        <v>qwen</v>
      </c>
      <c r="E574" s="17">
        <f>'01_원자료'!P571*'03_가중치민감도'!$B$5+'01_원자료'!Q571*'03_가중치민감도'!$C$5+'01_원자료'!R571*'03_가중치민감도'!$D$5</f>
        <v>0.74887882800031302</v>
      </c>
      <c r="F574" s="17">
        <f>'01_원자료'!P571*'03_가중치민감도'!$B$6+'01_원자료'!Q571*'03_가중치민감도'!$C$6+'01_원자료'!R571*'03_가중치민감도'!$D$6</f>
        <v>0.66809323221026429</v>
      </c>
      <c r="G574" s="17">
        <f>'01_원자료'!P571*'03_가중치민감도'!$B$7+'01_원자료'!Q571*'03_가중치민감도'!$C$7+'01_원자료'!R571*'03_가중치민감도'!$D$7</f>
        <v>0.73959506546224774</v>
      </c>
      <c r="H574" s="17">
        <f>'01_원자료'!P571*'03_가중치민감도'!$B$8+'01_원자료'!Q571*'03_가중치민감도'!$C$8+'01_원자료'!R571*'03_가중치민감도'!$D$8</f>
        <v>0.79529764069063913</v>
      </c>
      <c r="I574" s="17">
        <f>'01_원자료'!P571*'03_가중치민감도'!$B$9+'01_원자료'!Q571*'03_가중치민감도'!$C$9+'01_원자료'!R571*'03_가중치민감도'!$D$9</f>
        <v>0.69811635165296826</v>
      </c>
      <c r="J574" s="17">
        <f>'01_원자료'!P571*'03_가중치민감도'!$B$10+'01_원자료'!Q571*'03_가중치민감도'!$C$10+'01_원자료'!R571*'03_가중치민감도'!$D$10</f>
        <v>0.84823194886649211</v>
      </c>
      <c r="K574" s="31">
        <f t="shared" si="48"/>
        <v>951</v>
      </c>
      <c r="L574" s="31">
        <f t="shared" si="49"/>
        <v>968</v>
      </c>
      <c r="M574" s="31">
        <f t="shared" si="50"/>
        <v>948</v>
      </c>
      <c r="N574" s="31">
        <f t="shared" si="51"/>
        <v>966</v>
      </c>
      <c r="O574" s="31">
        <f t="shared" si="52"/>
        <v>966</v>
      </c>
      <c r="P574" s="31">
        <f t="shared" si="53"/>
        <v>886</v>
      </c>
    </row>
    <row r="575" spans="1:16">
      <c r="A575" s="2" t="str">
        <f>'01_원자료'!A572</f>
        <v>RPT-08</v>
      </c>
      <c r="B575" s="2" t="str">
        <f>'01_원자료'!B572</f>
        <v>chatgpt</v>
      </c>
      <c r="C575" s="2" t="str">
        <f>'01_원자료'!C572</f>
        <v>gemma</v>
      </c>
      <c r="E575" s="17">
        <f>'01_원자료'!P572*'03_가중치민감도'!$B$5+'01_원자료'!Q572*'03_가중치민감도'!$C$5+'01_원자료'!R572*'03_가중치민감도'!$D$5</f>
        <v>0.56821512204229552</v>
      </c>
      <c r="F575" s="17">
        <f>'01_원자료'!P572*'03_가중치민감도'!$B$6+'01_원자료'!Q572*'03_가중치민감도'!$C$6+'01_원자료'!R572*'03_가중치민감도'!$D$6</f>
        <v>0.48222657463770524</v>
      </c>
      <c r="G575" s="17">
        <f>'01_원자료'!P572*'03_가중치민감도'!$B$7+'01_원자료'!Q572*'03_가중치민감도'!$C$7+'01_원자료'!R572*'03_가중치민감도'!$D$7</f>
        <v>0.57471446501789891</v>
      </c>
      <c r="H575" s="17">
        <f>'01_원자료'!P572*'03_가중치민감도'!$B$8+'01_원자료'!Q572*'03_가중치민감도'!$C$8+'01_원자료'!R572*'03_가중치민감도'!$D$8</f>
        <v>0.53571840716427799</v>
      </c>
      <c r="I575" s="17">
        <f>'01_원자료'!P572*'03_가중치민감도'!$B$9+'01_원자료'!Q572*'03_가중치민감도'!$C$9+'01_원자료'!R572*'03_가중치민감도'!$D$9</f>
        <v>0.50872297611403361</v>
      </c>
      <c r="J575" s="17">
        <f>'01_원자료'!P572*'03_가중치민감도'!$B$10+'01_원자료'!Q572*'03_가중치민감도'!$C$10+'01_원자료'!R572*'03_가중치민감도'!$D$10</f>
        <v>0.64120498349567878</v>
      </c>
      <c r="K575" s="31">
        <f t="shared" si="48"/>
        <v>277</v>
      </c>
      <c r="L575" s="31">
        <f t="shared" si="49"/>
        <v>280</v>
      </c>
      <c r="M575" s="31">
        <f t="shared" si="50"/>
        <v>266</v>
      </c>
      <c r="N575" s="31">
        <f t="shared" si="51"/>
        <v>296</v>
      </c>
      <c r="O575" s="31">
        <f t="shared" si="52"/>
        <v>280</v>
      </c>
      <c r="P575" s="31">
        <f t="shared" si="53"/>
        <v>289</v>
      </c>
    </row>
    <row r="576" spans="1:16">
      <c r="A576" s="2" t="str">
        <f>'01_원자료'!A573</f>
        <v>RPT-08</v>
      </c>
      <c r="B576" s="2" t="str">
        <f>'01_원자료'!B573</f>
        <v>chatgpt</v>
      </c>
      <c r="C576" s="2" t="str">
        <f>'01_원자료'!C573</f>
        <v>ministral</v>
      </c>
      <c r="E576" s="17">
        <f>'01_원자료'!P573*'03_가중치민감도'!$B$5+'01_원자료'!Q573*'03_가중치민감도'!$C$5+'01_원자료'!R573*'03_가중치민감도'!$D$5</f>
        <v>0.52957939203301907</v>
      </c>
      <c r="F576" s="17">
        <f>'01_원자료'!P573*'03_가중치민감도'!$B$6+'01_원자료'!Q573*'03_가중치민감도'!$C$6+'01_원자료'!R573*'03_가중치민감도'!$D$6</f>
        <v>0.44977512386393081</v>
      </c>
      <c r="G576" s="17">
        <f>'01_원자료'!P573*'03_가중치민감도'!$B$7+'01_원자료'!Q573*'03_가중치민감도'!$C$7+'01_원자료'!R573*'03_가중치민감도'!$D$7</f>
        <v>0.53934616446162842</v>
      </c>
      <c r="H576" s="17">
        <f>'01_원자료'!P573*'03_가중치민감도'!$B$8+'01_원자료'!Q573*'03_가중치민감도'!$C$8+'01_원자료'!R573*'03_가중치민감도'!$D$8</f>
        <v>0.48074552988997254</v>
      </c>
      <c r="I576" s="17">
        <f>'01_원자료'!P573*'03_가중치민감도'!$B$9+'01_원자료'!Q573*'03_가중치민감도'!$C$9+'01_원자료'!R573*'03_가중치민감도'!$D$9</f>
        <v>0.4731209557774233</v>
      </c>
      <c r="J576" s="17">
        <f>'01_원자료'!P573*'03_가중치민감도'!$B$10+'01_원자료'!Q573*'03_가중치민감도'!$C$10+'01_원자료'!R573*'03_가중치민감도'!$D$10</f>
        <v>0.58985011534488874</v>
      </c>
      <c r="K576" s="31">
        <f t="shared" si="48"/>
        <v>131</v>
      </c>
      <c r="L576" s="31">
        <f t="shared" si="49"/>
        <v>140</v>
      </c>
      <c r="M576" s="31">
        <f t="shared" si="50"/>
        <v>105</v>
      </c>
      <c r="N576" s="31">
        <f t="shared" si="51"/>
        <v>176</v>
      </c>
      <c r="O576" s="31">
        <f t="shared" si="52"/>
        <v>141</v>
      </c>
      <c r="P576" s="31">
        <f t="shared" si="53"/>
        <v>155</v>
      </c>
    </row>
    <row r="577" spans="1:16">
      <c r="A577" s="2" t="str">
        <f>'01_원자료'!A574</f>
        <v>RPT-08</v>
      </c>
      <c r="B577" s="2" t="str">
        <f>'01_원자료'!B574</f>
        <v>chatgpt</v>
      </c>
      <c r="C577" s="2" t="str">
        <f>'01_원자료'!C574</f>
        <v>qwen</v>
      </c>
      <c r="E577" s="17">
        <f>'01_원자료'!P574*'03_가중치민감도'!$B$5+'01_원자료'!Q574*'03_가중치민감도'!$C$5+'01_원자료'!R574*'03_가중치민감도'!$D$5</f>
        <v>0.59413832700285651</v>
      </c>
      <c r="F577" s="17">
        <f>'01_원자료'!P574*'03_가중치민감도'!$B$6+'01_원자료'!Q574*'03_가중치민감도'!$C$6+'01_원자료'!R574*'03_가중치민감도'!$D$6</f>
        <v>0.52422062146323145</v>
      </c>
      <c r="G577" s="17">
        <f>'01_원자료'!P574*'03_가중치민감도'!$B$7+'01_원자료'!Q574*'03_가중치민감도'!$C$7+'01_원자료'!R574*'03_가중치민감도'!$D$7</f>
        <v>0.60145870023642634</v>
      </c>
      <c r="H577" s="17">
        <f>'01_원자료'!P574*'03_가중치민감도'!$B$8+'01_원자료'!Q574*'03_가중치민감도'!$C$8+'01_원자료'!R574*'03_가중치민감도'!$D$8</f>
        <v>0.55753646083500741</v>
      </c>
      <c r="I577" s="17">
        <f>'01_원자료'!P574*'03_가중치민감도'!$B$9+'01_원자료'!Q574*'03_가중치민감도'!$C$9+'01_원자료'!R574*'03_가중치민감도'!$D$9</f>
        <v>0.54508639889858268</v>
      </c>
      <c r="J577" s="17">
        <f>'01_원자료'!P574*'03_가중치민감도'!$B$10+'01_원자료'!Q574*'03_가중치민감도'!$C$10+'01_원자료'!R574*'03_가중치민감도'!$D$10</f>
        <v>0.64941528607534194</v>
      </c>
      <c r="K577" s="31">
        <f t="shared" si="48"/>
        <v>360</v>
      </c>
      <c r="L577" s="31">
        <f t="shared" si="49"/>
        <v>471</v>
      </c>
      <c r="M577" s="31">
        <f t="shared" si="50"/>
        <v>369</v>
      </c>
      <c r="N577" s="31">
        <f t="shared" si="51"/>
        <v>362</v>
      </c>
      <c r="O577" s="31">
        <f t="shared" si="52"/>
        <v>437</v>
      </c>
      <c r="P577" s="31">
        <f t="shared" si="53"/>
        <v>303</v>
      </c>
    </row>
    <row r="578" spans="1:16">
      <c r="A578" s="2" t="str">
        <f>'01_원자료'!A575</f>
        <v>RPT-08</v>
      </c>
      <c r="B578" s="2" t="str">
        <f>'01_원자료'!B575</f>
        <v>claude</v>
      </c>
      <c r="C578" s="2" t="str">
        <f>'01_원자료'!C575</f>
        <v>gemma</v>
      </c>
      <c r="E578" s="17">
        <f>'01_원자료'!P575*'03_가중치민감도'!$B$5+'01_원자료'!Q575*'03_가중치민감도'!$C$5+'01_원자료'!R575*'03_가중치민감도'!$D$5</f>
        <v>0.70565076686883987</v>
      </c>
      <c r="F578" s="17">
        <f>'01_원자료'!P575*'03_가중치민감도'!$B$6+'01_원자료'!Q575*'03_가중치민감도'!$C$6+'01_원자료'!R575*'03_가중치민감도'!$D$6</f>
        <v>0.59591470209997077</v>
      </c>
      <c r="G578" s="17">
        <f>'01_원자료'!P575*'03_가중치민감도'!$B$7+'01_원자료'!Q575*'03_가중치민감도'!$C$7+'01_원자료'!R575*'03_가중치민감도'!$D$7</f>
        <v>0.69714155250981547</v>
      </c>
      <c r="H578" s="17">
        <f>'01_원자료'!P575*'03_가중치민감도'!$B$8+'01_원자료'!Q575*'03_가중치민감도'!$C$8+'01_원자료'!R575*'03_가중치민감도'!$D$8</f>
        <v>0.74819683866396192</v>
      </c>
      <c r="I578" s="17">
        <f>'01_원자료'!P575*'03_가중치민감도'!$B$9+'01_원자료'!Q575*'03_가중치민감도'!$C$9+'01_원자료'!R575*'03_가중치민감도'!$D$9</f>
        <v>0.63532979514260135</v>
      </c>
      <c r="J578" s="17">
        <f>'01_원자료'!P575*'03_가중치민감도'!$B$10+'01_원자료'!Q575*'03_가중치민감도'!$C$10+'01_원자료'!R575*'03_가중치민감도'!$D$10</f>
        <v>0.8324052603557579</v>
      </c>
      <c r="K578" s="31">
        <f t="shared" si="48"/>
        <v>836</v>
      </c>
      <c r="L578" s="31">
        <f t="shared" si="49"/>
        <v>792</v>
      </c>
      <c r="M578" s="31">
        <f t="shared" si="50"/>
        <v>823</v>
      </c>
      <c r="N578" s="31">
        <f t="shared" si="51"/>
        <v>846</v>
      </c>
      <c r="O578" s="31">
        <f t="shared" si="52"/>
        <v>818</v>
      </c>
      <c r="P578" s="31">
        <f t="shared" si="53"/>
        <v>852</v>
      </c>
    </row>
    <row r="579" spans="1:16">
      <c r="A579" s="2" t="str">
        <f>'01_원자료'!A576</f>
        <v>RPT-08</v>
      </c>
      <c r="B579" s="2" t="str">
        <f>'01_원자료'!B576</f>
        <v>claude</v>
      </c>
      <c r="C579" s="2" t="str">
        <f>'01_원자료'!C576</f>
        <v>ministral</v>
      </c>
      <c r="E579" s="17">
        <f>'01_원자료'!P576*'03_가중치민감도'!$B$5+'01_원자료'!Q576*'03_가중치민감도'!$C$5+'01_원자료'!R576*'03_가중치민감도'!$D$5</f>
        <v>0.57549387740106683</v>
      </c>
      <c r="F579" s="17">
        <f>'01_원자료'!P576*'03_가중치민감도'!$B$6+'01_원자료'!Q576*'03_가중치민감도'!$C$6+'01_원자료'!R576*'03_가중치민감도'!$D$6</f>
        <v>0.48597043245034816</v>
      </c>
      <c r="G579" s="17">
        <f>'01_원자료'!P576*'03_가중치민감도'!$B$7+'01_원자료'!Q576*'03_가중치민감도'!$C$7+'01_원자료'!R576*'03_가중치민감도'!$D$7</f>
        <v>0.58135835424191751</v>
      </c>
      <c r="H579" s="17">
        <f>'01_원자료'!P576*'03_가중치민감도'!$B$8+'01_원자료'!Q576*'03_가중치민감도'!$C$8+'01_원자료'!R576*'03_가중치민감도'!$D$8</f>
        <v>0.54617149319681368</v>
      </c>
      <c r="I579" s="17">
        <f>'01_원자료'!P576*'03_가중치민감도'!$B$9+'01_원자료'!Q576*'03_가중치민감도'!$C$9+'01_원자료'!R576*'03_가중치민감도'!$D$9</f>
        <v>0.51385675515363693</v>
      </c>
      <c r="J579" s="17">
        <f>'01_원자료'!P576*'03_가중치민감도'!$B$10+'01_원자료'!Q576*'03_가중치민감도'!$C$10+'01_원자료'!R576*'03_가중치민감도'!$D$10</f>
        <v>0.65328836867008433</v>
      </c>
      <c r="K579" s="31">
        <f t="shared" si="48"/>
        <v>310</v>
      </c>
      <c r="L579" s="31">
        <f t="shared" si="49"/>
        <v>301</v>
      </c>
      <c r="M579" s="31">
        <f t="shared" si="50"/>
        <v>298</v>
      </c>
      <c r="N579" s="31">
        <f t="shared" si="51"/>
        <v>327</v>
      </c>
      <c r="O579" s="31">
        <f t="shared" si="52"/>
        <v>304</v>
      </c>
      <c r="P579" s="31">
        <f t="shared" si="53"/>
        <v>315</v>
      </c>
    </row>
    <row r="580" spans="1:16">
      <c r="A580" s="2" t="str">
        <f>'01_원자료'!A577</f>
        <v>RPT-08</v>
      </c>
      <c r="B580" s="2" t="str">
        <f>'01_원자료'!B577</f>
        <v>claude</v>
      </c>
      <c r="C580" s="2" t="str">
        <f>'01_원자료'!C577</f>
        <v>qwen</v>
      </c>
      <c r="E580" s="17">
        <f>'01_원자료'!P577*'03_가중치민감도'!$B$5+'01_원자료'!Q577*'03_가중치민감도'!$C$5+'01_원자료'!R577*'03_가중치민감도'!$D$5</f>
        <v>0.71065831606372609</v>
      </c>
      <c r="F580" s="17">
        <f>'01_원자료'!P577*'03_가중치민감도'!$B$6+'01_원자료'!Q577*'03_가중치민감도'!$C$6+'01_원자료'!R577*'03_가중치민감도'!$D$6</f>
        <v>0.61987509998085977</v>
      </c>
      <c r="G580" s="17">
        <f>'01_원자료'!P577*'03_가중치민감도'!$B$7+'01_원자료'!Q577*'03_가중치민감도'!$C$7+'01_원자료'!R577*'03_가중치민감도'!$D$7</f>
        <v>0.70098699341377524</v>
      </c>
      <c r="H580" s="17">
        <f>'01_원자료'!P577*'03_가중치민감도'!$B$8+'01_원자료'!Q577*'03_가중치민감도'!$C$8+'01_원자료'!R577*'03_가중치민감도'!$D$8</f>
        <v>0.75901492931348002</v>
      </c>
      <c r="I580" s="17">
        <f>'01_원자료'!P577*'03_가중치민감도'!$B$9+'01_원자료'!Q577*'03_가중치민감도'!$C$9+'01_원자료'!R577*'03_가중치민감도'!$D$9</f>
        <v>0.65335994622513149</v>
      </c>
      <c r="J580" s="17">
        <f>'01_원자료'!P577*'03_가중치민감도'!$B$10+'01_원자료'!Q577*'03_가중치민감도'!$C$10+'01_원자료'!R577*'03_가중치민감도'!$D$10</f>
        <v>0.8207841774464939</v>
      </c>
      <c r="K580" s="31">
        <f t="shared" si="48"/>
        <v>847</v>
      </c>
      <c r="L580" s="31">
        <f t="shared" si="49"/>
        <v>892</v>
      </c>
      <c r="M580" s="31">
        <f t="shared" si="50"/>
        <v>835</v>
      </c>
      <c r="N580" s="31">
        <f t="shared" si="51"/>
        <v>862</v>
      </c>
      <c r="O580" s="31">
        <f t="shared" si="52"/>
        <v>882</v>
      </c>
      <c r="P580" s="31">
        <f t="shared" si="53"/>
        <v>842</v>
      </c>
    </row>
    <row r="581" spans="1:16">
      <c r="A581" s="2" t="str">
        <f>'01_원자료'!A578</f>
        <v>RPT-08</v>
      </c>
      <c r="B581" s="2" t="str">
        <f>'01_원자료'!B578</f>
        <v>gemini</v>
      </c>
      <c r="C581" s="2" t="str">
        <f>'01_원자료'!C578</f>
        <v>gemma</v>
      </c>
      <c r="E581" s="17">
        <f>'01_원자료'!P578*'03_가중치민감도'!$B$5+'01_원자료'!Q578*'03_가중치민감도'!$C$5+'01_원자료'!R578*'03_가중치민감도'!$D$5</f>
        <v>0.74160145950719814</v>
      </c>
      <c r="F581" s="17">
        <f>'01_원자료'!P578*'03_가중치민감도'!$B$6+'01_원자료'!Q578*'03_가중치민감도'!$C$6+'01_원자료'!R578*'03_가중치민감도'!$D$6</f>
        <v>0.61881872981095642</v>
      </c>
      <c r="G581" s="17">
        <f>'01_원자료'!P578*'03_가중치민감도'!$B$7+'01_원자료'!Q578*'03_가중치민감도'!$C$7+'01_원자료'!R578*'03_가중치민감도'!$D$7</f>
        <v>0.7352110107535561</v>
      </c>
      <c r="H581" s="17">
        <f>'01_원자료'!P578*'03_가중치민감도'!$B$8+'01_원자료'!Q578*'03_가중치민감도'!$C$8+'01_원자료'!R578*'03_가중치민감도'!$D$8</f>
        <v>0.77355370327540829</v>
      </c>
      <c r="I581" s="17">
        <f>'01_원자료'!P578*'03_가중치민감도'!$B$9+'01_원자료'!Q578*'03_가중치민감도'!$C$9+'01_원자료'!R578*'03_가중치민감도'!$D$9</f>
        <v>0.66187645596091704</v>
      </c>
      <c r="J581" s="17">
        <f>'01_원자료'!P578*'03_가중치민감도'!$B$10+'01_원자료'!Q578*'03_가중치민감도'!$C$10+'01_원자료'!R578*'03_가중치민감도'!$D$10</f>
        <v>0.87716508671072391</v>
      </c>
      <c r="K581" s="31">
        <f t="shared" ref="K581:K644" si="54">COUNTIF($E$5:$E$979,"&lt;"&amp;E581)+(COUNTIF($E$5:$E$979,"="&amp;E581)+1)/2</f>
        <v>929</v>
      </c>
      <c r="L581" s="31">
        <f t="shared" ref="L581:L644" si="55">COUNTIF($F$5:$F$979,"&lt;"&amp;F581)+(COUNTIF($F$5:$F$979,"="&amp;F581)+1)/2</f>
        <v>886</v>
      </c>
      <c r="M581" s="31">
        <f t="shared" ref="M581:M644" si="56">COUNTIF($G$5:$G$979,"&lt;"&amp;G581)+(COUNTIF($G$5:$G$979,"="&amp;G581)+1)/2</f>
        <v>934</v>
      </c>
      <c r="N581" s="31">
        <f t="shared" ref="N581:N644" si="57">COUNTIF($H$5:$H$979,"&lt;"&amp;H581)+(COUNTIF($H$5:$H$979,"="&amp;H581)+1)/2</f>
        <v>917</v>
      </c>
      <c r="O581" s="31">
        <f t="shared" ref="O581:O644" si="58">COUNTIF($I$5:$I$979,"&lt;"&amp;I581)+(COUNTIF($I$5:$I$979,"="&amp;I581)+1)/2</f>
        <v>912</v>
      </c>
      <c r="P581" s="31">
        <f t="shared" ref="P581:P644" si="59">COUNTIF($J$5:$J$979,"&lt;"&amp;J581)+(COUNTIF($J$5:$J$979,"="&amp;J581)+1)/2</f>
        <v>960</v>
      </c>
    </row>
    <row r="582" spans="1:16">
      <c r="A582" s="2" t="str">
        <f>'01_원자료'!A579</f>
        <v>RPT-08</v>
      </c>
      <c r="B582" s="2" t="str">
        <f>'01_원자료'!B579</f>
        <v>gemini</v>
      </c>
      <c r="C582" s="2" t="str">
        <f>'01_원자료'!C579</f>
        <v>ministral</v>
      </c>
      <c r="E582" s="17">
        <f>'01_원자료'!P579*'03_가중치민감도'!$B$5+'01_원자료'!Q579*'03_가중치민감도'!$C$5+'01_원자료'!R579*'03_가중치민감도'!$D$5</f>
        <v>0.60523382327118536</v>
      </c>
      <c r="F582" s="17">
        <f>'01_원자료'!P579*'03_가중치민감도'!$B$6+'01_원자료'!Q579*'03_가중치민감도'!$C$6+'01_원자료'!R579*'03_가중치민감도'!$D$6</f>
        <v>0.5021349121063633</v>
      </c>
      <c r="G582" s="17">
        <f>'01_원자료'!P579*'03_가중치민감도'!$B$7+'01_원자료'!Q579*'03_가중치민감도'!$C$7+'01_원자료'!R579*'03_가중치민감도'!$D$7</f>
        <v>0.61426700067813733</v>
      </c>
      <c r="H582" s="17">
        <f>'01_원자료'!P579*'03_가중치민감도'!$B$8+'01_원자료'!Q579*'03_가중치민감도'!$C$8+'01_원자료'!R579*'03_가중치민감도'!$D$8</f>
        <v>0.56006793623642537</v>
      </c>
      <c r="I582" s="17">
        <f>'01_원자료'!P579*'03_가중치민감도'!$B$9+'01_원자료'!Q579*'03_가중치민감도'!$C$9+'01_원자료'!R579*'03_가중치민감도'!$D$9</f>
        <v>0.53349015669231936</v>
      </c>
      <c r="J582" s="17">
        <f>'01_원자료'!P579*'03_가중치민감도'!$B$10+'01_원자료'!Q579*'03_가중치민감도'!$C$10+'01_원자료'!R579*'03_가중치민감도'!$D$10</f>
        <v>0.69026637962210335</v>
      </c>
      <c r="K582" s="31">
        <f t="shared" si="54"/>
        <v>414</v>
      </c>
      <c r="L582" s="31">
        <f t="shared" si="55"/>
        <v>371</v>
      </c>
      <c r="M582" s="31">
        <f t="shared" si="56"/>
        <v>432</v>
      </c>
      <c r="N582" s="31">
        <f t="shared" si="57"/>
        <v>371</v>
      </c>
      <c r="O582" s="31">
        <f t="shared" si="58"/>
        <v>385</v>
      </c>
      <c r="P582" s="31">
        <f t="shared" si="59"/>
        <v>424</v>
      </c>
    </row>
    <row r="583" spans="1:16">
      <c r="A583" s="2" t="str">
        <f>'01_원자료'!A580</f>
        <v>RPT-08</v>
      </c>
      <c r="B583" s="2" t="str">
        <f>'01_원자료'!B580</f>
        <v>gemini</v>
      </c>
      <c r="C583" s="2" t="str">
        <f>'01_원자료'!C580</f>
        <v>qwen</v>
      </c>
      <c r="E583" s="17">
        <f>'01_원자료'!P580*'03_가중치민감도'!$B$5+'01_원자료'!Q580*'03_가중치민감도'!$C$5+'01_원자료'!R580*'03_가중치민감도'!$D$5</f>
        <v>0.76069754835755976</v>
      </c>
      <c r="F583" s="17">
        <f>'01_원자료'!P580*'03_가중치민감도'!$B$6+'01_원자료'!Q580*'03_가중치민감도'!$C$6+'01_원자료'!R580*'03_가중치민감도'!$D$6</f>
        <v>0.65867858257025891</v>
      </c>
      <c r="G583" s="17">
        <f>'01_원자료'!P580*'03_가중치민감도'!$B$7+'01_원자료'!Q580*'03_가중치민감도'!$C$7+'01_원자료'!R580*'03_가중치민감도'!$D$7</f>
        <v>0.75416812668236954</v>
      </c>
      <c r="H583" s="17">
        <f>'01_원자료'!P580*'03_가중치민감도'!$B$8+'01_원자료'!Q580*'03_가중치민감도'!$C$8+'01_원자료'!R580*'03_가중치민감도'!$D$8</f>
        <v>0.79334465673351129</v>
      </c>
      <c r="I583" s="17">
        <f>'01_원자료'!P580*'03_가중치민감도'!$B$9+'01_원자료'!Q580*'03_가중치민감도'!$C$9+'01_원자료'!R580*'03_가중치민감도'!$D$9</f>
        <v>0.69486137839108864</v>
      </c>
      <c r="J583" s="17">
        <f>'01_원자료'!P580*'03_가중치민감도'!$B$10+'01_원자료'!Q580*'03_가중치민감도'!$C$10+'01_원자료'!R580*'03_가중치민감도'!$D$10</f>
        <v>0.87577535749524138</v>
      </c>
      <c r="K583" s="31">
        <f t="shared" si="54"/>
        <v>965</v>
      </c>
      <c r="L583" s="31">
        <f t="shared" si="55"/>
        <v>961</v>
      </c>
      <c r="M583" s="31">
        <f t="shared" si="56"/>
        <v>965</v>
      </c>
      <c r="N583" s="31">
        <f t="shared" si="57"/>
        <v>962</v>
      </c>
      <c r="O583" s="31">
        <f t="shared" si="58"/>
        <v>962</v>
      </c>
      <c r="P583" s="31">
        <f t="shared" si="59"/>
        <v>956</v>
      </c>
    </row>
    <row r="584" spans="1:16">
      <c r="A584" s="2" t="str">
        <f>'01_원자료'!A581</f>
        <v>RPT-08</v>
      </c>
      <c r="B584" s="2" t="str">
        <f>'01_원자료'!B581</f>
        <v>mistral</v>
      </c>
      <c r="C584" s="2" t="str">
        <f>'01_원자료'!C581</f>
        <v>gemma</v>
      </c>
      <c r="E584" s="17">
        <f>'01_원자료'!P581*'03_가중치민감도'!$B$5+'01_원자료'!Q581*'03_가중치민감도'!$C$5+'01_원자료'!R581*'03_가중치민감도'!$D$5</f>
        <v>0.66351904146829432</v>
      </c>
      <c r="F584" s="17">
        <f>'01_원자료'!P581*'03_가중치민감도'!$B$6+'01_원자료'!Q581*'03_가중치민감도'!$C$6+'01_원자료'!R581*'03_가중치민감도'!$D$6</f>
        <v>0.55342630268347348</v>
      </c>
      <c r="G584" s="17">
        <f>'01_원자료'!P581*'03_가중치민감도'!$B$7+'01_원자료'!Q581*'03_가중치민감도'!$C$7+'01_원자료'!R581*'03_가중치민감도'!$D$7</f>
        <v>0.66350276144990339</v>
      </c>
      <c r="H584" s="17">
        <f>'01_원자료'!P581*'03_가중치민감도'!$B$8+'01_원자료'!Q581*'03_가중치민감도'!$C$8+'01_원자료'!R581*'03_가중치민감도'!$D$8</f>
        <v>0.66360044156024922</v>
      </c>
      <c r="I584" s="17">
        <f>'01_원자료'!P581*'03_가중치민감도'!$B$9+'01_원자료'!Q581*'03_가중치민감도'!$C$9+'01_원자료'!R581*'03_가중치민감도'!$D$9</f>
        <v>0.59012930895121007</v>
      </c>
      <c r="J584" s="17">
        <f>'01_원자료'!P581*'03_가중치민감도'!$B$10+'01_원자료'!Q581*'03_가중치민감도'!$C$10+'01_원자료'!R581*'03_가중치민감도'!$D$10</f>
        <v>0.77364434028989715</v>
      </c>
      <c r="K584" s="31">
        <f t="shared" si="54"/>
        <v>688</v>
      </c>
      <c r="L584" s="31">
        <f t="shared" si="55"/>
        <v>607</v>
      </c>
      <c r="M584" s="31">
        <f t="shared" si="56"/>
        <v>684</v>
      </c>
      <c r="N584" s="31">
        <f t="shared" si="57"/>
        <v>680</v>
      </c>
      <c r="O584" s="31">
        <f t="shared" si="58"/>
        <v>632</v>
      </c>
      <c r="P584" s="31">
        <f t="shared" si="59"/>
        <v>739</v>
      </c>
    </row>
    <row r="585" spans="1:16">
      <c r="A585" s="2" t="str">
        <f>'01_원자료'!A582</f>
        <v>RPT-08</v>
      </c>
      <c r="B585" s="2" t="str">
        <f>'01_원자료'!B582</f>
        <v>mistral</v>
      </c>
      <c r="C585" s="2" t="str">
        <f>'01_원자료'!C582</f>
        <v>ministral</v>
      </c>
      <c r="E585" s="17">
        <f>'01_원자료'!P582*'03_가중치민감도'!$B$5+'01_원자료'!Q582*'03_가중치민감도'!$C$5+'01_원자료'!R582*'03_가중치민감도'!$D$5</f>
        <v>0.59728237674667883</v>
      </c>
      <c r="F585" s="17">
        <f>'01_원자료'!P582*'03_가중치민감도'!$B$6+'01_원자료'!Q582*'03_가중치민감도'!$C$6+'01_원자료'!R582*'03_가중치민감도'!$D$6</f>
        <v>0.5052618210493699</v>
      </c>
      <c r="G585" s="17">
        <f>'01_원자료'!P582*'03_가중치민감도'!$B$7+'01_원자료'!Q582*'03_가중치민감도'!$C$7+'01_원자료'!R582*'03_가중치민감도'!$D$7</f>
        <v>0.60419221477969476</v>
      </c>
      <c r="H585" s="17">
        <f>'01_원자료'!P582*'03_가중치민감도'!$B$8+'01_원자료'!Q582*'03_가중치민감도'!$C$8+'01_원자료'!R582*'03_가중치민감도'!$D$8</f>
        <v>0.56273318658159943</v>
      </c>
      <c r="I585" s="17">
        <f>'01_원자료'!P582*'03_가중치민감도'!$B$9+'01_원자료'!Q582*'03_가중치민감도'!$C$9+'01_원자료'!R582*'03_가중치민감도'!$D$9</f>
        <v>0.53363206027080035</v>
      </c>
      <c r="J585" s="17">
        <f>'01_원자료'!P582*'03_가중치민감도'!$B$10+'01_원자료'!Q582*'03_가중치민감도'!$C$10+'01_원자료'!R582*'03_가중치민감도'!$D$10</f>
        <v>0.67548325637795603</v>
      </c>
      <c r="K585" s="31">
        <f t="shared" si="54"/>
        <v>384</v>
      </c>
      <c r="L585" s="31">
        <f t="shared" si="55"/>
        <v>392</v>
      </c>
      <c r="M585" s="31">
        <f t="shared" si="56"/>
        <v>384</v>
      </c>
      <c r="N585" s="31">
        <f t="shared" si="57"/>
        <v>378</v>
      </c>
      <c r="O585" s="31">
        <f t="shared" si="58"/>
        <v>387</v>
      </c>
      <c r="P585" s="31">
        <f t="shared" si="59"/>
        <v>373</v>
      </c>
    </row>
    <row r="586" spans="1:16">
      <c r="A586" s="2" t="str">
        <f>'01_원자료'!A583</f>
        <v>RPT-08</v>
      </c>
      <c r="B586" s="2" t="str">
        <f>'01_원자료'!B583</f>
        <v>mistral</v>
      </c>
      <c r="C586" s="2" t="str">
        <f>'01_원자료'!C583</f>
        <v>qwen</v>
      </c>
      <c r="E586" s="17">
        <f>'01_원자료'!P583*'03_가중치민감도'!$B$5+'01_원자료'!Q583*'03_가중치민감도'!$C$5+'01_원자료'!R583*'03_가중치민감도'!$D$5</f>
        <v>0.69013820161017991</v>
      </c>
      <c r="F586" s="17">
        <f>'01_원자료'!P583*'03_가중치민감도'!$B$6+'01_원자료'!Q583*'03_가중치민감도'!$C$6+'01_원자료'!R583*'03_가중치민감도'!$D$6</f>
        <v>0.60033711623938601</v>
      </c>
      <c r="G586" s="17">
        <f>'01_원자료'!P583*'03_가중치민감도'!$B$7+'01_원자료'!Q583*'03_가중치민감도'!$C$7+'01_원자료'!R583*'03_가중치민감도'!$D$7</f>
        <v>0.69064921381911049</v>
      </c>
      <c r="H586" s="17">
        <f>'01_원자료'!P583*'03_가중치민감도'!$B$8+'01_원자료'!Q583*'03_가중치민감도'!$C$8+'01_원자료'!R583*'03_가중치민감도'!$D$8</f>
        <v>0.68758314056552705</v>
      </c>
      <c r="I586" s="17">
        <f>'01_원자료'!P583*'03_가중치민감도'!$B$9+'01_원자료'!Q583*'03_가중치민감도'!$C$9+'01_원자료'!R583*'03_가중치민감도'!$D$9</f>
        <v>0.63010047396000646</v>
      </c>
      <c r="J586" s="17">
        <f>'01_원자료'!P583*'03_가중치민감도'!$B$10+'01_원자료'!Q583*'03_가중치민감도'!$C$10+'01_원자료'!R583*'03_가중치민감도'!$D$10</f>
        <v>0.77891726256311267</v>
      </c>
      <c r="K586" s="31">
        <f t="shared" si="54"/>
        <v>787</v>
      </c>
      <c r="L586" s="31">
        <f t="shared" si="55"/>
        <v>814</v>
      </c>
      <c r="M586" s="31">
        <f t="shared" si="56"/>
        <v>799</v>
      </c>
      <c r="N586" s="31">
        <f t="shared" si="57"/>
        <v>734</v>
      </c>
      <c r="O586" s="31">
        <f t="shared" si="58"/>
        <v>793</v>
      </c>
      <c r="P586" s="31">
        <f t="shared" si="59"/>
        <v>751</v>
      </c>
    </row>
    <row r="587" spans="1:16">
      <c r="A587" s="2" t="str">
        <f>'01_원자료'!A584</f>
        <v>RPT-08</v>
      </c>
      <c r="B587" s="2" t="str">
        <f>'01_원자료'!B584</f>
        <v>qwen3_6</v>
      </c>
      <c r="C587" s="2" t="str">
        <f>'01_원자료'!C584</f>
        <v>gemma</v>
      </c>
      <c r="E587" s="17">
        <f>'01_원자료'!P584*'03_가중치민감도'!$B$5+'01_원자료'!Q584*'03_가중치민감도'!$C$5+'01_원자료'!R584*'03_가중치민감도'!$D$5</f>
        <v>0.73320248588180237</v>
      </c>
      <c r="F587" s="17">
        <f>'01_원자료'!P584*'03_가중치민감도'!$B$6+'01_원자료'!Q584*'03_가중치민감도'!$C$6+'01_원자료'!R584*'03_가중치민감도'!$D$6</f>
        <v>0.61949122039344584</v>
      </c>
      <c r="G587" s="17">
        <f>'01_원자료'!P584*'03_가중치민감도'!$B$7+'01_원자료'!Q584*'03_가중치민감도'!$C$7+'01_원자료'!R584*'03_가중치민감도'!$D$7</f>
        <v>0.72535616730872032</v>
      </c>
      <c r="H587" s="17">
        <f>'01_원자료'!P584*'03_가중치민감도'!$B$8+'01_원자료'!Q584*'03_가중치민감도'!$C$8+'01_원자료'!R584*'03_가중치민감도'!$D$8</f>
        <v>0.77243407874721293</v>
      </c>
      <c r="I587" s="17">
        <f>'01_원자료'!P584*'03_가중치민감도'!$B$9+'01_원자료'!Q584*'03_가중치민감도'!$C$9+'01_원자료'!R584*'03_가중치민감도'!$D$9</f>
        <v>0.66001041508059144</v>
      </c>
      <c r="J587" s="17">
        <f>'01_원자료'!P584*'03_가중치민감도'!$B$10+'01_원자료'!Q584*'03_가중치민감도'!$C$10+'01_원자료'!R584*'03_가중치민감도'!$D$10</f>
        <v>0.8626063885163231</v>
      </c>
      <c r="K587" s="31">
        <f t="shared" si="54"/>
        <v>911</v>
      </c>
      <c r="L587" s="31">
        <f t="shared" si="55"/>
        <v>891</v>
      </c>
      <c r="M587" s="31">
        <f t="shared" si="56"/>
        <v>910</v>
      </c>
      <c r="N587" s="31">
        <f t="shared" si="57"/>
        <v>911</v>
      </c>
      <c r="O587" s="31">
        <f t="shared" si="58"/>
        <v>905</v>
      </c>
      <c r="P587" s="31">
        <f t="shared" si="59"/>
        <v>924</v>
      </c>
    </row>
    <row r="588" spans="1:16">
      <c r="A588" s="2" t="str">
        <f>'01_원자료'!A585</f>
        <v>RPT-08</v>
      </c>
      <c r="B588" s="2" t="str">
        <f>'01_원자료'!B585</f>
        <v>qwen3_6</v>
      </c>
      <c r="C588" s="2" t="str">
        <f>'01_원자료'!C585</f>
        <v>ministral</v>
      </c>
      <c r="E588" s="17">
        <f>'01_원자료'!P585*'03_가중치민감도'!$B$5+'01_원자료'!Q585*'03_가중치민감도'!$C$5+'01_원자료'!R585*'03_가중치민감도'!$D$5</f>
        <v>0.57529882687896972</v>
      </c>
      <c r="F588" s="17">
        <f>'01_원자료'!P585*'03_가중치민감도'!$B$6+'01_원자료'!Q585*'03_가중치민감도'!$C$6+'01_원자료'!R585*'03_가중치민감도'!$D$6</f>
        <v>0.48622770368150925</v>
      </c>
      <c r="G588" s="17">
        <f>'01_원자료'!P585*'03_가중치민감도'!$B$7+'01_원자료'!Q585*'03_가중치민감도'!$C$7+'01_원자료'!R585*'03_가중치민감도'!$D$7</f>
        <v>0.58066843892262354</v>
      </c>
      <c r="H588" s="17">
        <f>'01_원자료'!P585*'03_가중치민감도'!$B$8+'01_원자료'!Q585*'03_가중치민감도'!$C$8+'01_원자료'!R585*'03_가중치민감도'!$D$8</f>
        <v>0.54845076666070025</v>
      </c>
      <c r="I588" s="17">
        <f>'01_원자료'!P585*'03_가중치민감도'!$B$9+'01_원자료'!Q585*'03_가중치민감도'!$C$9+'01_원자료'!R585*'03_가중치민감도'!$D$9</f>
        <v>0.5141282073994442</v>
      </c>
      <c r="J588" s="17">
        <f>'01_원자료'!P585*'03_가중치민감도'!$B$10+'01_원자료'!Q585*'03_가중치민감도'!$C$10+'01_원자료'!R585*'03_가중치민감도'!$D$10</f>
        <v>0.65363072598912231</v>
      </c>
      <c r="K588" s="31">
        <f t="shared" si="54"/>
        <v>308</v>
      </c>
      <c r="L588" s="31">
        <f t="shared" si="55"/>
        <v>303</v>
      </c>
      <c r="M588" s="31">
        <f t="shared" si="56"/>
        <v>293</v>
      </c>
      <c r="N588" s="31">
        <f t="shared" si="57"/>
        <v>333</v>
      </c>
      <c r="O588" s="31">
        <f t="shared" si="58"/>
        <v>306</v>
      </c>
      <c r="P588" s="31">
        <f t="shared" si="59"/>
        <v>316</v>
      </c>
    </row>
    <row r="589" spans="1:16">
      <c r="A589" s="2" t="str">
        <f>'01_원자료'!A586</f>
        <v>RPT-08</v>
      </c>
      <c r="B589" s="2" t="str">
        <f>'01_원자료'!B586</f>
        <v>qwen3_6</v>
      </c>
      <c r="C589" s="2" t="str">
        <f>'01_원자료'!C586</f>
        <v>qwen</v>
      </c>
      <c r="E589" s="17">
        <f>'01_원자료'!P586*'03_가중치민감도'!$B$5+'01_원자료'!Q586*'03_가중치민감도'!$C$5+'01_원자료'!R586*'03_가중치민감도'!$D$5</f>
        <v>0.7387290521318336</v>
      </c>
      <c r="F589" s="17">
        <f>'01_원자료'!P586*'03_가중치민감도'!$B$6+'01_원자료'!Q586*'03_가중치민감도'!$C$6+'01_원자료'!R586*'03_가중치민감도'!$D$6</f>
        <v>0.63598846464788927</v>
      </c>
      <c r="G589" s="17">
        <f>'01_원자료'!P586*'03_가중치민감도'!$B$7+'01_원자료'!Q586*'03_가중치민감도'!$C$7+'01_원자료'!R586*'03_가중치민감도'!$D$7</f>
        <v>0.73042905757921972</v>
      </c>
      <c r="H589" s="17">
        <f>'01_원자료'!P586*'03_가중치민감도'!$B$8+'01_원자료'!Q586*'03_가중치민감도'!$C$8+'01_원자료'!R586*'03_가중치민감도'!$D$8</f>
        <v>0.78022902489490287</v>
      </c>
      <c r="I589" s="17">
        <f>'01_원자료'!P586*'03_가중치민감도'!$B$9+'01_원자료'!Q586*'03_가중치민감도'!$C$9+'01_원자료'!R586*'03_가중치민감도'!$D$9</f>
        <v>0.67300199199340804</v>
      </c>
      <c r="J589" s="17">
        <f>'01_원자료'!P586*'03_가중치민감도'!$B$10+'01_원자료'!Q586*'03_가중치민감도'!$C$10+'01_원자료'!R586*'03_가중치민감도'!$D$10</f>
        <v>0.85806962872100567</v>
      </c>
      <c r="K589" s="31">
        <f t="shared" si="54"/>
        <v>922</v>
      </c>
      <c r="L589" s="31">
        <f t="shared" si="55"/>
        <v>934</v>
      </c>
      <c r="M589" s="31">
        <f t="shared" si="56"/>
        <v>922</v>
      </c>
      <c r="N589" s="31">
        <f t="shared" si="57"/>
        <v>937</v>
      </c>
      <c r="O589" s="31">
        <f t="shared" si="58"/>
        <v>935</v>
      </c>
      <c r="P589" s="31">
        <f t="shared" si="59"/>
        <v>909</v>
      </c>
    </row>
    <row r="590" spans="1:16">
      <c r="A590" s="2" t="str">
        <f>'01_원자료'!A587</f>
        <v>RPT-09</v>
      </c>
      <c r="B590" s="2" t="str">
        <f>'01_원자료'!B587</f>
        <v>chatgpt</v>
      </c>
      <c r="C590" s="2" t="str">
        <f>'01_원자료'!C587</f>
        <v>gemma</v>
      </c>
      <c r="E590" s="17">
        <f>'01_원자료'!P587*'03_가중치민감도'!$B$5+'01_원자료'!Q587*'03_가중치민감도'!$C$5+'01_원자료'!R587*'03_가중치민감도'!$D$5</f>
        <v>0.54778480500239279</v>
      </c>
      <c r="F590" s="17">
        <f>'01_원자료'!P587*'03_가중치민감도'!$B$6+'01_원자료'!Q587*'03_가중치민감도'!$C$6+'01_원자료'!R587*'03_가중치민감도'!$D$6</f>
        <v>0.46159627088412503</v>
      </c>
      <c r="G590" s="17">
        <f>'01_원자료'!P587*'03_가중치민감도'!$B$7+'01_원자료'!Q587*'03_가중치민감도'!$C$7+'01_원자료'!R587*'03_가중치민감도'!$D$7</f>
        <v>0.5525982871174776</v>
      </c>
      <c r="H590" s="17">
        <f>'01_원자료'!P587*'03_가중치민감도'!$B$8+'01_원자료'!Q587*'03_가중치민감도'!$C$8+'01_원자료'!R587*'03_가중치민감도'!$D$8</f>
        <v>0.52371739442696907</v>
      </c>
      <c r="I590" s="17">
        <f>'01_원자료'!P587*'03_가중치민감도'!$B$9+'01_원자료'!Q587*'03_가중치민감도'!$C$9+'01_원자료'!R587*'03_가중치민감도'!$D$9</f>
        <v>0.48872128821851879</v>
      </c>
      <c r="J590" s="17">
        <f>'01_원자료'!P587*'03_가중치민감도'!$B$10+'01_원자료'!Q587*'03_가중치민감도'!$C$10+'01_원자료'!R587*'03_가중치민감도'!$D$10</f>
        <v>0.62434637489049116</v>
      </c>
      <c r="K590" s="31">
        <f t="shared" si="54"/>
        <v>194</v>
      </c>
      <c r="L590" s="31">
        <f t="shared" si="55"/>
        <v>183</v>
      </c>
      <c r="M590" s="31">
        <f t="shared" si="56"/>
        <v>171</v>
      </c>
      <c r="N590" s="31">
        <f t="shared" si="57"/>
        <v>265</v>
      </c>
      <c r="O590" s="31">
        <f t="shared" si="58"/>
        <v>196</v>
      </c>
      <c r="P590" s="31">
        <f t="shared" si="59"/>
        <v>252</v>
      </c>
    </row>
    <row r="591" spans="1:16">
      <c r="A591" s="2" t="str">
        <f>'01_원자료'!A588</f>
        <v>RPT-09</v>
      </c>
      <c r="B591" s="2" t="str">
        <f>'01_원자료'!B588</f>
        <v>chatgpt</v>
      </c>
      <c r="C591" s="2" t="str">
        <f>'01_원자료'!C588</f>
        <v>ministral</v>
      </c>
      <c r="E591" s="17">
        <f>'01_원자료'!P588*'03_가중치민감도'!$B$5+'01_원자료'!Q588*'03_가중치민감도'!$C$5+'01_원자료'!R588*'03_가중치민감도'!$D$5</f>
        <v>0.54134372278885645</v>
      </c>
      <c r="F591" s="17">
        <f>'01_원자료'!P588*'03_가중치민감도'!$B$6+'01_원자료'!Q588*'03_가중치민감도'!$C$6+'01_원자료'!R588*'03_가중치민감도'!$D$6</f>
        <v>0.45934878662163503</v>
      </c>
      <c r="G591" s="17">
        <f>'01_원자료'!P588*'03_가중치민감도'!$B$7+'01_원자료'!Q588*'03_가중치민감도'!$C$7+'01_원자료'!R588*'03_가중치민감도'!$D$7</f>
        <v>0.55050932311279988</v>
      </c>
      <c r="H591" s="17">
        <f>'01_원자료'!P588*'03_가중치민감도'!$B$8+'01_원자료'!Q588*'03_가중치민감도'!$C$8+'01_원자료'!R588*'03_가중치민감도'!$D$8</f>
        <v>0.495515721169139</v>
      </c>
      <c r="I591" s="17">
        <f>'01_원자료'!P588*'03_가중치민감도'!$B$9+'01_원자료'!Q588*'03_가중치민감도'!$C$9+'01_원자료'!R588*'03_가중치민감도'!$D$9</f>
        <v>0.48362523190272722</v>
      </c>
      <c r="J591" s="17">
        <f>'01_원자료'!P588*'03_가중치민감도'!$B$10+'01_원자료'!Q588*'03_가중치민감도'!$C$10+'01_원자료'!R588*'03_가중치민감도'!$D$10</f>
        <v>0.6050074583081908</v>
      </c>
      <c r="K591" s="31">
        <f t="shared" si="54"/>
        <v>175</v>
      </c>
      <c r="L591" s="31">
        <f t="shared" si="55"/>
        <v>174</v>
      </c>
      <c r="M591" s="31">
        <f t="shared" si="56"/>
        <v>161</v>
      </c>
      <c r="N591" s="31">
        <f t="shared" si="57"/>
        <v>216</v>
      </c>
      <c r="O591" s="31">
        <f t="shared" si="58"/>
        <v>173</v>
      </c>
      <c r="P591" s="31">
        <f t="shared" si="59"/>
        <v>201</v>
      </c>
    </row>
    <row r="592" spans="1:16">
      <c r="A592" s="2" t="str">
        <f>'01_원자료'!A589</f>
        <v>RPT-09</v>
      </c>
      <c r="B592" s="2" t="str">
        <f>'01_원자료'!B589</f>
        <v>chatgpt</v>
      </c>
      <c r="C592" s="2" t="str">
        <f>'01_원자료'!C589</f>
        <v>qwen</v>
      </c>
      <c r="E592" s="17">
        <f>'01_원자료'!P589*'03_가중치민감도'!$B$5+'01_원자료'!Q589*'03_가중치민감도'!$C$5+'01_원자료'!R589*'03_가중치민감도'!$D$5</f>
        <v>0.57144499540498983</v>
      </c>
      <c r="F592" s="17">
        <f>'01_원자료'!P589*'03_가중치민감도'!$B$6+'01_원자료'!Q589*'03_가중치민감도'!$C$6+'01_원자료'!R589*'03_가중치민감도'!$D$6</f>
        <v>0.49728885672434753</v>
      </c>
      <c r="G592" s="17">
        <f>'01_원자료'!P589*'03_가중치민감도'!$B$7+'01_원자료'!Q589*'03_가중치민감도'!$C$7+'01_원자료'!R589*'03_가중치민감도'!$D$7</f>
        <v>0.57747336517410897</v>
      </c>
      <c r="H592" s="17">
        <f>'01_원자료'!P589*'03_가중치민감도'!$B$8+'01_원자료'!Q589*'03_가중치민감도'!$C$8+'01_원자료'!R589*'03_가중치민감도'!$D$8</f>
        <v>0.54130314655939427</v>
      </c>
      <c r="I592" s="17">
        <f>'01_원자료'!P589*'03_가중치민감도'!$B$9+'01_원자료'!Q589*'03_가중치민감도'!$C$9+'01_원자료'!R589*'03_가중치민감도'!$D$9</f>
        <v>0.5199981130281881</v>
      </c>
      <c r="J592" s="17">
        <f>'01_원자료'!P589*'03_가중치민감도'!$B$10+'01_원자료'!Q589*'03_가중치민감도'!$C$10+'01_원자료'!R589*'03_가중치민감도'!$D$10</f>
        <v>0.63354439454739397</v>
      </c>
      <c r="K592" s="31">
        <f t="shared" si="54"/>
        <v>292</v>
      </c>
      <c r="L592" s="31">
        <f t="shared" si="55"/>
        <v>350</v>
      </c>
      <c r="M592" s="31">
        <f t="shared" si="56"/>
        <v>282</v>
      </c>
      <c r="N592" s="31">
        <f t="shared" si="57"/>
        <v>308</v>
      </c>
      <c r="O592" s="31">
        <f t="shared" si="58"/>
        <v>326</v>
      </c>
      <c r="P592" s="31">
        <f t="shared" si="59"/>
        <v>273</v>
      </c>
    </row>
    <row r="593" spans="1:16">
      <c r="A593" s="2" t="str">
        <f>'01_원자료'!A590</f>
        <v>RPT-09</v>
      </c>
      <c r="B593" s="2" t="str">
        <f>'01_원자료'!B590</f>
        <v>claude</v>
      </c>
      <c r="C593" s="2" t="str">
        <f>'01_원자료'!C590</f>
        <v>gemma</v>
      </c>
      <c r="E593" s="17">
        <f>'01_원자료'!P590*'03_가중치민감도'!$B$5+'01_원자료'!Q590*'03_가중치민감도'!$C$5+'01_원자료'!R590*'03_가중치민감도'!$D$5</f>
        <v>0.61511868095413713</v>
      </c>
      <c r="F593" s="17">
        <f>'01_원자료'!P590*'03_가중치민감도'!$B$6+'01_원자료'!Q590*'03_가중치민감도'!$C$6+'01_원자료'!R590*'03_가중치민감도'!$D$6</f>
        <v>0.51104819277742453</v>
      </c>
      <c r="G593" s="17">
        <f>'01_원자료'!P590*'03_가중치민감도'!$B$7+'01_원자료'!Q590*'03_가중치민감도'!$C$7+'01_원자료'!R590*'03_가중치민감도'!$D$7</f>
        <v>0.61704139597958618</v>
      </c>
      <c r="H593" s="17">
        <f>'01_원자료'!P590*'03_가중치민감도'!$B$8+'01_원자료'!Q590*'03_가중치민감도'!$C$8+'01_원자료'!R590*'03_가중치민감도'!$D$8</f>
        <v>0.60550510582689254</v>
      </c>
      <c r="I593" s="17">
        <f>'01_원자료'!P590*'03_가중치민감도'!$B$9+'01_원자료'!Q590*'03_가중치민감도'!$C$9+'01_원자료'!R590*'03_가중치민감도'!$D$9</f>
        <v>0.54509745049451186</v>
      </c>
      <c r="J593" s="17">
        <f>'01_원자료'!P590*'03_가중치민감도'!$B$10+'01_원자료'!Q590*'03_가중치민감도'!$C$10+'01_원자료'!R590*'03_가중치민감도'!$D$10</f>
        <v>0.71534373907995197</v>
      </c>
      <c r="K593" s="31">
        <f t="shared" si="54"/>
        <v>462</v>
      </c>
      <c r="L593" s="31">
        <f t="shared" si="55"/>
        <v>418</v>
      </c>
      <c r="M593" s="31">
        <f t="shared" si="56"/>
        <v>444</v>
      </c>
      <c r="N593" s="31">
        <f t="shared" si="57"/>
        <v>508</v>
      </c>
      <c r="O593" s="31">
        <f t="shared" si="58"/>
        <v>439</v>
      </c>
      <c r="P593" s="31">
        <f t="shared" si="59"/>
        <v>522</v>
      </c>
    </row>
    <row r="594" spans="1:16">
      <c r="A594" s="2" t="str">
        <f>'01_원자료'!A591</f>
        <v>RPT-09</v>
      </c>
      <c r="B594" s="2" t="str">
        <f>'01_원자료'!B591</f>
        <v>claude</v>
      </c>
      <c r="C594" s="2" t="str">
        <f>'01_원자료'!C591</f>
        <v>ministral</v>
      </c>
      <c r="E594" s="17">
        <f>'01_원자료'!P591*'03_가중치민감도'!$B$5+'01_원자료'!Q591*'03_가중치민감도'!$C$5+'01_원자료'!R591*'03_가중치민감도'!$D$5</f>
        <v>0.63687771996159515</v>
      </c>
      <c r="F594" s="17">
        <f>'01_원자료'!P591*'03_가중치민감도'!$B$6+'01_원자료'!Q591*'03_가중치민감도'!$C$6+'01_원자료'!R591*'03_가중치민감도'!$D$6</f>
        <v>0.54347582578104214</v>
      </c>
      <c r="G594" s="17">
        <f>'01_원자료'!P591*'03_가중치민감도'!$B$7+'01_원자료'!Q591*'03_가중치민감도'!$C$7+'01_원자료'!R591*'03_가중치민감도'!$D$7</f>
        <v>0.63518771765433846</v>
      </c>
      <c r="H594" s="17">
        <f>'01_원자료'!P591*'03_가중치민감도'!$B$8+'01_원자료'!Q591*'03_가중치민감도'!$C$8+'01_원자료'!R591*'03_가중치민감도'!$D$8</f>
        <v>0.64532773149787892</v>
      </c>
      <c r="I594" s="17">
        <f>'01_원자료'!P591*'03_가중치민감도'!$B$9+'01_원자료'!Q591*'03_가중치민감도'!$C$9+'01_원자료'!R591*'03_가중치민감도'!$D$9</f>
        <v>0.57517312461031134</v>
      </c>
      <c r="J594" s="17">
        <f>'01_원자료'!P591*'03_가중치민감도'!$B$10+'01_원자료'!Q591*'03_가중치민감도'!$C$10+'01_원자료'!R591*'03_가중치민감도'!$D$10</f>
        <v>0.73365961875666175</v>
      </c>
      <c r="K594" s="31">
        <f t="shared" si="54"/>
        <v>567</v>
      </c>
      <c r="L594" s="31">
        <f t="shared" si="55"/>
        <v>555</v>
      </c>
      <c r="M594" s="31">
        <f t="shared" si="56"/>
        <v>538</v>
      </c>
      <c r="N594" s="31">
        <f t="shared" si="57"/>
        <v>630</v>
      </c>
      <c r="O594" s="31">
        <f t="shared" si="58"/>
        <v>565</v>
      </c>
      <c r="P594" s="31">
        <f t="shared" si="59"/>
        <v>598</v>
      </c>
    </row>
    <row r="595" spans="1:16">
      <c r="A595" s="2" t="str">
        <f>'01_원자료'!A592</f>
        <v>RPT-09</v>
      </c>
      <c r="B595" s="2" t="str">
        <f>'01_원자료'!B592</f>
        <v>claude</v>
      </c>
      <c r="C595" s="2" t="str">
        <f>'01_원자료'!C592</f>
        <v>qwen</v>
      </c>
      <c r="E595" s="17">
        <f>'01_원자료'!P592*'03_가중치민감도'!$B$5+'01_원자료'!Q592*'03_가중치민감도'!$C$5+'01_원자료'!R592*'03_가중치민감도'!$D$5</f>
        <v>0.61144762047024281</v>
      </c>
      <c r="F595" s="17">
        <f>'01_원자료'!P592*'03_가중치민감도'!$B$6+'01_원자료'!Q592*'03_가중치민감도'!$C$6+'01_원자료'!R592*'03_가중치민감도'!$D$6</f>
        <v>0.53122312387854298</v>
      </c>
      <c r="G595" s="17">
        <f>'01_원자료'!P592*'03_가중치민감도'!$B$7+'01_원자료'!Q592*'03_가중치민감도'!$C$7+'01_원자료'!R592*'03_가중치민감도'!$D$7</f>
        <v>0.61741986444093833</v>
      </c>
      <c r="H595" s="17">
        <f>'01_원자료'!P592*'03_가중치민감도'!$B$8+'01_원자료'!Q592*'03_가중치민감도'!$C$8+'01_원자료'!R592*'03_가중치민감도'!$D$8</f>
        <v>0.58158640061676525</v>
      </c>
      <c r="I595" s="17">
        <f>'01_원자료'!P592*'03_가중치민감도'!$B$9+'01_원자료'!Q592*'03_가중치민감도'!$C$9+'01_원자료'!R592*'03_가중치민감도'!$D$9</f>
        <v>0.5559738747522105</v>
      </c>
      <c r="J595" s="17">
        <f>'01_원자료'!P592*'03_가중치민감도'!$B$10+'01_원자료'!Q592*'03_가중치민감도'!$C$10+'01_원자료'!R592*'03_가중치민감도'!$D$10</f>
        <v>0.6797276291205514</v>
      </c>
      <c r="K595" s="31">
        <f t="shared" si="54"/>
        <v>438</v>
      </c>
      <c r="L595" s="31">
        <f t="shared" si="55"/>
        <v>507</v>
      </c>
      <c r="M595" s="31">
        <f t="shared" si="56"/>
        <v>449</v>
      </c>
      <c r="N595" s="31">
        <f t="shared" si="57"/>
        <v>431</v>
      </c>
      <c r="O595" s="31">
        <f t="shared" si="58"/>
        <v>482</v>
      </c>
      <c r="P595" s="31">
        <f t="shared" si="59"/>
        <v>387</v>
      </c>
    </row>
    <row r="596" spans="1:16">
      <c r="A596" s="2" t="str">
        <f>'01_원자료'!A593</f>
        <v>RPT-09</v>
      </c>
      <c r="B596" s="2" t="str">
        <f>'01_원자료'!B593</f>
        <v>gemini</v>
      </c>
      <c r="C596" s="2" t="str">
        <f>'01_원자료'!C593</f>
        <v>gemma</v>
      </c>
      <c r="E596" s="17">
        <f>'01_원자료'!P593*'03_가중치민감도'!$B$5+'01_원자료'!Q593*'03_가중치민감도'!$C$5+'01_원자료'!R593*'03_가중치민감도'!$D$5</f>
        <v>0.73397338397536416</v>
      </c>
      <c r="F596" s="17">
        <f>'01_원자료'!P593*'03_가중치민감도'!$B$6+'01_원자료'!Q593*'03_가중치민감도'!$C$6+'01_원자료'!R593*'03_가중치민감도'!$D$6</f>
        <v>0.61404755672614364</v>
      </c>
      <c r="G596" s="17">
        <f>'01_원자료'!P593*'03_가중치민감도'!$B$7+'01_원자료'!Q593*'03_가중치민감도'!$C$7+'01_원자료'!R593*'03_가중치민감도'!$D$7</f>
        <v>0.72670918705681742</v>
      </c>
      <c r="H596" s="17">
        <f>'01_원자료'!P593*'03_가중치민감도'!$B$8+'01_원자료'!Q593*'03_가중치민감도'!$C$8+'01_원자료'!R593*'03_가중치민감도'!$D$8</f>
        <v>0.7702943685680973</v>
      </c>
      <c r="I596" s="17">
        <f>'01_원자료'!P593*'03_가중치민감도'!$B$9+'01_원자료'!Q593*'03_가중치민감도'!$C$9+'01_원자료'!R593*'03_가중치민감도'!$D$9</f>
        <v>0.65644423144873199</v>
      </c>
      <c r="J596" s="17">
        <f>'01_원자료'!P593*'03_가중치민감도'!$B$10+'01_원자료'!Q593*'03_가중치민감도'!$C$10+'01_원자료'!R593*'03_가중치민감도'!$D$10</f>
        <v>0.86842760506167782</v>
      </c>
      <c r="K596" s="31">
        <f t="shared" si="54"/>
        <v>912</v>
      </c>
      <c r="L596" s="31">
        <f t="shared" si="55"/>
        <v>871</v>
      </c>
      <c r="M596" s="31">
        <f t="shared" si="56"/>
        <v>915</v>
      </c>
      <c r="N596" s="31">
        <f t="shared" si="57"/>
        <v>900</v>
      </c>
      <c r="O596" s="31">
        <f t="shared" si="58"/>
        <v>893</v>
      </c>
      <c r="P596" s="31">
        <f t="shared" si="59"/>
        <v>942</v>
      </c>
    </row>
    <row r="597" spans="1:16">
      <c r="A597" s="2" t="str">
        <f>'01_원자료'!A594</f>
        <v>RPT-09</v>
      </c>
      <c r="B597" s="2" t="str">
        <f>'01_원자료'!B594</f>
        <v>gemini</v>
      </c>
      <c r="C597" s="2" t="str">
        <f>'01_원자료'!C594</f>
        <v>ministral</v>
      </c>
      <c r="E597" s="17">
        <f>'01_원자료'!P594*'03_가중치민감도'!$B$5+'01_원자료'!Q594*'03_가중치민감도'!$C$5+'01_원자료'!R594*'03_가중치민감도'!$D$5</f>
        <v>0.63553131800768303</v>
      </c>
      <c r="F597" s="17">
        <f>'01_원자료'!P594*'03_가중치민감도'!$B$6+'01_원자료'!Q594*'03_가중치민감도'!$C$6+'01_원자료'!R594*'03_가중치민감도'!$D$6</f>
        <v>0.52841061421164726</v>
      </c>
      <c r="G597" s="17">
        <f>'01_원자료'!P594*'03_가중치민감도'!$B$7+'01_원자료'!Q594*'03_가중치민감도'!$C$7+'01_원자료'!R594*'03_가중치민감도'!$D$7</f>
        <v>0.64381107333352505</v>
      </c>
      <c r="H597" s="17">
        <f>'01_원자료'!P594*'03_가중치민감도'!$B$8+'01_원자료'!Q594*'03_가중치민감도'!$C$8+'01_원자료'!R594*'03_가중치민감도'!$D$8</f>
        <v>0.59413254137847304</v>
      </c>
      <c r="I597" s="17">
        <f>'01_원자료'!P594*'03_가중치민감도'!$B$9+'01_원자료'!Q594*'03_가중치민감도'!$C$9+'01_원자료'!R594*'03_가중치민감도'!$D$9</f>
        <v>0.56135759703504462</v>
      </c>
      <c r="J597" s="17">
        <f>'01_원자료'!P594*'03_가중치민감도'!$B$10+'01_원자료'!Q594*'03_가중치민감도'!$C$10+'01_원자료'!R594*'03_가중치민감도'!$D$10</f>
        <v>0.72609251115203488</v>
      </c>
      <c r="K597" s="31">
        <f t="shared" si="54"/>
        <v>561</v>
      </c>
      <c r="L597" s="31">
        <f t="shared" si="55"/>
        <v>493</v>
      </c>
      <c r="M597" s="31">
        <f t="shared" si="56"/>
        <v>584</v>
      </c>
      <c r="N597" s="31">
        <f t="shared" si="57"/>
        <v>474</v>
      </c>
      <c r="O597" s="31">
        <f t="shared" si="58"/>
        <v>507</v>
      </c>
      <c r="P597" s="31">
        <f t="shared" si="59"/>
        <v>569</v>
      </c>
    </row>
    <row r="598" spans="1:16">
      <c r="A598" s="2" t="str">
        <f>'01_원자료'!A595</f>
        <v>RPT-09</v>
      </c>
      <c r="B598" s="2" t="str">
        <f>'01_원자료'!B595</f>
        <v>gemini</v>
      </c>
      <c r="C598" s="2" t="str">
        <f>'01_원자료'!C595</f>
        <v>qwen</v>
      </c>
      <c r="E598" s="17">
        <f>'01_원자료'!P595*'03_가중치민감도'!$B$5+'01_원자료'!Q595*'03_가중치민감도'!$C$5+'01_원자료'!R595*'03_가중치민감도'!$D$5</f>
        <v>0.6979087214949683</v>
      </c>
      <c r="F598" s="17">
        <f>'01_원자료'!P595*'03_가중치민감도'!$B$6+'01_원자료'!Q595*'03_가중치민감도'!$C$6+'01_원자료'!R595*'03_가중치민감도'!$D$6</f>
        <v>0.59985395335686487</v>
      </c>
      <c r="G598" s="17">
        <f>'01_원자료'!P595*'03_가중치민감도'!$B$7+'01_원자료'!Q595*'03_가중치민감도'!$C$7+'01_원자료'!R595*'03_가중치민감도'!$D$7</f>
        <v>0.69707250183224478</v>
      </c>
      <c r="H598" s="17">
        <f>'01_원자료'!P595*'03_가중치민감도'!$B$8+'01_원자료'!Q595*'03_가중치민감도'!$C$8+'01_원자료'!R595*'03_가중치민감도'!$D$8</f>
        <v>0.70208981980858609</v>
      </c>
      <c r="I598" s="17">
        <f>'01_원자료'!P595*'03_가중치민감도'!$B$9+'01_원자료'!Q595*'03_가중치민감도'!$C$9+'01_원자료'!R595*'03_가중치민감도'!$D$9</f>
        <v>0.63281761595713992</v>
      </c>
      <c r="J598" s="17">
        <f>'01_원자료'!P595*'03_가중치민감도'!$B$10+'01_원자료'!Q595*'03_가중치민감도'!$C$10+'01_원자료'!R595*'03_가중치민감도'!$D$10</f>
        <v>0.79763592895851887</v>
      </c>
      <c r="K598" s="31">
        <f t="shared" si="54"/>
        <v>819</v>
      </c>
      <c r="L598" s="31">
        <f t="shared" si="55"/>
        <v>810</v>
      </c>
      <c r="M598" s="31">
        <f t="shared" si="56"/>
        <v>822</v>
      </c>
      <c r="N598" s="31">
        <f t="shared" si="57"/>
        <v>794</v>
      </c>
      <c r="O598" s="31">
        <f t="shared" si="58"/>
        <v>807</v>
      </c>
      <c r="P598" s="31">
        <f t="shared" si="59"/>
        <v>805</v>
      </c>
    </row>
    <row r="599" spans="1:16">
      <c r="A599" s="2" t="str">
        <f>'01_원자료'!A596</f>
        <v>RPT-09</v>
      </c>
      <c r="B599" s="2" t="str">
        <f>'01_원자료'!B596</f>
        <v>mistral</v>
      </c>
      <c r="C599" s="2" t="str">
        <f>'01_원자료'!C596</f>
        <v>gemma</v>
      </c>
      <c r="E599" s="17">
        <f>'01_원자료'!P596*'03_가중치민감도'!$B$5+'01_원자료'!Q596*'03_가중치민감도'!$C$5+'01_원자료'!R596*'03_가중치민감도'!$D$5</f>
        <v>0.60490144113293731</v>
      </c>
      <c r="F599" s="17">
        <f>'01_원자료'!P596*'03_가중치민감도'!$B$6+'01_원자료'!Q596*'03_가중치민감도'!$C$6+'01_원자료'!R596*'03_가중치민감도'!$D$6</f>
        <v>0.50459990774797459</v>
      </c>
      <c r="G599" s="17">
        <f>'01_원자료'!P596*'03_가중치민감도'!$B$7+'01_원자료'!Q596*'03_가중치민감도'!$C$7+'01_원자료'!R596*'03_가중치민감도'!$D$7</f>
        <v>0.60629642205416212</v>
      </c>
      <c r="H599" s="17">
        <f>'01_원자료'!P596*'03_가중치민감도'!$B$8+'01_원자료'!Q596*'03_가중치민감도'!$C$8+'01_원자료'!R596*'03_가중치민감도'!$D$8</f>
        <v>0.59792653652681382</v>
      </c>
      <c r="I599" s="17">
        <f>'01_원자료'!P596*'03_가중치민감도'!$B$9+'01_원자료'!Q596*'03_가중치민감도'!$C$9+'01_원자료'!R596*'03_가중치민감도'!$D$9</f>
        <v>0.53756875856922004</v>
      </c>
      <c r="J599" s="17">
        <f>'01_원자료'!P596*'03_가중치민감도'!$B$10+'01_원자료'!Q596*'03_가중치민감도'!$C$10+'01_원자료'!R596*'03_가중치민감도'!$D$10</f>
        <v>0.70241301267545087</v>
      </c>
      <c r="K599" s="31">
        <f t="shared" si="54"/>
        <v>411</v>
      </c>
      <c r="L599" s="31">
        <f t="shared" si="55"/>
        <v>386</v>
      </c>
      <c r="M599" s="31">
        <f t="shared" si="56"/>
        <v>396</v>
      </c>
      <c r="N599" s="31">
        <f t="shared" si="57"/>
        <v>480</v>
      </c>
      <c r="O599" s="31">
        <f t="shared" si="58"/>
        <v>403</v>
      </c>
      <c r="P599" s="31">
        <f t="shared" si="59"/>
        <v>469</v>
      </c>
    </row>
    <row r="600" spans="1:16">
      <c r="A600" s="2" t="str">
        <f>'01_원자료'!A597</f>
        <v>RPT-09</v>
      </c>
      <c r="B600" s="2" t="str">
        <f>'01_원자료'!B597</f>
        <v>mistral</v>
      </c>
      <c r="C600" s="2" t="str">
        <f>'01_원자료'!C597</f>
        <v>ministral</v>
      </c>
      <c r="E600" s="17">
        <f>'01_원자료'!P597*'03_가중치민감도'!$B$5+'01_원자료'!Q597*'03_가중치민감도'!$C$5+'01_원자료'!R597*'03_가중치민감도'!$D$5</f>
        <v>0.65118133431592895</v>
      </c>
      <c r="F600" s="17">
        <f>'01_원자료'!P597*'03_가중치민감도'!$B$6+'01_원자료'!Q597*'03_가중치민감도'!$C$6+'01_원자료'!R597*'03_가중치민감도'!$D$6</f>
        <v>0.57081932490019982</v>
      </c>
      <c r="G600" s="17">
        <f>'01_원자료'!P597*'03_가중치민감도'!$B$7+'01_원자료'!Q597*'03_가중치민감도'!$C$7+'01_원자료'!R597*'03_가중치민감도'!$D$7</f>
        <v>0.65492434419002443</v>
      </c>
      <c r="H600" s="17">
        <f>'01_원자료'!P597*'03_가중치민감도'!$B$8+'01_원자료'!Q597*'03_가중치민감도'!$C$8+'01_원자료'!R597*'03_가중치민감도'!$D$8</f>
        <v>0.63246628494545121</v>
      </c>
      <c r="I600" s="17">
        <f>'01_원자료'!P597*'03_가중치민감도'!$B$9+'01_원자료'!Q597*'03_가중치민감도'!$C$9+'01_원자료'!R597*'03_가중치민감도'!$D$9</f>
        <v>0.59635899141407711</v>
      </c>
      <c r="J600" s="17">
        <f>'01_원자료'!P597*'03_가중치민감도'!$B$10+'01_원자료'!Q597*'03_가중치민감도'!$C$10+'01_원자료'!R597*'03_가중치민감도'!$D$10</f>
        <v>0.724057323983467</v>
      </c>
      <c r="K600" s="31">
        <f t="shared" si="54"/>
        <v>624</v>
      </c>
      <c r="L600" s="31">
        <f t="shared" si="55"/>
        <v>697</v>
      </c>
      <c r="M600" s="31">
        <f t="shared" si="56"/>
        <v>639</v>
      </c>
      <c r="N600" s="31">
        <f t="shared" si="57"/>
        <v>583</v>
      </c>
      <c r="O600" s="31">
        <f t="shared" si="58"/>
        <v>666</v>
      </c>
      <c r="P600" s="31">
        <f t="shared" si="59"/>
        <v>563</v>
      </c>
    </row>
    <row r="601" spans="1:16">
      <c r="A601" s="2" t="str">
        <f>'01_원자료'!A598</f>
        <v>RPT-09</v>
      </c>
      <c r="B601" s="2" t="str">
        <f>'01_원자료'!B598</f>
        <v>mistral</v>
      </c>
      <c r="C601" s="2" t="str">
        <f>'01_원자료'!C598</f>
        <v>qwen</v>
      </c>
      <c r="E601" s="17">
        <f>'01_원자료'!P598*'03_가중치민감도'!$B$5+'01_원자료'!Q598*'03_가중치민감도'!$C$5+'01_원자료'!R598*'03_가중치민감도'!$D$5</f>
        <v>0.61832156368867208</v>
      </c>
      <c r="F601" s="17">
        <f>'01_원자료'!P598*'03_가중치민감도'!$B$6+'01_원자료'!Q598*'03_가중치민감도'!$C$6+'01_원자료'!R598*'03_가중치민감도'!$D$6</f>
        <v>0.54228382009436904</v>
      </c>
      <c r="G601" s="17">
        <f>'01_원자료'!P598*'03_가중치민감도'!$B$7+'01_원자료'!Q598*'03_가중치민감도'!$C$7+'01_원자료'!R598*'03_가중치민감도'!$D$7</f>
        <v>0.6251440745048219</v>
      </c>
      <c r="H601" s="17">
        <f>'01_원자료'!P598*'03_가중치민감도'!$B$8+'01_원자료'!Q598*'03_가중치민감도'!$C$8+'01_원자료'!R598*'03_가중치민감도'!$D$8</f>
        <v>0.58420900960792299</v>
      </c>
      <c r="I601" s="17">
        <f>'01_원자료'!P598*'03_가중치민감도'!$B$9+'01_원자료'!Q598*'03_가중치민감도'!$C$9+'01_원자료'!R598*'03_가중치민감도'!$D$9</f>
        <v>0.56535556435375289</v>
      </c>
      <c r="J601" s="17">
        <f>'01_원자료'!P598*'03_가중치민감도'!$B$10+'01_원자료'!Q598*'03_가중치민감도'!$C$10+'01_원자료'!R598*'03_가중치민감도'!$D$10</f>
        <v>0.68071428565067549</v>
      </c>
      <c r="K601" s="31">
        <f t="shared" si="54"/>
        <v>482</v>
      </c>
      <c r="L601" s="31">
        <f t="shared" si="55"/>
        <v>551</v>
      </c>
      <c r="M601" s="31">
        <f t="shared" si="56"/>
        <v>488</v>
      </c>
      <c r="N601" s="31">
        <f t="shared" si="57"/>
        <v>443</v>
      </c>
      <c r="O601" s="31">
        <f t="shared" si="58"/>
        <v>528</v>
      </c>
      <c r="P601" s="31">
        <f t="shared" si="59"/>
        <v>392</v>
      </c>
    </row>
    <row r="602" spans="1:16">
      <c r="A602" s="2" t="str">
        <f>'01_원자료'!A599</f>
        <v>RPT-09</v>
      </c>
      <c r="B602" s="2" t="str">
        <f>'01_원자료'!B599</f>
        <v>qwen3_6</v>
      </c>
      <c r="C602" s="2" t="str">
        <f>'01_원자료'!C599</f>
        <v>gemma</v>
      </c>
      <c r="E602" s="17">
        <f>'01_원자료'!P599*'03_가중치민감도'!$B$5+'01_원자료'!Q599*'03_가중치민감도'!$C$5+'01_원자료'!R599*'03_가중치민감도'!$D$5</f>
        <v>0.71212161471360291</v>
      </c>
      <c r="F602" s="17">
        <f>'01_원자료'!P599*'03_가중치민감도'!$B$6+'01_원자료'!Q599*'03_가중치민감도'!$C$6+'01_원자료'!R599*'03_가중치민감도'!$D$6</f>
        <v>0.59929140427634309</v>
      </c>
      <c r="G602" s="17">
        <f>'01_원자료'!P599*'03_가중치민감도'!$B$7+'01_원자료'!Q599*'03_가중치민감도'!$C$7+'01_원자료'!R599*'03_가중치민감도'!$D$7</f>
        <v>0.70244513562224609</v>
      </c>
      <c r="H602" s="17">
        <f>'01_원자료'!P599*'03_가중치민감도'!$B$8+'01_원자료'!Q599*'03_가중치민감도'!$C$8+'01_원자료'!R599*'03_가중치민감도'!$D$8</f>
        <v>0.76050401017038682</v>
      </c>
      <c r="I602" s="17">
        <f>'01_원자료'!P599*'03_가중치민감도'!$B$9+'01_원자료'!Q599*'03_가중치민감도'!$C$9+'01_원자료'!R599*'03_가중치민감도'!$D$9</f>
        <v>0.64012696745254793</v>
      </c>
      <c r="J602" s="17">
        <f>'01_원자료'!P599*'03_가중치민감도'!$B$10+'01_원자료'!Q599*'03_가중치민감도'!$C$10+'01_원자료'!R599*'03_가중치민감도'!$D$10</f>
        <v>0.84430478333357639</v>
      </c>
      <c r="K602" s="31">
        <f t="shared" si="54"/>
        <v>851</v>
      </c>
      <c r="L602" s="31">
        <f t="shared" si="55"/>
        <v>806</v>
      </c>
      <c r="M602" s="31">
        <f t="shared" si="56"/>
        <v>842</v>
      </c>
      <c r="N602" s="31">
        <f t="shared" si="57"/>
        <v>868</v>
      </c>
      <c r="O602" s="31">
        <f t="shared" si="58"/>
        <v>839</v>
      </c>
      <c r="P602" s="31">
        <f t="shared" si="59"/>
        <v>871</v>
      </c>
    </row>
    <row r="603" spans="1:16">
      <c r="A603" s="2" t="str">
        <f>'01_원자료'!A600</f>
        <v>RPT-09</v>
      </c>
      <c r="B603" s="2" t="str">
        <f>'01_원자료'!B600</f>
        <v>qwen3_6</v>
      </c>
      <c r="C603" s="2" t="str">
        <f>'01_원자료'!C600</f>
        <v>ministral</v>
      </c>
      <c r="E603" s="17">
        <f>'01_원자료'!P600*'03_가중치민감도'!$B$5+'01_원자료'!Q600*'03_가중치민감도'!$C$5+'01_원자료'!R600*'03_가중치민감도'!$D$5</f>
        <v>0.61001692391206219</v>
      </c>
      <c r="F603" s="17">
        <f>'01_원자료'!P600*'03_가중치민감도'!$B$6+'01_원자료'!Q600*'03_가중치민감도'!$C$6+'01_원자료'!R600*'03_가중치민감도'!$D$6</f>
        <v>0.51421011402069916</v>
      </c>
      <c r="G603" s="17">
        <f>'01_원자료'!P600*'03_가중치민감도'!$B$7+'01_원자료'!Q600*'03_가중치민감도'!$C$7+'01_원자료'!R600*'03_가중치민감도'!$D$7</f>
        <v>0.61522765523787981</v>
      </c>
      <c r="H603" s="17">
        <f>'01_원자료'!P600*'03_가중치민감도'!$B$8+'01_원자료'!Q600*'03_가중치민감도'!$C$8+'01_원자료'!R600*'03_가중치민감도'!$D$8</f>
        <v>0.58396326728297454</v>
      </c>
      <c r="I603" s="17">
        <f>'01_원자료'!P600*'03_가중치민감도'!$B$9+'01_원자료'!Q600*'03_가중치민감도'!$C$9+'01_원자료'!R600*'03_가중치민감도'!$D$9</f>
        <v>0.54440880687588045</v>
      </c>
      <c r="J603" s="17">
        <f>'01_원자료'!P600*'03_가중치민감도'!$B$10+'01_원자료'!Q600*'03_가중치민감도'!$C$10+'01_원자료'!R600*'03_가중치민감도'!$D$10</f>
        <v>0.69540227115179021</v>
      </c>
      <c r="K603" s="31">
        <f t="shared" si="54"/>
        <v>430</v>
      </c>
      <c r="L603" s="31">
        <f t="shared" si="55"/>
        <v>435</v>
      </c>
      <c r="M603" s="31">
        <f t="shared" si="56"/>
        <v>439</v>
      </c>
      <c r="N603" s="31">
        <f t="shared" si="57"/>
        <v>440</v>
      </c>
      <c r="O603" s="31">
        <f t="shared" si="58"/>
        <v>431</v>
      </c>
      <c r="P603" s="31">
        <f t="shared" si="59"/>
        <v>442</v>
      </c>
    </row>
    <row r="604" spans="1:16">
      <c r="A604" s="2" t="str">
        <f>'01_원자료'!A601</f>
        <v>RPT-09</v>
      </c>
      <c r="B604" s="2" t="str">
        <f>'01_원자료'!B601</f>
        <v>qwen3_6</v>
      </c>
      <c r="C604" s="2" t="str">
        <f>'01_원자료'!C601</f>
        <v>qwen</v>
      </c>
      <c r="E604" s="17">
        <f>'01_원자료'!P601*'03_가중치민감도'!$B$5+'01_원자료'!Q601*'03_가중치민감도'!$C$5+'01_원자료'!R601*'03_가중치민감도'!$D$5</f>
        <v>0.7079829852052657</v>
      </c>
      <c r="F604" s="17">
        <f>'01_원자료'!P601*'03_가중치민감도'!$B$6+'01_원자료'!Q601*'03_가중치민감도'!$C$6+'01_원자료'!R601*'03_가중치민감도'!$D$6</f>
        <v>0.62709181125582547</v>
      </c>
      <c r="G604" s="17">
        <f>'01_원자료'!P601*'03_가중치민감도'!$B$7+'01_원자료'!Q601*'03_가중치민감도'!$C$7+'01_원자료'!R601*'03_가중치민감도'!$D$7</f>
        <v>0.70624714974280922</v>
      </c>
      <c r="H604" s="17">
        <f>'01_원자료'!P601*'03_가중치민감도'!$B$8+'01_원자료'!Q601*'03_가중치민감도'!$C$8+'01_원자료'!R601*'03_가중치민감도'!$D$8</f>
        <v>0.71666216251754855</v>
      </c>
      <c r="I604" s="17">
        <f>'01_원자료'!P601*'03_가중치민감도'!$B$9+'01_원자료'!Q601*'03_가중치민감도'!$C$9+'01_원자료'!R601*'03_가중치민감도'!$D$9</f>
        <v>0.65463414772645701</v>
      </c>
      <c r="J604" s="17">
        <f>'01_원자료'!P601*'03_가중치민감도'!$B$10+'01_원자료'!Q601*'03_가중치민감도'!$C$10+'01_원자료'!R601*'03_가중치민감도'!$D$10</f>
        <v>0.79234583007961923</v>
      </c>
      <c r="K604" s="31">
        <f t="shared" si="54"/>
        <v>838</v>
      </c>
      <c r="L604" s="31">
        <f t="shared" si="55"/>
        <v>917</v>
      </c>
      <c r="M604" s="31">
        <f t="shared" si="56"/>
        <v>851</v>
      </c>
      <c r="N604" s="31">
        <f t="shared" si="57"/>
        <v>822</v>
      </c>
      <c r="O604" s="31">
        <f t="shared" si="58"/>
        <v>887</v>
      </c>
      <c r="P604" s="31">
        <f t="shared" si="59"/>
        <v>794</v>
      </c>
    </row>
    <row r="605" spans="1:16">
      <c r="A605" s="2" t="str">
        <f>'01_원자료'!A602</f>
        <v>RPT-10</v>
      </c>
      <c r="B605" s="2" t="str">
        <f>'01_원자료'!B602</f>
        <v>chatgpt</v>
      </c>
      <c r="C605" s="2" t="str">
        <f>'01_원자료'!C602</f>
        <v>gemma</v>
      </c>
      <c r="E605" s="17">
        <f>'01_원자료'!P602*'03_가중치민감도'!$B$5+'01_원자료'!Q602*'03_가중치민감도'!$C$5+'01_원자료'!R602*'03_가중치민감도'!$D$5</f>
        <v>0.55530553994410659</v>
      </c>
      <c r="F605" s="17">
        <f>'01_원자료'!P602*'03_가중치민감도'!$B$6+'01_원자료'!Q602*'03_가중치민감도'!$C$6+'01_원자료'!R602*'03_가중치민감도'!$D$6</f>
        <v>0.48047672323601909</v>
      </c>
      <c r="G605" s="17">
        <f>'01_원자료'!P602*'03_가중치민감도'!$B$7+'01_원자료'!Q602*'03_가중치민감도'!$C$7+'01_원자료'!R602*'03_가중치민감도'!$D$7</f>
        <v>0.56174175430175122</v>
      </c>
      <c r="H605" s="17">
        <f>'01_원자료'!P602*'03_가중치민감도'!$B$8+'01_원자료'!Q602*'03_가중치민감도'!$C$8+'01_원자료'!R602*'03_가중치민감도'!$D$8</f>
        <v>0.52312446815588354</v>
      </c>
      <c r="I605" s="17">
        <f>'01_원자료'!P602*'03_가중치민감도'!$B$9+'01_원자료'!Q602*'03_가중치민감도'!$C$9+'01_원자료'!R602*'03_가중치민감도'!$D$9</f>
        <v>0.50327425735283282</v>
      </c>
      <c r="J605" s="17">
        <f>'01_원자료'!P602*'03_가중치민감도'!$B$10+'01_원자료'!Q602*'03_가중치민감도'!$C$10+'01_원자료'!R602*'03_가중치민감도'!$D$10</f>
        <v>0.61726192793690493</v>
      </c>
      <c r="K605" s="31">
        <f t="shared" si="54"/>
        <v>231</v>
      </c>
      <c r="L605" s="31">
        <f t="shared" si="55"/>
        <v>268</v>
      </c>
      <c r="M605" s="31">
        <f t="shared" si="56"/>
        <v>206</v>
      </c>
      <c r="N605" s="31">
        <f t="shared" si="57"/>
        <v>264</v>
      </c>
      <c r="O605" s="31">
        <f t="shared" si="58"/>
        <v>259</v>
      </c>
      <c r="P605" s="31">
        <f t="shared" si="59"/>
        <v>233</v>
      </c>
    </row>
    <row r="606" spans="1:16">
      <c r="A606" s="2" t="str">
        <f>'01_원자료'!A603</f>
        <v>RPT-10</v>
      </c>
      <c r="B606" s="2" t="str">
        <f>'01_원자료'!B603</f>
        <v>chatgpt</v>
      </c>
      <c r="C606" s="2" t="str">
        <f>'01_원자료'!C603</f>
        <v>ministral</v>
      </c>
      <c r="E606" s="17">
        <f>'01_원자료'!P603*'03_가중치민감도'!$B$5+'01_원자료'!Q603*'03_가중치민감도'!$C$5+'01_원자료'!R603*'03_가중치민감도'!$D$5</f>
        <v>0.48605985889027348</v>
      </c>
      <c r="F606" s="17">
        <f>'01_원자료'!P603*'03_가중치민감도'!$B$6+'01_원자료'!Q603*'03_가중치민감도'!$C$6+'01_원자료'!R603*'03_가중치민감도'!$D$6</f>
        <v>0.41076688383476001</v>
      </c>
      <c r="G606" s="17">
        <f>'01_원자료'!P603*'03_가중치민감도'!$B$7+'01_원자료'!Q603*'03_가중치민감도'!$C$7+'01_원자료'!R603*'03_가중치민감도'!$D$7</f>
        <v>0.50817921803558319</v>
      </c>
      <c r="H606" s="17">
        <f>'01_원자료'!P603*'03_가중치민감도'!$B$8+'01_원자료'!Q603*'03_가중치민감도'!$C$8+'01_원자료'!R603*'03_가중치민감도'!$D$8</f>
        <v>0.37546306316372535</v>
      </c>
      <c r="I606" s="17">
        <f>'01_원자료'!P603*'03_가중치민감도'!$B$9+'01_원자료'!Q603*'03_가중치민감도'!$C$9+'01_원자료'!R603*'03_가중치민감도'!$D$9</f>
        <v>0.42849142247149419</v>
      </c>
      <c r="J606" s="17">
        <f>'01_원자료'!P603*'03_가중치민감도'!$B$10+'01_원자료'!Q603*'03_가중치민감도'!$C$10+'01_원자료'!R603*'03_가중치민감도'!$D$10</f>
        <v>0.51711411565516774</v>
      </c>
      <c r="K606" s="31">
        <f t="shared" si="54"/>
        <v>22</v>
      </c>
      <c r="L606" s="31">
        <f t="shared" si="55"/>
        <v>32</v>
      </c>
      <c r="M606" s="31">
        <f t="shared" si="56"/>
        <v>26</v>
      </c>
      <c r="N606" s="31">
        <f t="shared" si="57"/>
        <v>14</v>
      </c>
      <c r="O606" s="31">
        <f t="shared" si="58"/>
        <v>29</v>
      </c>
      <c r="P606" s="31">
        <f t="shared" si="59"/>
        <v>17</v>
      </c>
    </row>
    <row r="607" spans="1:16">
      <c r="A607" s="2" t="str">
        <f>'01_원자료'!A604</f>
        <v>RPT-10</v>
      </c>
      <c r="B607" s="2" t="str">
        <f>'01_원자료'!B604</f>
        <v>chatgpt</v>
      </c>
      <c r="C607" s="2" t="str">
        <f>'01_원자료'!C604</f>
        <v>qwen</v>
      </c>
      <c r="E607" s="17">
        <f>'01_원자료'!P604*'03_가중치민감도'!$B$5+'01_원자료'!Q604*'03_가중치민감도'!$C$5+'01_원자료'!R604*'03_가중치민감도'!$D$5</f>
        <v>0.54273963444054441</v>
      </c>
      <c r="F607" s="17">
        <f>'01_원자료'!P604*'03_가중치민감도'!$B$6+'01_원자료'!Q604*'03_가중치민감도'!$C$6+'01_원자료'!R604*'03_가중치민감도'!$D$6</f>
        <v>0.46642619231512955</v>
      </c>
      <c r="G607" s="17">
        <f>'01_원자료'!P604*'03_가중치민감도'!$B$7+'01_원자료'!Q604*'03_가중치민감도'!$C$7+'01_원자료'!R604*'03_가중치민감도'!$D$7</f>
        <v>0.55357724981709289</v>
      </c>
      <c r="H607" s="17">
        <f>'01_원자료'!P604*'03_가중치민감도'!$B$8+'01_원자료'!Q604*'03_가중치민감도'!$C$8+'01_원자료'!R604*'03_가중치민감도'!$D$8</f>
        <v>0.488551557557802</v>
      </c>
      <c r="I607" s="17">
        <f>'01_원자료'!P604*'03_가중치민감도'!$B$9+'01_원자료'!Q604*'03_가중치민감도'!$C$9+'01_원자료'!R604*'03_가중치민감도'!$D$9</f>
        <v>0.48825146789808443</v>
      </c>
      <c r="J607" s="17">
        <f>'01_원자료'!P604*'03_가중치민감도'!$B$10+'01_원자료'!Q604*'03_가중치민감도'!$C$10+'01_원자료'!R604*'03_가중치민감도'!$D$10</f>
        <v>0.59737784581286224</v>
      </c>
      <c r="K607" s="31">
        <f t="shared" si="54"/>
        <v>177</v>
      </c>
      <c r="L607" s="31">
        <f t="shared" si="55"/>
        <v>206</v>
      </c>
      <c r="M607" s="31">
        <f t="shared" si="56"/>
        <v>176</v>
      </c>
      <c r="N607" s="31">
        <f t="shared" si="57"/>
        <v>192</v>
      </c>
      <c r="O607" s="31">
        <f t="shared" si="58"/>
        <v>192</v>
      </c>
      <c r="P607" s="31">
        <f t="shared" si="59"/>
        <v>177</v>
      </c>
    </row>
    <row r="608" spans="1:16">
      <c r="A608" s="2" t="str">
        <f>'01_원자료'!A605</f>
        <v>RPT-10</v>
      </c>
      <c r="B608" s="2" t="str">
        <f>'01_원자료'!B605</f>
        <v>claude</v>
      </c>
      <c r="C608" s="2" t="str">
        <f>'01_원자료'!C605</f>
        <v>gemma</v>
      </c>
      <c r="E608" s="17">
        <f>'01_원자료'!P605*'03_가중치민감도'!$B$5+'01_원자료'!Q605*'03_가중치민감도'!$C$5+'01_원자료'!R605*'03_가중치민감도'!$D$5</f>
        <v>0.59933193150049535</v>
      </c>
      <c r="F608" s="17">
        <f>'01_원자료'!P605*'03_가중치민감도'!$B$6+'01_원자료'!Q605*'03_가중치민감도'!$C$6+'01_원자료'!R605*'03_가중치민감도'!$D$6</f>
        <v>0.51366807374888723</v>
      </c>
      <c r="G608" s="17">
        <f>'01_원자료'!P605*'03_가중치민감도'!$B$7+'01_원자료'!Q605*'03_가중치민감도'!$C$7+'01_원자료'!R605*'03_가중치민감도'!$D$7</f>
        <v>0.60100108173862421</v>
      </c>
      <c r="H608" s="17">
        <f>'01_원자료'!P605*'03_가중치민감도'!$B$8+'01_원자료'!Q605*'03_가중치민감도'!$C$8+'01_원자료'!R605*'03_가중치민감도'!$D$8</f>
        <v>0.59098618030985128</v>
      </c>
      <c r="I608" s="17">
        <f>'01_원자료'!P605*'03_가중치민감도'!$B$9+'01_원자료'!Q605*'03_가중치민감도'!$C$9+'01_원자료'!R605*'03_가중치민감도'!$D$9</f>
        <v>0.54166630958671314</v>
      </c>
      <c r="J608" s="17">
        <f>'01_원자료'!P605*'03_가중치민감도'!$B$10+'01_원자료'!Q605*'03_가중치민감도'!$C$10+'01_원자료'!R605*'03_가중치민감도'!$D$10</f>
        <v>0.68165748877584587</v>
      </c>
      <c r="K608" s="31">
        <f t="shared" si="54"/>
        <v>389</v>
      </c>
      <c r="L608" s="31">
        <f t="shared" si="55"/>
        <v>431</v>
      </c>
      <c r="M608" s="31">
        <f t="shared" si="56"/>
        <v>367</v>
      </c>
      <c r="N608" s="31">
        <f t="shared" si="57"/>
        <v>465</v>
      </c>
      <c r="O608" s="31">
        <f t="shared" si="58"/>
        <v>423</v>
      </c>
      <c r="P608" s="31">
        <f t="shared" si="59"/>
        <v>396</v>
      </c>
    </row>
    <row r="609" spans="1:16">
      <c r="A609" s="2" t="str">
        <f>'01_원자료'!A606</f>
        <v>RPT-10</v>
      </c>
      <c r="B609" s="2" t="str">
        <f>'01_원자료'!B606</f>
        <v>claude</v>
      </c>
      <c r="C609" s="2" t="str">
        <f>'01_원자료'!C606</f>
        <v>ministral</v>
      </c>
      <c r="E609" s="17">
        <f>'01_원자료'!P606*'03_가중치민감도'!$B$5+'01_원자료'!Q606*'03_가중치민감도'!$C$5+'01_원자료'!R606*'03_가중치민감도'!$D$5</f>
        <v>0.50608923721668764</v>
      </c>
      <c r="F609" s="17">
        <f>'01_원자료'!P606*'03_가중치민감도'!$B$6+'01_원자료'!Q606*'03_가중치민감도'!$C$6+'01_원자료'!R606*'03_가중치민감도'!$D$6</f>
        <v>0.42866096076022431</v>
      </c>
      <c r="G609" s="17">
        <f>'01_원자료'!P606*'03_가중치민감도'!$B$7+'01_원자료'!Q606*'03_가중치민감도'!$C$7+'01_원자료'!R606*'03_가중치민감도'!$D$7</f>
        <v>0.52252075149513921</v>
      </c>
      <c r="H609" s="17">
        <f>'01_원자료'!P606*'03_가중치민감도'!$B$8+'01_원자료'!Q606*'03_가중치민감도'!$C$8+'01_원자료'!R606*'03_가중치민감도'!$D$8</f>
        <v>0.4239316658244302</v>
      </c>
      <c r="I609" s="17">
        <f>'01_원자료'!P606*'03_가중치민감도'!$B$9+'01_원자료'!Q606*'03_가중치민감도'!$C$9+'01_원자료'!R606*'03_가중치민감도'!$D$9</f>
        <v>0.44899321481956112</v>
      </c>
      <c r="J609" s="17">
        <f>'01_원자료'!P606*'03_가중치민감도'!$B$10+'01_원자료'!Q606*'03_가중치민감도'!$C$10+'01_원자료'!R606*'03_가중치민감도'!$D$10</f>
        <v>0.55065448511624804</v>
      </c>
      <c r="K609" s="31">
        <f t="shared" si="54"/>
        <v>59</v>
      </c>
      <c r="L609" s="31">
        <f t="shared" si="55"/>
        <v>66</v>
      </c>
      <c r="M609" s="31">
        <f t="shared" si="56"/>
        <v>54</v>
      </c>
      <c r="N609" s="31">
        <f t="shared" si="57"/>
        <v>94</v>
      </c>
      <c r="O609" s="31">
        <f t="shared" si="58"/>
        <v>60</v>
      </c>
      <c r="P609" s="31">
        <f t="shared" si="59"/>
        <v>69</v>
      </c>
    </row>
    <row r="610" spans="1:16">
      <c r="A610" s="2" t="str">
        <f>'01_원자료'!A607</f>
        <v>RPT-10</v>
      </c>
      <c r="B610" s="2" t="str">
        <f>'01_원자료'!B607</f>
        <v>claude</v>
      </c>
      <c r="C610" s="2" t="str">
        <f>'01_원자료'!C607</f>
        <v>qwen</v>
      </c>
      <c r="E610" s="17">
        <f>'01_원자료'!P607*'03_가중치민감도'!$B$5+'01_원자료'!Q607*'03_가중치민감도'!$C$5+'01_원자료'!R607*'03_가중치민감도'!$D$5</f>
        <v>0.65918254083816741</v>
      </c>
      <c r="F610" s="17">
        <f>'01_원자료'!P607*'03_가중치민감도'!$B$6+'01_원자료'!Q607*'03_가중치민감도'!$C$6+'01_원자료'!R607*'03_가중치민감도'!$D$6</f>
        <v>0.57758308766842592</v>
      </c>
      <c r="G610" s="17">
        <f>'01_원자료'!P607*'03_가중치민감도'!$B$7+'01_원자료'!Q607*'03_가중치민감도'!$C$7+'01_원자료'!R607*'03_가중치민감도'!$D$7</f>
        <v>0.65924483611429729</v>
      </c>
      <c r="H610" s="17">
        <f>'01_원자료'!P607*'03_가중치민감도'!$B$8+'01_원자료'!Q607*'03_가중치민감도'!$C$8+'01_원자료'!R607*'03_가중치민감도'!$D$8</f>
        <v>0.65887106445751753</v>
      </c>
      <c r="I610" s="17">
        <f>'01_원자료'!P607*'03_가중치민감도'!$B$9+'01_원자료'!Q607*'03_가중치민감도'!$C$9+'01_원자료'!R607*'03_가중치민감도'!$D$9</f>
        <v>0.60476214029962916</v>
      </c>
      <c r="J610" s="17">
        <f>'01_원자료'!P607*'03_가중치민감도'!$B$10+'01_원자료'!Q607*'03_가중치민감도'!$C$10+'01_원자료'!R607*'03_가중치민감도'!$D$10</f>
        <v>0.7406574034556489</v>
      </c>
      <c r="K610" s="31">
        <f t="shared" si="54"/>
        <v>666</v>
      </c>
      <c r="L610" s="31">
        <f t="shared" si="55"/>
        <v>728</v>
      </c>
      <c r="M610" s="31">
        <f t="shared" si="56"/>
        <v>666</v>
      </c>
      <c r="N610" s="31">
        <f t="shared" si="57"/>
        <v>661</v>
      </c>
      <c r="O610" s="31">
        <f t="shared" si="58"/>
        <v>710</v>
      </c>
      <c r="P610" s="31">
        <f t="shared" si="59"/>
        <v>627</v>
      </c>
    </row>
    <row r="611" spans="1:16">
      <c r="A611" s="2" t="str">
        <f>'01_원자료'!A608</f>
        <v>RPT-10</v>
      </c>
      <c r="B611" s="2" t="str">
        <f>'01_원자료'!B608</f>
        <v>gemini</v>
      </c>
      <c r="C611" s="2" t="str">
        <f>'01_원자료'!C608</f>
        <v>gemma</v>
      </c>
      <c r="E611" s="17">
        <f>'01_원자료'!P608*'03_가중치민감도'!$B$5+'01_원자료'!Q608*'03_가중치민감도'!$C$5+'01_원자료'!R608*'03_가중치민감도'!$D$5</f>
        <v>0.6935699183864279</v>
      </c>
      <c r="F611" s="17">
        <f>'01_원자료'!P608*'03_가중치민감도'!$B$6+'01_원자료'!Q608*'03_가중치민감도'!$C$6+'01_원자료'!R608*'03_가중치민감도'!$D$6</f>
        <v>0.5822686774522805</v>
      </c>
      <c r="G611" s="17">
        <f>'01_원자료'!P608*'03_가중치민감도'!$B$7+'01_원자료'!Q608*'03_가중치민감도'!$C$7+'01_원자료'!R608*'03_가중치민감도'!$D$7</f>
        <v>0.69270978634946134</v>
      </c>
      <c r="H611" s="17">
        <f>'01_원자료'!P608*'03_가중치민감도'!$B$8+'01_원자료'!Q608*'03_가중치민감도'!$C$8+'01_원자료'!R608*'03_가중치민감도'!$D$8</f>
        <v>0.69787057857126</v>
      </c>
      <c r="I611" s="17">
        <f>'01_원자료'!P608*'03_가중치민감도'!$B$9+'01_원자료'!Q608*'03_가중치민감도'!$C$9+'01_원자료'!R608*'03_가중치민감도'!$D$9</f>
        <v>0.61965580177598456</v>
      </c>
      <c r="J611" s="17">
        <f>'01_원자료'!P608*'03_가중치민감도'!$B$10+'01_원자료'!Q608*'03_가중치민감도'!$C$10+'01_원자료'!R608*'03_가중치민감도'!$D$10</f>
        <v>0.80659142339450796</v>
      </c>
      <c r="K611" s="31">
        <f t="shared" si="54"/>
        <v>798</v>
      </c>
      <c r="L611" s="31">
        <f t="shared" si="55"/>
        <v>747</v>
      </c>
      <c r="M611" s="31">
        <f t="shared" si="56"/>
        <v>806</v>
      </c>
      <c r="N611" s="31">
        <f t="shared" si="57"/>
        <v>782</v>
      </c>
      <c r="O611" s="31">
        <f t="shared" si="58"/>
        <v>765</v>
      </c>
      <c r="P611" s="31">
        <f t="shared" si="59"/>
        <v>827</v>
      </c>
    </row>
    <row r="612" spans="1:16">
      <c r="A612" s="2" t="str">
        <f>'01_원자료'!A609</f>
        <v>RPT-10</v>
      </c>
      <c r="B612" s="2" t="str">
        <f>'01_원자료'!B609</f>
        <v>gemini</v>
      </c>
      <c r="C612" s="2" t="str">
        <f>'01_원자료'!C609</f>
        <v>ministral</v>
      </c>
      <c r="E612" s="17">
        <f>'01_원자료'!P609*'03_가중치민감도'!$B$5+'01_원자료'!Q609*'03_가중치민감도'!$C$5+'01_원자료'!R609*'03_가중치민감도'!$D$5</f>
        <v>0.5096896575702935</v>
      </c>
      <c r="F612" s="17">
        <f>'01_원자료'!P609*'03_가중치민감도'!$B$6+'01_원자료'!Q609*'03_가중치민감도'!$C$6+'01_원자료'!R609*'03_가중치민감도'!$D$6</f>
        <v>0.41394453629472622</v>
      </c>
      <c r="G612" s="17">
        <f>'01_원자료'!P609*'03_가중치민감도'!$B$7+'01_원자료'!Q609*'03_가중치민감도'!$C$7+'01_원자료'!R609*'03_가중치민감도'!$D$7</f>
        <v>0.53291231068325939</v>
      </c>
      <c r="H612" s="17">
        <f>'01_원자료'!P609*'03_가중치민감도'!$B$8+'01_원자료'!Q609*'03_가중치민감도'!$C$8+'01_원자료'!R609*'03_가중치민감도'!$D$8</f>
        <v>0.39357639200546474</v>
      </c>
      <c r="I612" s="17">
        <f>'01_원자료'!P609*'03_가중치민감도'!$B$9+'01_원자료'!Q609*'03_가중치민감도'!$C$9+'01_원자료'!R609*'03_가중치민감도'!$D$9</f>
        <v>0.43811869234892631</v>
      </c>
      <c r="J612" s="17">
        <f>'01_원자료'!P609*'03_가중치민감도'!$B$10+'01_원자료'!Q609*'03_가중치민감도'!$C$10+'01_원자료'!R609*'03_가중치민감도'!$D$10</f>
        <v>0.55898947261992937</v>
      </c>
      <c r="K612" s="31">
        <f t="shared" si="54"/>
        <v>65</v>
      </c>
      <c r="L612" s="31">
        <f t="shared" si="55"/>
        <v>40</v>
      </c>
      <c r="M612" s="31">
        <f t="shared" si="56"/>
        <v>81</v>
      </c>
      <c r="N612" s="31">
        <f t="shared" si="57"/>
        <v>36</v>
      </c>
      <c r="O612" s="31">
        <f t="shared" si="58"/>
        <v>44</v>
      </c>
      <c r="P612" s="31">
        <f t="shared" si="59"/>
        <v>84</v>
      </c>
    </row>
    <row r="613" spans="1:16">
      <c r="A613" s="2" t="str">
        <f>'01_원자료'!A610</f>
        <v>RPT-10</v>
      </c>
      <c r="B613" s="2" t="str">
        <f>'01_원자료'!B610</f>
        <v>gemini</v>
      </c>
      <c r="C613" s="2" t="str">
        <f>'01_원자료'!C610</f>
        <v>qwen</v>
      </c>
      <c r="E613" s="17">
        <f>'01_원자료'!P610*'03_가중치민감도'!$B$5+'01_원자료'!Q610*'03_가중치민감도'!$C$5+'01_원자료'!R610*'03_가중치민감도'!$D$5</f>
        <v>0.66147173097175038</v>
      </c>
      <c r="F613" s="17">
        <f>'01_원자료'!P610*'03_가중치민감도'!$B$6+'01_원자료'!Q610*'03_가중치민감도'!$C$6+'01_원자료'!R610*'03_가중치민감도'!$D$6</f>
        <v>0.56433675522057603</v>
      </c>
      <c r="G613" s="17">
        <f>'01_원자료'!P610*'03_가중치민감도'!$B$7+'01_원자료'!Q610*'03_가중치민감도'!$C$7+'01_원자료'!R610*'03_가중치민감도'!$D$7</f>
        <v>0.66947003202372957</v>
      </c>
      <c r="H613" s="17">
        <f>'01_원자료'!P610*'03_가중치민감도'!$B$8+'01_원자료'!Q610*'03_가중치민감도'!$C$8+'01_원자료'!R610*'03_가중치민감도'!$D$8</f>
        <v>0.62148022571185502</v>
      </c>
      <c r="I613" s="17">
        <f>'01_원자료'!P610*'03_가중치민감도'!$B$9+'01_원자료'!Q610*'03_가중치민감도'!$C$9+'01_원자료'!R610*'03_가중치민감도'!$D$9</f>
        <v>0.59404898012030716</v>
      </c>
      <c r="J613" s="17">
        <f>'01_원자료'!P610*'03_가중치민감도'!$B$10+'01_원자료'!Q610*'03_가중치민감도'!$C$10+'01_원자료'!R610*'03_가중치민감도'!$D$10</f>
        <v>0.74261010461896659</v>
      </c>
      <c r="K613" s="31">
        <f t="shared" si="54"/>
        <v>680</v>
      </c>
      <c r="L613" s="31">
        <f t="shared" si="55"/>
        <v>658</v>
      </c>
      <c r="M613" s="31">
        <f t="shared" si="56"/>
        <v>717</v>
      </c>
      <c r="N613" s="31">
        <f t="shared" si="57"/>
        <v>551</v>
      </c>
      <c r="O613" s="31">
        <f t="shared" si="58"/>
        <v>658</v>
      </c>
      <c r="P613" s="31">
        <f t="shared" si="59"/>
        <v>635</v>
      </c>
    </row>
    <row r="614" spans="1:16">
      <c r="A614" s="2" t="str">
        <f>'01_원자료'!A611</f>
        <v>RPT-10</v>
      </c>
      <c r="B614" s="2" t="str">
        <f>'01_원자료'!B611</f>
        <v>mistral</v>
      </c>
      <c r="C614" s="2" t="str">
        <f>'01_원자료'!C611</f>
        <v>gemma</v>
      </c>
      <c r="E614" s="17">
        <f>'01_원자료'!P611*'03_가중치민감도'!$B$5+'01_원자료'!Q611*'03_가중치민감도'!$C$5+'01_원자료'!R611*'03_가중치민감도'!$D$5</f>
        <v>0.61096709119392956</v>
      </c>
      <c r="F614" s="17">
        <f>'01_원자료'!P611*'03_가중치민감도'!$B$6+'01_원자료'!Q611*'03_가중치민감도'!$C$6+'01_원자료'!R611*'03_가중치민감도'!$D$6</f>
        <v>0.52730007883659524</v>
      </c>
      <c r="G614" s="17">
        <f>'01_원자료'!P611*'03_가중치민감도'!$B$7+'01_원자료'!Q611*'03_가중치민감도'!$C$7+'01_원자료'!R611*'03_가중치민감도'!$D$7</f>
        <v>0.60417072680732853</v>
      </c>
      <c r="H614" s="17">
        <f>'01_원자료'!P611*'03_가중치민감도'!$B$8+'01_원자료'!Q611*'03_가중치민감도'!$C$8+'01_원자료'!R611*'03_가중치민감도'!$D$8</f>
        <v>0.64494891312693459</v>
      </c>
      <c r="I614" s="17">
        <f>'01_원자료'!P611*'03_가중치민감도'!$B$9+'01_원자료'!Q611*'03_가중치민감도'!$C$9+'01_원자료'!R611*'03_가중치민감도'!$D$9</f>
        <v>0.55745453775123976</v>
      </c>
      <c r="J614" s="17">
        <f>'01_원자료'!P611*'03_가중치민감도'!$B$10+'01_원자료'!Q611*'03_가중치민감도'!$C$10+'01_원자료'!R611*'03_가중치민감도'!$D$10</f>
        <v>0.70822683232446582</v>
      </c>
      <c r="K614" s="31">
        <f t="shared" si="54"/>
        <v>435</v>
      </c>
      <c r="L614" s="31">
        <f t="shared" si="55"/>
        <v>485</v>
      </c>
      <c r="M614" s="31">
        <f t="shared" si="56"/>
        <v>383</v>
      </c>
      <c r="N614" s="31">
        <f t="shared" si="57"/>
        <v>626</v>
      </c>
      <c r="O614" s="31">
        <f t="shared" si="58"/>
        <v>490</v>
      </c>
      <c r="P614" s="31">
        <f t="shared" si="59"/>
        <v>489</v>
      </c>
    </row>
    <row r="615" spans="1:16">
      <c r="A615" s="2" t="str">
        <f>'01_원자료'!A612</f>
        <v>RPT-10</v>
      </c>
      <c r="B615" s="2" t="str">
        <f>'01_원자료'!B612</f>
        <v>mistral</v>
      </c>
      <c r="C615" s="2" t="str">
        <f>'01_원자료'!C612</f>
        <v>ministral</v>
      </c>
      <c r="E615" s="17">
        <f>'01_원자료'!P612*'03_가중치민감도'!$B$5+'01_원자료'!Q612*'03_가중치민감도'!$C$5+'01_원자료'!R612*'03_가중치민감도'!$D$5</f>
        <v>0.4685957376075609</v>
      </c>
      <c r="F615" s="17">
        <f>'01_원자료'!P612*'03_가중치민감도'!$B$6+'01_원자료'!Q612*'03_가중치민감도'!$C$6+'01_원자료'!R612*'03_가중치민감도'!$D$6</f>
        <v>0.3949169102202521</v>
      </c>
      <c r="G615" s="17">
        <f>'01_원자료'!P612*'03_가중치민감도'!$B$7+'01_원자료'!Q612*'03_가중치민감도'!$C$7+'01_원자료'!R612*'03_가중치민감도'!$D$7</f>
        <v>0.48650762769657641</v>
      </c>
      <c r="H615" s="17">
        <f>'01_원자료'!P612*'03_가중치민감도'!$B$8+'01_원자료'!Q612*'03_가중치민감도'!$C$8+'01_원자료'!R612*'03_가중치민감도'!$D$8</f>
        <v>0.37903628716248372</v>
      </c>
      <c r="I615" s="17">
        <f>'01_원자료'!P612*'03_가중치민감도'!$B$9+'01_원자료'!Q612*'03_가중치민감도'!$C$9+'01_원자료'!R612*'03_가중치민감도'!$D$9</f>
        <v>0.4135058893196828</v>
      </c>
      <c r="J615" s="17">
        <f>'01_원자료'!P612*'03_가중치민감도'!$B$10+'01_원자료'!Q612*'03_가중치민감도'!$C$10+'01_원자료'!R612*'03_가중치민감도'!$D$10</f>
        <v>0.50645078481683892</v>
      </c>
      <c r="K615" s="31">
        <f t="shared" si="54"/>
        <v>11</v>
      </c>
      <c r="L615" s="31">
        <f t="shared" si="55"/>
        <v>13</v>
      </c>
      <c r="M615" s="31">
        <f t="shared" si="56"/>
        <v>11</v>
      </c>
      <c r="N615" s="31">
        <f t="shared" si="57"/>
        <v>16</v>
      </c>
      <c r="O615" s="31">
        <f t="shared" si="58"/>
        <v>13</v>
      </c>
      <c r="P615" s="31">
        <f t="shared" si="59"/>
        <v>13</v>
      </c>
    </row>
    <row r="616" spans="1:16">
      <c r="A616" s="2" t="str">
        <f>'01_원자료'!A613</f>
        <v>RPT-10</v>
      </c>
      <c r="B616" s="2" t="str">
        <f>'01_원자료'!B613</f>
        <v>mistral</v>
      </c>
      <c r="C616" s="2" t="str">
        <f>'01_원자료'!C613</f>
        <v>qwen</v>
      </c>
      <c r="E616" s="17">
        <f>'01_원자료'!P613*'03_가중치민감도'!$B$5+'01_원자료'!Q613*'03_가중치민감도'!$C$5+'01_원자료'!R613*'03_가중치민감도'!$D$5</f>
        <v>0.59472353860630267</v>
      </c>
      <c r="F616" s="17">
        <f>'01_원자료'!P613*'03_가중치민감도'!$B$6+'01_원자료'!Q613*'03_가중치민감도'!$C$6+'01_원자료'!R613*'03_가중치민감도'!$D$6</f>
        <v>0.52517044355763209</v>
      </c>
      <c r="G616" s="17">
        <f>'01_원자료'!P613*'03_가중치민감도'!$B$7+'01_원자료'!Q613*'03_가중치민감도'!$C$7+'01_원자료'!R613*'03_가중치민감도'!$D$7</f>
        <v>0.59701797955029223</v>
      </c>
      <c r="H616" s="17">
        <f>'01_원자료'!P613*'03_가중치민감도'!$B$8+'01_원자료'!Q613*'03_가중치민감도'!$C$8+'01_원자료'!R613*'03_가중치민감도'!$D$8</f>
        <v>0.58325133388635497</v>
      </c>
      <c r="I616" s="17">
        <f>'01_원자료'!P613*'03_가중치민감도'!$B$9+'01_원자료'!Q613*'03_가중치민감도'!$C$9+'01_원자료'!R613*'03_가중치민감도'!$D$9</f>
        <v>0.54758999492585858</v>
      </c>
      <c r="J616" s="17">
        <f>'01_원자료'!P613*'03_가중치민감도'!$B$10+'01_원자료'!Q613*'03_가중치민감도'!$C$10+'01_원자료'!R613*'03_가중치민감도'!$D$10</f>
        <v>0.65968775176699412</v>
      </c>
      <c r="K616" s="31">
        <f t="shared" si="54"/>
        <v>364</v>
      </c>
      <c r="L616" s="31">
        <f t="shared" si="55"/>
        <v>476</v>
      </c>
      <c r="M616" s="31">
        <f t="shared" si="56"/>
        <v>351</v>
      </c>
      <c r="N616" s="31">
        <f t="shared" si="57"/>
        <v>439</v>
      </c>
      <c r="O616" s="31">
        <f t="shared" si="58"/>
        <v>452</v>
      </c>
      <c r="P616" s="31">
        <f t="shared" si="59"/>
        <v>330</v>
      </c>
    </row>
    <row r="617" spans="1:16">
      <c r="A617" s="2" t="str">
        <f>'01_원자료'!A614</f>
        <v>RPT-10</v>
      </c>
      <c r="B617" s="2" t="str">
        <f>'01_원자료'!B614</f>
        <v>qwen3_6</v>
      </c>
      <c r="C617" s="2" t="str">
        <f>'01_원자료'!C614</f>
        <v>gemma</v>
      </c>
      <c r="E617" s="17">
        <f>'01_원자료'!P614*'03_가중치민감도'!$B$5+'01_원자료'!Q614*'03_가중치민감도'!$C$5+'01_원자료'!R614*'03_가중치민감도'!$D$5</f>
        <v>0.67367031606900118</v>
      </c>
      <c r="F617" s="17">
        <f>'01_원자료'!P614*'03_가중치민감도'!$B$6+'01_원자료'!Q614*'03_가중치민감도'!$C$6+'01_원자료'!R614*'03_가중치민감도'!$D$6</f>
        <v>0.57925897892168254</v>
      </c>
      <c r="G617" s="17">
        <f>'01_원자료'!P614*'03_가중치민감도'!$B$7+'01_원자료'!Q614*'03_가중치민감도'!$C$7+'01_원자료'!R614*'03_가중치민감도'!$D$7</f>
        <v>0.66974439185668011</v>
      </c>
      <c r="H617" s="17">
        <f>'01_원자료'!P614*'03_가중치민감도'!$B$8+'01_원자료'!Q614*'03_가중치민감도'!$C$8+'01_원자료'!R614*'03_가중치민감도'!$D$8</f>
        <v>0.69329993713060634</v>
      </c>
      <c r="I617" s="17">
        <f>'01_원자료'!P614*'03_가중치민감도'!$B$9+'01_원자료'!Q614*'03_가중치민감도'!$C$9+'01_원자료'!R614*'03_가중치민감도'!$D$9</f>
        <v>0.61203806604156186</v>
      </c>
      <c r="J617" s="17">
        <f>'01_원자료'!P614*'03_가중치민감도'!$B$10+'01_원자료'!Q614*'03_가중치민감도'!$C$10+'01_원자료'!R614*'03_가중치민감도'!$D$10</f>
        <v>0.77593350164096198</v>
      </c>
      <c r="K617" s="31">
        <f t="shared" si="54"/>
        <v>732</v>
      </c>
      <c r="L617" s="31">
        <f t="shared" si="55"/>
        <v>732</v>
      </c>
      <c r="M617" s="31">
        <f t="shared" si="56"/>
        <v>719</v>
      </c>
      <c r="N617" s="31">
        <f t="shared" si="57"/>
        <v>761</v>
      </c>
      <c r="O617" s="31">
        <f t="shared" si="58"/>
        <v>733</v>
      </c>
      <c r="P617" s="31">
        <f t="shared" si="59"/>
        <v>745</v>
      </c>
    </row>
    <row r="618" spans="1:16">
      <c r="A618" s="2" t="str">
        <f>'01_원자료'!A615</f>
        <v>RPT-10</v>
      </c>
      <c r="B618" s="2" t="str">
        <f>'01_원자료'!B615</f>
        <v>qwen3_6</v>
      </c>
      <c r="C618" s="2" t="str">
        <f>'01_원자료'!C615</f>
        <v>ministral</v>
      </c>
      <c r="E618" s="17">
        <f>'01_원자료'!P615*'03_가중치민감도'!$B$5+'01_원자료'!Q615*'03_가중치민감도'!$C$5+'01_원자료'!R615*'03_가중치민감도'!$D$5</f>
        <v>0.49768127512631111</v>
      </c>
      <c r="F618" s="17">
        <f>'01_원자료'!P615*'03_가중치민감도'!$B$6+'01_원자료'!Q615*'03_가중치민감도'!$C$6+'01_원자료'!R615*'03_가중치민감도'!$D$6</f>
        <v>0.41201293584043625</v>
      </c>
      <c r="G618" s="17">
        <f>'01_원자료'!P615*'03_가중치민감도'!$B$7+'01_원자료'!Q615*'03_가중치민감도'!$C$7+'01_원자료'!R615*'03_가중치민감도'!$D$7</f>
        <v>0.51906349786980388</v>
      </c>
      <c r="H618" s="17">
        <f>'01_원자료'!P615*'03_가중치민감도'!$B$8+'01_원자료'!Q615*'03_가중치민감도'!$C$8+'01_원자료'!R615*'03_가중치민감도'!$D$8</f>
        <v>0.39077016140884679</v>
      </c>
      <c r="I618" s="17">
        <f>'01_원자료'!P615*'03_가중치민감도'!$B$9+'01_원자료'!Q615*'03_가중치민감도'!$C$9+'01_원자료'!R615*'03_가중치민감도'!$D$9</f>
        <v>0.43344164135456309</v>
      </c>
      <c r="J618" s="17">
        <f>'01_원자료'!P615*'03_가중치민감도'!$B$10+'01_원자료'!Q615*'03_가중치민감도'!$C$10+'01_원자료'!R615*'03_가중치민감도'!$D$10</f>
        <v>0.54058516892520014</v>
      </c>
      <c r="K618" s="31">
        <f t="shared" si="54"/>
        <v>41</v>
      </c>
      <c r="L618" s="31">
        <f t="shared" si="55"/>
        <v>36</v>
      </c>
      <c r="M618" s="31">
        <f t="shared" si="56"/>
        <v>45</v>
      </c>
      <c r="N618" s="31">
        <f t="shared" si="57"/>
        <v>31</v>
      </c>
      <c r="O618" s="31">
        <f t="shared" si="58"/>
        <v>37</v>
      </c>
      <c r="P618" s="31">
        <f t="shared" si="59"/>
        <v>49</v>
      </c>
    </row>
    <row r="619" spans="1:16">
      <c r="A619" s="2" t="str">
        <f>'01_원자료'!A616</f>
        <v>RPT-10</v>
      </c>
      <c r="B619" s="2" t="str">
        <f>'01_원자료'!B616</f>
        <v>qwen3_6</v>
      </c>
      <c r="C619" s="2" t="str">
        <f>'01_원자료'!C616</f>
        <v>qwen</v>
      </c>
      <c r="E619" s="17">
        <f>'01_원자료'!P616*'03_가중치민감도'!$B$5+'01_원자료'!Q616*'03_가중치민감도'!$C$5+'01_원자료'!R616*'03_가중치민감도'!$D$5</f>
        <v>0.65110755863620162</v>
      </c>
      <c r="F619" s="17">
        <f>'01_원자료'!P616*'03_가중치민감도'!$B$6+'01_원자료'!Q616*'03_가중치민감도'!$C$6+'01_원자료'!R616*'03_가중치민감도'!$D$6</f>
        <v>0.56467696391228028</v>
      </c>
      <c r="G619" s="17">
        <f>'01_원자료'!P616*'03_가중치민감도'!$B$7+'01_원자료'!Q616*'03_가중치민감도'!$C$7+'01_원자료'!R616*'03_가중치민감도'!$D$7</f>
        <v>0.65735014690794724</v>
      </c>
      <c r="H619" s="17">
        <f>'01_원자료'!P616*'03_가중치민감도'!$B$8+'01_원자료'!Q616*'03_가중치민감도'!$C$8+'01_원자료'!R616*'03_가중치민감도'!$D$8</f>
        <v>0.61989461727747364</v>
      </c>
      <c r="I619" s="17">
        <f>'01_원자료'!P616*'03_가중치민감도'!$B$9+'01_원자료'!Q616*'03_가중치민감도'!$C$9+'01_원자료'!R616*'03_가중치민감도'!$D$9</f>
        <v>0.59140629939633826</v>
      </c>
      <c r="J619" s="17">
        <f>'01_원자료'!P616*'03_가중치민감도'!$B$10+'01_원자료'!Q616*'03_가중치민감도'!$C$10+'01_원자료'!R616*'03_가중치민감도'!$D$10</f>
        <v>0.72505297681663161</v>
      </c>
      <c r="K619" s="31">
        <f t="shared" si="54"/>
        <v>623</v>
      </c>
      <c r="L619" s="31">
        <f t="shared" si="55"/>
        <v>662</v>
      </c>
      <c r="M619" s="31">
        <f t="shared" si="56"/>
        <v>651</v>
      </c>
      <c r="N619" s="31">
        <f t="shared" si="57"/>
        <v>547</v>
      </c>
      <c r="O619" s="31">
        <f t="shared" si="58"/>
        <v>643</v>
      </c>
      <c r="P619" s="31">
        <f t="shared" si="59"/>
        <v>566</v>
      </c>
    </row>
    <row r="620" spans="1:16">
      <c r="A620" s="2" t="str">
        <f>'01_원자료'!A617</f>
        <v>RPT-11</v>
      </c>
      <c r="B620" s="2" t="str">
        <f>'01_원자료'!B617</f>
        <v>chatgpt</v>
      </c>
      <c r="C620" s="2" t="str">
        <f>'01_원자료'!C617</f>
        <v>gemma</v>
      </c>
      <c r="E620" s="17">
        <f>'01_원자료'!P617*'03_가중치민감도'!$B$5+'01_원자료'!Q617*'03_가중치민감도'!$C$5+'01_원자료'!R617*'03_가중치민감도'!$D$5</f>
        <v>0.59710847712472082</v>
      </c>
      <c r="F620" s="17">
        <f>'01_원자료'!P617*'03_가중치민감도'!$B$6+'01_원자료'!Q617*'03_가중치민감도'!$C$6+'01_원자료'!R617*'03_가중치민감도'!$D$6</f>
        <v>0.50765090122851764</v>
      </c>
      <c r="G620" s="17">
        <f>'01_원자료'!P617*'03_가중치민감도'!$B$7+'01_원자료'!Q617*'03_가중치민감도'!$C$7+'01_원자료'!R617*'03_가중치민감도'!$D$7</f>
        <v>0.60630468539816085</v>
      </c>
      <c r="H620" s="17">
        <f>'01_원자료'!P617*'03_가중치민감도'!$B$8+'01_원자료'!Q617*'03_가중치민감도'!$C$8+'01_원자료'!R617*'03_가중치민감도'!$D$8</f>
        <v>0.55112743575752066</v>
      </c>
      <c r="I620" s="17">
        <f>'01_원자료'!P617*'03_가중치민감도'!$B$9+'01_원자료'!Q617*'03_가중치민감도'!$C$9+'01_원자료'!R617*'03_가중치민감도'!$D$9</f>
        <v>0.53440469043610483</v>
      </c>
      <c r="J620" s="17">
        <f>'01_원자료'!P617*'03_가중치민감도'!$B$10+'01_원자료'!Q617*'03_가중치민감도'!$C$10+'01_원자료'!R617*'03_가중치민감도'!$D$10</f>
        <v>0.66817363647404404</v>
      </c>
      <c r="K620" s="31">
        <f t="shared" si="54"/>
        <v>383</v>
      </c>
      <c r="L620" s="31">
        <f t="shared" si="55"/>
        <v>406</v>
      </c>
      <c r="M620" s="31">
        <f t="shared" si="56"/>
        <v>398</v>
      </c>
      <c r="N620" s="31">
        <f t="shared" si="57"/>
        <v>339</v>
      </c>
      <c r="O620" s="31">
        <f t="shared" si="58"/>
        <v>389</v>
      </c>
      <c r="P620" s="31">
        <f t="shared" si="59"/>
        <v>350</v>
      </c>
    </row>
    <row r="621" spans="1:16">
      <c r="A621" s="2" t="str">
        <f>'01_원자료'!A618</f>
        <v>RPT-11</v>
      </c>
      <c r="B621" s="2" t="str">
        <f>'01_원자료'!B618</f>
        <v>chatgpt</v>
      </c>
      <c r="C621" s="2" t="str">
        <f>'01_원자료'!C618</f>
        <v>ministral</v>
      </c>
      <c r="E621" s="17">
        <f>'01_원자료'!P618*'03_가중치민감도'!$B$5+'01_원자료'!Q618*'03_가중치민감도'!$C$5+'01_원자료'!R618*'03_가중치민감도'!$D$5</f>
        <v>0.51872688929089006</v>
      </c>
      <c r="F621" s="17">
        <f>'01_원자료'!P618*'03_가중치민감도'!$B$6+'01_원자료'!Q618*'03_가중치민감도'!$C$6+'01_원자료'!R618*'03_가중치민감도'!$D$6</f>
        <v>0.43790784283654083</v>
      </c>
      <c r="G621" s="17">
        <f>'01_원자료'!P618*'03_가중치민감도'!$B$7+'01_원자료'!Q618*'03_가중치민감도'!$C$7+'01_원자료'!R618*'03_가중치민감도'!$D$7</f>
        <v>0.53873366726871375</v>
      </c>
      <c r="H621" s="17">
        <f>'01_원자료'!P618*'03_가중치민감도'!$B$8+'01_원자료'!Q618*'03_가중치민감도'!$C$8+'01_원자료'!R618*'03_가중치민감도'!$D$8</f>
        <v>0.41869299940177174</v>
      </c>
      <c r="I621" s="17">
        <f>'01_원자료'!P618*'03_가중치민감도'!$B$9+'01_원자료'!Q618*'03_가중치민감도'!$C$9+'01_원자료'!R618*'03_가중치민감도'!$D$9</f>
        <v>0.45817859899538221</v>
      </c>
      <c r="J621" s="17">
        <f>'01_원자료'!P618*'03_가중치민감도'!$B$10+'01_원자료'!Q618*'03_가중치민감도'!$C$10+'01_원자료'!R618*'03_가중치민감도'!$D$10</f>
        <v>0.55953237978959203</v>
      </c>
      <c r="K621" s="31">
        <f t="shared" si="54"/>
        <v>90</v>
      </c>
      <c r="L621" s="31">
        <f t="shared" si="55"/>
        <v>91</v>
      </c>
      <c r="M621" s="31">
        <f t="shared" si="56"/>
        <v>102</v>
      </c>
      <c r="N621" s="31">
        <f t="shared" si="57"/>
        <v>82</v>
      </c>
      <c r="O621" s="31">
        <f t="shared" si="58"/>
        <v>91</v>
      </c>
      <c r="P621" s="31">
        <f t="shared" si="59"/>
        <v>86</v>
      </c>
    </row>
    <row r="622" spans="1:16">
      <c r="A622" s="2" t="str">
        <f>'01_원자료'!A619</f>
        <v>RPT-11</v>
      </c>
      <c r="B622" s="2" t="str">
        <f>'01_원자료'!B619</f>
        <v>chatgpt</v>
      </c>
      <c r="C622" s="2" t="str">
        <f>'01_원자료'!C619</f>
        <v>qwen</v>
      </c>
      <c r="E622" s="17">
        <f>'01_원자료'!P619*'03_가중치민감도'!$B$5+'01_원자료'!Q619*'03_가중치민감도'!$C$5+'01_원자료'!R619*'03_가중치민감도'!$D$5</f>
        <v>0.6178168305139432</v>
      </c>
      <c r="F622" s="17">
        <f>'01_원자료'!P619*'03_가중치민감도'!$B$6+'01_원자료'!Q619*'03_가중치민감도'!$C$6+'01_원자료'!R619*'03_가중치민감도'!$D$6</f>
        <v>0.53172226002560075</v>
      </c>
      <c r="G622" s="17">
        <f>'01_원자료'!P619*'03_가중치민감도'!$B$7+'01_원자료'!Q619*'03_가중치민감도'!$C$7+'01_원자료'!R619*'03_가중치민감도'!$D$7</f>
        <v>0.62845848445249652</v>
      </c>
      <c r="H622" s="17">
        <f>'01_원자료'!P619*'03_가중치민감도'!$B$8+'01_원자료'!Q619*'03_가중치민감도'!$C$8+'01_원자료'!R619*'03_가중치민감도'!$D$8</f>
        <v>0.56460856082117572</v>
      </c>
      <c r="I622" s="17">
        <f>'01_원자료'!P619*'03_가중치민감도'!$B$9+'01_원자료'!Q619*'03_가중치민감도'!$C$9+'01_원자료'!R619*'03_가중치민감도'!$D$9</f>
        <v>0.5568732322088632</v>
      </c>
      <c r="J622" s="17">
        <f>'01_원자료'!P619*'03_가중치민감도'!$B$10+'01_원자료'!Q619*'03_가중치민감도'!$C$10+'01_원자료'!R619*'03_가중치민감도'!$D$10</f>
        <v>0.68262809312517847</v>
      </c>
      <c r="K622" s="31">
        <f t="shared" si="54"/>
        <v>478</v>
      </c>
      <c r="L622" s="31">
        <f t="shared" si="55"/>
        <v>509</v>
      </c>
      <c r="M622" s="31">
        <f t="shared" si="56"/>
        <v>509</v>
      </c>
      <c r="N622" s="31">
        <f t="shared" si="57"/>
        <v>381</v>
      </c>
      <c r="O622" s="31">
        <f t="shared" si="58"/>
        <v>488</v>
      </c>
      <c r="P622" s="31">
        <f t="shared" si="59"/>
        <v>402</v>
      </c>
    </row>
    <row r="623" spans="1:16">
      <c r="A623" s="2" t="str">
        <f>'01_원자료'!A620</f>
        <v>RPT-11</v>
      </c>
      <c r="B623" s="2" t="str">
        <f>'01_원자료'!B620</f>
        <v>claude</v>
      </c>
      <c r="C623" s="2" t="str">
        <f>'01_원자료'!C620</f>
        <v>gemma</v>
      </c>
      <c r="E623" s="17">
        <f>'01_원자료'!P620*'03_가중치민감도'!$B$5+'01_원자료'!Q620*'03_가중치민감도'!$C$5+'01_원자료'!R620*'03_가중치민감도'!$D$5</f>
        <v>0.6846896921454152</v>
      </c>
      <c r="F623" s="17">
        <f>'01_원자료'!P620*'03_가중치민감도'!$B$6+'01_원자료'!Q620*'03_가중치민감도'!$C$6+'01_원자료'!R620*'03_가중치민감도'!$D$6</f>
        <v>0.58065550249441256</v>
      </c>
      <c r="G623" s="17">
        <f>'01_원자료'!P620*'03_가중치민감도'!$B$7+'01_원자료'!Q620*'03_가중치민감도'!$C$7+'01_원자료'!R620*'03_가중치민감도'!$D$7</f>
        <v>0.67941422822814657</v>
      </c>
      <c r="H623" s="17">
        <f>'01_원자료'!P620*'03_가중치민감도'!$B$8+'01_원자료'!Q620*'03_가중치민감도'!$C$8+'01_원자료'!R620*'03_가중치민감도'!$D$8</f>
        <v>0.71106701173175879</v>
      </c>
      <c r="I623" s="17">
        <f>'01_원자료'!P620*'03_가중치민감도'!$B$9+'01_원자료'!Q620*'03_가중치민감도'!$C$9+'01_원자료'!R620*'03_가중치민감도'!$D$9</f>
        <v>0.61709205368383568</v>
      </c>
      <c r="J623" s="17">
        <f>'01_원자료'!P620*'03_가중치민감도'!$B$10+'01_원자료'!Q620*'03_가중치민감도'!$C$10+'01_원자료'!R620*'03_가중치민감도'!$D$10</f>
        <v>0.79927480963095521</v>
      </c>
      <c r="K623" s="31">
        <f t="shared" si="54"/>
        <v>769</v>
      </c>
      <c r="L623" s="31">
        <f t="shared" si="55"/>
        <v>738</v>
      </c>
      <c r="M623" s="31">
        <f t="shared" si="56"/>
        <v>759</v>
      </c>
      <c r="N623" s="31">
        <f t="shared" si="57"/>
        <v>815</v>
      </c>
      <c r="O623" s="31">
        <f t="shared" si="58"/>
        <v>754</v>
      </c>
      <c r="P623" s="31">
        <f t="shared" si="59"/>
        <v>816</v>
      </c>
    </row>
    <row r="624" spans="1:16">
      <c r="A624" s="2" t="str">
        <f>'01_원자료'!A621</f>
        <v>RPT-11</v>
      </c>
      <c r="B624" s="2" t="str">
        <f>'01_원자료'!B621</f>
        <v>claude</v>
      </c>
      <c r="C624" s="2" t="str">
        <f>'01_원자료'!C621</f>
        <v>ministral</v>
      </c>
      <c r="E624" s="17">
        <f>'01_원자료'!P621*'03_가중치민감도'!$B$5+'01_원자료'!Q621*'03_가중치민감도'!$C$5+'01_원자료'!R621*'03_가중치민감도'!$D$5</f>
        <v>0.52822826714127702</v>
      </c>
      <c r="F624" s="17">
        <f>'01_원자료'!P621*'03_가중치민감도'!$B$6+'01_원자료'!Q621*'03_가중치민감도'!$C$6+'01_원자료'!R621*'03_가중치민감도'!$D$6</f>
        <v>0.44485606138984624</v>
      </c>
      <c r="G624" s="17">
        <f>'01_원자료'!P621*'03_가중치민감도'!$B$7+'01_원자료'!Q621*'03_가중치민감도'!$C$7+'01_원자료'!R621*'03_가중치민감도'!$D$7</f>
        <v>0.54425715033318345</v>
      </c>
      <c r="H624" s="17">
        <f>'01_원자료'!P621*'03_가중치민감도'!$B$8+'01_원자료'!Q621*'03_가중치민감도'!$C$8+'01_원자료'!R621*'03_가중치민감도'!$D$8</f>
        <v>0.44808385118174487</v>
      </c>
      <c r="I624" s="17">
        <f>'01_원자료'!P621*'03_가중치민감도'!$B$9+'01_원자료'!Q621*'03_가중치민감도'!$C$9+'01_원자료'!R621*'03_가중치민감도'!$D$9</f>
        <v>0.46730383557635391</v>
      </c>
      <c r="J624" s="17">
        <f>'01_원자료'!P621*'03_가중치민감도'!$B$10+'01_원자료'!Q621*'03_가중치민감도'!$C$10+'01_원자료'!R621*'03_가중치민감도'!$D$10</f>
        <v>0.57954270650889494</v>
      </c>
      <c r="K624" s="31">
        <f t="shared" si="54"/>
        <v>127</v>
      </c>
      <c r="L624" s="31">
        <f t="shared" si="55"/>
        <v>116</v>
      </c>
      <c r="M624" s="31">
        <f t="shared" si="56"/>
        <v>126</v>
      </c>
      <c r="N624" s="31">
        <f t="shared" si="57"/>
        <v>134</v>
      </c>
      <c r="O624" s="31">
        <f t="shared" si="58"/>
        <v>116</v>
      </c>
      <c r="P624" s="31">
        <f t="shared" si="59"/>
        <v>130</v>
      </c>
    </row>
    <row r="625" spans="1:16">
      <c r="A625" s="2" t="str">
        <f>'01_원자료'!A622</f>
        <v>RPT-11</v>
      </c>
      <c r="B625" s="2" t="str">
        <f>'01_원자료'!B622</f>
        <v>claude</v>
      </c>
      <c r="C625" s="2" t="str">
        <f>'01_원자료'!C622</f>
        <v>qwen</v>
      </c>
      <c r="E625" s="17">
        <f>'01_원자료'!P622*'03_가중치민감도'!$B$5+'01_원자료'!Q622*'03_가중치민감도'!$C$5+'01_원자료'!R622*'03_가중치민감도'!$D$5</f>
        <v>0.69575825266023372</v>
      </c>
      <c r="F625" s="17">
        <f>'01_원자료'!P622*'03_가중치민감도'!$B$6+'01_원자료'!Q622*'03_가중치민감도'!$C$6+'01_원자료'!R622*'03_가중치민감도'!$D$6</f>
        <v>0.59551312305912307</v>
      </c>
      <c r="G625" s="17">
        <f>'01_원자료'!P622*'03_가중치민감도'!$B$7+'01_원자료'!Q622*'03_가중치민감도'!$C$7+'01_원자료'!R622*'03_가중치민감도'!$D$7</f>
        <v>0.69108941378170885</v>
      </c>
      <c r="H625" s="17">
        <f>'01_원자료'!P622*'03_가중치민감도'!$B$8+'01_원자료'!Q622*'03_가중치민감도'!$C$8+'01_원자료'!R622*'03_가중치민감도'!$D$8</f>
        <v>0.71910244705285786</v>
      </c>
      <c r="I625" s="17">
        <f>'01_원자료'!P622*'03_가중치민감도'!$B$9+'01_원자료'!Q622*'03_가중치민감도'!$C$9+'01_원자료'!R622*'03_가중치민감도'!$D$9</f>
        <v>0.63048444588566754</v>
      </c>
      <c r="J625" s="17">
        <f>'01_원자료'!P622*'03_가중치민감도'!$B$10+'01_원자료'!Q622*'03_가중치민감도'!$C$10+'01_원자료'!R622*'03_가중치민감도'!$D$10</f>
        <v>0.80534106001839401</v>
      </c>
      <c r="K625" s="31">
        <f t="shared" si="54"/>
        <v>808</v>
      </c>
      <c r="L625" s="31">
        <f t="shared" si="55"/>
        <v>789</v>
      </c>
      <c r="M625" s="31">
        <f t="shared" si="56"/>
        <v>800</v>
      </c>
      <c r="N625" s="31">
        <f t="shared" si="57"/>
        <v>827</v>
      </c>
      <c r="O625" s="31">
        <f t="shared" si="58"/>
        <v>797</v>
      </c>
      <c r="P625" s="31">
        <f t="shared" si="59"/>
        <v>824</v>
      </c>
    </row>
    <row r="626" spans="1:16">
      <c r="A626" s="2" t="str">
        <f>'01_원자료'!A623</f>
        <v>RPT-11</v>
      </c>
      <c r="B626" s="2" t="str">
        <f>'01_원자료'!B623</f>
        <v>gemini</v>
      </c>
      <c r="C626" s="2" t="str">
        <f>'01_원자료'!C623</f>
        <v>gemma</v>
      </c>
      <c r="E626" s="17">
        <f>'01_원자료'!P623*'03_가중치민감도'!$B$5+'01_원자료'!Q623*'03_가중치민감도'!$C$5+'01_원자료'!R623*'03_가중치민감도'!$D$5</f>
        <v>0.74611071929134043</v>
      </c>
      <c r="F626" s="17">
        <f>'01_원자료'!P623*'03_가중치민감도'!$B$6+'01_원자료'!Q623*'03_가중치민감도'!$C$6+'01_원자료'!R623*'03_가중치민감도'!$D$6</f>
        <v>0.63375078176629629</v>
      </c>
      <c r="G626" s="17">
        <f>'01_원자료'!P623*'03_가중치민감도'!$B$7+'01_원자료'!Q623*'03_가중치민감도'!$C$7+'01_원자료'!R623*'03_가중치민감도'!$D$7</f>
        <v>0.73922747617211038</v>
      </c>
      <c r="H626" s="17">
        <f>'01_원자료'!P623*'03_가중치민감도'!$B$8+'01_원자료'!Q623*'03_가중치민감도'!$C$8+'01_원자료'!R623*'03_가중치민감도'!$D$8</f>
        <v>0.78052693488749036</v>
      </c>
      <c r="I626" s="17">
        <f>'01_원자료'!P623*'03_가중치민감도'!$B$9+'01_원자료'!Q623*'03_가중치민감도'!$C$9+'01_원자료'!R623*'03_가중치민감도'!$D$9</f>
        <v>0.67349850864772032</v>
      </c>
      <c r="J626" s="17">
        <f>'01_원자료'!P623*'03_가중치민감도'!$B$10+'01_원자료'!Q623*'03_가중치민감도'!$C$10+'01_원자료'!R623*'03_가중치민감도'!$D$10</f>
        <v>0.87223714305484445</v>
      </c>
      <c r="K626" s="31">
        <f t="shared" si="54"/>
        <v>946</v>
      </c>
      <c r="L626" s="31">
        <f t="shared" si="55"/>
        <v>931</v>
      </c>
      <c r="M626" s="31">
        <f t="shared" si="56"/>
        <v>946</v>
      </c>
      <c r="N626" s="31">
        <f t="shared" si="57"/>
        <v>938</v>
      </c>
      <c r="O626" s="31">
        <f t="shared" si="58"/>
        <v>936</v>
      </c>
      <c r="P626" s="31">
        <f t="shared" si="59"/>
        <v>949</v>
      </c>
    </row>
    <row r="627" spans="1:16">
      <c r="A627" s="2" t="str">
        <f>'01_원자료'!A624</f>
        <v>RPT-11</v>
      </c>
      <c r="B627" s="2" t="str">
        <f>'01_원자료'!B624</f>
        <v>gemini</v>
      </c>
      <c r="C627" s="2" t="str">
        <f>'01_원자료'!C624</f>
        <v>ministral</v>
      </c>
      <c r="E627" s="17">
        <f>'01_원자료'!P624*'03_가중치민감도'!$B$5+'01_원자료'!Q624*'03_가중치민감도'!$C$5+'01_원자료'!R624*'03_가중치민감도'!$D$5</f>
        <v>0.55878858302293566</v>
      </c>
      <c r="F627" s="17">
        <f>'01_원자료'!P624*'03_가중치민감도'!$B$6+'01_원자료'!Q624*'03_가중치민감도'!$C$6+'01_원자료'!R624*'03_가중치민감도'!$D$6</f>
        <v>0.46243879046434422</v>
      </c>
      <c r="G627" s="17">
        <f>'01_원자료'!P624*'03_가중치민감도'!$B$7+'01_원자료'!Q624*'03_가중치민감도'!$C$7+'01_원자료'!R624*'03_가중치민감도'!$D$7</f>
        <v>0.57857307966429494</v>
      </c>
      <c r="H627" s="17">
        <f>'01_원자료'!P624*'03_가중치민감도'!$B$8+'01_원자료'!Q624*'03_가중치민감도'!$C$8+'01_원자료'!R624*'03_가중치민감도'!$D$8</f>
        <v>0.45986609981613913</v>
      </c>
      <c r="I627" s="17">
        <f>'01_원자료'!P624*'03_가중치민감도'!$B$9+'01_원자료'!Q624*'03_가중치민감도'!$C$9+'01_원자료'!R624*'03_가중치민감도'!$D$9</f>
        <v>0.48796055577008779</v>
      </c>
      <c r="J627" s="17">
        <f>'01_원자료'!P624*'03_가중치민감도'!$B$10+'01_원자료'!Q624*'03_가중치민감도'!$C$10+'01_원자료'!R624*'03_가중치민감도'!$D$10</f>
        <v>0.61556938229880842</v>
      </c>
      <c r="K627" s="31">
        <f t="shared" si="54"/>
        <v>247</v>
      </c>
      <c r="L627" s="31">
        <f t="shared" si="55"/>
        <v>188</v>
      </c>
      <c r="M627" s="31">
        <f t="shared" si="56"/>
        <v>287</v>
      </c>
      <c r="N627" s="31">
        <f t="shared" si="57"/>
        <v>144</v>
      </c>
      <c r="O627" s="31">
        <f t="shared" si="58"/>
        <v>189</v>
      </c>
      <c r="P627" s="31">
        <f t="shared" si="59"/>
        <v>227</v>
      </c>
    </row>
    <row r="628" spans="1:16">
      <c r="A628" s="2" t="str">
        <f>'01_원자료'!A625</f>
        <v>RPT-11</v>
      </c>
      <c r="B628" s="2" t="str">
        <f>'01_원자료'!B625</f>
        <v>gemini</v>
      </c>
      <c r="C628" s="2" t="str">
        <f>'01_원자료'!C625</f>
        <v>qwen</v>
      </c>
      <c r="E628" s="17">
        <f>'01_원자료'!P625*'03_가중치민감도'!$B$5+'01_원자료'!Q625*'03_가중치민감도'!$C$5+'01_원자료'!R625*'03_가중치민감도'!$D$5</f>
        <v>0.75395921847224778</v>
      </c>
      <c r="F628" s="17">
        <f>'01_원자료'!P625*'03_가중치민감도'!$B$6+'01_원자료'!Q625*'03_가중치민감도'!$C$6+'01_원자료'!R625*'03_가중치민감도'!$D$6</f>
        <v>0.64366689260681653</v>
      </c>
      <c r="G628" s="17">
        <f>'01_원자료'!P625*'03_가중치민감도'!$B$7+'01_원자료'!Q625*'03_가중치민감도'!$C$7+'01_원자료'!R625*'03_가중치민감도'!$D$7</f>
        <v>0.74755771597979237</v>
      </c>
      <c r="H628" s="17">
        <f>'01_원자료'!P625*'03_가중치민감도'!$B$8+'01_원자료'!Q625*'03_가중치민감도'!$C$8+'01_원자료'!R625*'03_가중치민감도'!$D$8</f>
        <v>0.78596673093452496</v>
      </c>
      <c r="I628" s="17">
        <f>'01_원자료'!P625*'03_가중치민감도'!$B$9+'01_원자료'!Q625*'03_가중치민감도'!$C$9+'01_원자료'!R625*'03_가중치민감도'!$D$9</f>
        <v>0.68256483539277801</v>
      </c>
      <c r="J628" s="17">
        <f>'01_원자료'!P625*'03_가중치민감도'!$B$10+'01_원자료'!Q625*'03_가중치민감도'!$C$10+'01_원자료'!R625*'03_가중치민감도'!$D$10</f>
        <v>0.87705454932258997</v>
      </c>
      <c r="K628" s="31">
        <f t="shared" si="54"/>
        <v>958</v>
      </c>
      <c r="L628" s="31">
        <f t="shared" si="55"/>
        <v>944</v>
      </c>
      <c r="M628" s="31">
        <f t="shared" si="56"/>
        <v>959</v>
      </c>
      <c r="N628" s="31">
        <f t="shared" si="57"/>
        <v>949</v>
      </c>
      <c r="O628" s="31">
        <f t="shared" si="58"/>
        <v>949</v>
      </c>
      <c r="P628" s="31">
        <f t="shared" si="59"/>
        <v>959</v>
      </c>
    </row>
    <row r="629" spans="1:16">
      <c r="A629" s="2" t="str">
        <f>'01_원자료'!A626</f>
        <v>RPT-11</v>
      </c>
      <c r="B629" s="2" t="str">
        <f>'01_원자료'!B626</f>
        <v>mistral</v>
      </c>
      <c r="C629" s="2" t="str">
        <f>'01_원자료'!C626</f>
        <v>gemma</v>
      </c>
      <c r="E629" s="17">
        <f>'01_원자료'!P626*'03_가중치민감도'!$B$5+'01_원자료'!Q626*'03_가중치민감도'!$C$5+'01_원자료'!R626*'03_가중치민감도'!$D$5</f>
        <v>0.6625702093492789</v>
      </c>
      <c r="F629" s="17">
        <f>'01_원자료'!P626*'03_가중치민감도'!$B$6+'01_원자료'!Q626*'03_가중치민감도'!$C$6+'01_원자료'!R626*'03_가중치민감도'!$D$6</f>
        <v>0.55504729308658252</v>
      </c>
      <c r="G629" s="17">
        <f>'01_원자료'!P626*'03_가중치민감도'!$B$7+'01_원자료'!Q626*'03_가중치민감도'!$C$7+'01_원자료'!R626*'03_가중치민감도'!$D$7</f>
        <v>0.66226070811079285</v>
      </c>
      <c r="H629" s="17">
        <f>'01_원자료'!P626*'03_가중치민감도'!$B$8+'01_원자료'!Q626*'03_가중치민감도'!$C$8+'01_원자료'!R626*'03_가중치민감도'!$D$8</f>
        <v>0.66411771554170873</v>
      </c>
      <c r="I629" s="17">
        <f>'01_원자료'!P626*'03_가중치민감도'!$B$9+'01_원자료'!Q626*'03_가중치민감도'!$C$9+'01_원자료'!R626*'03_가중치민감도'!$D$9</f>
        <v>0.5909914322536427</v>
      </c>
      <c r="J629" s="17">
        <f>'01_원자료'!P626*'03_가중치민감도'!$B$10+'01_원자료'!Q626*'03_가중치민감도'!$C$10+'01_원자료'!R626*'03_가중치민감도'!$D$10</f>
        <v>0.77071212808894707</v>
      </c>
      <c r="K629" s="31">
        <f t="shared" si="54"/>
        <v>685</v>
      </c>
      <c r="L629" s="31">
        <f t="shared" si="55"/>
        <v>613</v>
      </c>
      <c r="M629" s="31">
        <f t="shared" si="56"/>
        <v>679</v>
      </c>
      <c r="N629" s="31">
        <f t="shared" si="57"/>
        <v>681</v>
      </c>
      <c r="O629" s="31">
        <f t="shared" si="58"/>
        <v>635</v>
      </c>
      <c r="P629" s="31">
        <f t="shared" si="59"/>
        <v>721</v>
      </c>
    </row>
    <row r="630" spans="1:16">
      <c r="A630" s="2" t="str">
        <f>'01_원자료'!A627</f>
        <v>RPT-11</v>
      </c>
      <c r="B630" s="2" t="str">
        <f>'01_원자료'!B627</f>
        <v>mistral</v>
      </c>
      <c r="C630" s="2" t="str">
        <f>'01_원자료'!C627</f>
        <v>ministral</v>
      </c>
      <c r="E630" s="17">
        <f>'01_원자료'!P627*'03_가중치민감도'!$B$5+'01_원자료'!Q627*'03_가중치민감도'!$C$5+'01_원자료'!R627*'03_가중치민감도'!$D$5</f>
        <v>0.54902828820997329</v>
      </c>
      <c r="F630" s="17">
        <f>'01_원자료'!P627*'03_가중치민감도'!$B$6+'01_원자료'!Q627*'03_가중치민감도'!$C$6+'01_원자료'!R627*'03_가중치민감도'!$D$6</f>
        <v>0.46060295752842417</v>
      </c>
      <c r="G630" s="17">
        <f>'01_원자료'!P627*'03_가중치민감도'!$B$7+'01_원자료'!Q627*'03_가중치민감도'!$C$7+'01_원자료'!R627*'03_가중치민감도'!$D$7</f>
        <v>0.56719497568397714</v>
      </c>
      <c r="H630" s="17">
        <f>'01_원자료'!P627*'03_가중치민감도'!$B$8+'01_원자료'!Q627*'03_가중치민감도'!$C$8+'01_원자료'!R627*'03_가중치민감도'!$D$8</f>
        <v>0.45819485083995393</v>
      </c>
      <c r="I630" s="17">
        <f>'01_원자료'!P627*'03_가중치민감도'!$B$9+'01_원자료'!Q627*'03_가중치민감도'!$C$9+'01_원자료'!R627*'03_가중치민감도'!$D$9</f>
        <v>0.48402250526427204</v>
      </c>
      <c r="J630" s="17">
        <f>'01_원자료'!P627*'03_가중치민감도'!$B$10+'01_원자료'!Q627*'03_가중치민감도'!$C$10+'01_원자료'!R627*'03_가중치민감도'!$D$10</f>
        <v>0.60112024394351471</v>
      </c>
      <c r="K630" s="31">
        <f t="shared" si="54"/>
        <v>202</v>
      </c>
      <c r="L630" s="31">
        <f t="shared" si="55"/>
        <v>181</v>
      </c>
      <c r="M630" s="31">
        <f t="shared" si="56"/>
        <v>236</v>
      </c>
      <c r="N630" s="31">
        <f t="shared" si="57"/>
        <v>142</v>
      </c>
      <c r="O630" s="31">
        <f t="shared" si="58"/>
        <v>177</v>
      </c>
      <c r="P630" s="31">
        <f t="shared" si="59"/>
        <v>193</v>
      </c>
    </row>
    <row r="631" spans="1:16">
      <c r="A631" s="2" t="str">
        <f>'01_원자료'!A628</f>
        <v>RPT-11</v>
      </c>
      <c r="B631" s="2" t="str">
        <f>'01_원자료'!B628</f>
        <v>mistral</v>
      </c>
      <c r="C631" s="2" t="str">
        <f>'01_원자료'!C628</f>
        <v>qwen</v>
      </c>
      <c r="E631" s="17">
        <f>'01_원자료'!P628*'03_가중치민감도'!$B$5+'01_원자료'!Q628*'03_가중치민감도'!$C$5+'01_원자료'!R628*'03_가중치민감도'!$D$5</f>
        <v>0.6801234735526519</v>
      </c>
      <c r="F631" s="17">
        <f>'01_원자료'!P628*'03_가중치민감도'!$B$6+'01_원자료'!Q628*'03_가중치민감도'!$C$6+'01_원자료'!R628*'03_가중치민감도'!$D$6</f>
        <v>0.57958556161475483</v>
      </c>
      <c r="G631" s="17">
        <f>'01_원자료'!P628*'03_가중치민감도'!$B$7+'01_원자료'!Q628*'03_가중치민감도'!$C$7+'01_원자료'!R628*'03_가중치민감도'!$D$7</f>
        <v>0.68069466063738049</v>
      </c>
      <c r="H631" s="17">
        <f>'01_원자료'!P628*'03_가중치민감도'!$B$8+'01_원자료'!Q628*'03_가중치민감도'!$C$8+'01_원자료'!R628*'03_가중치민감도'!$D$8</f>
        <v>0.67726753812900942</v>
      </c>
      <c r="I631" s="17">
        <f>'01_원자료'!P628*'03_가중치민감도'!$B$9+'01_원자료'!Q628*'03_가중치민감도'!$C$9+'01_원자료'!R628*'03_가중치민감도'!$D$9</f>
        <v>0.61290780323247707</v>
      </c>
      <c r="J631" s="17">
        <f>'01_원자료'!P628*'03_가중치민감도'!$B$10+'01_원자료'!Q628*'03_가중치민감도'!$C$10+'01_원자료'!R628*'03_가중치민감도'!$D$10</f>
        <v>0.77951901132109191</v>
      </c>
      <c r="K631" s="31">
        <f t="shared" si="54"/>
        <v>758</v>
      </c>
      <c r="L631" s="31">
        <f t="shared" si="55"/>
        <v>733</v>
      </c>
      <c r="M631" s="31">
        <f t="shared" si="56"/>
        <v>765</v>
      </c>
      <c r="N631" s="31">
        <f t="shared" si="57"/>
        <v>714</v>
      </c>
      <c r="O631" s="31">
        <f t="shared" si="58"/>
        <v>738</v>
      </c>
      <c r="P631" s="31">
        <f t="shared" si="59"/>
        <v>754</v>
      </c>
    </row>
    <row r="632" spans="1:16">
      <c r="A632" s="2" t="str">
        <f>'01_원자료'!A629</f>
        <v>RPT-11</v>
      </c>
      <c r="B632" s="2" t="str">
        <f>'01_원자료'!B629</f>
        <v>qwen3_6</v>
      </c>
      <c r="C632" s="2" t="str">
        <f>'01_원자료'!C629</f>
        <v>gemma</v>
      </c>
      <c r="E632" s="17">
        <f>'01_원자료'!P629*'03_가중치민감도'!$B$5+'01_원자료'!Q629*'03_가중치민감도'!$C$5+'01_원자료'!R629*'03_가중치민감도'!$D$5</f>
        <v>0.74199291054756655</v>
      </c>
      <c r="F632" s="17">
        <f>'01_원자료'!P629*'03_가중치민감도'!$B$6+'01_원자료'!Q629*'03_가중치민감도'!$C$6+'01_원자료'!R629*'03_가중치민감도'!$D$6</f>
        <v>0.6402909239832324</v>
      </c>
      <c r="G632" s="17">
        <f>'01_원자료'!P629*'03_가중치민감도'!$B$7+'01_원자료'!Q629*'03_가중치민감도'!$C$7+'01_원자료'!R629*'03_가중치민감도'!$D$7</f>
        <v>0.73387835411962954</v>
      </c>
      <c r="H632" s="17">
        <f>'01_원자료'!P629*'03_가중치민감도'!$B$8+'01_원자료'!Q629*'03_가중치민감도'!$C$8+'01_원자료'!R629*'03_가중치민감도'!$D$8</f>
        <v>0.7825656926872514</v>
      </c>
      <c r="I632" s="17">
        <f>'01_원자료'!P629*'03_가중치민감도'!$B$9+'01_원자료'!Q629*'03_가중치민감도'!$C$9+'01_원자료'!R629*'03_가중치민감도'!$D$9</f>
        <v>0.67689643831398871</v>
      </c>
      <c r="J632" s="17">
        <f>'01_원자료'!P629*'03_가중치민감도'!$B$10+'01_원자료'!Q629*'03_가중치민감도'!$C$10+'01_원자료'!R629*'03_가중치민감도'!$D$10</f>
        <v>0.85992400996777463</v>
      </c>
      <c r="K632" s="31">
        <f t="shared" si="54"/>
        <v>931</v>
      </c>
      <c r="L632" s="31">
        <f t="shared" si="55"/>
        <v>938</v>
      </c>
      <c r="M632" s="31">
        <f t="shared" si="56"/>
        <v>928</v>
      </c>
      <c r="N632" s="31">
        <f t="shared" si="57"/>
        <v>943</v>
      </c>
      <c r="O632" s="31">
        <f t="shared" si="58"/>
        <v>941</v>
      </c>
      <c r="P632" s="31">
        <f t="shared" si="59"/>
        <v>917</v>
      </c>
    </row>
    <row r="633" spans="1:16">
      <c r="A633" s="2" t="str">
        <f>'01_원자료'!A630</f>
        <v>RPT-11</v>
      </c>
      <c r="B633" s="2" t="str">
        <f>'01_원자료'!B630</f>
        <v>qwen3_6</v>
      </c>
      <c r="C633" s="2" t="str">
        <f>'01_원자료'!C630</f>
        <v>ministral</v>
      </c>
      <c r="E633" s="17">
        <f>'01_원자료'!P630*'03_가중치민감도'!$B$5+'01_원자료'!Q630*'03_가중치민감도'!$C$5+'01_원자료'!R630*'03_가중치민감도'!$D$5</f>
        <v>0.52900007477205258</v>
      </c>
      <c r="F633" s="17">
        <f>'01_원자료'!P630*'03_가중치민감도'!$B$6+'01_원자료'!Q630*'03_가중치민감도'!$C$6+'01_원자료'!R630*'03_가중치민감도'!$D$6</f>
        <v>0.44697066017038611</v>
      </c>
      <c r="G633" s="17">
        <f>'01_원자료'!P630*'03_가중치민감도'!$B$7+'01_원자료'!Q630*'03_가중치민감도'!$C$7+'01_원자료'!R630*'03_가중치민감도'!$D$7</f>
        <v>0.54510883089609452</v>
      </c>
      <c r="H633" s="17">
        <f>'01_원자료'!P630*'03_가중치민감도'!$B$8+'01_원자료'!Q630*'03_가중치민감도'!$C$8+'01_원자료'!R630*'03_가중치민감도'!$D$8</f>
        <v>0.44845629415184274</v>
      </c>
      <c r="I633" s="17">
        <f>'01_원자료'!P630*'03_가중치민감도'!$B$9+'01_원자료'!Q630*'03_가중치민감도'!$C$9+'01_원자료'!R630*'03_가중치민감도'!$D$9</f>
        <v>0.46894421299626049</v>
      </c>
      <c r="J633" s="17">
        <f>'01_원자료'!P630*'03_가중치민감도'!$B$10+'01_원자료'!Q630*'03_가중치민감도'!$C$10+'01_원자료'!R630*'03_가중치민감도'!$D$10</f>
        <v>0.57881197712563504</v>
      </c>
      <c r="K633" s="31">
        <f t="shared" si="54"/>
        <v>129</v>
      </c>
      <c r="L633" s="31">
        <f t="shared" si="55"/>
        <v>127</v>
      </c>
      <c r="M633" s="31">
        <f t="shared" si="56"/>
        <v>129</v>
      </c>
      <c r="N633" s="31">
        <f t="shared" si="57"/>
        <v>135</v>
      </c>
      <c r="O633" s="31">
        <f t="shared" si="58"/>
        <v>128</v>
      </c>
      <c r="P633" s="31">
        <f t="shared" si="59"/>
        <v>127</v>
      </c>
    </row>
    <row r="634" spans="1:16">
      <c r="A634" s="2" t="str">
        <f>'01_원자료'!A631</f>
        <v>RPT-11</v>
      </c>
      <c r="B634" s="2" t="str">
        <f>'01_원자료'!B631</f>
        <v>qwen3_6</v>
      </c>
      <c r="C634" s="2" t="str">
        <f>'01_원자료'!C631</f>
        <v>qwen</v>
      </c>
      <c r="E634" s="17">
        <f>'01_원자료'!P631*'03_가중치민감도'!$B$5+'01_원자료'!Q631*'03_가중치민감도'!$C$5+'01_원자료'!R631*'03_가중치민감도'!$D$5</f>
        <v>0.74549009067561334</v>
      </c>
      <c r="F634" s="17">
        <f>'01_원자료'!P631*'03_가중치민감도'!$B$6+'01_원자료'!Q631*'03_가중치민감도'!$C$6+'01_원자료'!R631*'03_가중치민감도'!$D$6</f>
        <v>0.64807403676822561</v>
      </c>
      <c r="G634" s="17">
        <f>'01_원자료'!P631*'03_가중치민감도'!$B$7+'01_원자료'!Q631*'03_가중치민감도'!$C$7+'01_원자료'!R631*'03_가중치민감도'!$D$7</f>
        <v>0.73730980487026798</v>
      </c>
      <c r="H634" s="17">
        <f>'01_원자료'!P631*'03_가중치민감도'!$B$8+'01_원자료'!Q631*'03_가중치민감도'!$C$8+'01_원자료'!R631*'03_가중치민감도'!$D$8</f>
        <v>0.78639151970233967</v>
      </c>
      <c r="I634" s="17">
        <f>'01_원자료'!P631*'03_가중치민감도'!$B$9+'01_원자료'!Q631*'03_가중치민감도'!$C$9+'01_원자료'!R631*'03_가중치민감도'!$D$9</f>
        <v>0.68327281667246931</v>
      </c>
      <c r="J634" s="17">
        <f>'01_원자료'!P631*'03_가중치민감도'!$B$10+'01_원자료'!Q631*'03_가중치민감도'!$C$10+'01_원자료'!R631*'03_가중치민감도'!$D$10</f>
        <v>0.85926671619369155</v>
      </c>
      <c r="K634" s="31">
        <f t="shared" si="54"/>
        <v>944</v>
      </c>
      <c r="L634" s="31">
        <f t="shared" si="55"/>
        <v>950</v>
      </c>
      <c r="M634" s="31">
        <f t="shared" si="56"/>
        <v>941</v>
      </c>
      <c r="N634" s="31">
        <f t="shared" si="57"/>
        <v>950</v>
      </c>
      <c r="O634" s="31">
        <f t="shared" si="58"/>
        <v>950</v>
      </c>
      <c r="P634" s="31">
        <f t="shared" si="59"/>
        <v>915</v>
      </c>
    </row>
    <row r="635" spans="1:16">
      <c r="A635" s="2" t="str">
        <f>'01_원자료'!A632</f>
        <v>RPT-12</v>
      </c>
      <c r="B635" s="2" t="str">
        <f>'01_원자료'!B632</f>
        <v>chatgpt</v>
      </c>
      <c r="C635" s="2" t="str">
        <f>'01_원자료'!C632</f>
        <v>gemma</v>
      </c>
      <c r="E635" s="17">
        <f>'01_원자료'!P632*'03_가중치민감도'!$B$5+'01_원자료'!Q632*'03_가중치민감도'!$C$5+'01_원자료'!R632*'03_가중치민감도'!$D$5</f>
        <v>0.56022938216074791</v>
      </c>
      <c r="F635" s="17">
        <f>'01_원자료'!P632*'03_가중치민감도'!$B$6+'01_원자료'!Q632*'03_가중치민감도'!$C$6+'01_원자료'!R632*'03_가중치민감도'!$D$6</f>
        <v>0.47342796476763671</v>
      </c>
      <c r="G635" s="17">
        <f>'01_원자료'!P632*'03_가중치민감도'!$B$7+'01_원자료'!Q632*'03_가중치민감도'!$C$7+'01_원자료'!R632*'03_가중치민감도'!$D$7</f>
        <v>0.56613098597859912</v>
      </c>
      <c r="H635" s="17">
        <f>'01_원자료'!P632*'03_가중치민감도'!$B$8+'01_원자료'!Q632*'03_가중치민감도'!$C$8+'01_원자료'!R632*'03_가중치민감도'!$D$8</f>
        <v>0.53072136307149154</v>
      </c>
      <c r="I635" s="17">
        <f>'01_원자료'!P632*'03_가중치민감도'!$B$9+'01_원자료'!Q632*'03_가중치민감도'!$C$9+'01_원자료'!R632*'03_가중치민감도'!$D$9</f>
        <v>0.50039456929272286</v>
      </c>
      <c r="J635" s="17">
        <f>'01_원자료'!P632*'03_가중치민감도'!$B$10+'01_원자료'!Q632*'03_가중치민감도'!$C$10+'01_원자료'!R632*'03_가중치민감도'!$D$10</f>
        <v>0.63522759191815648</v>
      </c>
      <c r="K635" s="31">
        <f t="shared" si="54"/>
        <v>252</v>
      </c>
      <c r="L635" s="31">
        <f t="shared" si="55"/>
        <v>232</v>
      </c>
      <c r="M635" s="31">
        <f t="shared" si="56"/>
        <v>229</v>
      </c>
      <c r="N635" s="31">
        <f t="shared" si="57"/>
        <v>279</v>
      </c>
      <c r="O635" s="31">
        <f t="shared" si="58"/>
        <v>247</v>
      </c>
      <c r="P635" s="31">
        <f t="shared" si="59"/>
        <v>275</v>
      </c>
    </row>
    <row r="636" spans="1:16">
      <c r="A636" s="2" t="str">
        <f>'01_원자료'!A633</f>
        <v>RPT-12</v>
      </c>
      <c r="B636" s="2" t="str">
        <f>'01_원자료'!B633</f>
        <v>chatgpt</v>
      </c>
      <c r="C636" s="2" t="str">
        <f>'01_원자료'!C633</f>
        <v>ministral</v>
      </c>
      <c r="E636" s="17">
        <f>'01_원자료'!P633*'03_가중치민감도'!$B$5+'01_원자료'!Q633*'03_가중치민감도'!$C$5+'01_원자료'!R633*'03_가중치민감도'!$D$5</f>
        <v>0.48003147065540941</v>
      </c>
      <c r="F636" s="17">
        <f>'01_원자료'!P633*'03_가중치민감도'!$B$6+'01_원자료'!Q633*'03_가중치민감도'!$C$6+'01_원자료'!R633*'03_가중치민감도'!$D$6</f>
        <v>0.4093515758336338</v>
      </c>
      <c r="G636" s="17">
        <f>'01_원자료'!P633*'03_가중치민감도'!$B$7+'01_원자료'!Q633*'03_가중치민감도'!$C$7+'01_원자료'!R633*'03_가중치민감도'!$D$7</f>
        <v>0.50002191071018376</v>
      </c>
      <c r="H636" s="17">
        <f>'01_원자료'!P633*'03_가중치민감도'!$B$8+'01_원자료'!Q633*'03_가중치민감도'!$C$8+'01_원자료'!R633*'03_가중치민감도'!$D$8</f>
        <v>0.38007927038153755</v>
      </c>
      <c r="I636" s="17">
        <f>'01_원자료'!P633*'03_가중치민감도'!$B$9+'01_원자료'!Q633*'03_가중치민감도'!$C$9+'01_원자료'!R633*'03_가중치민감도'!$D$9</f>
        <v>0.42624806075596705</v>
      </c>
      <c r="J636" s="17">
        <f>'01_원자료'!P633*'03_가중치민감도'!$B$10+'01_원자료'!Q633*'03_가중치민감도'!$C$10+'01_원자료'!R633*'03_가중치민감도'!$D$10</f>
        <v>0.51073048536763632</v>
      </c>
      <c r="K636" s="31">
        <f t="shared" si="54"/>
        <v>17</v>
      </c>
      <c r="L636" s="31">
        <f t="shared" si="55"/>
        <v>31</v>
      </c>
      <c r="M636" s="31">
        <f t="shared" si="56"/>
        <v>17</v>
      </c>
      <c r="N636" s="31">
        <f t="shared" si="57"/>
        <v>20</v>
      </c>
      <c r="O636" s="31">
        <f t="shared" si="58"/>
        <v>23</v>
      </c>
      <c r="P636" s="31">
        <f t="shared" si="59"/>
        <v>14</v>
      </c>
    </row>
    <row r="637" spans="1:16">
      <c r="A637" s="2" t="str">
        <f>'01_원자료'!A634</f>
        <v>RPT-12</v>
      </c>
      <c r="B637" s="2" t="str">
        <f>'01_원자료'!B634</f>
        <v>chatgpt</v>
      </c>
      <c r="C637" s="2" t="str">
        <f>'01_원자료'!C634</f>
        <v>qwen</v>
      </c>
      <c r="E637" s="17">
        <f>'01_원자료'!P634*'03_가중치민감도'!$B$5+'01_원자료'!Q634*'03_가중치민감도'!$C$5+'01_원자료'!R634*'03_가중치민감도'!$D$5</f>
        <v>0.53431611828835113</v>
      </c>
      <c r="F637" s="17">
        <f>'01_원자료'!P634*'03_가중치민감도'!$B$6+'01_원자료'!Q634*'03_가중치민감도'!$C$6+'01_원자료'!R634*'03_가중치민감도'!$D$6</f>
        <v>0.47004811285867998</v>
      </c>
      <c r="G637" s="17">
        <f>'01_원자료'!P634*'03_가중치민감도'!$B$7+'01_원자료'!Q634*'03_가중치민감도'!$C$7+'01_원자료'!R634*'03_가중치민감도'!$D$7</f>
        <v>0.54211058651064414</v>
      </c>
      <c r="H637" s="17">
        <f>'01_원자료'!P634*'03_가중치민감도'!$B$8+'01_원자료'!Q634*'03_가중치민감도'!$C$8+'01_원자료'!R634*'03_가중치민감도'!$D$8</f>
        <v>0.4953437771768856</v>
      </c>
      <c r="I637" s="17">
        <f>'01_원자료'!P634*'03_가중치민감도'!$B$9+'01_원자료'!Q634*'03_가중치민감도'!$C$9+'01_원자료'!R634*'03_가중치민감도'!$D$9</f>
        <v>0.48887262526113878</v>
      </c>
      <c r="J637" s="17">
        <f>'01_원자료'!P634*'03_가중치민감도'!$B$10+'01_원자료'!Q634*'03_가중치민감도'!$C$10+'01_원자료'!R634*'03_가중치민감도'!$D$10</f>
        <v>0.58299518727343602</v>
      </c>
      <c r="K637" s="31">
        <f t="shared" si="54"/>
        <v>151</v>
      </c>
      <c r="L637" s="31">
        <f t="shared" si="55"/>
        <v>217</v>
      </c>
      <c r="M637" s="31">
        <f t="shared" si="56"/>
        <v>117</v>
      </c>
      <c r="N637" s="31">
        <f t="shared" si="57"/>
        <v>215</v>
      </c>
      <c r="O637" s="31">
        <f t="shared" si="58"/>
        <v>197</v>
      </c>
      <c r="P637" s="31">
        <f t="shared" si="59"/>
        <v>137</v>
      </c>
    </row>
    <row r="638" spans="1:16">
      <c r="A638" s="2" t="str">
        <f>'01_원자료'!A635</f>
        <v>RPT-12</v>
      </c>
      <c r="B638" s="2" t="str">
        <f>'01_원자료'!B635</f>
        <v>claude</v>
      </c>
      <c r="C638" s="2" t="str">
        <f>'01_원자료'!C635</f>
        <v>gemma</v>
      </c>
      <c r="E638" s="17">
        <f>'01_원자료'!P635*'03_가중치민감도'!$B$5+'01_원자료'!Q635*'03_가중치민감도'!$C$5+'01_원자료'!R635*'03_가중치민감도'!$D$5</f>
        <v>0.62363385728460297</v>
      </c>
      <c r="F638" s="17">
        <f>'01_원자료'!P635*'03_가중치민감도'!$B$6+'01_원자료'!Q635*'03_가중치민감도'!$C$6+'01_원자료'!R635*'03_가중치민감도'!$D$6</f>
        <v>0.52940837723143908</v>
      </c>
      <c r="G638" s="17">
        <f>'01_원자료'!P635*'03_가중치민감도'!$B$7+'01_원자료'!Q635*'03_가중치민감도'!$C$7+'01_원자료'!R635*'03_가중치민감도'!$D$7</f>
        <v>0.62544575299396166</v>
      </c>
      <c r="H638" s="17">
        <f>'01_원자료'!P635*'03_가중치민감도'!$B$8+'01_원자료'!Q635*'03_가중치민감도'!$C$8+'01_원자료'!R635*'03_가중치민감도'!$D$8</f>
        <v>0.61457437873780951</v>
      </c>
      <c r="I638" s="17">
        <f>'01_원자료'!P635*'03_가중치민감도'!$B$9+'01_원자료'!Q635*'03_가중치민감도'!$C$9+'01_원자료'!R635*'03_가중치민감도'!$D$9</f>
        <v>0.56021290534604018</v>
      </c>
      <c r="J638" s="17">
        <f>'01_원자료'!P635*'03_가중치민감도'!$B$10+'01_원자료'!Q635*'03_가중치민감도'!$C$10+'01_원자료'!R635*'03_가중치민감도'!$D$10</f>
        <v>0.71423554591904947</v>
      </c>
      <c r="K638" s="31">
        <f t="shared" si="54"/>
        <v>506</v>
      </c>
      <c r="L638" s="31">
        <f t="shared" si="55"/>
        <v>496</v>
      </c>
      <c r="M638" s="31">
        <f t="shared" si="56"/>
        <v>489</v>
      </c>
      <c r="N638" s="31">
        <f t="shared" si="57"/>
        <v>533</v>
      </c>
      <c r="O638" s="31">
        <f t="shared" si="58"/>
        <v>501</v>
      </c>
      <c r="P638" s="31">
        <f t="shared" si="59"/>
        <v>516</v>
      </c>
    </row>
    <row r="639" spans="1:16">
      <c r="A639" s="2" t="str">
        <f>'01_원자료'!A636</f>
        <v>RPT-12</v>
      </c>
      <c r="B639" s="2" t="str">
        <f>'01_원자료'!B636</f>
        <v>claude</v>
      </c>
      <c r="C639" s="2" t="str">
        <f>'01_원자료'!C636</f>
        <v>ministral</v>
      </c>
      <c r="E639" s="17">
        <f>'01_원자료'!P636*'03_가중치민감도'!$B$5+'01_원자료'!Q636*'03_가중치민감도'!$C$5+'01_원자료'!R636*'03_가중치민감도'!$D$5</f>
        <v>0.50991912800871986</v>
      </c>
      <c r="F639" s="17">
        <f>'01_원자료'!P636*'03_가중치민감도'!$B$6+'01_원자료'!Q636*'03_가중치민감도'!$C$6+'01_원자료'!R636*'03_가중치민감도'!$D$6</f>
        <v>0.43148897272044806</v>
      </c>
      <c r="G639" s="17">
        <f>'01_원자료'!P636*'03_가중치민감도'!$B$7+'01_원자료'!Q636*'03_가중치민감도'!$C$7+'01_원자료'!R636*'03_가중치민감도'!$D$7</f>
        <v>0.526752939939789</v>
      </c>
      <c r="H639" s="17">
        <f>'01_원자료'!P636*'03_가중치민감도'!$B$8+'01_원자료'!Q636*'03_가중치민감도'!$C$8+'01_원자료'!R636*'03_가중치민감도'!$D$8</f>
        <v>0.42575006835337431</v>
      </c>
      <c r="I639" s="17">
        <f>'01_원자료'!P636*'03_가중치민감도'!$B$9+'01_원자료'!Q636*'03_가중치민감도'!$C$9+'01_원자료'!R636*'03_가중치민감도'!$D$9</f>
        <v>0.4520210871728485</v>
      </c>
      <c r="J639" s="17">
        <f>'01_원자료'!P636*'03_가중치민감도'!$B$10+'01_원자료'!Q636*'03_가중치민감도'!$C$10+'01_원자료'!R636*'03_가중치민감도'!$D$10</f>
        <v>0.55468165943485348</v>
      </c>
      <c r="K639" s="31">
        <f t="shared" si="54"/>
        <v>66</v>
      </c>
      <c r="L639" s="31">
        <f t="shared" si="55"/>
        <v>74</v>
      </c>
      <c r="M639" s="31">
        <f t="shared" si="56"/>
        <v>63</v>
      </c>
      <c r="N639" s="31">
        <f t="shared" si="57"/>
        <v>99</v>
      </c>
      <c r="O639" s="31">
        <f t="shared" si="58"/>
        <v>73</v>
      </c>
      <c r="P639" s="31">
        <f t="shared" si="59"/>
        <v>74</v>
      </c>
    </row>
    <row r="640" spans="1:16">
      <c r="A640" s="2" t="str">
        <f>'01_원자료'!A637</f>
        <v>RPT-12</v>
      </c>
      <c r="B640" s="2" t="str">
        <f>'01_원자료'!B637</f>
        <v>claude</v>
      </c>
      <c r="C640" s="2" t="str">
        <f>'01_원자료'!C637</f>
        <v>qwen</v>
      </c>
      <c r="E640" s="17">
        <f>'01_원자료'!P637*'03_가중치민감도'!$B$5+'01_원자료'!Q637*'03_가중치민감도'!$C$5+'01_원자료'!R637*'03_가중치민감도'!$D$5</f>
        <v>0.67637335811029931</v>
      </c>
      <c r="F640" s="17">
        <f>'01_원자료'!P637*'03_가중치민감도'!$B$6+'01_원자료'!Q637*'03_가중치민감도'!$C$6+'01_원자료'!R637*'03_가중치민감도'!$D$6</f>
        <v>0.5881434747049612</v>
      </c>
      <c r="G640" s="17">
        <f>'01_원자료'!P637*'03_가중치민감도'!$B$7+'01_원자료'!Q637*'03_가중치민감도'!$C$7+'01_원자료'!R637*'03_가중치민감도'!$D$7</f>
        <v>0.67261350311407464</v>
      </c>
      <c r="H640" s="17">
        <f>'01_원자료'!P637*'03_가중치민감도'!$B$8+'01_원자료'!Q637*'03_가중치민감도'!$C$8+'01_원자료'!R637*'03_가중치민감도'!$D$8</f>
        <v>0.69517263309142274</v>
      </c>
      <c r="I640" s="17">
        <f>'01_원자료'!P637*'03_가중치민감도'!$B$9+'01_원자료'!Q637*'03_가중치민감도'!$C$9+'01_원자료'!R637*'03_가중치민감도'!$D$9</f>
        <v>0.61880672083881483</v>
      </c>
      <c r="J640" s="17">
        <f>'01_원자료'!P637*'03_가중치민감도'!$B$10+'01_원자료'!Q637*'03_가중치민감도'!$C$10+'01_원자료'!R637*'03_가중치민감도'!$D$10</f>
        <v>0.77212295150808685</v>
      </c>
      <c r="K640" s="31">
        <f t="shared" si="54"/>
        <v>740</v>
      </c>
      <c r="L640" s="31">
        <f t="shared" si="55"/>
        <v>762</v>
      </c>
      <c r="M640" s="31">
        <f t="shared" si="56"/>
        <v>728</v>
      </c>
      <c r="N640" s="31">
        <f t="shared" si="57"/>
        <v>770</v>
      </c>
      <c r="O640" s="31">
        <f t="shared" si="58"/>
        <v>759</v>
      </c>
      <c r="P640" s="31">
        <f t="shared" si="59"/>
        <v>729</v>
      </c>
    </row>
    <row r="641" spans="1:16">
      <c r="A641" s="2" t="str">
        <f>'01_원자료'!A638</f>
        <v>RPT-12</v>
      </c>
      <c r="B641" s="2" t="str">
        <f>'01_원자료'!B638</f>
        <v>gemini</v>
      </c>
      <c r="C641" s="2" t="str">
        <f>'01_원자료'!C638</f>
        <v>gemma</v>
      </c>
      <c r="E641" s="17">
        <f>'01_원자료'!P638*'03_가중치민감도'!$B$5+'01_원자료'!Q638*'03_가중치민감도'!$C$5+'01_원자료'!R638*'03_가중치민감도'!$D$5</f>
        <v>0.74122862099885445</v>
      </c>
      <c r="F641" s="17">
        <f>'01_원자료'!P638*'03_가중치민감도'!$B$6+'01_원자료'!Q638*'03_가중치민감도'!$C$6+'01_원자료'!R638*'03_가중치민감도'!$D$6</f>
        <v>0.62980038966541407</v>
      </c>
      <c r="G641" s="17">
        <f>'01_원자료'!P638*'03_가중치민감도'!$B$7+'01_원자료'!Q638*'03_가중치민감도'!$C$7+'01_원자료'!R638*'03_가중치민감도'!$D$7</f>
        <v>0.73386089417261702</v>
      </c>
      <c r="H641" s="17">
        <f>'01_원자료'!P638*'03_가중치민감도'!$B$8+'01_원자료'!Q638*'03_가중치민감도'!$C$8+'01_원자료'!R638*'03_가중치민감도'!$D$8</f>
        <v>0.77806725513004171</v>
      </c>
      <c r="I641" s="17">
        <f>'01_원자료'!P638*'03_가중치민감도'!$B$9+'01_원자료'!Q638*'03_가중치민감도'!$C$9+'01_원자료'!R638*'03_가중치민감도'!$D$9</f>
        <v>0.66939904238530601</v>
      </c>
      <c r="J641" s="17">
        <f>'01_원자료'!P638*'03_가중치민감도'!$B$10+'01_원자료'!Q638*'03_가중치민감도'!$C$10+'01_원자료'!R638*'03_가중치민감도'!$D$10</f>
        <v>0.8673923059847698</v>
      </c>
      <c r="K641" s="31">
        <f t="shared" si="54"/>
        <v>928</v>
      </c>
      <c r="L641" s="31">
        <f t="shared" si="55"/>
        <v>920</v>
      </c>
      <c r="M641" s="31">
        <f t="shared" si="56"/>
        <v>926</v>
      </c>
      <c r="N641" s="31">
        <f t="shared" si="57"/>
        <v>929</v>
      </c>
      <c r="O641" s="31">
        <f t="shared" si="58"/>
        <v>927</v>
      </c>
      <c r="P641" s="31">
        <f t="shared" si="59"/>
        <v>940</v>
      </c>
    </row>
    <row r="642" spans="1:16">
      <c r="A642" s="2" t="str">
        <f>'01_원자료'!A639</f>
        <v>RPT-12</v>
      </c>
      <c r="B642" s="2" t="str">
        <f>'01_원자료'!B639</f>
        <v>gemini</v>
      </c>
      <c r="C642" s="2" t="str">
        <f>'01_원자료'!C639</f>
        <v>ministral</v>
      </c>
      <c r="E642" s="17">
        <f>'01_원자료'!P639*'03_가중치민감도'!$B$5+'01_원자료'!Q639*'03_가중치민감도'!$C$5+'01_원자료'!R639*'03_가중치민감도'!$D$5</f>
        <v>0.52764462872792339</v>
      </c>
      <c r="F642" s="17">
        <f>'01_원자료'!P639*'03_가중치민감도'!$B$6+'01_원자료'!Q639*'03_가중치민감도'!$C$6+'01_원자료'!R639*'03_가중치민감도'!$D$6</f>
        <v>0.43712317853173094</v>
      </c>
      <c r="G642" s="17">
        <f>'01_원자료'!P639*'03_가중치민감도'!$B$7+'01_원자료'!Q639*'03_가중치민감도'!$C$7+'01_원자료'!R639*'03_가중치민감도'!$D$7</f>
        <v>0.55009328473276409</v>
      </c>
      <c r="H642" s="17">
        <f>'01_원자료'!P639*'03_가중치민감도'!$B$8+'01_원자료'!Q639*'03_가중치민감도'!$C$8+'01_원자료'!R639*'03_가중치민감도'!$D$8</f>
        <v>0.41540134870371959</v>
      </c>
      <c r="I642" s="17">
        <f>'01_원자료'!P639*'03_가중치민감도'!$B$9+'01_원자료'!Q639*'03_가중치민감도'!$C$9+'01_원자료'!R639*'03_가중치민감도'!$D$9</f>
        <v>0.45981410992884775</v>
      </c>
      <c r="J642" s="17">
        <f>'01_원자료'!P639*'03_가중치민감도'!$B$10+'01_원자료'!Q639*'03_가중치민감도'!$C$10+'01_원자료'!R639*'03_가중치민감도'!$D$10</f>
        <v>0.57326876691443418</v>
      </c>
      <c r="K642" s="31">
        <f t="shared" si="54"/>
        <v>124</v>
      </c>
      <c r="L642" s="31">
        <f t="shared" si="55"/>
        <v>86</v>
      </c>
      <c r="M642" s="31">
        <f t="shared" si="56"/>
        <v>160</v>
      </c>
      <c r="N642" s="31">
        <f t="shared" si="57"/>
        <v>76</v>
      </c>
      <c r="O642" s="31">
        <f t="shared" si="58"/>
        <v>94</v>
      </c>
      <c r="P642" s="31">
        <f t="shared" si="59"/>
        <v>113</v>
      </c>
    </row>
    <row r="643" spans="1:16">
      <c r="A643" s="2" t="str">
        <f>'01_원자료'!A640</f>
        <v>RPT-12</v>
      </c>
      <c r="B643" s="2" t="str">
        <f>'01_원자료'!B640</f>
        <v>gemini</v>
      </c>
      <c r="C643" s="2" t="str">
        <f>'01_원자료'!C640</f>
        <v>qwen</v>
      </c>
      <c r="E643" s="17">
        <f>'01_원자료'!P640*'03_가중치민감도'!$B$5+'01_원자료'!Q640*'03_가중치민감도'!$C$5+'01_원자료'!R640*'03_가중치민감도'!$D$5</f>
        <v>0.69231984279585368</v>
      </c>
      <c r="F643" s="17">
        <f>'01_원자료'!P640*'03_가중치민감도'!$B$6+'01_원자료'!Q640*'03_가중치민감도'!$C$6+'01_원자료'!R640*'03_가중치민감도'!$D$6</f>
        <v>0.59164069463932067</v>
      </c>
      <c r="G643" s="17">
        <f>'01_원자료'!P640*'03_가중치민감도'!$B$7+'01_원자료'!Q640*'03_가중치민감도'!$C$7+'01_원자료'!R640*'03_가중치민감도'!$D$7</f>
        <v>0.69223890047511794</v>
      </c>
      <c r="H643" s="17">
        <f>'01_원자료'!P640*'03_가중치민감도'!$B$8+'01_원자료'!Q640*'03_가중치민감도'!$C$8+'01_원자료'!R640*'03_가중치민감도'!$D$8</f>
        <v>0.69272455439953284</v>
      </c>
      <c r="I643" s="17">
        <f>'01_원자료'!P640*'03_가중치민감도'!$B$9+'01_원자료'!Q640*'03_가중치민감도'!$C$9+'01_원자료'!R640*'03_가중치민감도'!$D$9</f>
        <v>0.62522739146507633</v>
      </c>
      <c r="J643" s="17">
        <f>'01_원자료'!P640*'03_가중치민감도'!$B$10+'01_원자료'!Q640*'03_가중치민감도'!$C$10+'01_원자료'!R640*'03_가중치민감도'!$D$10</f>
        <v>0.79316087559385839</v>
      </c>
      <c r="K643" s="31">
        <f t="shared" si="54"/>
        <v>793</v>
      </c>
      <c r="L643" s="31">
        <f t="shared" si="55"/>
        <v>773</v>
      </c>
      <c r="M643" s="31">
        <f t="shared" si="56"/>
        <v>805</v>
      </c>
      <c r="N643" s="31">
        <f t="shared" si="57"/>
        <v>757</v>
      </c>
      <c r="O643" s="31">
        <f t="shared" si="58"/>
        <v>776</v>
      </c>
      <c r="P643" s="31">
        <f t="shared" si="59"/>
        <v>796</v>
      </c>
    </row>
    <row r="644" spans="1:16">
      <c r="A644" s="2" t="str">
        <f>'01_원자료'!A641</f>
        <v>RPT-12</v>
      </c>
      <c r="B644" s="2" t="str">
        <f>'01_원자료'!B641</f>
        <v>mistral</v>
      </c>
      <c r="C644" s="2" t="str">
        <f>'01_원자료'!C641</f>
        <v>gemma</v>
      </c>
      <c r="E644" s="17">
        <f>'01_원자료'!P641*'03_가중치민감도'!$B$5+'01_원자료'!Q641*'03_가중치민감도'!$C$5+'01_원자료'!R641*'03_가중치민감도'!$D$5</f>
        <v>0.59606889482868441</v>
      </c>
      <c r="F644" s="17">
        <f>'01_원자료'!P641*'03_가중치민감도'!$B$6+'01_원자료'!Q641*'03_가중치민감도'!$C$6+'01_원자료'!R641*'03_가중치민감도'!$D$6</f>
        <v>0.50135299765927333</v>
      </c>
      <c r="G644" s="17">
        <f>'01_원자료'!P641*'03_가중치민감도'!$B$7+'01_원자료'!Q641*'03_가중치민감도'!$C$7+'01_원자료'!R641*'03_가중치민감도'!$D$7</f>
        <v>0.59872905447401059</v>
      </c>
      <c r="H644" s="17">
        <f>'01_원자료'!P641*'03_가중치민감도'!$B$8+'01_원자료'!Q641*'03_가중치민감도'!$C$8+'01_원자료'!R641*'03_가중치민감도'!$D$8</f>
        <v>0.5827680966020532</v>
      </c>
      <c r="I644" s="17">
        <f>'01_원자료'!P641*'03_가중치민감도'!$B$9+'01_원자료'!Q641*'03_가중치민감도'!$C$9+'01_원자료'!R641*'03_가중치민감도'!$D$9</f>
        <v>0.53203824350063433</v>
      </c>
      <c r="J644" s="17">
        <f>'01_원자료'!P641*'03_가중치민감도'!$B$10+'01_원자료'!Q641*'03_가중치민감도'!$C$10+'01_원자료'!R641*'03_가중치민감도'!$D$10</f>
        <v>0.68546447270744304</v>
      </c>
      <c r="K644" s="31">
        <f t="shared" si="54"/>
        <v>378</v>
      </c>
      <c r="L644" s="31">
        <f t="shared" si="55"/>
        <v>365</v>
      </c>
      <c r="M644" s="31">
        <f t="shared" si="56"/>
        <v>361</v>
      </c>
      <c r="N644" s="31">
        <f t="shared" si="57"/>
        <v>436</v>
      </c>
      <c r="O644" s="31">
        <f t="shared" si="58"/>
        <v>380</v>
      </c>
      <c r="P644" s="31">
        <f t="shared" si="59"/>
        <v>413</v>
      </c>
    </row>
    <row r="645" spans="1:16">
      <c r="A645" s="2" t="str">
        <f>'01_원자료'!A642</f>
        <v>RPT-12</v>
      </c>
      <c r="B645" s="2" t="str">
        <f>'01_원자료'!B642</f>
        <v>mistral</v>
      </c>
      <c r="C645" s="2" t="str">
        <f>'01_원자료'!C642</f>
        <v>ministral</v>
      </c>
      <c r="E645" s="17">
        <f>'01_원자료'!P642*'03_가중치민감도'!$B$5+'01_원자료'!Q642*'03_가중치민감도'!$C$5+'01_원자료'!R642*'03_가중치민감도'!$D$5</f>
        <v>0.53023412252822577</v>
      </c>
      <c r="F645" s="17">
        <f>'01_원자료'!P642*'03_가중치민감도'!$B$6+'01_원자료'!Q642*'03_가중치민감도'!$C$6+'01_원자료'!R642*'03_가중치민감도'!$D$6</f>
        <v>0.45930651563455011</v>
      </c>
      <c r="G645" s="17">
        <f>'01_원자료'!P642*'03_가중치민감도'!$B$7+'01_원자료'!Q642*'03_가중치민감도'!$C$7+'01_원자료'!R642*'03_가중치민감도'!$D$7</f>
        <v>0.54911321053998585</v>
      </c>
      <c r="H645" s="17">
        <f>'01_원자료'!P642*'03_가중치민감도'!$B$8+'01_원자료'!Q642*'03_가중치민감도'!$C$8+'01_원자료'!R642*'03_가중치민감도'!$D$8</f>
        <v>0.43583868246942536</v>
      </c>
      <c r="I645" s="17">
        <f>'01_원자료'!P642*'03_가중치민감도'!$B$9+'01_원자료'!Q642*'03_가중치민감도'!$C$9+'01_원자료'!R642*'03_가중치민감도'!$D$9</f>
        <v>0.47665602192852147</v>
      </c>
      <c r="J645" s="17">
        <f>'01_원자료'!P642*'03_가중치민감도'!$B$10+'01_원자료'!Q642*'03_가중치민감도'!$C$10+'01_원자료'!R642*'03_가중치민감도'!$D$10</f>
        <v>0.56340355339838122</v>
      </c>
      <c r="K645" s="31">
        <f t="shared" ref="K645:K708" si="60">COUNTIF($E$5:$E$979,"&lt;"&amp;E645)+(COUNTIF($E$5:$E$979,"="&amp;E645)+1)/2</f>
        <v>134</v>
      </c>
      <c r="L645" s="31">
        <f t="shared" ref="L645:L708" si="61">COUNTIF($F$5:$F$979,"&lt;"&amp;F645)+(COUNTIF($F$5:$F$979,"="&amp;F645)+1)/2</f>
        <v>173</v>
      </c>
      <c r="M645" s="31">
        <f t="shared" ref="M645:M708" si="62">COUNTIF($G$5:$G$979,"&lt;"&amp;G645)+(COUNTIF($G$5:$G$979,"="&amp;G645)+1)/2</f>
        <v>152</v>
      </c>
      <c r="N645" s="31">
        <f t="shared" ref="N645:N708" si="63">COUNTIF($H$5:$H$979,"&lt;"&amp;H645)+(COUNTIF($H$5:$H$979,"="&amp;H645)+1)/2</f>
        <v>118</v>
      </c>
      <c r="O645" s="31">
        <f t="shared" ref="O645:O708" si="64">COUNTIF($I$5:$I$979,"&lt;"&amp;I645)+(COUNTIF($I$5:$I$979,"="&amp;I645)+1)/2</f>
        <v>157</v>
      </c>
      <c r="P645" s="31">
        <f t="shared" ref="P645:P708" si="65">COUNTIF($J$5:$J$979,"&lt;"&amp;J645)+(COUNTIF($J$5:$J$979,"="&amp;J645)+1)/2</f>
        <v>97</v>
      </c>
    </row>
    <row r="646" spans="1:16">
      <c r="A646" s="2" t="str">
        <f>'01_원자료'!A643</f>
        <v>RPT-12</v>
      </c>
      <c r="B646" s="2" t="str">
        <f>'01_원자료'!B643</f>
        <v>mistral</v>
      </c>
      <c r="C646" s="2" t="str">
        <f>'01_원자료'!C643</f>
        <v>qwen</v>
      </c>
      <c r="E646" s="17">
        <f>'01_원자료'!P643*'03_가중치민감도'!$B$5+'01_원자료'!Q643*'03_가중치민감도'!$C$5+'01_원자료'!R643*'03_가중치민감도'!$D$5</f>
        <v>0.64997528823780404</v>
      </c>
      <c r="F646" s="17">
        <f>'01_원자료'!P643*'03_가중치민감도'!$B$6+'01_원자료'!Q643*'03_가중치민감도'!$C$6+'01_원자료'!R643*'03_가중치민감도'!$D$6</f>
        <v>0.56862388279316534</v>
      </c>
      <c r="G646" s="17">
        <f>'01_원자료'!P643*'03_가중치민감도'!$B$7+'01_원자료'!Q643*'03_가중치민감도'!$C$7+'01_원자료'!R643*'03_가중치민감도'!$D$7</f>
        <v>0.64689790475890696</v>
      </c>
      <c r="H646" s="17">
        <f>'01_원자료'!P643*'03_가중치민감도'!$B$8+'01_원자료'!Q643*'03_가중치민감도'!$C$8+'01_원자료'!R643*'03_가중치민감도'!$D$8</f>
        <v>0.66536220563228965</v>
      </c>
      <c r="I646" s="17">
        <f>'01_원자료'!P643*'03_가중치민감도'!$B$9+'01_원자료'!Q643*'03_가중치민감도'!$C$9+'01_원자료'!R643*'03_가중치민감도'!$D$9</f>
        <v>0.59676681243434326</v>
      </c>
      <c r="J646" s="17">
        <f>'01_원자료'!P643*'03_가중치민감도'!$B$10+'01_원자료'!Q643*'03_가중치민감도'!$C$10+'01_원자료'!R643*'03_가중치민감도'!$D$10</f>
        <v>0.73748146064023712</v>
      </c>
      <c r="K646" s="31">
        <f t="shared" si="60"/>
        <v>618</v>
      </c>
      <c r="L646" s="31">
        <f t="shared" si="61"/>
        <v>687</v>
      </c>
      <c r="M646" s="31">
        <f t="shared" si="62"/>
        <v>599</v>
      </c>
      <c r="N646" s="31">
        <f t="shared" si="63"/>
        <v>686</v>
      </c>
      <c r="O646" s="31">
        <f t="shared" si="64"/>
        <v>668</v>
      </c>
      <c r="P646" s="31">
        <f t="shared" si="65"/>
        <v>613</v>
      </c>
    </row>
    <row r="647" spans="1:16">
      <c r="A647" s="2" t="str">
        <f>'01_원자료'!A644</f>
        <v>RPT-12</v>
      </c>
      <c r="B647" s="2" t="str">
        <f>'01_원자료'!B644</f>
        <v>qwen3_6</v>
      </c>
      <c r="C647" s="2" t="str">
        <f>'01_원자료'!C644</f>
        <v>gemma</v>
      </c>
      <c r="E647" s="17">
        <f>'01_원자료'!P644*'03_가중치민감도'!$B$5+'01_원자료'!Q644*'03_가중치민감도'!$C$5+'01_원자료'!R644*'03_가중치민감도'!$D$5</f>
        <v>0.72449415293904051</v>
      </c>
      <c r="F647" s="17">
        <f>'01_원자료'!P644*'03_가중치민감도'!$B$6+'01_원자료'!Q644*'03_가중치민감도'!$C$6+'01_원자료'!R644*'03_가중치민감도'!$D$6</f>
        <v>0.6226992834448849</v>
      </c>
      <c r="G647" s="17">
        <f>'01_원자료'!P644*'03_가중치민감도'!$B$7+'01_원자료'!Q644*'03_가중치민감도'!$C$7+'01_원자료'!R644*'03_가중치민감도'!$D$7</f>
        <v>0.71492910695454481</v>
      </c>
      <c r="H647" s="17">
        <f>'01_원자료'!P644*'03_가중치민감도'!$B$8+'01_원자료'!Q644*'03_가중치민감도'!$C$8+'01_원자료'!R644*'03_가중치민감도'!$D$8</f>
        <v>0.77231938286151891</v>
      </c>
      <c r="I647" s="17">
        <f>'01_원자료'!P644*'03_가중치민감도'!$B$9+'01_원자료'!Q644*'03_가중치민감도'!$C$9+'01_원자료'!R644*'03_가중치민감도'!$D$9</f>
        <v>0.6598192552711013</v>
      </c>
      <c r="J647" s="17">
        <f>'01_원자료'!P644*'03_가중치민감도'!$B$10+'01_원자료'!Q644*'03_가중치민감도'!$C$10+'01_원자료'!R644*'03_가중치민감도'!$D$10</f>
        <v>0.84541911440218742</v>
      </c>
      <c r="K647" s="31">
        <f t="shared" si="60"/>
        <v>894</v>
      </c>
      <c r="L647" s="31">
        <f t="shared" si="61"/>
        <v>908</v>
      </c>
      <c r="M647" s="31">
        <f t="shared" si="62"/>
        <v>889</v>
      </c>
      <c r="N647" s="31">
        <f t="shared" si="63"/>
        <v>910</v>
      </c>
      <c r="O647" s="31">
        <f t="shared" si="64"/>
        <v>904</v>
      </c>
      <c r="P647" s="31">
        <f t="shared" si="65"/>
        <v>875</v>
      </c>
    </row>
    <row r="648" spans="1:16">
      <c r="A648" s="2" t="str">
        <f>'01_원자료'!A645</f>
        <v>RPT-12</v>
      </c>
      <c r="B648" s="2" t="str">
        <f>'01_원자료'!B645</f>
        <v>qwen3_6</v>
      </c>
      <c r="C648" s="2" t="str">
        <f>'01_원자료'!C645</f>
        <v>ministral</v>
      </c>
      <c r="E648" s="17">
        <f>'01_원자료'!P645*'03_가중치민감도'!$B$5+'01_원자료'!Q645*'03_가중치민감도'!$C$5+'01_원자료'!R645*'03_가중치민감도'!$D$5</f>
        <v>0.50962393003414264</v>
      </c>
      <c r="F648" s="17">
        <f>'01_원자료'!P645*'03_가중치민감도'!$B$6+'01_원자료'!Q645*'03_가중치민감도'!$C$6+'01_원자료'!R645*'03_가중치민감도'!$D$6</f>
        <v>0.42923540613415934</v>
      </c>
      <c r="G648" s="17">
        <f>'01_원자료'!P645*'03_가중치민감도'!$B$7+'01_원자료'!Q645*'03_가중치민감도'!$C$7+'01_원자료'!R645*'03_가중치민감도'!$D$7</f>
        <v>0.52972645062315082</v>
      </c>
      <c r="H648" s="17">
        <f>'01_원자료'!P645*'03_가중치민감도'!$B$8+'01_원자료'!Q645*'03_가중치민감도'!$C$8+'01_원자료'!R645*'03_가중치민감도'!$D$8</f>
        <v>0.40911132708910125</v>
      </c>
      <c r="I648" s="17">
        <f>'01_원자료'!P645*'03_가중치민감도'!$B$9+'01_원자료'!Q645*'03_가중치민감도'!$C$9+'01_원자료'!R645*'03_가중치민감도'!$D$9</f>
        <v>0.44933074057115052</v>
      </c>
      <c r="J648" s="17">
        <f>'01_원자료'!P645*'03_가중치민감도'!$B$10+'01_원자료'!Q645*'03_가중치민감도'!$C$10+'01_원자료'!R645*'03_가중치민감도'!$D$10</f>
        <v>0.54980741275610934</v>
      </c>
      <c r="K648" s="31">
        <f t="shared" si="60"/>
        <v>64</v>
      </c>
      <c r="L648" s="31">
        <f t="shared" si="61"/>
        <v>69</v>
      </c>
      <c r="M648" s="31">
        <f t="shared" si="62"/>
        <v>71</v>
      </c>
      <c r="N648" s="31">
        <f t="shared" si="63"/>
        <v>61</v>
      </c>
      <c r="O648" s="31">
        <f t="shared" si="64"/>
        <v>62</v>
      </c>
      <c r="P648" s="31">
        <f t="shared" si="65"/>
        <v>67</v>
      </c>
    </row>
    <row r="649" spans="1:16">
      <c r="A649" s="2" t="str">
        <f>'01_원자료'!A646</f>
        <v>RPT-12</v>
      </c>
      <c r="B649" s="2" t="str">
        <f>'01_원자료'!B646</f>
        <v>qwen3_6</v>
      </c>
      <c r="C649" s="2" t="str">
        <f>'01_원자료'!C646</f>
        <v>qwen</v>
      </c>
      <c r="E649" s="17">
        <f>'01_원자료'!P646*'03_가중치민감도'!$B$5+'01_원자료'!Q646*'03_가중치민감도'!$C$5+'01_원자료'!R646*'03_가중치민감도'!$D$5</f>
        <v>0.68649130852665219</v>
      </c>
      <c r="F649" s="17">
        <f>'01_원자료'!P646*'03_가중치민감도'!$B$6+'01_원자료'!Q646*'03_가중치민감도'!$C$6+'01_원자료'!R646*'03_가중치민감도'!$D$6</f>
        <v>0.60419299904293433</v>
      </c>
      <c r="G649" s="17">
        <f>'01_원자료'!P646*'03_가중치민감도'!$B$7+'01_원자료'!Q646*'03_가중치민감도'!$C$7+'01_원자료'!R646*'03_가중치민감도'!$D$7</f>
        <v>0.68439291846074823</v>
      </c>
      <c r="H649" s="17">
        <f>'01_원자료'!P646*'03_가중치민감도'!$B$8+'01_원자료'!Q646*'03_가중치민감도'!$C$8+'01_원자료'!R646*'03_가중치민감도'!$D$8</f>
        <v>0.69698325885617152</v>
      </c>
      <c r="I649" s="17">
        <f>'01_원자료'!P646*'03_가중치민감도'!$B$9+'01_원자료'!Q646*'03_가중치민감도'!$C$9+'01_원자료'!R646*'03_가중치민감도'!$D$9</f>
        <v>0.6323252322261409</v>
      </c>
      <c r="J649" s="17">
        <f>'01_원자료'!P646*'03_가중치민감도'!$B$10+'01_원자료'!Q646*'03_가중치민감도'!$C$10+'01_원자료'!R646*'03_가중치민감도'!$D$10</f>
        <v>0.77298639814217773</v>
      </c>
      <c r="K649" s="31">
        <f t="shared" si="60"/>
        <v>774</v>
      </c>
      <c r="L649" s="31">
        <f t="shared" si="61"/>
        <v>832</v>
      </c>
      <c r="M649" s="31">
        <f t="shared" si="62"/>
        <v>777</v>
      </c>
      <c r="N649" s="31">
        <f t="shared" si="63"/>
        <v>779</v>
      </c>
      <c r="O649" s="31">
        <f t="shared" si="64"/>
        <v>803</v>
      </c>
      <c r="P649" s="31">
        <f t="shared" si="65"/>
        <v>733</v>
      </c>
    </row>
    <row r="650" spans="1:16">
      <c r="A650" s="2" t="str">
        <f>'01_원자료'!A647</f>
        <v>RPT-13</v>
      </c>
      <c r="B650" s="2" t="str">
        <f>'01_원자료'!B647</f>
        <v>chatgpt</v>
      </c>
      <c r="C650" s="2" t="str">
        <f>'01_원자료'!C647</f>
        <v>gemma</v>
      </c>
      <c r="E650" s="17">
        <f>'01_원자료'!P647*'03_가중치민감도'!$B$5+'01_원자료'!Q647*'03_가중치민감도'!$C$5+'01_원자료'!R647*'03_가중치민감도'!$D$5</f>
        <v>0.58523777248241415</v>
      </c>
      <c r="F650" s="17">
        <f>'01_원자료'!P647*'03_가중치민감도'!$B$6+'01_원자료'!Q647*'03_가중치민감도'!$C$6+'01_원자료'!R647*'03_가중치민감도'!$D$6</f>
        <v>0.49764846206395452</v>
      </c>
      <c r="G650" s="17">
        <f>'01_원자료'!P647*'03_가중치민감도'!$B$7+'01_원자료'!Q647*'03_가중치민감도'!$C$7+'01_원자료'!R647*'03_가중치민감도'!$D$7</f>
        <v>0.59328906657918323</v>
      </c>
      <c r="H650" s="17">
        <f>'01_원자료'!P647*'03_가중치민감도'!$B$8+'01_원자료'!Q647*'03_가중치민감도'!$C$8+'01_원자료'!R647*'03_가중치민감도'!$D$8</f>
        <v>0.54498130199856831</v>
      </c>
      <c r="I650" s="17">
        <f>'01_원자료'!P647*'03_가중치민감도'!$B$9+'01_원자료'!Q647*'03_가중치민감도'!$C$9+'01_원자료'!R647*'03_가중치민감도'!$D$9</f>
        <v>0.52416113417118404</v>
      </c>
      <c r="J650" s="17">
        <f>'01_원자료'!P647*'03_가중치민감도'!$B$10+'01_원자료'!Q647*'03_가중치민감도'!$C$10+'01_원자료'!R647*'03_가중치민감도'!$D$10</f>
        <v>0.6567244947073354</v>
      </c>
      <c r="K650" s="31">
        <f t="shared" si="60"/>
        <v>337</v>
      </c>
      <c r="L650" s="31">
        <f t="shared" si="61"/>
        <v>353</v>
      </c>
      <c r="M650" s="31">
        <f t="shared" si="62"/>
        <v>339</v>
      </c>
      <c r="N650" s="31">
        <f t="shared" si="63"/>
        <v>322</v>
      </c>
      <c r="O650" s="31">
        <f t="shared" si="64"/>
        <v>339</v>
      </c>
      <c r="P650" s="31">
        <f t="shared" si="65"/>
        <v>325</v>
      </c>
    </row>
    <row r="651" spans="1:16">
      <c r="A651" s="2" t="str">
        <f>'01_원자료'!A648</f>
        <v>RPT-13</v>
      </c>
      <c r="B651" s="2" t="str">
        <f>'01_원자료'!B648</f>
        <v>chatgpt</v>
      </c>
      <c r="C651" s="2" t="str">
        <f>'01_원자료'!C648</f>
        <v>ministral</v>
      </c>
      <c r="E651" s="17">
        <f>'01_원자료'!P648*'03_가중치민감도'!$B$5+'01_원자료'!Q648*'03_가중치민감도'!$C$5+'01_원자료'!R648*'03_가중치민감도'!$D$5</f>
        <v>0.51048500600291247</v>
      </c>
      <c r="F651" s="17">
        <f>'01_원자료'!P648*'03_가중치민감도'!$B$6+'01_원자료'!Q648*'03_가중치민감도'!$C$6+'01_원자료'!R648*'03_가중치민감도'!$D$6</f>
        <v>0.44022397229003341</v>
      </c>
      <c r="G651" s="17">
        <f>'01_원자료'!P648*'03_가중치민감도'!$B$7+'01_원자료'!Q648*'03_가중치민감도'!$C$7+'01_원자료'!R648*'03_가중치민감도'!$D$7</f>
        <v>0.5307077588881135</v>
      </c>
      <c r="H651" s="17">
        <f>'01_원자료'!P648*'03_가중치민감도'!$B$8+'01_원자료'!Q648*'03_가중치민감도'!$C$8+'01_원자료'!R648*'03_가중치민감도'!$D$8</f>
        <v>0.40937124157690713</v>
      </c>
      <c r="I651" s="17">
        <f>'01_원자료'!P648*'03_가중치민감도'!$B$9+'01_원자료'!Q648*'03_가중치민감도'!$C$9+'01_원자료'!R648*'03_가중치민감도'!$D$9</f>
        <v>0.45690339923259227</v>
      </c>
      <c r="J651" s="17">
        <f>'01_원자료'!P648*'03_가중치민감도'!$B$10+'01_원자료'!Q648*'03_가중치민감도'!$C$10+'01_원자료'!R648*'03_가중치민감도'!$D$10</f>
        <v>0.54030053394538924</v>
      </c>
      <c r="K651" s="31">
        <f t="shared" si="60"/>
        <v>68</v>
      </c>
      <c r="L651" s="31">
        <f t="shared" si="61"/>
        <v>98</v>
      </c>
      <c r="M651" s="31">
        <f t="shared" si="62"/>
        <v>74</v>
      </c>
      <c r="N651" s="31">
        <f t="shared" si="63"/>
        <v>62</v>
      </c>
      <c r="O651" s="31">
        <f t="shared" si="64"/>
        <v>82</v>
      </c>
      <c r="P651" s="31">
        <f t="shared" si="65"/>
        <v>48</v>
      </c>
    </row>
    <row r="652" spans="1:16">
      <c r="A652" s="2" t="str">
        <f>'01_원자료'!A649</f>
        <v>RPT-13</v>
      </c>
      <c r="B652" s="2" t="str">
        <f>'01_원자료'!B649</f>
        <v>chatgpt</v>
      </c>
      <c r="C652" s="2" t="str">
        <f>'01_원자료'!C649</f>
        <v>qwen</v>
      </c>
      <c r="E652" s="17">
        <f>'01_원자료'!P649*'03_가중치민감도'!$B$5+'01_원자료'!Q649*'03_가중치민감도'!$C$5+'01_원자료'!R649*'03_가중치민감도'!$D$5</f>
        <v>0.54299064847122858</v>
      </c>
      <c r="F652" s="17">
        <f>'01_원자료'!P649*'03_가중치민감도'!$B$6+'01_원자료'!Q649*'03_가중치민감도'!$C$6+'01_원자료'!R649*'03_가중치민감도'!$D$6</f>
        <v>0.46620214287001593</v>
      </c>
      <c r="G652" s="17">
        <f>'01_원자료'!P649*'03_가중치민감도'!$B$7+'01_원자료'!Q649*'03_가중치민감도'!$C$7+'01_원자료'!R649*'03_가중치민감도'!$D$7</f>
        <v>0.55328753963276656</v>
      </c>
      <c r="H652" s="17">
        <f>'01_원자료'!P649*'03_가중치민감도'!$B$8+'01_원자료'!Q649*'03_가중치민감도'!$C$8+'01_원자료'!R649*'03_가중치민감도'!$D$8</f>
        <v>0.49150619266353884</v>
      </c>
      <c r="I652" s="17">
        <f>'01_원자료'!P649*'03_가중치민감도'!$B$9+'01_원자료'!Q649*'03_가중치민감도'!$C$9+'01_원자료'!R649*'03_가중치민감도'!$D$9</f>
        <v>0.48836601434990701</v>
      </c>
      <c r="J652" s="17">
        <f>'01_원자료'!P649*'03_가중치민감도'!$B$10+'01_원자료'!Q649*'03_가중치민감도'!$C$10+'01_원자료'!R649*'03_가중치민감도'!$D$10</f>
        <v>0.59918537174936548</v>
      </c>
      <c r="K652" s="31">
        <f t="shared" si="60"/>
        <v>178</v>
      </c>
      <c r="L652" s="31">
        <f t="shared" si="61"/>
        <v>205</v>
      </c>
      <c r="M652" s="31">
        <f t="shared" si="62"/>
        <v>174</v>
      </c>
      <c r="N652" s="31">
        <f t="shared" si="63"/>
        <v>206</v>
      </c>
      <c r="O652" s="31">
        <f t="shared" si="64"/>
        <v>193</v>
      </c>
      <c r="P652" s="31">
        <f t="shared" si="65"/>
        <v>186</v>
      </c>
    </row>
    <row r="653" spans="1:16">
      <c r="A653" s="2" t="str">
        <f>'01_원자료'!A650</f>
        <v>RPT-13</v>
      </c>
      <c r="B653" s="2" t="str">
        <f>'01_원자료'!B650</f>
        <v>claude</v>
      </c>
      <c r="C653" s="2" t="str">
        <f>'01_원자료'!C650</f>
        <v>gemma</v>
      </c>
      <c r="E653" s="17">
        <f>'01_원자료'!P650*'03_가중치민감도'!$B$5+'01_원자료'!Q650*'03_가중치민감도'!$C$5+'01_원자료'!R650*'03_가중치민감도'!$D$5</f>
        <v>0.64304254585252218</v>
      </c>
      <c r="F653" s="17">
        <f>'01_원자료'!P650*'03_가중치민감도'!$B$6+'01_원자료'!Q650*'03_가중치민감도'!$C$6+'01_원자료'!R650*'03_가중치민감도'!$D$6</f>
        <v>0.54258856348633433</v>
      </c>
      <c r="G653" s="17">
        <f>'01_원자료'!P650*'03_가중치민감도'!$B$7+'01_원자료'!Q650*'03_가중치민감도'!$C$7+'01_원자료'!R650*'03_가중치민감도'!$D$7</f>
        <v>0.64307929357445182</v>
      </c>
      <c r="H653" s="17">
        <f>'01_원자료'!P650*'03_가중치민감도'!$B$8+'01_원자료'!Q650*'03_가중치민감도'!$C$8+'01_원자료'!R650*'03_가중치민감도'!$D$8</f>
        <v>0.64285880724287436</v>
      </c>
      <c r="I653" s="17">
        <f>'01_원자료'!P650*'03_가중치민감도'!$B$9+'01_원자료'!Q650*'03_가중치민감도'!$C$9+'01_원자료'!R650*'03_가중치민감도'!$D$9</f>
        <v>0.57606097503441978</v>
      </c>
      <c r="J653" s="17">
        <f>'01_원자료'!P650*'03_가중치민감도'!$B$10+'01_원자료'!Q650*'03_가중치민감도'!$C$10+'01_원자료'!R650*'03_가중치민감도'!$D$10</f>
        <v>0.743423032774851</v>
      </c>
      <c r="K653" s="31">
        <f t="shared" si="60"/>
        <v>588</v>
      </c>
      <c r="L653" s="31">
        <f t="shared" si="61"/>
        <v>553</v>
      </c>
      <c r="M653" s="31">
        <f t="shared" si="62"/>
        <v>575</v>
      </c>
      <c r="N653" s="31">
        <f t="shared" si="63"/>
        <v>619</v>
      </c>
      <c r="O653" s="31">
        <f t="shared" si="64"/>
        <v>571</v>
      </c>
      <c r="P653" s="31">
        <f t="shared" si="65"/>
        <v>639</v>
      </c>
    </row>
    <row r="654" spans="1:16">
      <c r="A654" s="2" t="str">
        <f>'01_원자료'!A651</f>
        <v>RPT-13</v>
      </c>
      <c r="B654" s="2" t="str">
        <f>'01_원자료'!B651</f>
        <v>claude</v>
      </c>
      <c r="C654" s="2" t="str">
        <f>'01_원자료'!C651</f>
        <v>ministral</v>
      </c>
      <c r="E654" s="17">
        <f>'01_원자료'!P651*'03_가중치민감도'!$B$5+'01_원자료'!Q651*'03_가중치민감도'!$C$5+'01_원자료'!R651*'03_가중치민감도'!$D$5</f>
        <v>0.56224414327195982</v>
      </c>
      <c r="F654" s="17">
        <f>'01_원자료'!P651*'03_가중치민감도'!$B$6+'01_원자료'!Q651*'03_가중치민감도'!$C$6+'01_원자료'!R651*'03_가중치민감도'!$D$6</f>
        <v>0.48781881999580501</v>
      </c>
      <c r="G654" s="17">
        <f>'01_원자료'!P651*'03_가중치민감도'!$B$7+'01_원자료'!Q651*'03_가중치민감도'!$C$7+'01_원자료'!R651*'03_가중치민감도'!$D$7</f>
        <v>0.57614948800368038</v>
      </c>
      <c r="H654" s="17">
        <f>'01_원자료'!P651*'03_가중치민감도'!$B$8+'01_원자료'!Q651*'03_가중치민감도'!$C$8+'01_원자료'!R651*'03_가중치민감도'!$D$8</f>
        <v>0.4927174196133568</v>
      </c>
      <c r="I654" s="17">
        <f>'01_원자료'!P651*'03_가중치민감도'!$B$9+'01_원자료'!Q651*'03_가중치민감도'!$C$9+'01_원자료'!R651*'03_가중치민감도'!$D$9</f>
        <v>0.50799214617728261</v>
      </c>
      <c r="J654" s="17">
        <f>'01_원자료'!P651*'03_가중치민감도'!$B$10+'01_원자료'!Q651*'03_가중치민감도'!$C$10+'01_원자료'!R651*'03_가중치민감도'!$D$10</f>
        <v>0.60885877708467329</v>
      </c>
      <c r="K654" s="31">
        <f t="shared" si="60"/>
        <v>258</v>
      </c>
      <c r="L654" s="31">
        <f t="shared" si="61"/>
        <v>306</v>
      </c>
      <c r="M654" s="31">
        <f t="shared" si="62"/>
        <v>275</v>
      </c>
      <c r="N654" s="31">
        <f t="shared" si="63"/>
        <v>207</v>
      </c>
      <c r="O654" s="31">
        <f t="shared" si="64"/>
        <v>276</v>
      </c>
      <c r="P654" s="31">
        <f t="shared" si="65"/>
        <v>209</v>
      </c>
    </row>
    <row r="655" spans="1:16">
      <c r="A655" s="2" t="str">
        <f>'01_원자료'!A652</f>
        <v>RPT-13</v>
      </c>
      <c r="B655" s="2" t="str">
        <f>'01_원자료'!B652</f>
        <v>claude</v>
      </c>
      <c r="C655" s="2" t="str">
        <f>'01_원자료'!C652</f>
        <v>qwen</v>
      </c>
      <c r="E655" s="17">
        <f>'01_원자료'!P652*'03_가중치민감도'!$B$5+'01_원자료'!Q652*'03_가중치민감도'!$C$5+'01_원자료'!R652*'03_가중치민감도'!$D$5</f>
        <v>0.66678170626418387</v>
      </c>
      <c r="F655" s="17">
        <f>'01_원자료'!P652*'03_가중치민감도'!$B$6+'01_원자료'!Q652*'03_가중치민감도'!$C$6+'01_원자료'!R652*'03_가중치민감도'!$D$6</f>
        <v>0.58753121244212325</v>
      </c>
      <c r="G655" s="17">
        <f>'01_원자료'!P652*'03_가중치민감도'!$B$7+'01_원자료'!Q652*'03_가중치민감도'!$C$7+'01_원자료'!R652*'03_가중치민감도'!$D$7</f>
        <v>0.6648998917047424</v>
      </c>
      <c r="H655" s="17">
        <f>'01_원자료'!P652*'03_가중치민감도'!$B$8+'01_원자료'!Q652*'03_가중치민감도'!$C$8+'01_원자료'!R652*'03_가중치민감도'!$D$8</f>
        <v>0.67619077906139125</v>
      </c>
      <c r="I655" s="17">
        <f>'01_원자료'!P652*'03_가중치민감도'!$B$9+'01_원자료'!Q652*'03_가중치민감도'!$C$9+'01_원자료'!R652*'03_가중치민감도'!$D$9</f>
        <v>0.61457531523595654</v>
      </c>
      <c r="J655" s="17">
        <f>'01_원자료'!P652*'03_가중치민감도'!$B$10+'01_원자료'!Q652*'03_가중치민감도'!$C$10+'01_원자료'!R652*'03_가중치민감도'!$D$10</f>
        <v>0.74979582920512755</v>
      </c>
      <c r="K655" s="31">
        <f t="shared" si="60"/>
        <v>702</v>
      </c>
      <c r="L655" s="31">
        <f t="shared" si="61"/>
        <v>759</v>
      </c>
      <c r="M655" s="31">
        <f t="shared" si="62"/>
        <v>692</v>
      </c>
      <c r="N655" s="31">
        <f t="shared" si="63"/>
        <v>711</v>
      </c>
      <c r="O655" s="31">
        <f t="shared" si="64"/>
        <v>749</v>
      </c>
      <c r="P655" s="31">
        <f t="shared" si="65"/>
        <v>655</v>
      </c>
    </row>
    <row r="656" spans="1:16">
      <c r="A656" s="2" t="str">
        <f>'01_원자료'!A653</f>
        <v>RPT-13</v>
      </c>
      <c r="B656" s="2" t="str">
        <f>'01_원자료'!B653</f>
        <v>gemini</v>
      </c>
      <c r="C656" s="2" t="str">
        <f>'01_원자료'!C653</f>
        <v>gemma</v>
      </c>
      <c r="E656" s="17">
        <f>'01_원자료'!P653*'03_가중치민감도'!$B$5+'01_원자료'!Q653*'03_가중치민감도'!$C$5+'01_원자료'!R653*'03_가중치민감도'!$D$5</f>
        <v>0.746601812938676</v>
      </c>
      <c r="F656" s="17">
        <f>'01_원자료'!P653*'03_가중치민감도'!$B$6+'01_원자료'!Q653*'03_가중치민감도'!$C$6+'01_원자료'!R653*'03_가중치민감도'!$D$6</f>
        <v>0.64053407540578977</v>
      </c>
      <c r="G656" s="17">
        <f>'01_원자료'!P653*'03_가중치민감도'!$B$7+'01_원자료'!Q653*'03_가중치민감도'!$C$7+'01_원자료'!R653*'03_가중치민감도'!$D$7</f>
        <v>0.73923514429071091</v>
      </c>
      <c r="H656" s="17">
        <f>'01_원자료'!P653*'03_가중치민감도'!$B$8+'01_원자료'!Q653*'03_가중치민감도'!$C$8+'01_원자료'!R653*'03_가중치민감도'!$D$8</f>
        <v>0.7834351561785019</v>
      </c>
      <c r="I656" s="17">
        <f>'01_원자료'!P653*'03_가중치민감도'!$B$9+'01_원자료'!Q653*'03_가중치민감도'!$C$9+'01_원자료'!R653*'03_가중치민감도'!$D$9</f>
        <v>0.67834554413273951</v>
      </c>
      <c r="J656" s="17">
        <f>'01_원자료'!P653*'03_가중치민감도'!$B$10+'01_원자료'!Q653*'03_가중치민감도'!$C$10+'01_원자료'!R653*'03_가중치민감도'!$D$10</f>
        <v>0.86740288776749264</v>
      </c>
      <c r="K656" s="31">
        <f t="shared" si="60"/>
        <v>947</v>
      </c>
      <c r="L656" s="31">
        <f t="shared" si="61"/>
        <v>939</v>
      </c>
      <c r="M656" s="31">
        <f t="shared" si="62"/>
        <v>947</v>
      </c>
      <c r="N656" s="31">
        <f t="shared" si="63"/>
        <v>946</v>
      </c>
      <c r="O656" s="31">
        <f t="shared" si="64"/>
        <v>944</v>
      </c>
      <c r="P656" s="31">
        <f t="shared" si="65"/>
        <v>941</v>
      </c>
    </row>
    <row r="657" spans="1:16">
      <c r="A657" s="2" t="str">
        <f>'01_원자료'!A654</f>
        <v>RPT-13</v>
      </c>
      <c r="B657" s="2" t="str">
        <f>'01_원자료'!B654</f>
        <v>gemini</v>
      </c>
      <c r="C657" s="2" t="str">
        <f>'01_원자료'!C654</f>
        <v>ministral</v>
      </c>
      <c r="E657" s="17">
        <f>'01_원자료'!P654*'03_가중치민감도'!$B$5+'01_원자료'!Q654*'03_가중치민감도'!$C$5+'01_원자료'!R654*'03_가중치민감도'!$D$5</f>
        <v>0.5485146362904546</v>
      </c>
      <c r="F657" s="17">
        <f>'01_원자료'!P654*'03_가중치민감도'!$B$6+'01_원자료'!Q654*'03_가중치민감도'!$C$6+'01_원자료'!R654*'03_가중치민감도'!$D$6</f>
        <v>0.46293761472552986</v>
      </c>
      <c r="G657" s="17">
        <f>'01_원자료'!P654*'03_가중치민감도'!$B$7+'01_원자료'!Q654*'03_가중치민감도'!$C$7+'01_원자료'!R654*'03_가중치민감도'!$D$7</f>
        <v>0.56677565083256032</v>
      </c>
      <c r="H657" s="17">
        <f>'01_원자료'!P654*'03_가중치민감도'!$B$8+'01_원자료'!Q654*'03_가중치민감도'!$C$8+'01_원자료'!R654*'03_가중치민감도'!$D$8</f>
        <v>0.45720956357992615</v>
      </c>
      <c r="I657" s="17">
        <f>'01_원자료'!P654*'03_가중치민감도'!$B$9+'01_원자료'!Q654*'03_가중치민감도'!$C$9+'01_원자료'!R654*'03_가중치민감도'!$D$9</f>
        <v>0.48537628373313568</v>
      </c>
      <c r="J657" s="17">
        <f>'01_원자료'!P654*'03_가중치민감도'!$B$10+'01_원자료'!Q654*'03_가중치민감도'!$C$10+'01_원자료'!R654*'03_가중치민감도'!$D$10</f>
        <v>0.59756962877116793</v>
      </c>
      <c r="K657" s="31">
        <f t="shared" si="60"/>
        <v>199</v>
      </c>
      <c r="L657" s="31">
        <f t="shared" si="61"/>
        <v>189</v>
      </c>
      <c r="M657" s="31">
        <f t="shared" si="62"/>
        <v>234</v>
      </c>
      <c r="N657" s="31">
        <f t="shared" si="63"/>
        <v>139</v>
      </c>
      <c r="O657" s="31">
        <f t="shared" si="64"/>
        <v>182</v>
      </c>
      <c r="P657" s="31">
        <f t="shared" si="65"/>
        <v>179</v>
      </c>
    </row>
    <row r="658" spans="1:16">
      <c r="A658" s="2" t="str">
        <f>'01_원자료'!A655</f>
        <v>RPT-13</v>
      </c>
      <c r="B658" s="2" t="str">
        <f>'01_원자료'!B655</f>
        <v>gemini</v>
      </c>
      <c r="C658" s="2" t="str">
        <f>'01_원자료'!C655</f>
        <v>qwen</v>
      </c>
      <c r="E658" s="17">
        <f>'01_원자료'!P655*'03_가중치민감도'!$B$5+'01_원자료'!Q655*'03_가중치민감도'!$C$5+'01_원자료'!R655*'03_가중치민감도'!$D$5</f>
        <v>0.66073095242478419</v>
      </c>
      <c r="F658" s="17">
        <f>'01_원자료'!P655*'03_가중치민감도'!$B$6+'01_원자료'!Q655*'03_가중치민감도'!$C$6+'01_원자료'!R655*'03_가중치민감도'!$D$6</f>
        <v>0.57036166421791701</v>
      </c>
      <c r="G658" s="17">
        <f>'01_원자료'!P655*'03_가중치민감도'!$B$7+'01_원자료'!Q655*'03_가중치민감도'!$C$7+'01_원자료'!R655*'03_가중치민감도'!$D$7</f>
        <v>0.66622387371198966</v>
      </c>
      <c r="H658" s="17">
        <f>'01_원자료'!P655*'03_가중치민감도'!$B$8+'01_원자료'!Q655*'03_가중치민감도'!$C$8+'01_원자료'!R655*'03_가중치민감도'!$D$8</f>
        <v>0.63326634598875664</v>
      </c>
      <c r="I658" s="17">
        <f>'01_원자료'!P655*'03_가중치민감도'!$B$9+'01_원자료'!Q655*'03_가중치민감도'!$C$9+'01_원자료'!R655*'03_가중치민감도'!$D$9</f>
        <v>0.59865378652447032</v>
      </c>
      <c r="J658" s="17">
        <f>'01_원자료'!P655*'03_가중치민감도'!$B$10+'01_원자료'!Q655*'03_가중치민감도'!$C$10+'01_원자료'!R655*'03_가중치민감도'!$D$10</f>
        <v>0.74011439805724044</v>
      </c>
      <c r="K658" s="31">
        <f t="shared" si="60"/>
        <v>676</v>
      </c>
      <c r="L658" s="31">
        <f t="shared" si="61"/>
        <v>694</v>
      </c>
      <c r="M658" s="31">
        <f t="shared" si="62"/>
        <v>701</v>
      </c>
      <c r="N658" s="31">
        <f t="shared" si="63"/>
        <v>587</v>
      </c>
      <c r="O658" s="31">
        <f t="shared" si="64"/>
        <v>674</v>
      </c>
      <c r="P658" s="31">
        <f t="shared" si="65"/>
        <v>623</v>
      </c>
    </row>
    <row r="659" spans="1:16">
      <c r="A659" s="2" t="str">
        <f>'01_원자료'!A656</f>
        <v>RPT-13</v>
      </c>
      <c r="B659" s="2" t="str">
        <f>'01_원자료'!B656</f>
        <v>mistral</v>
      </c>
      <c r="C659" s="2" t="str">
        <f>'01_원자료'!C656</f>
        <v>gemma</v>
      </c>
      <c r="E659" s="17">
        <f>'01_원자료'!P656*'03_가중치민감도'!$B$5+'01_원자료'!Q656*'03_가중치민감도'!$C$5+'01_원자료'!R656*'03_가중치민감도'!$D$5</f>
        <v>0.69377144515384903</v>
      </c>
      <c r="F659" s="17">
        <f>'01_원자료'!P656*'03_가중치민감도'!$B$6+'01_원자료'!Q656*'03_가중치민감도'!$C$6+'01_원자료'!R656*'03_가중치민감도'!$D$6</f>
        <v>0.59680552461939129</v>
      </c>
      <c r="G659" s="17">
        <f>'01_원자료'!P656*'03_가중치민감도'!$B$7+'01_원자료'!Q656*'03_가중치민감도'!$C$7+'01_원자료'!R656*'03_가중치민감도'!$D$7</f>
        <v>0.69049057556987159</v>
      </c>
      <c r="H659" s="17">
        <f>'01_원자료'!P656*'03_가중치민감도'!$B$8+'01_원자료'!Q656*'03_가중치민감도'!$C$8+'01_원자료'!R656*'03_가중치민감도'!$D$8</f>
        <v>0.71017579307373613</v>
      </c>
      <c r="I659" s="17">
        <f>'01_원자료'!P656*'03_가중치민감도'!$B$9+'01_원자료'!Q656*'03_가중치민감도'!$C$9+'01_원자료'!R656*'03_가중치민감도'!$D$9</f>
        <v>0.63022112132553576</v>
      </c>
      <c r="J659" s="17">
        <f>'01_원자료'!P656*'03_가중치민감도'!$B$10+'01_원자료'!Q656*'03_가중치민감도'!$C$10+'01_원자료'!R656*'03_가중치민감도'!$D$10</f>
        <v>0.79729910485626165</v>
      </c>
      <c r="K659" s="31">
        <f t="shared" si="60"/>
        <v>799</v>
      </c>
      <c r="L659" s="31">
        <f t="shared" si="61"/>
        <v>795</v>
      </c>
      <c r="M659" s="31">
        <f t="shared" si="62"/>
        <v>798</v>
      </c>
      <c r="N659" s="31">
        <f t="shared" si="63"/>
        <v>812</v>
      </c>
      <c r="O659" s="31">
        <f t="shared" si="64"/>
        <v>795</v>
      </c>
      <c r="P659" s="31">
        <f t="shared" si="65"/>
        <v>802</v>
      </c>
    </row>
    <row r="660" spans="1:16">
      <c r="A660" s="2" t="str">
        <f>'01_원자료'!A657</f>
        <v>RPT-13</v>
      </c>
      <c r="B660" s="2" t="str">
        <f>'01_원자료'!B657</f>
        <v>mistral</v>
      </c>
      <c r="C660" s="2" t="str">
        <f>'01_원자료'!C657</f>
        <v>ministral</v>
      </c>
      <c r="E660" s="17">
        <f>'01_원자료'!P657*'03_가중치민감도'!$B$5+'01_원자료'!Q657*'03_가중치민감도'!$C$5+'01_원자료'!R657*'03_가중치민감도'!$D$5</f>
        <v>0.55020459918628084</v>
      </c>
      <c r="F660" s="17">
        <f>'01_원자료'!P657*'03_가중치민감도'!$B$6+'01_원자료'!Q657*'03_가중치민감도'!$C$6+'01_원자료'!R657*'03_가중치민감도'!$D$6</f>
        <v>0.47810787443228031</v>
      </c>
      <c r="G660" s="17">
        <f>'01_원자료'!P657*'03_가중치민감도'!$B$7+'01_원자료'!Q657*'03_가중치민감도'!$C$7+'01_원자료'!R657*'03_가중치민감도'!$D$7</f>
        <v>0.56810556821887281</v>
      </c>
      <c r="H660" s="17">
        <f>'01_원자료'!P657*'03_가중치민감도'!$B$8+'01_원자료'!Q657*'03_가중치민감도'!$C$8+'01_원자료'!R657*'03_가중치민감도'!$D$8</f>
        <v>0.4606997540233212</v>
      </c>
      <c r="I660" s="17">
        <f>'01_원자료'!P657*'03_가중치민감도'!$B$9+'01_원자료'!Q657*'03_가중치민감도'!$C$9+'01_원자료'!R657*'03_가중치민감도'!$D$9</f>
        <v>0.4961731263394159</v>
      </c>
      <c r="J660" s="17">
        <f>'01_원자료'!P657*'03_가중치민감도'!$B$10+'01_원자료'!Q657*'03_가중치민감도'!$C$10+'01_원자료'!R657*'03_가중치민감도'!$D$10</f>
        <v>0.58649938587509765</v>
      </c>
      <c r="K660" s="31">
        <f t="shared" si="60"/>
        <v>208</v>
      </c>
      <c r="L660" s="31">
        <f t="shared" si="61"/>
        <v>261</v>
      </c>
      <c r="M660" s="31">
        <f t="shared" si="62"/>
        <v>239</v>
      </c>
      <c r="N660" s="31">
        <f t="shared" si="63"/>
        <v>149</v>
      </c>
      <c r="O660" s="31">
        <f t="shared" si="64"/>
        <v>226</v>
      </c>
      <c r="P660" s="31">
        <f t="shared" si="65"/>
        <v>146</v>
      </c>
    </row>
    <row r="661" spans="1:16">
      <c r="A661" s="2" t="str">
        <f>'01_원자료'!A658</f>
        <v>RPT-13</v>
      </c>
      <c r="B661" s="2" t="str">
        <f>'01_원자료'!B658</f>
        <v>mistral</v>
      </c>
      <c r="C661" s="2" t="str">
        <f>'01_원자료'!C658</f>
        <v>qwen</v>
      </c>
      <c r="E661" s="17">
        <f>'01_원자료'!P658*'03_가중치민감도'!$B$5+'01_원자료'!Q658*'03_가중치민감도'!$C$5+'01_원자료'!R658*'03_가중치민감도'!$D$5</f>
        <v>0.64549340154264589</v>
      </c>
      <c r="F661" s="17">
        <f>'01_원자료'!P658*'03_가중치민감도'!$B$6+'01_원자료'!Q658*'03_가중치민감도'!$C$6+'01_원자료'!R658*'03_가중치민감도'!$D$6</f>
        <v>0.5745141093060484</v>
      </c>
      <c r="G661" s="17">
        <f>'01_원자료'!P658*'03_가중치민감도'!$B$7+'01_원자료'!Q658*'03_가중치민감도'!$C$7+'01_원자료'!R658*'03_가중치민감도'!$D$7</f>
        <v>0.64724158739627446</v>
      </c>
      <c r="H661" s="17">
        <f>'01_원자료'!P658*'03_가중치민감도'!$B$8+'01_원자료'!Q658*'03_가중치민감도'!$C$8+'01_원자료'!R658*'03_가중치민감도'!$D$8</f>
        <v>0.63675247227450305</v>
      </c>
      <c r="I661" s="17">
        <f>'01_원자료'!P658*'03_가중치민감도'!$B$9+'01_원자료'!Q658*'03_가중치민감도'!$C$9+'01_원자료'!R658*'03_가중치민감도'!$D$9</f>
        <v>0.59759114476703745</v>
      </c>
      <c r="J661" s="17">
        <f>'01_원자료'!P658*'03_가중치민감도'!$B$10+'01_원자료'!Q658*'03_가중치민감도'!$C$10+'01_원자료'!R658*'03_가중치민감도'!$D$10</f>
        <v>0.71297632207198625</v>
      </c>
      <c r="K661" s="31">
        <f t="shared" si="60"/>
        <v>597</v>
      </c>
      <c r="L661" s="31">
        <f t="shared" si="61"/>
        <v>716</v>
      </c>
      <c r="M661" s="31">
        <f t="shared" si="62"/>
        <v>601</v>
      </c>
      <c r="N661" s="31">
        <f t="shared" si="63"/>
        <v>595</v>
      </c>
      <c r="O661" s="31">
        <f t="shared" si="64"/>
        <v>671</v>
      </c>
      <c r="P661" s="31">
        <f t="shared" si="65"/>
        <v>506</v>
      </c>
    </row>
    <row r="662" spans="1:16">
      <c r="A662" s="2" t="str">
        <f>'01_원자료'!A659</f>
        <v>RPT-13</v>
      </c>
      <c r="B662" s="2" t="str">
        <f>'01_원자료'!B659</f>
        <v>qwen3_6</v>
      </c>
      <c r="C662" s="2" t="str">
        <f>'01_원자료'!C659</f>
        <v>gemma</v>
      </c>
      <c r="E662" s="17">
        <f>'01_원자료'!P659*'03_가중치민감도'!$B$5+'01_원자료'!Q659*'03_가중치민감도'!$C$5+'01_원자료'!R659*'03_가중치민감도'!$D$5</f>
        <v>0.75024655103982618</v>
      </c>
      <c r="F662" s="17">
        <f>'01_원자료'!P659*'03_가중치민감도'!$B$6+'01_원자료'!Q659*'03_가중치민감도'!$C$6+'01_원자료'!R659*'03_가중치민감도'!$D$6</f>
        <v>0.65331531256926134</v>
      </c>
      <c r="G662" s="17">
        <f>'01_원자료'!P659*'03_가중치민감도'!$B$7+'01_원자료'!Q659*'03_가중치민감도'!$C$7+'01_원자료'!R659*'03_가중치민감도'!$D$7</f>
        <v>0.7424222356450968</v>
      </c>
      <c r="H662" s="17">
        <f>'01_원자료'!P659*'03_가중치민감도'!$B$8+'01_원자료'!Q659*'03_가중치민감도'!$C$8+'01_원자료'!R659*'03_가중치민감도'!$D$8</f>
        <v>0.78936812801347345</v>
      </c>
      <c r="I662" s="17">
        <f>'01_원자료'!P659*'03_가중치민감도'!$B$9+'01_원자료'!Q659*'03_가중치민감도'!$C$9+'01_원자료'!R659*'03_가중치민감도'!$D$9</f>
        <v>0.68823383052435871</v>
      </c>
      <c r="J662" s="17">
        <f>'01_원자료'!P659*'03_가중치민감도'!$B$10+'01_원자료'!Q659*'03_가중치민감도'!$C$10+'01_원자료'!R659*'03_가중치민감도'!$D$10</f>
        <v>0.86282642029984991</v>
      </c>
      <c r="K662" s="31">
        <f t="shared" si="60"/>
        <v>954</v>
      </c>
      <c r="L662" s="31">
        <f t="shared" si="61"/>
        <v>955</v>
      </c>
      <c r="M662" s="31">
        <f t="shared" si="62"/>
        <v>953</v>
      </c>
      <c r="N662" s="31">
        <f t="shared" si="63"/>
        <v>955</v>
      </c>
      <c r="O662" s="31">
        <f t="shared" si="64"/>
        <v>955</v>
      </c>
      <c r="P662" s="31">
        <f t="shared" si="65"/>
        <v>926</v>
      </c>
    </row>
    <row r="663" spans="1:16">
      <c r="A663" s="2" t="str">
        <f>'01_원자료'!A660</f>
        <v>RPT-13</v>
      </c>
      <c r="B663" s="2" t="str">
        <f>'01_원자료'!B660</f>
        <v>qwen3_6</v>
      </c>
      <c r="C663" s="2" t="str">
        <f>'01_원자료'!C660</f>
        <v>ministral</v>
      </c>
      <c r="E663" s="17">
        <f>'01_원자료'!P660*'03_가중치민감도'!$B$5+'01_원자료'!Q660*'03_가중치민감도'!$C$5+'01_원자료'!R660*'03_가중치민감도'!$D$5</f>
        <v>0.55376894981001867</v>
      </c>
      <c r="F663" s="17">
        <f>'01_원자료'!P660*'03_가중치민감도'!$B$6+'01_원자료'!Q660*'03_가중치민감도'!$C$6+'01_원자료'!R660*'03_가중치민감도'!$D$6</f>
        <v>0.47579784541570463</v>
      </c>
      <c r="G663" s="17">
        <f>'01_원자료'!P660*'03_가중치민감도'!$B$7+'01_원자료'!Q660*'03_가중치민감도'!$C$7+'01_원자료'!R660*'03_가중치민감도'!$D$7</f>
        <v>0.57183399738120377</v>
      </c>
      <c r="H663" s="17">
        <f>'01_원자료'!P660*'03_가중치민감도'!$B$8+'01_원자료'!Q660*'03_가중치민감도'!$C$8+'01_원자료'!R660*'03_가중치민감도'!$D$8</f>
        <v>0.46344371195409295</v>
      </c>
      <c r="I663" s="17">
        <f>'01_원자료'!P660*'03_가중치민감도'!$B$9+'01_원자료'!Q660*'03_가중치민감도'!$C$9+'01_원자료'!R660*'03_가중치민감도'!$D$9</f>
        <v>0.49576653102341373</v>
      </c>
      <c r="J663" s="17">
        <f>'01_원자료'!P660*'03_가중치민감도'!$B$10+'01_원자료'!Q660*'03_가중치민감도'!$C$10+'01_원자료'!R660*'03_가중치민감도'!$D$10</f>
        <v>0.59560995906196235</v>
      </c>
      <c r="K663" s="31">
        <f t="shared" si="60"/>
        <v>223</v>
      </c>
      <c r="L663" s="31">
        <f t="shared" si="61"/>
        <v>244</v>
      </c>
      <c r="M663" s="31">
        <f t="shared" si="62"/>
        <v>255</v>
      </c>
      <c r="N663" s="31">
        <f t="shared" si="63"/>
        <v>152</v>
      </c>
      <c r="O663" s="31">
        <f t="shared" si="64"/>
        <v>225</v>
      </c>
      <c r="P663" s="31">
        <f t="shared" si="65"/>
        <v>172</v>
      </c>
    </row>
    <row r="664" spans="1:16">
      <c r="A664" s="2" t="str">
        <f>'01_원자료'!A661</f>
        <v>RPT-13</v>
      </c>
      <c r="B664" s="2" t="str">
        <f>'01_원자료'!B661</f>
        <v>qwen3_6</v>
      </c>
      <c r="C664" s="2" t="str">
        <f>'01_원자료'!C661</f>
        <v>qwen</v>
      </c>
      <c r="E664" s="17">
        <f>'01_원자료'!P661*'03_가중치민감도'!$B$5+'01_원자료'!Q661*'03_가중치민감도'!$C$5+'01_원자료'!R661*'03_가중치민감도'!$D$5</f>
        <v>0.68768474282669179</v>
      </c>
      <c r="F664" s="17">
        <f>'01_원자료'!P661*'03_가중치민감도'!$B$6+'01_원자료'!Q661*'03_가중치민감도'!$C$6+'01_원자료'!R661*'03_가중치민감도'!$D$6</f>
        <v>0.62152939509768557</v>
      </c>
      <c r="G664" s="17">
        <f>'01_원자료'!P661*'03_가중치민감도'!$B$7+'01_원자료'!Q661*'03_가중치민감도'!$C$7+'01_원자료'!R661*'03_가중치민감도'!$D$7</f>
        <v>0.69340598494090111</v>
      </c>
      <c r="H664" s="17">
        <f>'01_원자료'!P661*'03_가중치민감도'!$B$8+'01_원자료'!Q661*'03_가중치민감도'!$C$8+'01_원자료'!R661*'03_가중치민감도'!$D$8</f>
        <v>0.65907853225564494</v>
      </c>
      <c r="I664" s="17">
        <f>'01_원자료'!P661*'03_가중치민감도'!$B$9+'01_원자료'!Q661*'03_가중치민감도'!$C$9+'01_원자료'!R661*'03_가중치민감도'!$D$9</f>
        <v>0.64167409696928379</v>
      </c>
      <c r="J664" s="17">
        <f>'01_원자료'!P661*'03_가중치민감도'!$B$10+'01_원자료'!Q661*'03_가중치민감도'!$C$10+'01_원자료'!R661*'03_가중치민감도'!$D$10</f>
        <v>0.74239760632727925</v>
      </c>
      <c r="K664" s="31">
        <f t="shared" si="60"/>
        <v>779</v>
      </c>
      <c r="L664" s="31">
        <f t="shared" si="61"/>
        <v>901</v>
      </c>
      <c r="M664" s="31">
        <f t="shared" si="62"/>
        <v>810</v>
      </c>
      <c r="N664" s="31">
        <f t="shared" si="63"/>
        <v>663</v>
      </c>
      <c r="O664" s="31">
        <f t="shared" si="64"/>
        <v>843</v>
      </c>
      <c r="P664" s="31">
        <f t="shared" si="65"/>
        <v>634</v>
      </c>
    </row>
    <row r="665" spans="1:16">
      <c r="A665" s="2" t="str">
        <f>'01_원자료'!A662</f>
        <v>RPT-14</v>
      </c>
      <c r="B665" s="2" t="str">
        <f>'01_원자료'!B662</f>
        <v>chatgpt</v>
      </c>
      <c r="C665" s="2" t="str">
        <f>'01_원자료'!C662</f>
        <v>gemma</v>
      </c>
      <c r="E665" s="17">
        <f>'01_원자료'!P662*'03_가중치민감도'!$B$5+'01_원자료'!Q662*'03_가중치민감도'!$C$5+'01_원자료'!R662*'03_가중치민감도'!$D$5</f>
        <v>0.55194197097816555</v>
      </c>
      <c r="F665" s="17">
        <f>'01_원자료'!P662*'03_가중치민감도'!$B$6+'01_원자료'!Q662*'03_가중치민감도'!$C$6+'01_원자료'!R662*'03_가중치민감도'!$D$6</f>
        <v>0.46960070543300536</v>
      </c>
      <c r="G665" s="17">
        <f>'01_원자료'!P662*'03_가중치민감도'!$B$7+'01_원자료'!Q662*'03_가중치민감도'!$C$7+'01_원자료'!R662*'03_가중치민감도'!$D$7</f>
        <v>0.55678127787680565</v>
      </c>
      <c r="H665" s="17">
        <f>'01_원자료'!P662*'03_가중치민감도'!$B$8+'01_원자료'!Q662*'03_가중치민감도'!$C$8+'01_원자료'!R662*'03_가중치민감도'!$D$8</f>
        <v>0.52774543648496475</v>
      </c>
      <c r="I665" s="17">
        <f>'01_원자료'!P662*'03_가중치민감도'!$B$9+'01_원자료'!Q662*'03_가중치민감도'!$C$9+'01_원자료'!R662*'03_가중치민감도'!$D$9</f>
        <v>0.4954346916485115</v>
      </c>
      <c r="J665" s="17">
        <f>'01_원자료'!P662*'03_가중치민감도'!$B$10+'01_원자료'!Q662*'03_가중치민감도'!$C$10+'01_원자료'!R662*'03_가중치민감도'!$D$10</f>
        <v>0.62460462272604533</v>
      </c>
      <c r="K665" s="31">
        <f t="shared" si="60"/>
        <v>213</v>
      </c>
      <c r="L665" s="31">
        <f t="shared" si="61"/>
        <v>214</v>
      </c>
      <c r="M665" s="31">
        <f t="shared" si="62"/>
        <v>188</v>
      </c>
      <c r="N665" s="31">
        <f t="shared" si="63"/>
        <v>274</v>
      </c>
      <c r="O665" s="31">
        <f t="shared" si="64"/>
        <v>224</v>
      </c>
      <c r="P665" s="31">
        <f t="shared" si="65"/>
        <v>253</v>
      </c>
    </row>
    <row r="666" spans="1:16">
      <c r="A666" s="2" t="str">
        <f>'01_원자료'!A663</f>
        <v>RPT-14</v>
      </c>
      <c r="B666" s="2" t="str">
        <f>'01_원자료'!B663</f>
        <v>chatgpt</v>
      </c>
      <c r="C666" s="2" t="str">
        <f>'01_원자료'!C663</f>
        <v>ministral</v>
      </c>
      <c r="E666" s="17">
        <f>'01_원자료'!P663*'03_가중치민감도'!$B$5+'01_원자료'!Q663*'03_가중치민감도'!$C$5+'01_원자료'!R663*'03_가중치민감도'!$D$5</f>
        <v>0.45586083559763879</v>
      </c>
      <c r="F666" s="17">
        <f>'01_원자료'!P663*'03_가중치민감도'!$B$6+'01_원자료'!Q663*'03_가중치민감도'!$C$6+'01_원자료'!R663*'03_가중치민감도'!$D$6</f>
        <v>0.3879254130806149</v>
      </c>
      <c r="G666" s="17">
        <f>'01_원자료'!P663*'03_가중치민감도'!$B$7+'01_원자료'!Q663*'03_가중치민감도'!$C$7+'01_원자료'!R663*'03_가중치민감도'!$D$7</f>
        <v>0.47419583740246274</v>
      </c>
      <c r="H666" s="17">
        <f>'01_원자료'!P663*'03_가중치민감도'!$B$8+'01_원자료'!Q663*'03_가중치민감도'!$C$8+'01_원자료'!R663*'03_가중치민감도'!$D$8</f>
        <v>0.36418582657351894</v>
      </c>
      <c r="I666" s="17">
        <f>'01_원자료'!P663*'03_가중치민감도'!$B$9+'01_원자료'!Q663*'03_가중치민감도'!$C$9+'01_원자료'!R663*'03_가중치민감도'!$D$9</f>
        <v>0.40445888665134783</v>
      </c>
      <c r="J666" s="17">
        <f>'01_원자료'!P663*'03_가중치민감도'!$B$10+'01_원자료'!Q663*'03_가중치민감도'!$C$10+'01_원자료'!R663*'03_가중치민감도'!$D$10</f>
        <v>0.48712625450501468</v>
      </c>
      <c r="K666" s="31">
        <f t="shared" si="60"/>
        <v>9</v>
      </c>
      <c r="L666" s="31">
        <f t="shared" si="61"/>
        <v>10</v>
      </c>
      <c r="M666" s="31">
        <f t="shared" si="62"/>
        <v>9</v>
      </c>
      <c r="N666" s="31">
        <f t="shared" si="63"/>
        <v>10</v>
      </c>
      <c r="O666" s="31">
        <f t="shared" si="64"/>
        <v>10</v>
      </c>
      <c r="P666" s="31">
        <f t="shared" si="65"/>
        <v>9</v>
      </c>
    </row>
    <row r="667" spans="1:16">
      <c r="A667" s="2" t="str">
        <f>'01_원자료'!A664</f>
        <v>RPT-14</v>
      </c>
      <c r="B667" s="2" t="str">
        <f>'01_원자료'!B664</f>
        <v>chatgpt</v>
      </c>
      <c r="C667" s="2" t="str">
        <f>'01_원자료'!C664</f>
        <v>qwen</v>
      </c>
      <c r="E667" s="17">
        <f>'01_원자료'!P664*'03_가중치민감도'!$B$5+'01_원자료'!Q664*'03_가중치민감도'!$C$5+'01_원자료'!R664*'03_가중치민감도'!$D$5</f>
        <v>0.56417852684954795</v>
      </c>
      <c r="F667" s="17">
        <f>'01_원자료'!P664*'03_가중치민감도'!$B$6+'01_원자료'!Q664*'03_가중치민감도'!$C$6+'01_원자료'!R664*'03_가중치민감도'!$D$6</f>
        <v>0.49132772135323943</v>
      </c>
      <c r="G667" s="17">
        <f>'01_원자료'!P664*'03_가중치민감도'!$B$7+'01_원자료'!Q664*'03_가중치민감도'!$C$7+'01_원자료'!R664*'03_가중치민감도'!$D$7</f>
        <v>0.57025677607683334</v>
      </c>
      <c r="H667" s="17">
        <f>'01_원자료'!P664*'03_가중치민감도'!$B$8+'01_원자료'!Q664*'03_가중치민감도'!$C$8+'01_원자료'!R664*'03_가중치민감도'!$D$8</f>
        <v>0.53378728071312098</v>
      </c>
      <c r="I667" s="17">
        <f>'01_원자료'!P664*'03_가중치민감도'!$B$9+'01_원자료'!Q664*'03_가중치민감도'!$C$9+'01_원자료'!R664*'03_가중치민감도'!$D$9</f>
        <v>0.51358524010957995</v>
      </c>
      <c r="J667" s="17">
        <f>'01_원자료'!P664*'03_가중치민감도'!$B$10+'01_원자료'!Q664*'03_가중치민감도'!$C$10+'01_원자료'!R664*'03_가중치민감도'!$D$10</f>
        <v>0.62487283389128567</v>
      </c>
      <c r="K667" s="31">
        <f t="shared" si="60"/>
        <v>266</v>
      </c>
      <c r="L667" s="31">
        <f t="shared" si="61"/>
        <v>319</v>
      </c>
      <c r="M667" s="31">
        <f t="shared" si="62"/>
        <v>248</v>
      </c>
      <c r="N667" s="31">
        <f t="shared" si="63"/>
        <v>289</v>
      </c>
      <c r="O667" s="31">
        <f t="shared" si="64"/>
        <v>303</v>
      </c>
      <c r="P667" s="31">
        <f t="shared" si="65"/>
        <v>254</v>
      </c>
    </row>
    <row r="668" spans="1:16">
      <c r="A668" s="2" t="str">
        <f>'01_원자료'!A665</f>
        <v>RPT-14</v>
      </c>
      <c r="B668" s="2" t="str">
        <f>'01_원자료'!B665</f>
        <v>claude</v>
      </c>
      <c r="C668" s="2" t="str">
        <f>'01_원자료'!C665</f>
        <v>gemma</v>
      </c>
      <c r="E668" s="17">
        <f>'01_원자료'!P665*'03_가중치민감도'!$B$5+'01_원자료'!Q665*'03_가중치민감도'!$C$5+'01_원자료'!R665*'03_가중치민감도'!$D$5</f>
        <v>0.63942519083573224</v>
      </c>
      <c r="F668" s="17">
        <f>'01_원자료'!P665*'03_가중치민감도'!$B$6+'01_원자료'!Q665*'03_가중치민감도'!$C$6+'01_원자료'!R665*'03_가중치민감도'!$D$6</f>
        <v>0.54244428068033046</v>
      </c>
      <c r="G668" s="17">
        <f>'01_원자료'!P665*'03_가중치민감도'!$B$7+'01_원자료'!Q665*'03_가중치민감도'!$C$7+'01_원자료'!R665*'03_가중치민감도'!$D$7</f>
        <v>0.63887106962203055</v>
      </c>
      <c r="H668" s="17">
        <f>'01_원자료'!P665*'03_가중치민감도'!$B$8+'01_원자료'!Q665*'03_가중치민감도'!$C$8+'01_원자료'!R665*'03_가중치민감도'!$D$8</f>
        <v>0.64219579690424111</v>
      </c>
      <c r="I668" s="17">
        <f>'01_원자료'!P665*'03_가중치민감도'!$B$9+'01_원자료'!Q665*'03_가중치민감도'!$C$9+'01_원자료'!R665*'03_가중치민감도'!$D$9</f>
        <v>0.57495595780336439</v>
      </c>
      <c r="J668" s="17">
        <f>'01_원자료'!P665*'03_가중치민감도'!$B$10+'01_원자료'!Q665*'03_가중치민감도'!$C$10+'01_원자료'!R665*'03_가중치민감도'!$D$10</f>
        <v>0.73751434341853761</v>
      </c>
      <c r="K668" s="31">
        <f t="shared" si="60"/>
        <v>572</v>
      </c>
      <c r="L668" s="31">
        <f t="shared" si="61"/>
        <v>552</v>
      </c>
      <c r="M668" s="31">
        <f t="shared" si="62"/>
        <v>561</v>
      </c>
      <c r="N668" s="31">
        <f t="shared" si="63"/>
        <v>615</v>
      </c>
      <c r="O668" s="31">
        <f t="shared" si="64"/>
        <v>563</v>
      </c>
      <c r="P668" s="31">
        <f t="shared" si="65"/>
        <v>614</v>
      </c>
    </row>
    <row r="669" spans="1:16">
      <c r="A669" s="2" t="str">
        <f>'01_원자료'!A666</f>
        <v>RPT-14</v>
      </c>
      <c r="B669" s="2" t="str">
        <f>'01_원자료'!B666</f>
        <v>claude</v>
      </c>
      <c r="C669" s="2" t="str">
        <f>'01_원자료'!C666</f>
        <v>ministral</v>
      </c>
      <c r="E669" s="17">
        <f>'01_원자료'!P666*'03_가중치민감도'!$B$5+'01_원자료'!Q666*'03_가중치민감도'!$C$5+'01_원자료'!R666*'03_가중치민감도'!$D$5</f>
        <v>0.52116771300229314</v>
      </c>
      <c r="F669" s="17">
        <f>'01_원자료'!P666*'03_가중치민감도'!$B$6+'01_원자료'!Q666*'03_가중치민감도'!$C$6+'01_원자료'!R666*'03_가중치민감도'!$D$6</f>
        <v>0.45049370796218213</v>
      </c>
      <c r="G669" s="17">
        <f>'01_원자료'!P666*'03_가중치민감도'!$B$7+'01_원자료'!Q666*'03_가중치민감도'!$C$7+'01_원자료'!R666*'03_가중치민감도'!$D$7</f>
        <v>0.53698504727188778</v>
      </c>
      <c r="H669" s="17">
        <f>'01_원자료'!P666*'03_가중치민감도'!$B$8+'01_원자료'!Q666*'03_가중치민감도'!$C$8+'01_원자료'!R666*'03_가중치민감도'!$D$8</f>
        <v>0.44208104165432005</v>
      </c>
      <c r="I669" s="17">
        <f>'01_원자료'!P666*'03_가중치민감도'!$B$9+'01_원자료'!Q666*'03_가중치민감도'!$C$9+'01_원자료'!R666*'03_가중치민감도'!$D$9</f>
        <v>0.46877926488568711</v>
      </c>
      <c r="J669" s="17">
        <f>'01_원자료'!P666*'03_가중치민감도'!$B$10+'01_원자료'!Q666*'03_가중치민감도'!$C$10+'01_원자료'!R666*'03_가중치민감도'!$D$10</f>
        <v>0.56020704950321498</v>
      </c>
      <c r="K669" s="31">
        <f t="shared" si="60"/>
        <v>96</v>
      </c>
      <c r="L669" s="31">
        <f t="shared" si="61"/>
        <v>144</v>
      </c>
      <c r="M669" s="31">
        <f t="shared" si="62"/>
        <v>94</v>
      </c>
      <c r="N669" s="31">
        <f t="shared" si="63"/>
        <v>123</v>
      </c>
      <c r="O669" s="31">
        <f t="shared" si="64"/>
        <v>126</v>
      </c>
      <c r="P669" s="31">
        <f t="shared" si="65"/>
        <v>88</v>
      </c>
    </row>
    <row r="670" spans="1:16">
      <c r="A670" s="2" t="str">
        <f>'01_원자료'!A667</f>
        <v>RPT-14</v>
      </c>
      <c r="B670" s="2" t="str">
        <f>'01_원자료'!B667</f>
        <v>claude</v>
      </c>
      <c r="C670" s="2" t="str">
        <f>'01_원자료'!C667</f>
        <v>qwen</v>
      </c>
      <c r="E670" s="17">
        <f>'01_원자료'!P667*'03_가중치민감도'!$B$5+'01_원자료'!Q667*'03_가중치민감도'!$C$5+'01_원자료'!R667*'03_가중치민감도'!$D$5</f>
        <v>0.60488256820994923</v>
      </c>
      <c r="F670" s="17">
        <f>'01_원자료'!P667*'03_가중치민감도'!$B$6+'01_원자료'!Q667*'03_가중치민감도'!$C$6+'01_원자료'!R667*'03_가중치민감도'!$D$6</f>
        <v>0.51822622997052536</v>
      </c>
      <c r="G670" s="17">
        <f>'01_원자료'!P667*'03_가중치민감도'!$B$7+'01_원자료'!Q667*'03_가중치민감도'!$C$7+'01_원자료'!R667*'03_가중치민감도'!$D$7</f>
        <v>0.60968922176444962</v>
      </c>
      <c r="H670" s="17">
        <f>'01_원자료'!P667*'03_가중치민감도'!$B$8+'01_원자료'!Q667*'03_가중치민감도'!$C$8+'01_원자료'!R667*'03_가중치민감도'!$D$8</f>
        <v>0.58084930043744776</v>
      </c>
      <c r="I670" s="17">
        <f>'01_원자료'!P667*'03_가중치민감도'!$B$9+'01_원자료'!Q667*'03_가중치민감도'!$C$9+'01_원자료'!R667*'03_가중치민감도'!$D$9</f>
        <v>0.54550945819883268</v>
      </c>
      <c r="J670" s="17">
        <f>'01_원자료'!P667*'03_가중치민감도'!$B$10+'01_원자료'!Q667*'03_가중치민감도'!$C$10+'01_원자료'!R667*'03_가중치민감도'!$D$10</f>
        <v>0.68192559934037267</v>
      </c>
      <c r="K670" s="31">
        <f t="shared" si="60"/>
        <v>410</v>
      </c>
      <c r="L670" s="31">
        <f t="shared" si="61"/>
        <v>454</v>
      </c>
      <c r="M670" s="31">
        <f t="shared" si="62"/>
        <v>412</v>
      </c>
      <c r="N670" s="31">
        <f t="shared" si="63"/>
        <v>428</v>
      </c>
      <c r="O670" s="31">
        <f t="shared" si="64"/>
        <v>441</v>
      </c>
      <c r="P670" s="31">
        <f t="shared" si="65"/>
        <v>398</v>
      </c>
    </row>
    <row r="671" spans="1:16">
      <c r="A671" s="2" t="str">
        <f>'01_원자료'!A668</f>
        <v>RPT-14</v>
      </c>
      <c r="B671" s="2" t="str">
        <f>'01_원자료'!B668</f>
        <v>gemini</v>
      </c>
      <c r="C671" s="2" t="str">
        <f>'01_원자료'!C668</f>
        <v>gemma</v>
      </c>
      <c r="E671" s="17">
        <f>'01_원자료'!P668*'03_가중치민감도'!$B$5+'01_원자료'!Q668*'03_가중치민감도'!$C$5+'01_원자료'!R668*'03_가중치민감도'!$D$5</f>
        <v>0.74398541165613929</v>
      </c>
      <c r="F671" s="17">
        <f>'01_원자료'!P668*'03_가중치민감도'!$B$6+'01_원자료'!Q668*'03_가중치민감도'!$C$6+'01_원자료'!R668*'03_가중치민감도'!$D$6</f>
        <v>0.62306715442271954</v>
      </c>
      <c r="G671" s="17">
        <f>'01_원자료'!P668*'03_가중치민감도'!$B$7+'01_원자료'!Q668*'03_가중치민감도'!$C$7+'01_원자료'!R668*'03_가중치민감도'!$D$7</f>
        <v>0.73763825287634055</v>
      </c>
      <c r="H671" s="17">
        <f>'01_원자료'!P668*'03_가중치민감도'!$B$8+'01_원자료'!Q668*'03_가중치민감도'!$C$8+'01_원자료'!R668*'03_가중치민감도'!$D$8</f>
        <v>0.77572120555513313</v>
      </c>
      <c r="I671" s="17">
        <f>'01_원자료'!P668*'03_가중치민감도'!$B$9+'01_원자료'!Q668*'03_가중치민감도'!$C$9+'01_원자료'!R668*'03_가중치민감도'!$D$9</f>
        <v>0.66548895976045841</v>
      </c>
      <c r="J671" s="17">
        <f>'01_원자료'!P668*'03_가중치민감도'!$B$10+'01_원자료'!Q668*'03_가중치민감도'!$C$10+'01_원자료'!R668*'03_가중치민감도'!$D$10</f>
        <v>0.87759798644915654</v>
      </c>
      <c r="K671" s="31">
        <f t="shared" si="60"/>
        <v>940</v>
      </c>
      <c r="L671" s="31">
        <f t="shared" si="61"/>
        <v>910</v>
      </c>
      <c r="M671" s="31">
        <f t="shared" si="62"/>
        <v>943</v>
      </c>
      <c r="N671" s="31">
        <f t="shared" si="63"/>
        <v>923</v>
      </c>
      <c r="O671" s="31">
        <f t="shared" si="64"/>
        <v>920</v>
      </c>
      <c r="P671" s="31">
        <f t="shared" si="65"/>
        <v>961</v>
      </c>
    </row>
    <row r="672" spans="1:16">
      <c r="A672" s="2" t="str">
        <f>'01_원자료'!A669</f>
        <v>RPT-14</v>
      </c>
      <c r="B672" s="2" t="str">
        <f>'01_원자료'!B669</f>
        <v>gemini</v>
      </c>
      <c r="C672" s="2" t="str">
        <f>'01_원자료'!C669</f>
        <v>ministral</v>
      </c>
      <c r="E672" s="17">
        <f>'01_원자료'!P669*'03_가중치민감도'!$B$5+'01_원자료'!Q669*'03_가중치민감도'!$C$5+'01_원자료'!R669*'03_가중치민감도'!$D$5</f>
        <v>0.53192011898095948</v>
      </c>
      <c r="F672" s="17">
        <f>'01_원자료'!P669*'03_가중치민감도'!$B$6+'01_원자료'!Q669*'03_가중치민감도'!$C$6+'01_원자료'!R669*'03_가중치민감도'!$D$6</f>
        <v>0.4410996000228426</v>
      </c>
      <c r="G672" s="17">
        <f>'01_원자료'!P669*'03_가중치민감도'!$B$7+'01_원자료'!Q669*'03_가중치민감도'!$C$7+'01_원자료'!R669*'03_가중치민감도'!$D$7</f>
        <v>0.5556445812679599</v>
      </c>
      <c r="H672" s="17">
        <f>'01_원자료'!P669*'03_가중치민감도'!$B$8+'01_원자료'!Q669*'03_가중치민감도'!$C$8+'01_원자료'!R669*'03_가중치민감도'!$D$8</f>
        <v>0.41329780754595713</v>
      </c>
      <c r="I672" s="17">
        <f>'01_원자료'!P669*'03_가중치민감도'!$B$9+'01_원자료'!Q669*'03_가중치민감도'!$C$9+'01_원자료'!R669*'03_가중치민감도'!$D$9</f>
        <v>0.4634649522465476</v>
      </c>
      <c r="J672" s="17">
        <f>'01_원자료'!P669*'03_가중치민감도'!$B$10+'01_원자료'!Q669*'03_가중치민감도'!$C$10+'01_원자료'!R669*'03_가중치민감도'!$D$10</f>
        <v>0.57529171336507534</v>
      </c>
      <c r="K672" s="31">
        <f t="shared" si="60"/>
        <v>139</v>
      </c>
      <c r="L672" s="31">
        <f t="shared" si="61"/>
        <v>99</v>
      </c>
      <c r="M672" s="31">
        <f t="shared" si="62"/>
        <v>185</v>
      </c>
      <c r="N672" s="31">
        <f t="shared" si="63"/>
        <v>72</v>
      </c>
      <c r="O672" s="31">
        <f t="shared" si="64"/>
        <v>105</v>
      </c>
      <c r="P672" s="31">
        <f t="shared" si="65"/>
        <v>120</v>
      </c>
    </row>
    <row r="673" spans="1:16">
      <c r="A673" s="2" t="str">
        <f>'01_원자료'!A670</f>
        <v>RPT-14</v>
      </c>
      <c r="B673" s="2" t="str">
        <f>'01_원자료'!B670</f>
        <v>gemini</v>
      </c>
      <c r="C673" s="2" t="str">
        <f>'01_원자료'!C670</f>
        <v>qwen</v>
      </c>
      <c r="E673" s="17">
        <f>'01_원자료'!P670*'03_가중치민감도'!$B$5+'01_원자료'!Q670*'03_가중치민감도'!$C$5+'01_원자료'!R670*'03_가중치민감도'!$D$5</f>
        <v>0.69425066278312331</v>
      </c>
      <c r="F673" s="17">
        <f>'01_원자료'!P670*'03_가중치민감도'!$B$6+'01_원자료'!Q670*'03_가중치민감도'!$C$6+'01_원자료'!R670*'03_가중치민감도'!$D$6</f>
        <v>0.59527146665563557</v>
      </c>
      <c r="G673" s="17">
        <f>'01_원자료'!P670*'03_가중치민감도'!$B$7+'01_원자료'!Q670*'03_가중치민감도'!$C$7+'01_원자료'!R670*'03_가중치민감도'!$D$7</f>
        <v>0.69504293635240222</v>
      </c>
      <c r="H673" s="17">
        <f>'01_원자료'!P670*'03_가중치민감도'!$B$8+'01_원자료'!Q670*'03_가중치민감도'!$C$8+'01_원자료'!R670*'03_가중치민감도'!$D$8</f>
        <v>0.69028929493672875</v>
      </c>
      <c r="I673" s="17">
        <f>'01_원자료'!P670*'03_가중치민감도'!$B$9+'01_원자료'!Q670*'03_가중치민감도'!$C$9+'01_원자료'!R670*'03_가중치민감도'!$D$9</f>
        <v>0.62800044084170448</v>
      </c>
      <c r="J673" s="17">
        <f>'01_원자료'!P670*'03_가중치민감도'!$B$10+'01_원자료'!Q670*'03_가중치민감도'!$C$10+'01_원자료'!R670*'03_가중치민감도'!$D$10</f>
        <v>0.79164531177205333</v>
      </c>
      <c r="K673" s="31">
        <f t="shared" si="60"/>
        <v>802</v>
      </c>
      <c r="L673" s="31">
        <f t="shared" si="61"/>
        <v>788</v>
      </c>
      <c r="M673" s="31">
        <f t="shared" si="62"/>
        <v>816</v>
      </c>
      <c r="N673" s="31">
        <f t="shared" si="63"/>
        <v>748</v>
      </c>
      <c r="O673" s="31">
        <f t="shared" si="64"/>
        <v>787</v>
      </c>
      <c r="P673" s="31">
        <f t="shared" si="65"/>
        <v>787</v>
      </c>
    </row>
    <row r="674" spans="1:16">
      <c r="A674" s="2" t="str">
        <f>'01_원자료'!A671</f>
        <v>RPT-14</v>
      </c>
      <c r="B674" s="2" t="str">
        <f>'01_원자료'!B671</f>
        <v>mistral</v>
      </c>
      <c r="C674" s="2" t="str">
        <f>'01_원자료'!C671</f>
        <v>gemma</v>
      </c>
      <c r="E674" s="17">
        <f>'01_원자료'!P671*'03_가중치민감도'!$B$5+'01_원자료'!Q671*'03_가중치민감도'!$C$5+'01_원자료'!R671*'03_가중치민감도'!$D$5</f>
        <v>0.65863494802729217</v>
      </c>
      <c r="F674" s="17">
        <f>'01_원자료'!P671*'03_가중치민감도'!$B$6+'01_원자료'!Q671*'03_가중치민감도'!$C$6+'01_원자료'!R671*'03_가중치민감도'!$D$6</f>
        <v>0.56832945032807036</v>
      </c>
      <c r="G674" s="17">
        <f>'01_원자료'!P671*'03_가중치민감도'!$B$7+'01_원자료'!Q671*'03_가중치민감도'!$C$7+'01_원자료'!R671*'03_가중치민감도'!$D$7</f>
        <v>0.65634080413262341</v>
      </c>
      <c r="H674" s="17">
        <f>'01_원자료'!P671*'03_가중치민감도'!$B$8+'01_원자료'!Q671*'03_가중치민감도'!$C$8+'01_원자료'!R671*'03_가중치민감도'!$D$8</f>
        <v>0.67010566750063594</v>
      </c>
      <c r="I674" s="17">
        <f>'01_원자료'!P671*'03_가중치민감도'!$B$9+'01_원자료'!Q671*'03_가중치민감도'!$C$9+'01_원자료'!R671*'03_가중치민감도'!$D$9</f>
        <v>0.59919599752603325</v>
      </c>
      <c r="J674" s="17">
        <f>'01_원자료'!P671*'03_가중치민감도'!$B$10+'01_원자료'!Q671*'03_가중치민감도'!$C$10+'01_원자료'!R671*'03_가중치민감도'!$D$10</f>
        <v>0.75352873351585159</v>
      </c>
      <c r="K674" s="31">
        <f t="shared" si="60"/>
        <v>664</v>
      </c>
      <c r="L674" s="31">
        <f t="shared" si="61"/>
        <v>684</v>
      </c>
      <c r="M674" s="31">
        <f t="shared" si="62"/>
        <v>647</v>
      </c>
      <c r="N674" s="31">
        <f t="shared" si="63"/>
        <v>701</v>
      </c>
      <c r="O674" s="31">
        <f t="shared" si="64"/>
        <v>678</v>
      </c>
      <c r="P674" s="31">
        <f t="shared" si="65"/>
        <v>672</v>
      </c>
    </row>
    <row r="675" spans="1:16">
      <c r="A675" s="2" t="str">
        <f>'01_원자료'!A672</f>
        <v>RPT-14</v>
      </c>
      <c r="B675" s="2" t="str">
        <f>'01_원자료'!B672</f>
        <v>mistral</v>
      </c>
      <c r="C675" s="2" t="str">
        <f>'01_원자료'!C672</f>
        <v>ministral</v>
      </c>
      <c r="E675" s="17">
        <f>'01_원자료'!P672*'03_가중치민감도'!$B$5+'01_원자료'!Q672*'03_가중치민감도'!$C$5+'01_원자료'!R672*'03_가중치민감도'!$D$5</f>
        <v>0.50594479138569393</v>
      </c>
      <c r="F675" s="17">
        <f>'01_원자료'!P672*'03_가중치민감도'!$B$6+'01_원자료'!Q672*'03_가중치민감도'!$C$6+'01_원자료'!R672*'03_가중치민감도'!$D$6</f>
        <v>0.4305936082380844</v>
      </c>
      <c r="G675" s="17">
        <f>'01_원자료'!P672*'03_가중치민감도'!$B$7+'01_원자료'!Q672*'03_가중치민감도'!$C$7+'01_원자료'!R672*'03_가중치민감도'!$D$7</f>
        <v>0.52452462644603659</v>
      </c>
      <c r="H675" s="17">
        <f>'01_원자료'!P672*'03_가중치민감도'!$B$8+'01_원자료'!Q672*'03_가중치민감도'!$C$8+'01_원자료'!R672*'03_가중치민감도'!$D$8</f>
        <v>0.41304561608397994</v>
      </c>
      <c r="I675" s="17">
        <f>'01_원자료'!P672*'03_가중치민감도'!$B$9+'01_원자료'!Q672*'03_가중치민감도'!$C$9+'01_원자료'!R672*'03_가중치민감도'!$D$9</f>
        <v>0.44951739093383947</v>
      </c>
      <c r="J675" s="17">
        <f>'01_원자료'!P672*'03_가중치민감도'!$B$10+'01_원자료'!Q672*'03_가중치민감도'!$C$10+'01_원자료'!R672*'03_가중치민감도'!$D$10</f>
        <v>0.54413630441261773</v>
      </c>
      <c r="K675" s="31">
        <f t="shared" si="60"/>
        <v>58</v>
      </c>
      <c r="L675" s="31">
        <f t="shared" si="61"/>
        <v>72</v>
      </c>
      <c r="M675" s="31">
        <f t="shared" si="62"/>
        <v>58</v>
      </c>
      <c r="N675" s="31">
        <f t="shared" si="63"/>
        <v>71</v>
      </c>
      <c r="O675" s="31">
        <f t="shared" si="64"/>
        <v>63</v>
      </c>
      <c r="P675" s="31">
        <f t="shared" si="65"/>
        <v>56</v>
      </c>
    </row>
    <row r="676" spans="1:16">
      <c r="A676" s="2" t="str">
        <f>'01_원자료'!A673</f>
        <v>RPT-14</v>
      </c>
      <c r="B676" s="2" t="str">
        <f>'01_원자료'!B673</f>
        <v>mistral</v>
      </c>
      <c r="C676" s="2" t="str">
        <f>'01_원자료'!C673</f>
        <v>qwen</v>
      </c>
      <c r="E676" s="17">
        <f>'01_원자료'!P673*'03_가중치민감도'!$B$5+'01_원자료'!Q673*'03_가중치민감도'!$C$5+'01_원자료'!R673*'03_가중치민감도'!$D$5</f>
        <v>0.64746263330637088</v>
      </c>
      <c r="F676" s="17">
        <f>'01_원자료'!P673*'03_가중치민감도'!$B$6+'01_원자료'!Q673*'03_가중치민감도'!$C$6+'01_원자료'!R673*'03_가중치민감도'!$D$6</f>
        <v>0.55939899553087025</v>
      </c>
      <c r="G676" s="17">
        <f>'01_원자료'!P673*'03_가중치민감도'!$B$7+'01_원자료'!Q673*'03_가중치민감도'!$C$7+'01_원자료'!R673*'03_가중치민감도'!$D$7</f>
        <v>0.64438045714682168</v>
      </c>
      <c r="H676" s="17">
        <f>'01_원자료'!P673*'03_가중치민감도'!$B$8+'01_원자료'!Q673*'03_가중치민감도'!$C$8+'01_원자료'!R673*'03_가중치민감도'!$D$8</f>
        <v>0.66287351410411666</v>
      </c>
      <c r="I676" s="17">
        <f>'01_원자료'!P673*'03_가중치민감도'!$B$9+'01_원자료'!Q673*'03_가중치민감도'!$C$9+'01_원자료'!R673*'03_가중치민감도'!$D$9</f>
        <v>0.58978093350921956</v>
      </c>
      <c r="J676" s="17">
        <f>'01_원자료'!P673*'03_가중치민감도'!$B$10+'01_원자료'!Q673*'03_가중치민감도'!$C$10+'01_원자료'!R673*'03_가중치민감도'!$D$10</f>
        <v>0.74169062340096981</v>
      </c>
      <c r="K676" s="31">
        <f t="shared" si="60"/>
        <v>607</v>
      </c>
      <c r="L676" s="31">
        <f t="shared" si="61"/>
        <v>635</v>
      </c>
      <c r="M676" s="31">
        <f t="shared" si="62"/>
        <v>586</v>
      </c>
      <c r="N676" s="31">
        <f t="shared" si="63"/>
        <v>677</v>
      </c>
      <c r="O676" s="31">
        <f t="shared" si="64"/>
        <v>627</v>
      </c>
      <c r="P676" s="31">
        <f t="shared" si="65"/>
        <v>632</v>
      </c>
    </row>
    <row r="677" spans="1:16">
      <c r="A677" s="2" t="str">
        <f>'01_원자료'!A674</f>
        <v>RPT-14</v>
      </c>
      <c r="B677" s="2" t="str">
        <f>'01_원자료'!B674</f>
        <v>qwen3_6</v>
      </c>
      <c r="C677" s="2" t="str">
        <f>'01_원자료'!C674</f>
        <v>gemma</v>
      </c>
      <c r="E677" s="17">
        <f>'01_원자료'!P674*'03_가중치민감도'!$B$5+'01_원자료'!Q674*'03_가중치민감도'!$C$5+'01_원자료'!R674*'03_가중치민감도'!$D$5</f>
        <v>0.73632587251007198</v>
      </c>
      <c r="F677" s="17">
        <f>'01_원자료'!P674*'03_가중치민감도'!$B$6+'01_원자료'!Q674*'03_가중치민감도'!$C$6+'01_원자료'!R674*'03_가중치민감도'!$D$6</f>
        <v>0.6330945651390395</v>
      </c>
      <c r="G677" s="17">
        <f>'01_원자료'!P674*'03_가중치민감도'!$B$7+'01_원자료'!Q674*'03_가중치민감도'!$C$7+'01_원자료'!R674*'03_가중치민감도'!$D$7</f>
        <v>0.72786650631290195</v>
      </c>
      <c r="H677" s="17">
        <f>'01_원자료'!P674*'03_가중치민감도'!$B$8+'01_원자료'!Q674*'03_가중치민감도'!$C$8+'01_원자료'!R674*'03_가중치민감도'!$D$8</f>
        <v>0.77862270349592189</v>
      </c>
      <c r="I677" s="17">
        <f>'01_원자료'!P674*'03_가중치민감도'!$B$9+'01_원자료'!Q674*'03_가중치민감도'!$C$9+'01_원자료'!R674*'03_가중치민감도'!$D$9</f>
        <v>0.670324789661773</v>
      </c>
      <c r="J677" s="17">
        <f>'01_원자료'!P674*'03_가중치민감도'!$B$10+'01_원자료'!Q674*'03_가중치민감도'!$C$10+'01_원자료'!R674*'03_가중치민감도'!$D$10</f>
        <v>0.8564759122754444</v>
      </c>
      <c r="K677" s="31">
        <f t="shared" si="60"/>
        <v>918</v>
      </c>
      <c r="L677" s="31">
        <f t="shared" si="61"/>
        <v>929</v>
      </c>
      <c r="M677" s="31">
        <f t="shared" si="62"/>
        <v>917</v>
      </c>
      <c r="N677" s="31">
        <f t="shared" si="63"/>
        <v>930</v>
      </c>
      <c r="O677" s="31">
        <f t="shared" si="64"/>
        <v>928</v>
      </c>
      <c r="P677" s="31">
        <f t="shared" si="65"/>
        <v>905</v>
      </c>
    </row>
    <row r="678" spans="1:16">
      <c r="A678" s="2" t="str">
        <f>'01_원자료'!A675</f>
        <v>RPT-14</v>
      </c>
      <c r="B678" s="2" t="str">
        <f>'01_원자료'!B675</f>
        <v>qwen3_6</v>
      </c>
      <c r="C678" s="2" t="str">
        <f>'01_원자료'!C675</f>
        <v>ministral</v>
      </c>
      <c r="E678" s="17">
        <f>'01_원자료'!P675*'03_가중치민감도'!$B$5+'01_원자료'!Q675*'03_가중치민감도'!$C$5+'01_원자료'!R675*'03_가중치민감도'!$D$5</f>
        <v>0.49654510950391068</v>
      </c>
      <c r="F678" s="17">
        <f>'01_원자료'!P675*'03_가중치민감도'!$B$6+'01_원자료'!Q675*'03_가중치민감도'!$C$6+'01_원자료'!R675*'03_가중치민감도'!$D$6</f>
        <v>0.40926099728961646</v>
      </c>
      <c r="G678" s="17">
        <f>'01_원자료'!P675*'03_가중치민감도'!$B$7+'01_원자료'!Q675*'03_가중치민감도'!$C$7+'01_원자료'!R675*'03_가중치민감도'!$D$7</f>
        <v>0.51702695377250518</v>
      </c>
      <c r="H678" s="17">
        <f>'01_원자료'!P675*'03_가중치민감도'!$B$8+'01_원자료'!Q675*'03_가중치민감도'!$C$8+'01_원자료'!R675*'03_가중치민감도'!$D$8</f>
        <v>0.39413588816093814</v>
      </c>
      <c r="I678" s="17">
        <f>'01_원자료'!P675*'03_가중치민감도'!$B$9+'01_원자료'!Q675*'03_가중치민감도'!$C$9+'01_원자료'!R675*'03_가중치민감도'!$D$9</f>
        <v>0.43152841993818258</v>
      </c>
      <c r="J678" s="17">
        <f>'01_원자료'!P675*'03_가중치민감도'!$B$10+'01_원자료'!Q675*'03_가중치민감도'!$C$10+'01_원자료'!R675*'03_가중치민감도'!$D$10</f>
        <v>0.54286553318101582</v>
      </c>
      <c r="K678" s="31">
        <f t="shared" si="60"/>
        <v>40</v>
      </c>
      <c r="L678" s="31">
        <f t="shared" si="61"/>
        <v>30</v>
      </c>
      <c r="M678" s="31">
        <f t="shared" si="62"/>
        <v>43</v>
      </c>
      <c r="N678" s="31">
        <f t="shared" si="63"/>
        <v>37</v>
      </c>
      <c r="O678" s="31">
        <f t="shared" si="64"/>
        <v>33</v>
      </c>
      <c r="P678" s="31">
        <f t="shared" si="65"/>
        <v>54</v>
      </c>
    </row>
    <row r="679" spans="1:16">
      <c r="A679" s="2" t="str">
        <f>'01_원자료'!A676</f>
        <v>RPT-14</v>
      </c>
      <c r="B679" s="2" t="str">
        <f>'01_원자료'!B676</f>
        <v>qwen3_6</v>
      </c>
      <c r="C679" s="2" t="str">
        <f>'01_원자료'!C676</f>
        <v>qwen</v>
      </c>
      <c r="E679" s="17">
        <f>'01_원자료'!P676*'03_가중치민감도'!$B$5+'01_원자료'!Q676*'03_가중치민감도'!$C$5+'01_원자료'!R676*'03_가중치민감도'!$D$5</f>
        <v>0.68958256325885947</v>
      </c>
      <c r="F679" s="17">
        <f>'01_원자료'!P676*'03_가중치민감도'!$B$6+'01_원자료'!Q676*'03_가중치민감도'!$C$6+'01_원자료'!R676*'03_가중치민감도'!$D$6</f>
        <v>0.5978065495705982</v>
      </c>
      <c r="G679" s="17">
        <f>'01_원자료'!P676*'03_가중치민감도'!$B$7+'01_원자료'!Q676*'03_가중치민감도'!$C$7+'01_원자료'!R676*'03_가중치민감도'!$D$7</f>
        <v>0.68938556333118073</v>
      </c>
      <c r="H679" s="17">
        <f>'01_원자료'!P676*'03_가중치민감도'!$B$8+'01_원자료'!Q676*'03_가중치민감도'!$C$8+'01_원자료'!R676*'03_가중치민감도'!$D$8</f>
        <v>0.69056756289725252</v>
      </c>
      <c r="I679" s="17">
        <f>'01_원자료'!P676*'03_가중치민감도'!$B$9+'01_원자료'!Q676*'03_가중치민감도'!$C$9+'01_원자료'!R676*'03_가중치민감도'!$D$9</f>
        <v>0.6284642207759108</v>
      </c>
      <c r="J679" s="17">
        <f>'01_원자료'!P676*'03_가중치민감도'!$B$10+'01_원자료'!Q676*'03_가중치민감도'!$C$10+'01_원자료'!R676*'03_가중치민감도'!$D$10</f>
        <v>0.78175257680247778</v>
      </c>
      <c r="K679" s="31">
        <f t="shared" si="60"/>
        <v>785</v>
      </c>
      <c r="L679" s="31">
        <f t="shared" si="61"/>
        <v>801</v>
      </c>
      <c r="M679" s="31">
        <f t="shared" si="62"/>
        <v>793</v>
      </c>
      <c r="N679" s="31">
        <f t="shared" si="63"/>
        <v>750</v>
      </c>
      <c r="O679" s="31">
        <f t="shared" si="64"/>
        <v>788</v>
      </c>
      <c r="P679" s="31">
        <f t="shared" si="65"/>
        <v>764</v>
      </c>
    </row>
    <row r="680" spans="1:16">
      <c r="A680" s="2" t="str">
        <f>'01_원자료'!A677</f>
        <v>RPT-15</v>
      </c>
      <c r="B680" s="2" t="str">
        <f>'01_원자료'!B677</f>
        <v>chatgpt</v>
      </c>
      <c r="C680" s="2" t="str">
        <f>'01_원자료'!C677</f>
        <v>gemma</v>
      </c>
      <c r="E680" s="17">
        <f>'01_원자료'!P677*'03_가중치민감도'!$B$5+'01_원자료'!Q677*'03_가중치민감도'!$C$5+'01_원자료'!R677*'03_가중치민감도'!$D$5</f>
        <v>0.51863052655953612</v>
      </c>
      <c r="F680" s="17">
        <f>'01_원자료'!P677*'03_가중치민감도'!$B$6+'01_원자료'!Q677*'03_가중치민감도'!$C$6+'01_원자료'!R677*'03_가중치민감도'!$D$6</f>
        <v>0.43245660663027857</v>
      </c>
      <c r="G680" s="17">
        <f>'01_원자료'!P677*'03_가중치민감도'!$B$7+'01_원자료'!Q677*'03_가중치민감도'!$C$7+'01_원자료'!R677*'03_가중치민감도'!$D$7</f>
        <v>0.5288742056397373</v>
      </c>
      <c r="H680" s="17">
        <f>'01_원자료'!P677*'03_가중치민감도'!$B$8+'01_원자료'!Q677*'03_가중치민감도'!$C$8+'01_원자료'!R677*'03_가중치민감도'!$D$8</f>
        <v>0.4674121311585302</v>
      </c>
      <c r="I680" s="17">
        <f>'01_원자료'!P677*'03_가중치민감도'!$B$9+'01_원자료'!Q677*'03_가중치민감도'!$C$9+'01_원자료'!R677*'03_가중치민감도'!$D$9</f>
        <v>0.45776668691329692</v>
      </c>
      <c r="J680" s="17">
        <f>'01_원자료'!P677*'03_가중치민감도'!$B$10+'01_원자료'!Q677*'03_가중치민감도'!$C$10+'01_원자료'!R677*'03_가중치민감도'!$D$10</f>
        <v>0.58431708832839135</v>
      </c>
      <c r="K680" s="31">
        <f t="shared" si="60"/>
        <v>89</v>
      </c>
      <c r="L680" s="31">
        <f t="shared" si="61"/>
        <v>77</v>
      </c>
      <c r="M680" s="31">
        <f t="shared" si="62"/>
        <v>69</v>
      </c>
      <c r="N680" s="31">
        <f t="shared" si="63"/>
        <v>157</v>
      </c>
      <c r="O680" s="31">
        <f t="shared" si="64"/>
        <v>87</v>
      </c>
      <c r="P680" s="31">
        <f t="shared" si="65"/>
        <v>141</v>
      </c>
    </row>
    <row r="681" spans="1:16">
      <c r="A681" s="2" t="str">
        <f>'01_원자료'!A678</f>
        <v>RPT-15</v>
      </c>
      <c r="B681" s="2" t="str">
        <f>'01_원자료'!B678</f>
        <v>chatgpt</v>
      </c>
      <c r="C681" s="2" t="str">
        <f>'01_원자료'!C678</f>
        <v>ministral</v>
      </c>
      <c r="E681" s="17">
        <f>'01_원자료'!P678*'03_가중치민감도'!$B$5+'01_원자료'!Q678*'03_가중치민감도'!$C$5+'01_원자료'!R678*'03_가중치민감도'!$D$5</f>
        <v>0.55752590728120244</v>
      </c>
      <c r="F681" s="17">
        <f>'01_원자료'!P678*'03_가중치민감도'!$B$6+'01_원자료'!Q678*'03_가중치민감도'!$C$6+'01_원자료'!R678*'03_가중치민감도'!$D$6</f>
        <v>0.46331884500320775</v>
      </c>
      <c r="G681" s="17">
        <f>'01_원자료'!P678*'03_가중치민감도'!$B$7+'01_원자료'!Q678*'03_가중치민감도'!$C$7+'01_원자료'!R678*'03_가중치민감도'!$D$7</f>
        <v>0.56532927122758403</v>
      </c>
      <c r="H681" s="17">
        <f>'01_원자료'!P678*'03_가중치민감도'!$B$8+'01_원자료'!Q678*'03_가중치민감도'!$C$8+'01_원자료'!R678*'03_가중치민감도'!$D$8</f>
        <v>0.51850908754929437</v>
      </c>
      <c r="I681" s="17">
        <f>'01_원자료'!P678*'03_가중치민감도'!$B$9+'01_원자료'!Q678*'03_가중치민감도'!$C$9+'01_원자료'!R678*'03_가중치민감도'!$D$9</f>
        <v>0.49212007778041156</v>
      </c>
      <c r="J681" s="17">
        <f>'01_원자료'!P678*'03_가중치민감도'!$B$10+'01_원자료'!Q678*'03_가중치민감도'!$C$10+'01_원자료'!R678*'03_가중치민감도'!$D$10</f>
        <v>0.63612624166643394</v>
      </c>
      <c r="K681" s="31">
        <f t="shared" si="60"/>
        <v>240</v>
      </c>
      <c r="L681" s="31">
        <f t="shared" si="61"/>
        <v>192</v>
      </c>
      <c r="M681" s="31">
        <f t="shared" si="62"/>
        <v>222</v>
      </c>
      <c r="N681" s="31">
        <f t="shared" si="63"/>
        <v>255</v>
      </c>
      <c r="O681" s="31">
        <f t="shared" si="64"/>
        <v>210</v>
      </c>
      <c r="P681" s="31">
        <f t="shared" si="65"/>
        <v>279</v>
      </c>
    </row>
    <row r="682" spans="1:16">
      <c r="A682" s="2" t="str">
        <f>'01_원자료'!A679</f>
        <v>RPT-15</v>
      </c>
      <c r="B682" s="2" t="str">
        <f>'01_원자료'!B679</f>
        <v>chatgpt</v>
      </c>
      <c r="C682" s="2" t="str">
        <f>'01_원자료'!C679</f>
        <v>qwen</v>
      </c>
      <c r="E682" s="17">
        <f>'01_원자료'!P679*'03_가중치민감도'!$B$5+'01_원자료'!Q679*'03_가중치민감도'!$C$5+'01_원자료'!R679*'03_가중치민감도'!$D$5</f>
        <v>0.60983859505977112</v>
      </c>
      <c r="F682" s="17">
        <f>'01_원자료'!P679*'03_가중치민감도'!$B$6+'01_원자료'!Q679*'03_가중치민감도'!$C$6+'01_원자료'!R679*'03_가중치민감도'!$D$6</f>
        <v>0.53691770882203671</v>
      </c>
      <c r="G682" s="17">
        <f>'01_원자료'!P679*'03_가중치민감도'!$B$7+'01_원자료'!Q679*'03_가중치민감도'!$C$7+'01_원자료'!R679*'03_가중치민감도'!$D$7</f>
        <v>0.61409029932154158</v>
      </c>
      <c r="H682" s="17">
        <f>'01_원자료'!P679*'03_가중치민감도'!$B$8+'01_원자료'!Q679*'03_가중치민감도'!$C$8+'01_원자료'!R679*'03_가중치민감도'!$D$8</f>
        <v>0.58858007375091836</v>
      </c>
      <c r="I682" s="17">
        <f>'01_원자료'!P679*'03_가중치민감도'!$B$9+'01_원자료'!Q679*'03_가중치민감도'!$C$9+'01_원자료'!R679*'03_가중치민감도'!$D$9</f>
        <v>0.5598074361473574</v>
      </c>
      <c r="J682" s="17">
        <f>'01_원자료'!P679*'03_가중치민감도'!$B$10+'01_원자료'!Q679*'03_가중치민감도'!$C$10+'01_원자료'!R679*'03_가중치민감도'!$D$10</f>
        <v>0.67425607277396427</v>
      </c>
      <c r="K682" s="31">
        <f t="shared" si="60"/>
        <v>429</v>
      </c>
      <c r="L682" s="31">
        <f t="shared" si="61"/>
        <v>533</v>
      </c>
      <c r="M682" s="31">
        <f t="shared" si="62"/>
        <v>429</v>
      </c>
      <c r="N682" s="31">
        <f t="shared" si="63"/>
        <v>456</v>
      </c>
      <c r="O682" s="31">
        <f t="shared" si="64"/>
        <v>499</v>
      </c>
      <c r="P682" s="31">
        <f t="shared" si="65"/>
        <v>367</v>
      </c>
    </row>
    <row r="683" spans="1:16">
      <c r="A683" s="2" t="str">
        <f>'01_원자료'!A680</f>
        <v>RPT-15</v>
      </c>
      <c r="B683" s="2" t="str">
        <f>'01_원자료'!B680</f>
        <v>claude</v>
      </c>
      <c r="C683" s="2" t="str">
        <f>'01_원자료'!C680</f>
        <v>gemma</v>
      </c>
      <c r="E683" s="17">
        <f>'01_원자료'!P680*'03_가중치민감도'!$B$5+'01_원자료'!Q680*'03_가중치민감도'!$C$5+'01_원자료'!R680*'03_가중치민감도'!$D$5</f>
        <v>0.61707368425079634</v>
      </c>
      <c r="F683" s="17">
        <f>'01_원자료'!P680*'03_가중치민감도'!$B$6+'01_원자료'!Q680*'03_가중치민감도'!$C$6+'01_원자료'!R680*'03_가중치민감도'!$D$6</f>
        <v>0.51368532777078513</v>
      </c>
      <c r="G683" s="17">
        <f>'01_원자료'!P680*'03_가중치민감도'!$B$7+'01_원자료'!Q680*'03_가중치민감도'!$C$7+'01_원자료'!R680*'03_가중치민감도'!$D$7</f>
        <v>0.61519089134873406</v>
      </c>
      <c r="H683" s="17">
        <f>'01_원자료'!P680*'03_가중치민감도'!$B$8+'01_원자료'!Q680*'03_가중치민감도'!$C$8+'01_원자료'!R680*'03_가중치민감도'!$D$8</f>
        <v>0.62648764876110796</v>
      </c>
      <c r="I683" s="17">
        <f>'01_원자료'!P680*'03_가중치민감도'!$B$9+'01_원자료'!Q680*'03_가중치민감도'!$C$9+'01_원자료'!R680*'03_가중치민감도'!$D$9</f>
        <v>0.54877571089814237</v>
      </c>
      <c r="J683" s="17">
        <f>'01_원자료'!P680*'03_가중치민감도'!$B$10+'01_원자료'!Q680*'03_가중치민감도'!$C$10+'01_원자료'!R680*'03_가중치민감도'!$D$10</f>
        <v>0.72422762653493211</v>
      </c>
      <c r="K683" s="31">
        <f t="shared" si="60"/>
        <v>475</v>
      </c>
      <c r="L683" s="31">
        <f t="shared" si="61"/>
        <v>432</v>
      </c>
      <c r="M683" s="31">
        <f t="shared" si="62"/>
        <v>438</v>
      </c>
      <c r="N683" s="31">
        <f t="shared" si="63"/>
        <v>567</v>
      </c>
      <c r="O683" s="31">
        <f t="shared" si="64"/>
        <v>455</v>
      </c>
      <c r="P683" s="31">
        <f t="shared" si="65"/>
        <v>564</v>
      </c>
    </row>
    <row r="684" spans="1:16">
      <c r="A684" s="2" t="str">
        <f>'01_원자료'!A681</f>
        <v>RPT-15</v>
      </c>
      <c r="B684" s="2" t="str">
        <f>'01_원자료'!B681</f>
        <v>claude</v>
      </c>
      <c r="C684" s="2" t="str">
        <f>'01_원자료'!C681</f>
        <v>ministral</v>
      </c>
      <c r="E684" s="17">
        <f>'01_원자료'!P681*'03_가중치민감도'!$B$5+'01_원자료'!Q681*'03_가중치민감도'!$C$5+'01_원자료'!R681*'03_가중치민감도'!$D$5</f>
        <v>0.6304781244875991</v>
      </c>
      <c r="F684" s="17">
        <f>'01_원자료'!P681*'03_가중치민감도'!$B$6+'01_원자료'!Q681*'03_가중치민감도'!$C$6+'01_원자료'!R681*'03_가중치민감도'!$D$6</f>
        <v>0.52170976370267474</v>
      </c>
      <c r="G684" s="17">
        <f>'01_원자료'!P681*'03_가중치민감도'!$B$7+'01_원자료'!Q681*'03_가중치민감도'!$C$7+'01_원자료'!R681*'03_가중치민감도'!$D$7</f>
        <v>0.62869422176606382</v>
      </c>
      <c r="H684" s="17">
        <f>'01_원자료'!P681*'03_가중치민감도'!$B$8+'01_원자료'!Q681*'03_가중치민감도'!$C$8+'01_원자료'!R681*'03_가중치민감도'!$D$8</f>
        <v>0.63939763809527517</v>
      </c>
      <c r="I684" s="17">
        <f>'01_원자료'!P681*'03_가중치민감도'!$B$9+'01_원자료'!Q681*'03_가중치민감도'!$C$9+'01_원자료'!R681*'03_가중치민감도'!$D$9</f>
        <v>0.55856051820482733</v>
      </c>
      <c r="J684" s="17">
        <f>'01_원자료'!P681*'03_가중치민감도'!$B$10+'01_원자료'!Q681*'03_가중치민감도'!$C$10+'01_원자료'!R681*'03_가중치민감도'!$D$10</f>
        <v>0.74281429071559391</v>
      </c>
      <c r="K684" s="31">
        <f t="shared" si="60"/>
        <v>527</v>
      </c>
      <c r="L684" s="31">
        <f t="shared" si="61"/>
        <v>464</v>
      </c>
      <c r="M684" s="31">
        <f t="shared" si="62"/>
        <v>511</v>
      </c>
      <c r="N684" s="31">
        <f t="shared" si="63"/>
        <v>604</v>
      </c>
      <c r="O684" s="31">
        <f t="shared" si="64"/>
        <v>495</v>
      </c>
      <c r="P684" s="31">
        <f t="shared" si="65"/>
        <v>637</v>
      </c>
    </row>
    <row r="685" spans="1:16">
      <c r="A685" s="2" t="str">
        <f>'01_원자료'!A682</f>
        <v>RPT-15</v>
      </c>
      <c r="B685" s="2" t="str">
        <f>'01_원자료'!B682</f>
        <v>claude</v>
      </c>
      <c r="C685" s="2" t="str">
        <f>'01_원자료'!C682</f>
        <v>qwen</v>
      </c>
      <c r="E685" s="17">
        <f>'01_원자료'!P682*'03_가중치민감도'!$B$5+'01_원자료'!Q682*'03_가중치민감도'!$C$5+'01_원자료'!R682*'03_가중치민감도'!$D$5</f>
        <v>0.67117208276811313</v>
      </c>
      <c r="F685" s="17">
        <f>'01_원자료'!P682*'03_가중치민감도'!$B$6+'01_원자료'!Q682*'03_가중치민감도'!$C$6+'01_원자료'!R682*'03_가중치민감도'!$D$6</f>
        <v>0.57774402286658033</v>
      </c>
      <c r="G685" s="17">
        <f>'01_원자료'!P682*'03_가중치민감도'!$B$7+'01_원자료'!Q682*'03_가중치민감도'!$C$7+'01_원자료'!R682*'03_가중치민감도'!$D$7</f>
        <v>0.66941326145927693</v>
      </c>
      <c r="H685" s="17">
        <f>'01_원자료'!P682*'03_가중치민감도'!$B$8+'01_원자료'!Q682*'03_가중치민감도'!$C$8+'01_원자료'!R682*'03_가중치민감도'!$D$8</f>
        <v>0.67996618931229469</v>
      </c>
      <c r="I685" s="17">
        <f>'01_원자료'!P682*'03_가중치민감도'!$B$9+'01_원자료'!Q682*'03_가중치민감도'!$C$9+'01_원자료'!R682*'03_가중치민감도'!$D$9</f>
        <v>0.60947298327003607</v>
      </c>
      <c r="J685" s="17">
        <f>'01_원자료'!P682*'03_가중치민감도'!$B$10+'01_원자료'!Q682*'03_가중치민감도'!$C$10+'01_원자료'!R682*'03_가중치민감도'!$D$10</f>
        <v>0.76811778528731867</v>
      </c>
      <c r="K685" s="31">
        <f t="shared" si="60"/>
        <v>722</v>
      </c>
      <c r="L685" s="31">
        <f t="shared" si="61"/>
        <v>729</v>
      </c>
      <c r="M685" s="31">
        <f t="shared" si="62"/>
        <v>716</v>
      </c>
      <c r="N685" s="31">
        <f t="shared" si="63"/>
        <v>720</v>
      </c>
      <c r="O685" s="31">
        <f t="shared" si="64"/>
        <v>726</v>
      </c>
      <c r="P685" s="31">
        <f t="shared" si="65"/>
        <v>713</v>
      </c>
    </row>
    <row r="686" spans="1:16">
      <c r="A686" s="2" t="str">
        <f>'01_원자료'!A683</f>
        <v>RPT-15</v>
      </c>
      <c r="B686" s="2" t="str">
        <f>'01_원자료'!B683</f>
        <v>gemini</v>
      </c>
      <c r="C686" s="2" t="str">
        <f>'01_원자료'!C683</f>
        <v>gemma</v>
      </c>
      <c r="E686" s="17">
        <f>'01_원자료'!P683*'03_가중치민감도'!$B$5+'01_원자료'!Q683*'03_가중치민감도'!$C$5+'01_원자료'!R683*'03_가중치민감도'!$D$5</f>
        <v>0.70814703573863369</v>
      </c>
      <c r="F686" s="17">
        <f>'01_원자료'!P683*'03_가중치민감도'!$B$6+'01_원자료'!Q683*'03_가중치민감도'!$C$6+'01_원자료'!R683*'03_가중치민감도'!$D$6</f>
        <v>0.59031517744780282</v>
      </c>
      <c r="G686" s="17">
        <f>'01_원자료'!P683*'03_가중치민감도'!$B$7+'01_원자료'!Q683*'03_가중치민감도'!$C$7+'01_원자료'!R683*'03_가중치민감도'!$D$7</f>
        <v>0.69855614572049363</v>
      </c>
      <c r="H686" s="17">
        <f>'01_원자료'!P683*'03_가중치민감도'!$B$8+'01_원자료'!Q683*'03_가중치민감도'!$C$8+'01_원자료'!R683*'03_가중치민감도'!$D$8</f>
        <v>0.75610148582933356</v>
      </c>
      <c r="I686" s="17">
        <f>'01_원자료'!P683*'03_가중치민감도'!$B$9+'01_원자료'!Q683*'03_가중치민감도'!$C$9+'01_원자료'!R683*'03_가중치민감도'!$D$9</f>
        <v>0.63278942688412587</v>
      </c>
      <c r="J686" s="17">
        <f>'01_원자료'!P683*'03_가중치민감도'!$B$10+'01_원자료'!Q683*'03_가중치민감도'!$C$10+'01_원자료'!R683*'03_가중치민감도'!$D$10</f>
        <v>0.84516067406574447</v>
      </c>
      <c r="K686" s="31">
        <f t="shared" si="60"/>
        <v>839</v>
      </c>
      <c r="L686" s="31">
        <f t="shared" si="61"/>
        <v>768</v>
      </c>
      <c r="M686" s="31">
        <f t="shared" si="62"/>
        <v>828</v>
      </c>
      <c r="N686" s="31">
        <f t="shared" si="63"/>
        <v>858</v>
      </c>
      <c r="O686" s="31">
        <f t="shared" si="64"/>
        <v>806</v>
      </c>
      <c r="P686" s="31">
        <f t="shared" si="65"/>
        <v>874</v>
      </c>
    </row>
    <row r="687" spans="1:16">
      <c r="A687" s="2" t="str">
        <f>'01_원자료'!A684</f>
        <v>RPT-15</v>
      </c>
      <c r="B687" s="2" t="str">
        <f>'01_원자료'!B684</f>
        <v>gemini</v>
      </c>
      <c r="C687" s="2" t="str">
        <f>'01_원자료'!C684</f>
        <v>ministral</v>
      </c>
      <c r="E687" s="17">
        <f>'01_원자료'!P684*'03_가중치민감도'!$B$5+'01_원자료'!Q684*'03_가중치민감도'!$C$5+'01_원자료'!R684*'03_가중치민감도'!$D$5</f>
        <v>0.61323171053280523</v>
      </c>
      <c r="F687" s="17">
        <f>'01_원자료'!P684*'03_가중치민감도'!$B$6+'01_원자료'!Q684*'03_가중치민감도'!$C$6+'01_원자료'!R684*'03_가중치민감도'!$D$6</f>
        <v>0.4976287764612532</v>
      </c>
      <c r="G687" s="17">
        <f>'01_원자료'!P684*'03_가중치민감도'!$B$7+'01_원자료'!Q684*'03_가중치민감도'!$C$7+'01_원자료'!R684*'03_가중치민감도'!$D$7</f>
        <v>0.6178909403718561</v>
      </c>
      <c r="H687" s="17">
        <f>'01_원자료'!P684*'03_가중치민감도'!$B$8+'01_원자료'!Q684*'03_가중치민감도'!$C$8+'01_원자료'!R684*'03_가중치민감도'!$D$8</f>
        <v>0.58993556133755076</v>
      </c>
      <c r="I687" s="17">
        <f>'01_원자료'!P684*'03_가중치민감도'!$B$9+'01_원자료'!Q684*'03_가중치민감도'!$C$9+'01_원자료'!R684*'03_가중치민감도'!$D$9</f>
        <v>0.53461001120541973</v>
      </c>
      <c r="J687" s="17">
        <f>'01_원자료'!P684*'03_가중치민감도'!$B$10+'01_원자료'!Q684*'03_가중치민감도'!$C$10+'01_원자료'!R684*'03_가중치민감도'!$D$10</f>
        <v>0.71951618492625546</v>
      </c>
      <c r="K687" s="31">
        <f t="shared" si="60"/>
        <v>453</v>
      </c>
      <c r="L687" s="31">
        <f t="shared" si="61"/>
        <v>352</v>
      </c>
      <c r="M687" s="31">
        <f t="shared" si="62"/>
        <v>452</v>
      </c>
      <c r="N687" s="31">
        <f t="shared" si="63"/>
        <v>459</v>
      </c>
      <c r="O687" s="31">
        <f t="shared" si="64"/>
        <v>390</v>
      </c>
      <c r="P687" s="31">
        <f t="shared" si="65"/>
        <v>540</v>
      </c>
    </row>
    <row r="688" spans="1:16">
      <c r="A688" s="2" t="str">
        <f>'01_원자료'!A685</f>
        <v>RPT-15</v>
      </c>
      <c r="B688" s="2" t="str">
        <f>'01_원자료'!B685</f>
        <v>gemini</v>
      </c>
      <c r="C688" s="2" t="str">
        <f>'01_원자료'!C685</f>
        <v>qwen</v>
      </c>
      <c r="E688" s="17">
        <f>'01_원자료'!P685*'03_가중치민감도'!$B$5+'01_원자료'!Q685*'03_가중치민감도'!$C$5+'01_원자료'!R685*'03_가중치민감도'!$D$5</f>
        <v>0.65473547668471854</v>
      </c>
      <c r="F688" s="17">
        <f>'01_원자료'!P685*'03_가중치민감도'!$B$6+'01_원자료'!Q685*'03_가중치민감도'!$C$6+'01_원자료'!R685*'03_가중치민감도'!$D$6</f>
        <v>0.55323960314284226</v>
      </c>
      <c r="G688" s="17">
        <f>'01_원자료'!P685*'03_가중치민감도'!$B$7+'01_원자료'!Q685*'03_가중치민감도'!$C$7+'01_원자료'!R685*'03_가중치민감도'!$D$7</f>
        <v>0.65905530633371445</v>
      </c>
      <c r="H688" s="17">
        <f>'01_원자료'!P685*'03_가중치민감도'!$B$8+'01_원자료'!Q685*'03_가중치민감도'!$C$8+'01_원자료'!R685*'03_가중치민감도'!$D$8</f>
        <v>0.63313632843973877</v>
      </c>
      <c r="I688" s="17">
        <f>'01_원자료'!P685*'03_가중치민감도'!$B$9+'01_원자료'!Q685*'03_가중치민감도'!$C$9+'01_원자료'!R685*'03_가중치민감도'!$D$9</f>
        <v>0.58563161777380179</v>
      </c>
      <c r="J688" s="17">
        <f>'01_원자료'!P685*'03_가중치민감도'!$B$10+'01_원자료'!Q685*'03_가중치민감도'!$C$10+'01_원자료'!R685*'03_가중치민감도'!$D$10</f>
        <v>0.74759169092860289</v>
      </c>
      <c r="K688" s="31">
        <f t="shared" si="60"/>
        <v>644</v>
      </c>
      <c r="L688" s="31">
        <f t="shared" si="61"/>
        <v>605</v>
      </c>
      <c r="M688" s="31">
        <f t="shared" si="62"/>
        <v>663</v>
      </c>
      <c r="N688" s="31">
        <f t="shared" si="63"/>
        <v>586</v>
      </c>
      <c r="O688" s="31">
        <f t="shared" si="64"/>
        <v>611</v>
      </c>
      <c r="P688" s="31">
        <f t="shared" si="65"/>
        <v>649</v>
      </c>
    </row>
    <row r="689" spans="1:16">
      <c r="A689" s="2" t="str">
        <f>'01_원자료'!A686</f>
        <v>RPT-15</v>
      </c>
      <c r="B689" s="2" t="str">
        <f>'01_원자료'!B686</f>
        <v>mistral</v>
      </c>
      <c r="C689" s="2" t="str">
        <f>'01_원자료'!C686</f>
        <v>gemma</v>
      </c>
      <c r="E689" s="17">
        <f>'01_원자료'!P686*'03_가중치민감도'!$B$5+'01_원자료'!Q686*'03_가중치민감도'!$C$5+'01_원자료'!R686*'03_가중치민감도'!$D$5</f>
        <v>0.6578095123260177</v>
      </c>
      <c r="F689" s="17">
        <f>'01_원자료'!P686*'03_가중치민감도'!$B$6+'01_원자료'!Q686*'03_가중치민감도'!$C$6+'01_원자료'!R686*'03_가중치민감도'!$D$6</f>
        <v>0.55563812725961759</v>
      </c>
      <c r="G689" s="17">
        <f>'01_원자료'!P686*'03_가중치민감도'!$B$7+'01_원자료'!Q686*'03_가중치민감도'!$C$7+'01_원자료'!R686*'03_가중치민감도'!$D$7</f>
        <v>0.65196560371738277</v>
      </c>
      <c r="H689" s="17">
        <f>'01_원자료'!P686*'03_가중치민감도'!$B$8+'01_원자료'!Q686*'03_가중치민감도'!$C$8+'01_원자료'!R686*'03_가중치민감도'!$D$8</f>
        <v>0.6870290553691919</v>
      </c>
      <c r="I689" s="17">
        <f>'01_원자료'!P686*'03_가중치민감도'!$B$9+'01_원자료'!Q686*'03_가중치민감도'!$C$9+'01_원자료'!R686*'03_가중치민감도'!$D$9</f>
        <v>0.5916432251512953</v>
      </c>
      <c r="J689" s="17">
        <f>'01_원자료'!P686*'03_가중치민감도'!$B$10+'01_원자료'!Q686*'03_가중치민감도'!$C$10+'01_원자료'!R686*'03_가중치민감도'!$D$10</f>
        <v>0.77166871460968733</v>
      </c>
      <c r="K689" s="31">
        <f t="shared" si="60"/>
        <v>660</v>
      </c>
      <c r="L689" s="31">
        <f t="shared" si="61"/>
        <v>616</v>
      </c>
      <c r="M689" s="31">
        <f t="shared" si="62"/>
        <v>625</v>
      </c>
      <c r="N689" s="31">
        <f t="shared" si="63"/>
        <v>733</v>
      </c>
      <c r="O689" s="31">
        <f t="shared" si="64"/>
        <v>646</v>
      </c>
      <c r="P689" s="31">
        <f t="shared" si="65"/>
        <v>725</v>
      </c>
    </row>
    <row r="690" spans="1:16">
      <c r="A690" s="2" t="str">
        <f>'01_원자료'!A687</f>
        <v>RPT-15</v>
      </c>
      <c r="B690" s="2" t="str">
        <f>'01_원자료'!B687</f>
        <v>mistral</v>
      </c>
      <c r="C690" s="2" t="str">
        <f>'01_원자료'!C687</f>
        <v>ministral</v>
      </c>
      <c r="E690" s="17">
        <f>'01_원자료'!P687*'03_가중치민감도'!$B$5+'01_원자료'!Q687*'03_가중치민감도'!$C$5+'01_원자료'!R687*'03_가중치민감도'!$D$5</f>
        <v>0.59559618142037674</v>
      </c>
      <c r="F690" s="17">
        <f>'01_원자료'!P687*'03_가중치민감도'!$B$6+'01_원자료'!Q687*'03_가중치민감도'!$C$6+'01_원자료'!R687*'03_가중치민감도'!$D$6</f>
        <v>0.49139607200246138</v>
      </c>
      <c r="G690" s="17">
        <f>'01_원자료'!P687*'03_가중치민감도'!$B$7+'01_원자료'!Q687*'03_가중치민감도'!$C$7+'01_원자료'!R687*'03_가중치민감도'!$D$7</f>
        <v>0.60016729875577579</v>
      </c>
      <c r="H690" s="17">
        <f>'01_원자료'!P687*'03_가중치민감도'!$B$8+'01_원자료'!Q687*'03_가중치민감도'!$C$8+'01_원자료'!R687*'03_가중치민감도'!$D$8</f>
        <v>0.57274059474338124</v>
      </c>
      <c r="I690" s="17">
        <f>'01_원자료'!P687*'03_가중치민감도'!$B$9+'01_원자료'!Q687*'03_가중치민감도'!$C$9+'01_원자료'!R687*'03_가중치민감도'!$D$9</f>
        <v>0.52460573602996619</v>
      </c>
      <c r="J690" s="17">
        <f>'01_원자료'!P687*'03_가중치민감도'!$B$10+'01_원자료'!Q687*'03_가중치민감도'!$C$10+'01_원자료'!R687*'03_가중치민감도'!$D$10</f>
        <v>0.69065405616749387</v>
      </c>
      <c r="K690" s="31">
        <f t="shared" si="60"/>
        <v>370</v>
      </c>
      <c r="L690" s="31">
        <f t="shared" si="61"/>
        <v>321</v>
      </c>
      <c r="M690" s="31">
        <f t="shared" si="62"/>
        <v>363</v>
      </c>
      <c r="N690" s="31">
        <f t="shared" si="63"/>
        <v>408</v>
      </c>
      <c r="O690" s="31">
        <f t="shared" si="64"/>
        <v>341</v>
      </c>
      <c r="P690" s="31">
        <f t="shared" si="65"/>
        <v>426</v>
      </c>
    </row>
    <row r="691" spans="1:16">
      <c r="A691" s="2" t="str">
        <f>'01_원자료'!A688</f>
        <v>RPT-15</v>
      </c>
      <c r="B691" s="2" t="str">
        <f>'01_원자료'!B688</f>
        <v>mistral</v>
      </c>
      <c r="C691" s="2" t="str">
        <f>'01_원자료'!C688</f>
        <v>qwen</v>
      </c>
      <c r="E691" s="17">
        <f>'01_원자료'!P688*'03_가중치민감도'!$B$5+'01_원자료'!Q688*'03_가중치민감도'!$C$5+'01_원자료'!R688*'03_가중치민감도'!$D$5</f>
        <v>0.60349060053231685</v>
      </c>
      <c r="F691" s="17">
        <f>'01_원자료'!P688*'03_가중치민감도'!$B$6+'01_원자료'!Q688*'03_가중치민감도'!$C$6+'01_원자료'!R688*'03_가중치민감도'!$D$6</f>
        <v>0.5243282413915441</v>
      </c>
      <c r="G691" s="17">
        <f>'01_원자료'!P688*'03_가중치민감도'!$B$7+'01_원자료'!Q688*'03_가중치민감도'!$C$7+'01_원자료'!R688*'03_가중치민감도'!$D$7</f>
        <v>0.6079054513730533</v>
      </c>
      <c r="H691" s="17">
        <f>'01_원자료'!P688*'03_가중치민감도'!$B$8+'01_원자료'!Q688*'03_가중치민감도'!$C$8+'01_원자료'!R688*'03_가중치민감도'!$D$8</f>
        <v>0.58141634632863437</v>
      </c>
      <c r="I691" s="17">
        <f>'01_원자료'!P688*'03_가중치민감도'!$B$9+'01_원자료'!Q688*'03_가중치민감도'!$C$9+'01_원자료'!R688*'03_가중치민감도'!$D$9</f>
        <v>0.54924407749155557</v>
      </c>
      <c r="J691" s="17">
        <f>'01_원자료'!P688*'03_가중치민감도'!$B$10+'01_원자료'!Q688*'03_가중치민감도'!$C$10+'01_원자료'!R688*'03_가중치민감도'!$D$10</f>
        <v>0.67382325799161658</v>
      </c>
      <c r="K691" s="31">
        <f t="shared" si="60"/>
        <v>404</v>
      </c>
      <c r="L691" s="31">
        <f t="shared" si="61"/>
        <v>473</v>
      </c>
      <c r="M691" s="31">
        <f t="shared" si="62"/>
        <v>406</v>
      </c>
      <c r="N691" s="31">
        <f t="shared" si="63"/>
        <v>429</v>
      </c>
      <c r="O691" s="31">
        <f t="shared" si="64"/>
        <v>458</v>
      </c>
      <c r="P691" s="31">
        <f t="shared" si="65"/>
        <v>364</v>
      </c>
    </row>
    <row r="692" spans="1:16">
      <c r="A692" s="2" t="str">
        <f>'01_원자료'!A689</f>
        <v>RPT-15</v>
      </c>
      <c r="B692" s="2" t="str">
        <f>'01_원자료'!B689</f>
        <v>qwen3_6</v>
      </c>
      <c r="C692" s="2" t="str">
        <f>'01_원자료'!C689</f>
        <v>gemma</v>
      </c>
      <c r="E692" s="17">
        <f>'01_원자료'!P689*'03_가중치민감도'!$B$5+'01_원자료'!Q689*'03_가중치민감도'!$C$5+'01_원자료'!R689*'03_가중치민감도'!$D$5</f>
        <v>0.69618296998094598</v>
      </c>
      <c r="F692" s="17">
        <f>'01_원자료'!P689*'03_가중치민감도'!$B$6+'01_원자료'!Q689*'03_가중치민감도'!$C$6+'01_원자료'!R689*'03_가중치민감도'!$D$6</f>
        <v>0.58804556340497183</v>
      </c>
      <c r="G692" s="17">
        <f>'01_원자료'!P689*'03_가중치민감도'!$B$7+'01_원자료'!Q689*'03_가중치민감도'!$C$7+'01_원자료'!R689*'03_가중치민감도'!$D$7</f>
        <v>0.68478720350676059</v>
      </c>
      <c r="H692" s="17">
        <f>'01_원자료'!P689*'03_가중치민감도'!$B$8+'01_원자료'!Q689*'03_가중치민감도'!$C$8+'01_원자료'!R689*'03_가중치민감도'!$D$8</f>
        <v>0.75316180235187269</v>
      </c>
      <c r="I692" s="17">
        <f>'01_원자료'!P689*'03_가중치민감도'!$B$9+'01_원자료'!Q689*'03_가중치민감도'!$C$9+'01_원자료'!R689*'03_가중치민감도'!$D$9</f>
        <v>0.62788995442169093</v>
      </c>
      <c r="J692" s="17">
        <f>'01_원자료'!P689*'03_가중치민감도'!$B$10+'01_원자료'!Q689*'03_가중치민감도'!$C$10+'01_원자료'!R689*'03_가중치민감도'!$D$10</f>
        <v>0.82711190950529079</v>
      </c>
      <c r="K692" s="31">
        <f t="shared" si="60"/>
        <v>810</v>
      </c>
      <c r="L692" s="31">
        <f t="shared" si="61"/>
        <v>761</v>
      </c>
      <c r="M692" s="31">
        <f t="shared" si="62"/>
        <v>780</v>
      </c>
      <c r="N692" s="31">
        <f t="shared" si="63"/>
        <v>853</v>
      </c>
      <c r="O692" s="31">
        <f t="shared" si="64"/>
        <v>786</v>
      </c>
      <c r="P692" s="31">
        <f t="shared" si="65"/>
        <v>847</v>
      </c>
    </row>
    <row r="693" spans="1:16">
      <c r="A693" s="2" t="str">
        <f>'01_원자료'!A690</f>
        <v>RPT-15</v>
      </c>
      <c r="B693" s="2" t="str">
        <f>'01_원자료'!B690</f>
        <v>qwen3_6</v>
      </c>
      <c r="C693" s="2" t="str">
        <f>'01_원자료'!C690</f>
        <v>ministral</v>
      </c>
      <c r="E693" s="17">
        <f>'01_원자료'!P690*'03_가중치민감도'!$B$5+'01_원자료'!Q690*'03_가중치민감도'!$C$5+'01_원자료'!R690*'03_가중치민감도'!$D$5</f>
        <v>0.59415331172359065</v>
      </c>
      <c r="F693" s="17">
        <f>'01_원자료'!P690*'03_가중치민감도'!$B$6+'01_원자료'!Q690*'03_가중치민감도'!$C$6+'01_원자료'!R690*'03_가중치민감도'!$D$6</f>
        <v>0.49119145575376022</v>
      </c>
      <c r="G693" s="17">
        <f>'01_원자료'!P690*'03_가중치민감도'!$B$7+'01_원자료'!Q690*'03_가중치민감도'!$C$7+'01_원자료'!R690*'03_가중치민감도'!$D$7</f>
        <v>0.59616925182006353</v>
      </c>
      <c r="H693" s="17">
        <f>'01_원자료'!P690*'03_가중치민감도'!$B$8+'01_원자료'!Q690*'03_가중치민감도'!$C$8+'01_원자료'!R690*'03_가중치민감도'!$D$8</f>
        <v>0.58407361124122614</v>
      </c>
      <c r="I693" s="17">
        <f>'01_원자료'!P690*'03_가중치민감도'!$B$9+'01_원자료'!Q690*'03_가중치민감도'!$C$9+'01_원자료'!R690*'03_가중치민감도'!$D$9</f>
        <v>0.52484009437821211</v>
      </c>
      <c r="J693" s="17">
        <f>'01_원자료'!P690*'03_가중치민감도'!$B$10+'01_원자료'!Q690*'03_가중치민감도'!$C$10+'01_원자료'!R690*'03_가중치민감도'!$D$10</f>
        <v>0.69308328750047532</v>
      </c>
      <c r="K693" s="31">
        <f t="shared" si="60"/>
        <v>361</v>
      </c>
      <c r="L693" s="31">
        <f t="shared" si="61"/>
        <v>318</v>
      </c>
      <c r="M693" s="31">
        <f t="shared" si="62"/>
        <v>348</v>
      </c>
      <c r="N693" s="31">
        <f t="shared" si="63"/>
        <v>441</v>
      </c>
      <c r="O693" s="31">
        <f t="shared" si="64"/>
        <v>346</v>
      </c>
      <c r="P693" s="31">
        <f t="shared" si="65"/>
        <v>435</v>
      </c>
    </row>
    <row r="694" spans="1:16">
      <c r="A694" s="2" t="str">
        <f>'01_원자료'!A691</f>
        <v>RPT-15</v>
      </c>
      <c r="B694" s="2" t="str">
        <f>'01_원자료'!B691</f>
        <v>qwen3_6</v>
      </c>
      <c r="C694" s="2" t="str">
        <f>'01_원자료'!C691</f>
        <v>qwen</v>
      </c>
      <c r="E694" s="17">
        <f>'01_원자료'!P691*'03_가중치민감도'!$B$5+'01_원자료'!Q691*'03_가중치민감도'!$C$5+'01_원자료'!R691*'03_가중치민감도'!$D$5</f>
        <v>0.65754617260269344</v>
      </c>
      <c r="F694" s="17">
        <f>'01_원자료'!P691*'03_가중치민감도'!$B$6+'01_원자료'!Q691*'03_가중치민감도'!$C$6+'01_원자료'!R691*'03_가중치민감도'!$D$6</f>
        <v>0.57461775381350777</v>
      </c>
      <c r="G694" s="17">
        <f>'01_원자료'!P691*'03_가중치민감도'!$B$7+'01_원자료'!Q691*'03_가중치민감도'!$C$7+'01_원자료'!R691*'03_가중치민감도'!$D$7</f>
        <v>0.66055293901546319</v>
      </c>
      <c r="H694" s="17">
        <f>'01_원자료'!P691*'03_가중치민감도'!$B$8+'01_원자료'!Q691*'03_가중치민감도'!$C$8+'01_원자료'!R691*'03_가중치민감도'!$D$8</f>
        <v>0.64251234053884532</v>
      </c>
      <c r="I694" s="17">
        <f>'01_원자료'!P691*'03_가중치민감도'!$B$9+'01_원자료'!Q691*'03_가중치민감도'!$C$9+'01_원자료'!R691*'03_가중치민감도'!$D$9</f>
        <v>0.60125830460564589</v>
      </c>
      <c r="J694" s="17">
        <f>'01_원자료'!P691*'03_가중치민감도'!$B$10+'01_원자료'!Q691*'03_가중치민감도'!$C$10+'01_원자료'!R691*'03_가중치민감도'!$D$10</f>
        <v>0.73446105856633992</v>
      </c>
      <c r="K694" s="31">
        <f t="shared" si="60"/>
        <v>656</v>
      </c>
      <c r="L694" s="31">
        <f t="shared" si="61"/>
        <v>718</v>
      </c>
      <c r="M694" s="31">
        <f t="shared" si="62"/>
        <v>672</v>
      </c>
      <c r="N694" s="31">
        <f t="shared" si="63"/>
        <v>618</v>
      </c>
      <c r="O694" s="31">
        <f t="shared" si="64"/>
        <v>694</v>
      </c>
      <c r="P694" s="31">
        <f t="shared" si="65"/>
        <v>602</v>
      </c>
    </row>
    <row r="695" spans="1:16">
      <c r="A695" s="2" t="str">
        <f>'01_원자료'!A692</f>
        <v>RPT-16</v>
      </c>
      <c r="B695" s="2" t="str">
        <f>'01_원자료'!B692</f>
        <v>chatgpt</v>
      </c>
      <c r="C695" s="2" t="str">
        <f>'01_원자료'!C692</f>
        <v>gemma</v>
      </c>
      <c r="E695" s="17">
        <f>'01_원자료'!P692*'03_가중치민감도'!$B$5+'01_원자료'!Q692*'03_가중치민감도'!$C$5+'01_원자료'!R692*'03_가중치민감도'!$D$5</f>
        <v>0.58151878424142134</v>
      </c>
      <c r="F695" s="17">
        <f>'01_원자료'!P692*'03_가중치민감도'!$B$6+'01_원자료'!Q692*'03_가중치민감도'!$C$6+'01_원자료'!R692*'03_가중치민감도'!$D$6</f>
        <v>0.49588316351948825</v>
      </c>
      <c r="G695" s="17">
        <f>'01_원자료'!P692*'03_가중치민감도'!$B$7+'01_원자료'!Q692*'03_가중치민감도'!$C$7+'01_원자료'!R692*'03_가중치민감도'!$D$7</f>
        <v>0.58909735517673045</v>
      </c>
      <c r="H695" s="17">
        <f>'01_원자료'!P692*'03_가중치민감도'!$B$8+'01_원자료'!Q692*'03_가중치민감도'!$C$8+'01_원자료'!R692*'03_가중치민감도'!$D$8</f>
        <v>0.54362592956487521</v>
      </c>
      <c r="I695" s="17">
        <f>'01_원자료'!P692*'03_가중치민감도'!$B$9+'01_원자료'!Q692*'03_가중치민감도'!$C$9+'01_원자료'!R692*'03_가중치민감도'!$D$9</f>
        <v>0.52190218011502898</v>
      </c>
      <c r="J695" s="17">
        <f>'01_원자료'!P692*'03_가중치민감도'!$B$10+'01_원자료'!Q692*'03_가중치민감도'!$C$10+'01_원자료'!R692*'03_가중치민감도'!$D$10</f>
        <v>0.65199726309273576</v>
      </c>
      <c r="K695" s="31">
        <f t="shared" si="60"/>
        <v>325</v>
      </c>
      <c r="L695" s="31">
        <f t="shared" si="61"/>
        <v>340</v>
      </c>
      <c r="M695" s="31">
        <f t="shared" si="62"/>
        <v>322</v>
      </c>
      <c r="N695" s="31">
        <f t="shared" si="63"/>
        <v>317</v>
      </c>
      <c r="O695" s="31">
        <f t="shared" si="64"/>
        <v>334</v>
      </c>
      <c r="P695" s="31">
        <f t="shared" si="65"/>
        <v>311</v>
      </c>
    </row>
    <row r="696" spans="1:16">
      <c r="A696" s="2" t="str">
        <f>'01_원자료'!A693</f>
        <v>RPT-16</v>
      </c>
      <c r="B696" s="2" t="str">
        <f>'01_원자료'!B693</f>
        <v>chatgpt</v>
      </c>
      <c r="C696" s="2" t="str">
        <f>'01_원자료'!C693</f>
        <v>ministral</v>
      </c>
      <c r="E696" s="17">
        <f>'01_원자료'!P693*'03_가중치민감도'!$B$5+'01_원자료'!Q693*'03_가중치민감도'!$C$5+'01_원자료'!R693*'03_가중치민감도'!$D$5</f>
        <v>0.47833423473824216</v>
      </c>
      <c r="F696" s="17">
        <f>'01_원자료'!P693*'03_가중치민감도'!$B$6+'01_원자료'!Q693*'03_가중치민감도'!$C$6+'01_원자료'!R693*'03_가중치민감도'!$D$6</f>
        <v>0.40129704039840003</v>
      </c>
      <c r="G696" s="17">
        <f>'01_원자료'!P693*'03_가중치민감도'!$B$7+'01_원자료'!Q693*'03_가중치민감도'!$C$7+'01_원자료'!R693*'03_가중치민감도'!$D$7</f>
        <v>0.49804991162901258</v>
      </c>
      <c r="H696" s="17">
        <f>'01_원자료'!P693*'03_가중치민감도'!$B$8+'01_원자료'!Q693*'03_가중치민감도'!$C$8+'01_원자료'!R693*'03_가중치민감도'!$D$8</f>
        <v>0.37975585028438996</v>
      </c>
      <c r="I696" s="17">
        <f>'01_원자료'!P693*'03_가중치민감도'!$B$9+'01_원자료'!Q693*'03_가중치민감도'!$C$9+'01_원자료'!R693*'03_가중치민감도'!$D$9</f>
        <v>0.42040421288142349</v>
      </c>
      <c r="J696" s="17">
        <f>'01_원자료'!P693*'03_가중치민감도'!$B$10+'01_원자료'!Q693*'03_가중치민감도'!$C$10+'01_원자료'!R693*'03_가중치민감도'!$D$10</f>
        <v>0.51594007529654329</v>
      </c>
      <c r="K696" s="31">
        <f t="shared" si="60"/>
        <v>14</v>
      </c>
      <c r="L696" s="31">
        <f t="shared" si="61"/>
        <v>19</v>
      </c>
      <c r="M696" s="31">
        <f t="shared" si="62"/>
        <v>15</v>
      </c>
      <c r="N696" s="31">
        <f t="shared" si="63"/>
        <v>19</v>
      </c>
      <c r="O696" s="31">
        <f t="shared" si="64"/>
        <v>18</v>
      </c>
      <c r="P696" s="31">
        <f t="shared" si="65"/>
        <v>16</v>
      </c>
    </row>
    <row r="697" spans="1:16">
      <c r="A697" s="2" t="str">
        <f>'01_원자료'!A694</f>
        <v>RPT-16</v>
      </c>
      <c r="B697" s="2" t="str">
        <f>'01_원자료'!B694</f>
        <v>chatgpt</v>
      </c>
      <c r="C697" s="2" t="str">
        <f>'01_원자료'!C694</f>
        <v>qwen</v>
      </c>
      <c r="E697" s="17">
        <f>'01_원자료'!P694*'03_가중치민감도'!$B$5+'01_원자료'!Q694*'03_가중치민감도'!$C$5+'01_원자료'!R694*'03_가중치민감도'!$D$5</f>
        <v>0.54842187324671365</v>
      </c>
      <c r="F697" s="17">
        <f>'01_원자료'!P694*'03_가중치민감도'!$B$6+'01_원자료'!Q694*'03_가중치민감도'!$C$6+'01_원자료'!R694*'03_가중치민감도'!$D$6</f>
        <v>0.47698306620058284</v>
      </c>
      <c r="G697" s="17">
        <f>'01_원자료'!P694*'03_가중치민감도'!$B$7+'01_원자료'!Q694*'03_가중치민감도'!$C$7+'01_원자료'!R694*'03_가중치민감도'!$D$7</f>
        <v>0.56161539147624551</v>
      </c>
      <c r="H697" s="17">
        <f>'01_원자료'!P694*'03_가중치민감도'!$B$8+'01_원자료'!Q694*'03_가중치민감도'!$C$8+'01_원자료'!R694*'03_가중치민감도'!$D$8</f>
        <v>0.48245428209905411</v>
      </c>
      <c r="I697" s="17">
        <f>'01_원자료'!P694*'03_가중치민감도'!$B$9+'01_원자료'!Q694*'03_가중치민감도'!$C$9+'01_원자료'!R694*'03_가중치민감도'!$D$9</f>
        <v>0.4963981624727819</v>
      </c>
      <c r="J697" s="17">
        <f>'01_원자료'!P694*'03_가중치민감도'!$B$10+'01_원자료'!Q694*'03_가중치민감도'!$C$10+'01_원자료'!R694*'03_가중치민감도'!$D$10</f>
        <v>0.59347364383378065</v>
      </c>
      <c r="K697" s="31">
        <f t="shared" si="60"/>
        <v>197</v>
      </c>
      <c r="L697" s="31">
        <f t="shared" si="61"/>
        <v>253</v>
      </c>
      <c r="M697" s="31">
        <f t="shared" si="62"/>
        <v>204</v>
      </c>
      <c r="N697" s="31">
        <f t="shared" si="63"/>
        <v>180</v>
      </c>
      <c r="O697" s="31">
        <f t="shared" si="64"/>
        <v>228</v>
      </c>
      <c r="P697" s="31">
        <f t="shared" si="65"/>
        <v>167</v>
      </c>
    </row>
    <row r="698" spans="1:16">
      <c r="A698" s="2" t="str">
        <f>'01_원자료'!A695</f>
        <v>RPT-16</v>
      </c>
      <c r="B698" s="2" t="str">
        <f>'01_원자료'!B695</f>
        <v>claude</v>
      </c>
      <c r="C698" s="2" t="str">
        <f>'01_원자료'!C695</f>
        <v>gemma</v>
      </c>
      <c r="E698" s="17">
        <f>'01_원자료'!P695*'03_가중치민감도'!$B$5+'01_원자료'!Q695*'03_가중치민감도'!$C$5+'01_원자료'!R695*'03_가중치민감도'!$D$5</f>
        <v>0.61205949062582732</v>
      </c>
      <c r="F698" s="17">
        <f>'01_원자료'!P695*'03_가중치민감도'!$B$6+'01_원자료'!Q695*'03_가중치민감도'!$C$6+'01_원자료'!R695*'03_가중치민감도'!$D$6</f>
        <v>0.51017661567171058</v>
      </c>
      <c r="G698" s="17">
        <f>'01_원자료'!P695*'03_가중치민감도'!$B$7+'01_원자료'!Q695*'03_가중치민감도'!$C$7+'01_원자료'!R695*'03_가중치민감도'!$D$7</f>
        <v>0.61354497202203406</v>
      </c>
      <c r="H698" s="17">
        <f>'01_원자료'!P695*'03_가중치민감도'!$B$8+'01_원자료'!Q695*'03_가중치민감도'!$C$8+'01_원자료'!R695*'03_가중치민감도'!$D$8</f>
        <v>0.60463208364479337</v>
      </c>
      <c r="I698" s="17">
        <f>'01_원자료'!P695*'03_가중치민감도'!$B$9+'01_원자료'!Q695*'03_가중치민감도'!$C$9+'01_원자료'!R695*'03_가중치민감도'!$D$9</f>
        <v>0.54364241352434661</v>
      </c>
      <c r="J698" s="17">
        <f>'01_원자료'!P695*'03_가중치민감도'!$B$10+'01_원자료'!Q695*'03_가중치민감도'!$C$10+'01_원자료'!R695*'03_가중치민감도'!$D$10</f>
        <v>0.71097140278753046</v>
      </c>
      <c r="K698" s="31">
        <f t="shared" si="60"/>
        <v>446</v>
      </c>
      <c r="L698" s="31">
        <f t="shared" si="61"/>
        <v>414</v>
      </c>
      <c r="M698" s="31">
        <f t="shared" si="62"/>
        <v>425</v>
      </c>
      <c r="N698" s="31">
        <f t="shared" si="63"/>
        <v>503</v>
      </c>
      <c r="O698" s="31">
        <f t="shared" si="64"/>
        <v>429</v>
      </c>
      <c r="P698" s="31">
        <f t="shared" si="65"/>
        <v>503</v>
      </c>
    </row>
    <row r="699" spans="1:16">
      <c r="A699" s="2" t="str">
        <f>'01_원자료'!A696</f>
        <v>RPT-16</v>
      </c>
      <c r="B699" s="2" t="str">
        <f>'01_원자료'!B696</f>
        <v>claude</v>
      </c>
      <c r="C699" s="2" t="str">
        <f>'01_원자료'!C696</f>
        <v>ministral</v>
      </c>
      <c r="E699" s="17">
        <f>'01_원자료'!P696*'03_가중치민감도'!$B$5+'01_원자료'!Q696*'03_가중치민감도'!$C$5+'01_원자료'!R696*'03_가중치민감도'!$D$5</f>
        <v>0.51752705398997745</v>
      </c>
      <c r="F699" s="17">
        <f>'01_원자료'!P696*'03_가중치민감도'!$B$6+'01_원자료'!Q696*'03_가중치민감도'!$C$6+'01_원자료'!R696*'03_가중치민감도'!$D$6</f>
        <v>0.43723003524038184</v>
      </c>
      <c r="G699" s="17">
        <f>'01_원자료'!P696*'03_가중치민감도'!$B$7+'01_원자료'!Q696*'03_가중치민감도'!$C$7+'01_원자료'!R696*'03_가중치민감도'!$D$7</f>
        <v>0.53190759291028322</v>
      </c>
      <c r="H699" s="17">
        <f>'01_원자료'!P696*'03_가중치민감도'!$B$8+'01_원자료'!Q696*'03_가중치민감도'!$C$8+'01_원자료'!R696*'03_가중치민감도'!$D$8</f>
        <v>0.44562435938844813</v>
      </c>
      <c r="I699" s="17">
        <f>'01_원자료'!P696*'03_가중치민감도'!$B$9+'01_원자료'!Q696*'03_가중치민감도'!$C$9+'01_원자료'!R696*'03_가중치민감도'!$D$9</f>
        <v>0.45920219518347793</v>
      </c>
      <c r="J699" s="17">
        <f>'01_원자료'!P696*'03_가중치민감도'!$B$10+'01_원자료'!Q696*'03_가중치민감도'!$C$10+'01_원자료'!R696*'03_가중치민감도'!$D$10</f>
        <v>0.56906299489896128</v>
      </c>
      <c r="K699" s="31">
        <f t="shared" si="60"/>
        <v>87</v>
      </c>
      <c r="L699" s="31">
        <f t="shared" si="61"/>
        <v>88</v>
      </c>
      <c r="M699" s="31">
        <f t="shared" si="62"/>
        <v>78</v>
      </c>
      <c r="N699" s="31">
        <f t="shared" si="63"/>
        <v>131</v>
      </c>
      <c r="O699" s="31">
        <f t="shared" si="64"/>
        <v>92</v>
      </c>
      <c r="P699" s="31">
        <f t="shared" si="65"/>
        <v>109</v>
      </c>
    </row>
    <row r="700" spans="1:16">
      <c r="A700" s="2" t="str">
        <f>'01_원자료'!A697</f>
        <v>RPT-16</v>
      </c>
      <c r="B700" s="2" t="str">
        <f>'01_원자료'!B697</f>
        <v>claude</v>
      </c>
      <c r="C700" s="2" t="str">
        <f>'01_원자료'!C697</f>
        <v>qwen</v>
      </c>
      <c r="E700" s="17">
        <f>'01_원자료'!P697*'03_가중치민감도'!$B$5+'01_원자료'!Q697*'03_가중치민감도'!$C$5+'01_원자료'!R697*'03_가중치민감도'!$D$5</f>
        <v>0.65708016320287754</v>
      </c>
      <c r="F700" s="17">
        <f>'01_원자료'!P697*'03_가중치민감도'!$B$6+'01_원자료'!Q697*'03_가중치민감도'!$C$6+'01_원자료'!R697*'03_가중치민감도'!$D$6</f>
        <v>0.57525366538301648</v>
      </c>
      <c r="G700" s="17">
        <f>'01_원자료'!P697*'03_가중치민감도'!$B$7+'01_원자료'!Q697*'03_가중치민감도'!$C$7+'01_원자료'!R697*'03_가중치민감도'!$D$7</f>
        <v>0.65853337875400164</v>
      </c>
      <c r="H700" s="17">
        <f>'01_원자료'!P697*'03_가중치민감도'!$B$8+'01_원자료'!Q697*'03_가중치민감도'!$C$8+'01_원자료'!R697*'03_가중치민감도'!$D$8</f>
        <v>0.64981408544725761</v>
      </c>
      <c r="I700" s="17">
        <f>'01_원자료'!P697*'03_가중치민감도'!$B$9+'01_원자료'!Q697*'03_가중치민감도'!$C$9+'01_원자료'!R697*'03_가중치민감도'!$D$9</f>
        <v>0.60204475947259495</v>
      </c>
      <c r="J700" s="17">
        <f>'01_원자료'!P697*'03_가중치민감도'!$B$10+'01_원자료'!Q697*'03_가중치민감도'!$C$10+'01_원자료'!R697*'03_가중치민감도'!$D$10</f>
        <v>0.73600022992049063</v>
      </c>
      <c r="K700" s="31">
        <f t="shared" si="60"/>
        <v>653</v>
      </c>
      <c r="L700" s="31">
        <f t="shared" si="61"/>
        <v>722</v>
      </c>
      <c r="M700" s="31">
        <f t="shared" si="62"/>
        <v>656</v>
      </c>
      <c r="N700" s="31">
        <f t="shared" si="63"/>
        <v>640</v>
      </c>
      <c r="O700" s="31">
        <f t="shared" si="64"/>
        <v>697</v>
      </c>
      <c r="P700" s="31">
        <f t="shared" si="65"/>
        <v>608</v>
      </c>
    </row>
    <row r="701" spans="1:16">
      <c r="A701" s="2" t="str">
        <f>'01_원자료'!A698</f>
        <v>RPT-16</v>
      </c>
      <c r="B701" s="2" t="str">
        <f>'01_원자료'!B698</f>
        <v>gemini</v>
      </c>
      <c r="C701" s="2" t="str">
        <f>'01_원자료'!C698</f>
        <v>gemma</v>
      </c>
      <c r="E701" s="17">
        <f>'01_원자료'!P698*'03_가중치민감도'!$B$5+'01_원자료'!Q698*'03_가중치민감도'!$C$5+'01_원자료'!R698*'03_가중치민감도'!$D$5</f>
        <v>0.7480834413365286</v>
      </c>
      <c r="F701" s="17">
        <f>'01_원자료'!P698*'03_가중치민감도'!$B$6+'01_원자료'!Q698*'03_가중치민감도'!$C$6+'01_원자료'!R698*'03_가중치민감도'!$D$6</f>
        <v>0.63065688315671908</v>
      </c>
      <c r="G701" s="17">
        <f>'01_원자료'!P698*'03_가중치민감도'!$B$7+'01_원자료'!Q698*'03_가중치민감도'!$C$7+'01_원자료'!R698*'03_가중치민감도'!$D$7</f>
        <v>0.74178681010896141</v>
      </c>
      <c r="H701" s="17">
        <f>'01_원자료'!P698*'03_가중치민감도'!$B$8+'01_원자료'!Q698*'03_가중치민감도'!$C$8+'01_원자료'!R698*'03_가중치민감도'!$D$8</f>
        <v>0.77956659747436441</v>
      </c>
      <c r="I701" s="17">
        <f>'01_원자료'!P698*'03_가중치민감도'!$B$9+'01_원자료'!Q698*'03_가중치민감도'!$C$9+'01_원자료'!R698*'03_가중치민감도'!$D$9</f>
        <v>0.67189794629251065</v>
      </c>
      <c r="J701" s="17">
        <f>'01_원자료'!P698*'03_가중치민감도'!$B$10+'01_원자료'!Q698*'03_가중치민감도'!$C$10+'01_원자료'!R698*'03_가중치민감도'!$D$10</f>
        <v>0.87810326197147248</v>
      </c>
      <c r="K701" s="31">
        <f t="shared" si="60"/>
        <v>949</v>
      </c>
      <c r="L701" s="31">
        <f t="shared" si="61"/>
        <v>923</v>
      </c>
      <c r="M701" s="31">
        <f t="shared" si="62"/>
        <v>952</v>
      </c>
      <c r="N701" s="31">
        <f t="shared" si="63"/>
        <v>935</v>
      </c>
      <c r="O701" s="31">
        <f t="shared" si="64"/>
        <v>932</v>
      </c>
      <c r="P701" s="31">
        <f t="shared" si="65"/>
        <v>964</v>
      </c>
    </row>
    <row r="702" spans="1:16">
      <c r="A702" s="2" t="str">
        <f>'01_원자료'!A699</f>
        <v>RPT-16</v>
      </c>
      <c r="B702" s="2" t="str">
        <f>'01_원자료'!B699</f>
        <v>gemini</v>
      </c>
      <c r="C702" s="2" t="str">
        <f>'01_원자료'!C699</f>
        <v>ministral</v>
      </c>
      <c r="E702" s="17">
        <f>'01_원자료'!P699*'03_가중치민감도'!$B$5+'01_원자료'!Q699*'03_가중치민감도'!$C$5+'01_원자료'!R699*'03_가중치민감도'!$D$5</f>
        <v>0.53303750327011201</v>
      </c>
      <c r="F702" s="17">
        <f>'01_원자료'!P699*'03_가중치민감도'!$B$6+'01_원자료'!Q699*'03_가중치민감도'!$C$6+'01_원자료'!R699*'03_가중치민감도'!$D$6</f>
        <v>0.44291000312238782</v>
      </c>
      <c r="G702" s="17">
        <f>'01_원자료'!P699*'03_가중치민감도'!$B$7+'01_원자료'!Q699*'03_가중치민감도'!$C$7+'01_원자료'!R699*'03_가중치민감도'!$D$7</f>
        <v>0.55336578577008366</v>
      </c>
      <c r="H702" s="17">
        <f>'01_원자료'!P699*'03_가중치민감도'!$B$8+'01_원자료'!Q699*'03_가중치민감도'!$C$8+'01_원자료'!R699*'03_가중치민감도'!$D$8</f>
        <v>0.43139609077025387</v>
      </c>
      <c r="I702" s="17">
        <f>'01_원자료'!P699*'03_가중치민감도'!$B$9+'01_원자료'!Q699*'03_가중치민감도'!$C$9+'01_원자료'!R699*'03_가중치민감도'!$D$9</f>
        <v>0.46617640900497159</v>
      </c>
      <c r="J702" s="17">
        <f>'01_원자료'!P699*'03_가중치민감도'!$B$10+'01_원자료'!Q699*'03_가중치민감도'!$C$10+'01_원자료'!R699*'03_가중치민감도'!$D$10</f>
        <v>0.5825084384178929</v>
      </c>
      <c r="K702" s="31">
        <f t="shared" si="60"/>
        <v>144</v>
      </c>
      <c r="L702" s="31">
        <f t="shared" si="61"/>
        <v>107</v>
      </c>
      <c r="M702" s="31">
        <f t="shared" si="62"/>
        <v>175</v>
      </c>
      <c r="N702" s="31">
        <f t="shared" si="63"/>
        <v>107</v>
      </c>
      <c r="O702" s="31">
        <f t="shared" si="64"/>
        <v>113</v>
      </c>
      <c r="P702" s="31">
        <f t="shared" si="65"/>
        <v>135</v>
      </c>
    </row>
    <row r="703" spans="1:16">
      <c r="A703" s="2" t="str">
        <f>'01_원자료'!A700</f>
        <v>RPT-16</v>
      </c>
      <c r="B703" s="2" t="str">
        <f>'01_원자료'!B700</f>
        <v>gemini</v>
      </c>
      <c r="C703" s="2" t="str">
        <f>'01_원자료'!C700</f>
        <v>qwen</v>
      </c>
      <c r="E703" s="17">
        <f>'01_원자료'!P700*'03_가중치민감도'!$B$5+'01_원자료'!Q700*'03_가중치민감도'!$C$5+'01_원자료'!R700*'03_가중치민감도'!$D$5</f>
        <v>0.67755723034696524</v>
      </c>
      <c r="F703" s="17">
        <f>'01_원자료'!P700*'03_가중치민감도'!$B$6+'01_원자료'!Q700*'03_가중치민감도'!$C$6+'01_원자료'!R700*'03_가중치민감도'!$D$6</f>
        <v>0.58546671450011378</v>
      </c>
      <c r="G703" s="17">
        <f>'01_원자료'!P700*'03_가중치민감도'!$B$7+'01_원자료'!Q700*'03_가중치민감도'!$C$7+'01_원자료'!R700*'03_가중치민감도'!$D$7</f>
        <v>0.68299509299322969</v>
      </c>
      <c r="H703" s="17">
        <f>'01_원자료'!P700*'03_가중치민감도'!$B$8+'01_원자료'!Q700*'03_가중치민감도'!$C$8+'01_원자료'!R700*'03_가중치민감도'!$D$8</f>
        <v>0.65036791711564312</v>
      </c>
      <c r="I703" s="17">
        <f>'01_원자료'!P700*'03_가중치민감도'!$B$9+'01_원자료'!Q700*'03_가중치민감도'!$C$9+'01_원자료'!R700*'03_가중치민감도'!$D$9</f>
        <v>0.61435093223364223</v>
      </c>
      <c r="J703" s="17">
        <f>'01_원자료'!P700*'03_가중치민감도'!$B$10+'01_원자료'!Q700*'03_가중치민감도'!$C$10+'01_원자료'!R700*'03_가중치민감도'!$D$10</f>
        <v>0.75877202090128781</v>
      </c>
      <c r="K703" s="31">
        <f t="shared" si="60"/>
        <v>747</v>
      </c>
      <c r="L703" s="31">
        <f t="shared" si="61"/>
        <v>757</v>
      </c>
      <c r="M703" s="31">
        <f t="shared" si="62"/>
        <v>770</v>
      </c>
      <c r="N703" s="31">
        <f t="shared" si="63"/>
        <v>642</v>
      </c>
      <c r="O703" s="31">
        <f t="shared" si="64"/>
        <v>746</v>
      </c>
      <c r="P703" s="31">
        <f t="shared" si="65"/>
        <v>690</v>
      </c>
    </row>
    <row r="704" spans="1:16">
      <c r="A704" s="2" t="str">
        <f>'01_원자료'!A701</f>
        <v>RPT-16</v>
      </c>
      <c r="B704" s="2" t="str">
        <f>'01_원자료'!B701</f>
        <v>mistral</v>
      </c>
      <c r="C704" s="2" t="str">
        <f>'01_원자료'!C701</f>
        <v>gemma</v>
      </c>
      <c r="E704" s="17">
        <f>'01_원자료'!P701*'03_가중치민감도'!$B$5+'01_원자료'!Q701*'03_가중치민감도'!$C$5+'01_원자료'!R701*'03_가중치민감도'!$D$5</f>
        <v>0.57527322737177444</v>
      </c>
      <c r="F704" s="17">
        <f>'01_원자료'!P701*'03_가중치민감도'!$B$6+'01_원자료'!Q701*'03_가중치민감도'!$C$6+'01_원자료'!R701*'03_가중치민감도'!$D$6</f>
        <v>0.48621819220565732</v>
      </c>
      <c r="G704" s="17">
        <f>'01_원자료'!P701*'03_가중치민감도'!$B$7+'01_원자료'!Q701*'03_가중치민감도'!$C$7+'01_원자료'!R701*'03_가중치민감도'!$D$7</f>
        <v>0.58413411941680216</v>
      </c>
      <c r="H704" s="17">
        <f>'01_원자료'!P701*'03_가중치민감도'!$B$8+'01_원자료'!Q701*'03_가중치민감도'!$C$8+'01_원자료'!R701*'03_가중치민감도'!$D$8</f>
        <v>0.53096876714663543</v>
      </c>
      <c r="I704" s="17">
        <f>'01_원자료'!P701*'03_가중치민감도'!$B$9+'01_원자료'!Q701*'03_가중치민감도'!$C$9+'01_원자료'!R701*'03_가중치민감도'!$D$9</f>
        <v>0.51294957324601986</v>
      </c>
      <c r="J704" s="17">
        <f>'01_원자료'!P701*'03_가중치민감도'!$B$10+'01_원자료'!Q701*'03_가중치민감도'!$C$10+'01_원자료'!R701*'03_가중치민감도'!$D$10</f>
        <v>0.64660647844783581</v>
      </c>
      <c r="K704" s="31">
        <f t="shared" si="60"/>
        <v>307</v>
      </c>
      <c r="L704" s="31">
        <f t="shared" si="61"/>
        <v>302</v>
      </c>
      <c r="M704" s="31">
        <f t="shared" si="62"/>
        <v>309</v>
      </c>
      <c r="N704" s="31">
        <f t="shared" si="63"/>
        <v>280</v>
      </c>
      <c r="O704" s="31">
        <f t="shared" si="64"/>
        <v>299</v>
      </c>
      <c r="P704" s="31">
        <f t="shared" si="65"/>
        <v>298</v>
      </c>
    </row>
    <row r="705" spans="1:16">
      <c r="A705" s="2" t="str">
        <f>'01_원자료'!A702</f>
        <v>RPT-16</v>
      </c>
      <c r="B705" s="2" t="str">
        <f>'01_원자료'!B702</f>
        <v>mistral</v>
      </c>
      <c r="C705" s="2" t="str">
        <f>'01_원자료'!C702</f>
        <v>ministral</v>
      </c>
      <c r="E705" s="17">
        <f>'01_원자료'!P702*'03_가중치민감도'!$B$5+'01_원자료'!Q702*'03_가중치민감도'!$C$5+'01_원자료'!R702*'03_가중치민감도'!$D$5</f>
        <v>0.55489177105030407</v>
      </c>
      <c r="F705" s="17">
        <f>'01_원자료'!P702*'03_가중치민감도'!$B$6+'01_원자료'!Q702*'03_가중치민감도'!$C$6+'01_원자료'!R702*'03_가중치민감도'!$D$6</f>
        <v>0.48818562862432147</v>
      </c>
      <c r="G705" s="17">
        <f>'01_원자료'!P702*'03_가중치민감도'!$B$7+'01_원자료'!Q702*'03_가중치민감도'!$C$7+'01_원자료'!R702*'03_가중치민감도'!$D$7</f>
        <v>0.57038658957062227</v>
      </c>
      <c r="H705" s="17">
        <f>'01_원자료'!P702*'03_가중치민감도'!$B$8+'01_원자료'!Q702*'03_가중치민감도'!$C$8+'01_원자료'!R702*'03_가중치민감도'!$D$8</f>
        <v>0.47741767844871352</v>
      </c>
      <c r="I705" s="17">
        <f>'01_원자료'!P702*'03_가중치민감도'!$B$9+'01_원자료'!Q702*'03_가중치민감도'!$C$9+'01_원자료'!R702*'03_가중치민감도'!$D$9</f>
        <v>0.50525606992620919</v>
      </c>
      <c r="J705" s="17">
        <f>'01_원자료'!P702*'03_가중치민감도'!$B$10+'01_원자료'!Q702*'03_가중치민감도'!$C$10+'01_원자료'!R702*'03_가중치민감도'!$D$10</f>
        <v>0.5906082764356505</v>
      </c>
      <c r="K705" s="31">
        <f t="shared" si="60"/>
        <v>227</v>
      </c>
      <c r="L705" s="31">
        <f t="shared" si="61"/>
        <v>308</v>
      </c>
      <c r="M705" s="31">
        <f t="shared" si="62"/>
        <v>249</v>
      </c>
      <c r="N705" s="31">
        <f t="shared" si="63"/>
        <v>168</v>
      </c>
      <c r="O705" s="31">
        <f t="shared" si="64"/>
        <v>264</v>
      </c>
      <c r="P705" s="31">
        <f t="shared" si="65"/>
        <v>157</v>
      </c>
    </row>
    <row r="706" spans="1:16">
      <c r="A706" s="2" t="str">
        <f>'01_원자료'!A703</f>
        <v>RPT-16</v>
      </c>
      <c r="B706" s="2" t="str">
        <f>'01_원자료'!B703</f>
        <v>mistral</v>
      </c>
      <c r="C706" s="2" t="str">
        <f>'01_원자료'!C703</f>
        <v>qwen</v>
      </c>
      <c r="E706" s="17">
        <f>'01_원자료'!P703*'03_가중치민감도'!$B$5+'01_원자료'!Q703*'03_가중치민감도'!$C$5+'01_원자료'!R703*'03_가중치민감도'!$D$5</f>
        <v>0.6432430583591231</v>
      </c>
      <c r="F706" s="17">
        <f>'01_원자료'!P703*'03_가중치민감도'!$B$6+'01_원자료'!Q703*'03_가중치민감도'!$C$6+'01_원자료'!R703*'03_가중치민감도'!$D$6</f>
        <v>0.56539262791363865</v>
      </c>
      <c r="G706" s="17">
        <f>'01_원자료'!P703*'03_가중치민감도'!$B$7+'01_원자료'!Q703*'03_가중치민감도'!$C$7+'01_원자료'!R703*'03_가중치민감도'!$D$7</f>
        <v>0.64378130144472134</v>
      </c>
      <c r="H706" s="17">
        <f>'01_원자료'!P703*'03_가중치민감도'!$B$8+'01_원자료'!Q703*'03_가중치민감도'!$C$8+'01_원자료'!R703*'03_가중치민감도'!$D$8</f>
        <v>0.64055184293113188</v>
      </c>
      <c r="I706" s="17">
        <f>'01_원자료'!P703*'03_가중치민감도'!$B$9+'01_원자료'!Q703*'03_가중치민감도'!$C$9+'01_원자료'!R703*'03_가중치민감도'!$D$9</f>
        <v>0.59116335703360012</v>
      </c>
      <c r="J706" s="17">
        <f>'01_원자료'!P703*'03_가중치민감도'!$B$10+'01_원자료'!Q703*'03_가중치민감도'!$C$10+'01_원자료'!R703*'03_가중치민감도'!$D$10</f>
        <v>0.72001700263341117</v>
      </c>
      <c r="K706" s="31">
        <f t="shared" si="60"/>
        <v>590</v>
      </c>
      <c r="L706" s="31">
        <f t="shared" si="61"/>
        <v>668</v>
      </c>
      <c r="M706" s="31">
        <f t="shared" si="62"/>
        <v>583</v>
      </c>
      <c r="N706" s="31">
        <f t="shared" si="63"/>
        <v>607</v>
      </c>
      <c r="O706" s="31">
        <f t="shared" si="64"/>
        <v>639</v>
      </c>
      <c r="P706" s="31">
        <f t="shared" si="65"/>
        <v>546</v>
      </c>
    </row>
    <row r="707" spans="1:16">
      <c r="A707" s="2" t="str">
        <f>'01_원자료'!A704</f>
        <v>RPT-16</v>
      </c>
      <c r="B707" s="2" t="str">
        <f>'01_원자료'!B704</f>
        <v>qwen3_6</v>
      </c>
      <c r="C707" s="2" t="str">
        <f>'01_원자료'!C704</f>
        <v>gemma</v>
      </c>
      <c r="E707" s="17">
        <f>'01_원자료'!P704*'03_가중치민감도'!$B$5+'01_원자료'!Q704*'03_가중치민감도'!$C$5+'01_원자료'!R704*'03_가중치민감도'!$D$5</f>
        <v>0.74320247700790365</v>
      </c>
      <c r="F707" s="17">
        <f>'01_원자료'!P704*'03_가중치민감도'!$B$6+'01_원자료'!Q704*'03_가중치민감도'!$C$6+'01_원자료'!R704*'03_가중치민감도'!$D$6</f>
        <v>0.63560203349837097</v>
      </c>
      <c r="G707" s="17">
        <f>'01_원자료'!P704*'03_가중치민감도'!$B$7+'01_원자료'!Q704*'03_가중치민감도'!$C$7+'01_원자료'!R704*'03_가중치민감도'!$D$7</f>
        <v>0.7356802558637614</v>
      </c>
      <c r="H707" s="17">
        <f>'01_원자료'!P704*'03_가중치민감도'!$B$8+'01_원자료'!Q704*'03_가중치민감도'!$C$8+'01_원자료'!R704*'03_가중치민감도'!$D$8</f>
        <v>0.78081358272861523</v>
      </c>
      <c r="I707" s="17">
        <f>'01_원자료'!P704*'03_가중치민감도'!$B$9+'01_원자료'!Q704*'03_가중치민감도'!$C$9+'01_원자료'!R704*'03_가중치민감도'!$D$9</f>
        <v>0.67397625504959524</v>
      </c>
      <c r="J707" s="17">
        <f>'01_원자료'!P704*'03_가중치민감도'!$B$10+'01_원자료'!Q704*'03_가중치민감도'!$C$10+'01_원자료'!R704*'03_가중치민감도'!$D$10</f>
        <v>0.86584736280572105</v>
      </c>
      <c r="K707" s="31">
        <f t="shared" si="60"/>
        <v>937</v>
      </c>
      <c r="L707" s="31">
        <f t="shared" si="61"/>
        <v>933</v>
      </c>
      <c r="M707" s="31">
        <f t="shared" si="62"/>
        <v>935</v>
      </c>
      <c r="N707" s="31">
        <f t="shared" si="63"/>
        <v>939</v>
      </c>
      <c r="O707" s="31">
        <f t="shared" si="64"/>
        <v>937</v>
      </c>
      <c r="P707" s="31">
        <f t="shared" si="65"/>
        <v>935</v>
      </c>
    </row>
    <row r="708" spans="1:16">
      <c r="A708" s="2" t="str">
        <f>'01_원자료'!A705</f>
        <v>RPT-16</v>
      </c>
      <c r="B708" s="2" t="str">
        <f>'01_원자료'!B705</f>
        <v>qwen3_6</v>
      </c>
      <c r="C708" s="2" t="str">
        <f>'01_원자료'!C705</f>
        <v>ministral</v>
      </c>
      <c r="E708" s="17">
        <f>'01_원자료'!P705*'03_가중치민감도'!$B$5+'01_원자료'!Q705*'03_가중치민감도'!$C$5+'01_원자료'!R705*'03_가중치민감도'!$D$5</f>
        <v>0.5112488122021468</v>
      </c>
      <c r="F708" s="17">
        <f>'01_원자료'!P705*'03_가중치민감도'!$B$6+'01_원자료'!Q705*'03_가중치민감도'!$C$6+'01_원자료'!R705*'03_가중치민감도'!$D$6</f>
        <v>0.42312050940893509</v>
      </c>
      <c r="G708" s="17">
        <f>'01_원자료'!P705*'03_가중치민감도'!$B$7+'01_원자료'!Q705*'03_가중치민감도'!$C$7+'01_원자료'!R705*'03_가중치민감도'!$D$7</f>
        <v>0.52959477066691185</v>
      </c>
      <c r="H708" s="17">
        <f>'01_원자료'!P705*'03_가중치민감도'!$B$8+'01_원자료'!Q705*'03_가중치민감도'!$C$8+'01_원자료'!R705*'03_가중치민감도'!$D$8</f>
        <v>0.41951901987832096</v>
      </c>
      <c r="I708" s="17">
        <f>'01_원자료'!P705*'03_가중치민감도'!$B$9+'01_원자료'!Q705*'03_가중치민감도'!$C$9+'01_원자료'!R705*'03_가중치민감도'!$D$9</f>
        <v>0.44638129085175016</v>
      </c>
      <c r="J708" s="17">
        <f>'01_원자료'!P705*'03_가중치민감도'!$B$10+'01_원자료'!Q705*'03_가중치민감도'!$C$10+'01_원자료'!R705*'03_가중치민감도'!$D$10</f>
        <v>0.56268519806582806</v>
      </c>
      <c r="K708" s="31">
        <f t="shared" si="60"/>
        <v>71</v>
      </c>
      <c r="L708" s="31">
        <f t="shared" si="61"/>
        <v>54</v>
      </c>
      <c r="M708" s="31">
        <f t="shared" si="62"/>
        <v>70</v>
      </c>
      <c r="N708" s="31">
        <f t="shared" si="63"/>
        <v>86</v>
      </c>
      <c r="O708" s="31">
        <f t="shared" si="64"/>
        <v>55</v>
      </c>
      <c r="P708" s="31">
        <f t="shared" si="65"/>
        <v>93</v>
      </c>
    </row>
    <row r="709" spans="1:16">
      <c r="A709" s="2" t="str">
        <f>'01_원자료'!A706</f>
        <v>RPT-16</v>
      </c>
      <c r="B709" s="2" t="str">
        <f>'01_원자료'!B706</f>
        <v>qwen3_6</v>
      </c>
      <c r="C709" s="2" t="str">
        <f>'01_원자료'!C706</f>
        <v>qwen</v>
      </c>
      <c r="E709" s="17">
        <f>'01_원자료'!P706*'03_가중치민감도'!$B$5+'01_원자료'!Q706*'03_가중치민감도'!$C$5+'01_원자료'!R706*'03_가중치민감도'!$D$5</f>
        <v>0.6813595807051932</v>
      </c>
      <c r="F709" s="17">
        <f>'01_원자료'!P706*'03_가중치민감도'!$B$6+'01_원자료'!Q706*'03_가중치민감도'!$C$6+'01_원자료'!R706*'03_가중치민감도'!$D$6</f>
        <v>0.60671193284099822</v>
      </c>
      <c r="G709" s="17">
        <f>'01_원자료'!P706*'03_가중치민감도'!$B$7+'01_원자료'!Q706*'03_가중치민감도'!$C$7+'01_원자료'!R706*'03_가중치민감도'!$D$7</f>
        <v>0.68566073354942192</v>
      </c>
      <c r="H709" s="17">
        <f>'01_원자료'!P706*'03_가중치민감도'!$B$8+'01_원자료'!Q706*'03_가중치민감도'!$C$8+'01_원자료'!R706*'03_가중치민감도'!$D$8</f>
        <v>0.6598538164840495</v>
      </c>
      <c r="I709" s="17">
        <f>'01_원자료'!P706*'03_가중치민감도'!$B$9+'01_원자료'!Q706*'03_가중치민감도'!$C$9+'01_원자료'!R706*'03_가중치민감도'!$D$9</f>
        <v>0.63016076451431968</v>
      </c>
      <c r="J709" s="17">
        <f>'01_원자료'!P706*'03_가중치민감도'!$B$10+'01_원자료'!Q706*'03_가중치민감도'!$C$10+'01_원자료'!R706*'03_가중치민감도'!$D$10</f>
        <v>0.74740492288093074</v>
      </c>
      <c r="K709" s="31">
        <f t="shared" ref="K709:K772" si="66">COUNTIF($E$5:$E$979,"&lt;"&amp;E709)+(COUNTIF($E$5:$E$979,"="&amp;E709)+1)/2</f>
        <v>763</v>
      </c>
      <c r="L709" s="31">
        <f t="shared" ref="L709:L772" si="67">COUNTIF($F$5:$F$979,"&lt;"&amp;F709)+(COUNTIF($F$5:$F$979,"="&amp;F709)+1)/2</f>
        <v>843</v>
      </c>
      <c r="M709" s="31">
        <f t="shared" ref="M709:M772" si="68">COUNTIF($G$5:$G$979,"&lt;"&amp;G709)+(COUNTIF($G$5:$G$979,"="&amp;G709)+1)/2</f>
        <v>781</v>
      </c>
      <c r="N709" s="31">
        <f t="shared" ref="N709:N772" si="69">COUNTIF($H$5:$H$979,"&lt;"&amp;H709)+(COUNTIF($H$5:$H$979,"="&amp;H709)+1)/2</f>
        <v>666</v>
      </c>
      <c r="O709" s="31">
        <f t="shared" ref="O709:O772" si="70">COUNTIF($I$5:$I$979,"&lt;"&amp;I709)+(COUNTIF($I$5:$I$979,"="&amp;I709)+1)/2</f>
        <v>794</v>
      </c>
      <c r="P709" s="31">
        <f t="shared" ref="P709:P772" si="71">COUNTIF($J$5:$J$979,"&lt;"&amp;J709)+(COUNTIF($J$5:$J$979,"="&amp;J709)+1)/2</f>
        <v>648</v>
      </c>
    </row>
    <row r="710" spans="1:16">
      <c r="A710" s="2" t="str">
        <f>'01_원자료'!A707</f>
        <v>RPT-17</v>
      </c>
      <c r="B710" s="2" t="str">
        <f>'01_원자료'!B707</f>
        <v>chatgpt</v>
      </c>
      <c r="C710" s="2" t="str">
        <f>'01_원자료'!C707</f>
        <v>gemma</v>
      </c>
      <c r="E710" s="17">
        <f>'01_원자료'!P707*'03_가중치민감도'!$B$5+'01_원자료'!Q707*'03_가중치민감도'!$C$5+'01_원자료'!R707*'03_가중치민감도'!$D$5</f>
        <v>0.57028344283077415</v>
      </c>
      <c r="F710" s="17">
        <f>'01_원자료'!P707*'03_가중치민감도'!$B$6+'01_원자료'!Q707*'03_가중치민감도'!$C$6+'01_원자료'!R707*'03_가중치민감도'!$D$6</f>
        <v>0.48135691221615284</v>
      </c>
      <c r="G710" s="17">
        <f>'01_원자료'!P707*'03_가중치민감도'!$B$7+'01_원자료'!Q707*'03_가중치민감도'!$C$7+'01_원자료'!R707*'03_가중치민감도'!$D$7</f>
        <v>0.57719997780625343</v>
      </c>
      <c r="H710" s="17">
        <f>'01_원자료'!P707*'03_가중치민감도'!$B$8+'01_원자료'!Q707*'03_가중치민감도'!$C$8+'01_원자료'!R707*'03_가중치민감도'!$D$8</f>
        <v>0.53570076795337762</v>
      </c>
      <c r="I710" s="17">
        <f>'01_원자료'!P707*'03_가중치민감도'!$B$9+'01_원자료'!Q707*'03_가중치민감도'!$C$9+'01_원자료'!R707*'03_가중치민감도'!$D$9</f>
        <v>0.50869357742919963</v>
      </c>
      <c r="J710" s="17">
        <f>'01_원자료'!P707*'03_가중치민감도'!$B$10+'01_원자료'!Q707*'03_가중치민감도'!$C$10+'01_원자료'!R707*'03_가중치민감도'!$D$10</f>
        <v>0.64537690349443677</v>
      </c>
      <c r="K710" s="31">
        <f t="shared" si="66"/>
        <v>284</v>
      </c>
      <c r="L710" s="31">
        <f t="shared" si="67"/>
        <v>275</v>
      </c>
      <c r="M710" s="31">
        <f t="shared" si="68"/>
        <v>280</v>
      </c>
      <c r="N710" s="31">
        <f t="shared" si="69"/>
        <v>295</v>
      </c>
      <c r="O710" s="31">
        <f t="shared" si="70"/>
        <v>279</v>
      </c>
      <c r="P710" s="31">
        <f t="shared" si="71"/>
        <v>296</v>
      </c>
    </row>
    <row r="711" spans="1:16">
      <c r="A711" s="2" t="str">
        <f>'01_원자료'!A708</f>
        <v>RPT-17</v>
      </c>
      <c r="B711" s="2" t="str">
        <f>'01_원자료'!B708</f>
        <v>chatgpt</v>
      </c>
      <c r="C711" s="2" t="str">
        <f>'01_원자료'!C708</f>
        <v>ministral</v>
      </c>
      <c r="E711" s="17">
        <f>'01_원자료'!P708*'03_가중치민감도'!$B$5+'01_원자료'!Q708*'03_가중치민감도'!$C$5+'01_원자료'!R708*'03_가중치민감도'!$D$5</f>
        <v>0.55234060763647208</v>
      </c>
      <c r="F711" s="17">
        <f>'01_원자료'!P708*'03_가중치민감도'!$B$6+'01_원자료'!Q708*'03_가중치민감도'!$C$6+'01_원자료'!R708*'03_가중치민감도'!$D$6</f>
        <v>0.4571389003924673</v>
      </c>
      <c r="G711" s="17">
        <f>'01_원자료'!P708*'03_가중치민감도'!$B$7+'01_원자료'!Q708*'03_가중치민감도'!$C$7+'01_원자료'!R708*'03_가중치민감도'!$D$7</f>
        <v>0.56485228985069069</v>
      </c>
      <c r="H711" s="17">
        <f>'01_원자료'!P708*'03_가중치민감도'!$B$8+'01_원자료'!Q708*'03_가중치민감도'!$C$8+'01_원자료'!R708*'03_가중치민감도'!$D$8</f>
        <v>0.48978219656537969</v>
      </c>
      <c r="I711" s="17">
        <f>'01_원자료'!P708*'03_가중치민감도'!$B$9+'01_원자료'!Q708*'03_가중치민감도'!$C$9+'01_원자료'!R708*'03_가중치민감도'!$D$9</f>
        <v>0.48470224206906221</v>
      </c>
      <c r="J711" s="17">
        <f>'01_원자료'!P708*'03_가중치민감도'!$B$10+'01_원자료'!Q708*'03_가중치민감도'!$C$10+'01_원자료'!R708*'03_가중치민감도'!$D$10</f>
        <v>0.62251895045204009</v>
      </c>
      <c r="K711" s="31">
        <f t="shared" si="66"/>
        <v>215</v>
      </c>
      <c r="L711" s="31">
        <f t="shared" si="67"/>
        <v>167</v>
      </c>
      <c r="M711" s="31">
        <f t="shared" si="68"/>
        <v>220</v>
      </c>
      <c r="N711" s="31">
        <f t="shared" si="69"/>
        <v>198</v>
      </c>
      <c r="O711" s="31">
        <f t="shared" si="70"/>
        <v>180</v>
      </c>
      <c r="P711" s="31">
        <f t="shared" si="71"/>
        <v>248</v>
      </c>
    </row>
    <row r="712" spans="1:16">
      <c r="A712" s="2" t="str">
        <f>'01_원자료'!A709</f>
        <v>RPT-17</v>
      </c>
      <c r="B712" s="2" t="str">
        <f>'01_원자료'!B709</f>
        <v>chatgpt</v>
      </c>
      <c r="C712" s="2" t="str">
        <f>'01_원자료'!C709</f>
        <v>qwen</v>
      </c>
      <c r="E712" s="17">
        <f>'01_원자료'!P709*'03_가중치민감도'!$B$5+'01_원자료'!Q709*'03_가중치민감도'!$C$5+'01_원자료'!R709*'03_가중치민감도'!$D$5</f>
        <v>0.5385807501181028</v>
      </c>
      <c r="F712" s="17">
        <f>'01_원자료'!P709*'03_가중치민감도'!$B$6+'01_원자료'!Q709*'03_가중치민감도'!$C$6+'01_원자료'!R709*'03_가중치민감도'!$D$6</f>
        <v>0.45631079822749954</v>
      </c>
      <c r="G712" s="17">
        <f>'01_원자료'!P709*'03_가중치민감도'!$B$7+'01_원자료'!Q709*'03_가중치민감도'!$C$7+'01_원자료'!R709*'03_가중치민감도'!$D$7</f>
        <v>0.55185677015728984</v>
      </c>
      <c r="H712" s="17">
        <f>'01_원자료'!P709*'03_가중치민감도'!$B$8+'01_원자료'!Q709*'03_가중치민감도'!$C$8+'01_원자료'!R709*'03_가중치민감도'!$D$8</f>
        <v>0.47220064992216765</v>
      </c>
      <c r="I712" s="17">
        <f>'01_원자료'!P709*'03_가중치민감도'!$B$9+'01_원자료'!Q709*'03_가중치민감도'!$C$9+'01_원자료'!R709*'03_가중치민감도'!$D$9</f>
        <v>0.47930877551130446</v>
      </c>
      <c r="J712" s="17">
        <f>'01_원자료'!P709*'03_가중치민감도'!$B$10+'01_원자료'!Q709*'03_가중치민감도'!$C$10+'01_원자료'!R709*'03_가중치민감도'!$D$10</f>
        <v>0.59429866193033209</v>
      </c>
      <c r="K712" s="31">
        <f t="shared" si="66"/>
        <v>164</v>
      </c>
      <c r="L712" s="31">
        <f t="shared" si="67"/>
        <v>163</v>
      </c>
      <c r="M712" s="31">
        <f t="shared" si="68"/>
        <v>168</v>
      </c>
      <c r="N712" s="31">
        <f t="shared" si="69"/>
        <v>159</v>
      </c>
      <c r="O712" s="31">
        <f t="shared" si="70"/>
        <v>163</v>
      </c>
      <c r="P712" s="31">
        <f t="shared" si="71"/>
        <v>169</v>
      </c>
    </row>
    <row r="713" spans="1:16">
      <c r="A713" s="2" t="str">
        <f>'01_원자료'!A710</f>
        <v>RPT-17</v>
      </c>
      <c r="B713" s="2" t="str">
        <f>'01_원자료'!B710</f>
        <v>claude</v>
      </c>
      <c r="C713" s="2" t="str">
        <f>'01_원자료'!C710</f>
        <v>gemma</v>
      </c>
      <c r="E713" s="17">
        <f>'01_원자료'!P710*'03_가중치민감도'!$B$5+'01_원자료'!Q710*'03_가중치민감도'!$C$5+'01_원자료'!R710*'03_가중치민감도'!$D$5</f>
        <v>0.64019398635706937</v>
      </c>
      <c r="F713" s="17">
        <f>'01_원자료'!P710*'03_가중치민감도'!$B$6+'01_원자료'!Q710*'03_가중치민감도'!$C$6+'01_원자료'!R710*'03_가중치민감도'!$D$6</f>
        <v>0.53294459482845946</v>
      </c>
      <c r="G713" s="17">
        <f>'01_원자료'!P710*'03_가중치민감도'!$B$7+'01_원자료'!Q710*'03_가중치민감도'!$C$7+'01_원자료'!R710*'03_가중치민감도'!$D$7</f>
        <v>0.64055963821791306</v>
      </c>
      <c r="H713" s="17">
        <f>'01_원자료'!P710*'03_가중치민감도'!$B$8+'01_원자료'!Q710*'03_가중치민감도'!$C$8+'01_원자료'!R710*'03_가중치민감도'!$D$8</f>
        <v>0.63836572705285111</v>
      </c>
      <c r="I713" s="17">
        <f>'01_원자료'!P710*'03_가중치민감도'!$B$9+'01_원자료'!Q710*'03_가중치민감도'!$C$9+'01_원자료'!R710*'03_가중치민감도'!$D$9</f>
        <v>0.56857250805104764</v>
      </c>
      <c r="J713" s="17">
        <f>'01_원자료'!P710*'03_가중치민감도'!$B$10+'01_원자료'!Q710*'03_가중치민감도'!$C$10+'01_원자료'!R710*'03_가중치민감도'!$D$10</f>
        <v>0.74671207416399188</v>
      </c>
      <c r="K713" s="31">
        <f t="shared" si="66"/>
        <v>576</v>
      </c>
      <c r="L713" s="31">
        <f t="shared" si="67"/>
        <v>517</v>
      </c>
      <c r="M713" s="31">
        <f t="shared" si="68"/>
        <v>565</v>
      </c>
      <c r="N713" s="31">
        <f t="shared" si="69"/>
        <v>601</v>
      </c>
      <c r="O713" s="31">
        <f t="shared" si="70"/>
        <v>543</v>
      </c>
      <c r="P713" s="31">
        <f t="shared" si="71"/>
        <v>645</v>
      </c>
    </row>
    <row r="714" spans="1:16">
      <c r="A714" s="2" t="str">
        <f>'01_원자료'!A711</f>
        <v>RPT-17</v>
      </c>
      <c r="B714" s="2" t="str">
        <f>'01_원자료'!B711</f>
        <v>claude</v>
      </c>
      <c r="C714" s="2" t="str">
        <f>'01_원자료'!C711</f>
        <v>ministral</v>
      </c>
      <c r="E714" s="17">
        <f>'01_원자료'!P711*'03_가중치민감도'!$B$5+'01_원자료'!Q711*'03_가중치민감도'!$C$5+'01_원자료'!R711*'03_가중치민감도'!$D$5</f>
        <v>0.6220251442030682</v>
      </c>
      <c r="F714" s="17">
        <f>'01_원자료'!P711*'03_가중치민감도'!$B$6+'01_원자료'!Q711*'03_가중치민감도'!$C$6+'01_원자료'!R711*'03_가중치민감도'!$D$6</f>
        <v>0.52068925708708269</v>
      </c>
      <c r="G714" s="17">
        <f>'01_원자료'!P711*'03_가중치민감도'!$B$7+'01_원자료'!Q711*'03_가중치민감도'!$C$7+'01_원자료'!R711*'03_가중치민감도'!$D$7</f>
        <v>0.62399204073785941</v>
      </c>
      <c r="H714" s="17">
        <f>'01_원자료'!P711*'03_가중치민감도'!$B$8+'01_원자료'!Q711*'03_가중치민감도'!$C$8+'01_원자료'!R711*'03_가중치민감도'!$D$8</f>
        <v>0.61219066152911206</v>
      </c>
      <c r="I714" s="17">
        <f>'01_원자료'!P711*'03_가중치민감도'!$B$9+'01_원자료'!Q711*'03_가중치민감도'!$C$9+'01_원자료'!R711*'03_가중치민감도'!$D$9</f>
        <v>0.55381225394748035</v>
      </c>
      <c r="J714" s="17">
        <f>'01_원자료'!P711*'03_가중치민감도'!$B$10+'01_원자료'!Q711*'03_가중치민감도'!$C$10+'01_원자료'!R711*'03_가중치민감도'!$D$10</f>
        <v>0.71942723824947108</v>
      </c>
      <c r="K714" s="31">
        <f t="shared" si="66"/>
        <v>499</v>
      </c>
      <c r="L714" s="31">
        <f t="shared" si="67"/>
        <v>461</v>
      </c>
      <c r="M714" s="31">
        <f t="shared" si="68"/>
        <v>484</v>
      </c>
      <c r="N714" s="31">
        <f t="shared" si="69"/>
        <v>529</v>
      </c>
      <c r="O714" s="31">
        <f t="shared" si="70"/>
        <v>469</v>
      </c>
      <c r="P714" s="31">
        <f t="shared" si="71"/>
        <v>537</v>
      </c>
    </row>
    <row r="715" spans="1:16">
      <c r="A715" s="2" t="str">
        <f>'01_원자료'!A712</f>
        <v>RPT-17</v>
      </c>
      <c r="B715" s="2" t="str">
        <f>'01_원자료'!B712</f>
        <v>claude</v>
      </c>
      <c r="C715" s="2" t="str">
        <f>'01_원자료'!C712</f>
        <v>qwen</v>
      </c>
      <c r="E715" s="17">
        <f>'01_원자료'!P712*'03_가중치민감도'!$B$5+'01_원자료'!Q712*'03_가중치민감도'!$C$5+'01_원자료'!R712*'03_가중치민감도'!$D$5</f>
        <v>0.64061640114705132</v>
      </c>
      <c r="F715" s="17">
        <f>'01_원자료'!P712*'03_가중치민감도'!$B$6+'01_원자료'!Q712*'03_가중치민감도'!$C$6+'01_원자료'!R712*'03_가중치민감도'!$D$6</f>
        <v>0.54461238385023925</v>
      </c>
      <c r="G715" s="17">
        <f>'01_원자료'!P712*'03_가중치민감도'!$B$7+'01_원자료'!Q712*'03_가중치민감도'!$C$7+'01_원자료'!R712*'03_가중치민감도'!$D$7</f>
        <v>0.63652593615273312</v>
      </c>
      <c r="H715" s="17">
        <f>'01_원자료'!P712*'03_가중치민감도'!$B$8+'01_원자료'!Q712*'03_가중치민감도'!$C$8+'01_원자료'!R712*'03_가중치민감도'!$D$8</f>
        <v>0.6610687261186422</v>
      </c>
      <c r="I715" s="17">
        <f>'01_원자료'!P712*'03_가중치민감도'!$B$9+'01_원자료'!Q712*'03_가중치민감도'!$C$9+'01_원자료'!R712*'03_가중치민감도'!$D$9</f>
        <v>0.57797721128061541</v>
      </c>
      <c r="J715" s="17">
        <f>'01_원자료'!P712*'03_가중치민감도'!$B$10+'01_원자료'!Q712*'03_가중치민감도'!$C$10+'01_원자료'!R712*'03_가중치민감도'!$D$10</f>
        <v>0.74480134843249979</v>
      </c>
      <c r="K715" s="31">
        <f t="shared" si="66"/>
        <v>580</v>
      </c>
      <c r="L715" s="31">
        <f t="shared" si="67"/>
        <v>558</v>
      </c>
      <c r="M715" s="31">
        <f t="shared" si="68"/>
        <v>548</v>
      </c>
      <c r="N715" s="31">
        <f t="shared" si="69"/>
        <v>672</v>
      </c>
      <c r="O715" s="31">
        <f t="shared" si="70"/>
        <v>579</v>
      </c>
      <c r="P715" s="31">
        <f t="shared" si="71"/>
        <v>644</v>
      </c>
    </row>
    <row r="716" spans="1:16">
      <c r="A716" s="2" t="str">
        <f>'01_원자료'!A713</f>
        <v>RPT-17</v>
      </c>
      <c r="B716" s="2" t="str">
        <f>'01_원자료'!B713</f>
        <v>gemini</v>
      </c>
      <c r="C716" s="2" t="str">
        <f>'01_원자료'!C713</f>
        <v>gemma</v>
      </c>
      <c r="E716" s="17">
        <f>'01_원자료'!P713*'03_가중치민감도'!$B$5+'01_원자료'!Q713*'03_가중치민감도'!$C$5+'01_원자료'!R713*'03_가중치민감도'!$D$5</f>
        <v>0.74931390424660393</v>
      </c>
      <c r="F716" s="17">
        <f>'01_원자료'!P713*'03_가중치민감도'!$B$6+'01_원자료'!Q713*'03_가중치민감도'!$C$6+'01_원자료'!R713*'03_가중치민감도'!$D$6</f>
        <v>0.62847252485666161</v>
      </c>
      <c r="G716" s="17">
        <f>'01_원자료'!P713*'03_가중치민감도'!$B$7+'01_원자료'!Q713*'03_가중치민감도'!$C$7+'01_원자료'!R713*'03_가중치민감도'!$D$7</f>
        <v>0.74340438002905396</v>
      </c>
      <c r="H716" s="17">
        <f>'01_원자료'!P713*'03_가중치민감도'!$B$8+'01_원자료'!Q713*'03_가중치민감도'!$C$8+'01_원자료'!R713*'03_가중치민감도'!$D$8</f>
        <v>0.77886152533435304</v>
      </c>
      <c r="I716" s="17">
        <f>'01_원자료'!P713*'03_가중치민감도'!$B$9+'01_원자료'!Q713*'03_가중치민감도'!$C$9+'01_원자료'!R713*'03_가중치민감도'!$D$9</f>
        <v>0.67072282605915823</v>
      </c>
      <c r="J716" s="17">
        <f>'01_원자료'!P713*'03_가중치민감도'!$B$10+'01_원자료'!Q713*'03_가중치민감도'!$C$10+'01_원자료'!R713*'03_가중치민감도'!$D$10</f>
        <v>0.88197433207164588</v>
      </c>
      <c r="K716" s="31">
        <f t="shared" si="66"/>
        <v>953</v>
      </c>
      <c r="L716" s="31">
        <f t="shared" si="67"/>
        <v>919</v>
      </c>
      <c r="M716" s="31">
        <f t="shared" si="68"/>
        <v>954</v>
      </c>
      <c r="N716" s="31">
        <f t="shared" si="69"/>
        <v>933</v>
      </c>
      <c r="O716" s="31">
        <f t="shared" si="70"/>
        <v>931</v>
      </c>
      <c r="P716" s="31">
        <f t="shared" si="71"/>
        <v>971</v>
      </c>
    </row>
    <row r="717" spans="1:16">
      <c r="A717" s="2" t="str">
        <f>'01_원자료'!A714</f>
        <v>RPT-17</v>
      </c>
      <c r="B717" s="2" t="str">
        <f>'01_원자료'!B714</f>
        <v>gemini</v>
      </c>
      <c r="C717" s="2" t="str">
        <f>'01_원자료'!C714</f>
        <v>ministral</v>
      </c>
      <c r="E717" s="17">
        <f>'01_원자료'!P714*'03_가중치민감도'!$B$5+'01_원자료'!Q714*'03_가중치민감도'!$C$5+'01_원자료'!R714*'03_가중치민감도'!$D$5</f>
        <v>0.61535632967289267</v>
      </c>
      <c r="F717" s="17">
        <f>'01_원자료'!P714*'03_가중치민감도'!$B$6+'01_원자료'!Q714*'03_가중치민감도'!$C$6+'01_원자료'!R714*'03_가중치민감도'!$D$6</f>
        <v>0.50285381017159114</v>
      </c>
      <c r="G717" s="17">
        <f>'01_원자료'!P714*'03_가중치민감도'!$B$7+'01_원자료'!Q714*'03_가중치민감도'!$C$7+'01_원자료'!R714*'03_가중치민감도'!$D$7</f>
        <v>0.62673271043620482</v>
      </c>
      <c r="H717" s="17">
        <f>'01_원자료'!P714*'03_가중치민감도'!$B$8+'01_원자료'!Q714*'03_가중치민감도'!$C$8+'01_원자료'!R714*'03_가중치민감도'!$D$8</f>
        <v>0.55847442585633178</v>
      </c>
      <c r="I717" s="17">
        <f>'01_원자료'!P714*'03_가중치민감도'!$B$9+'01_원자료'!Q714*'03_가중치민감도'!$C$9+'01_원자료'!R714*'03_가중치민감도'!$D$9</f>
        <v>0.53656252308425367</v>
      </c>
      <c r="J717" s="17">
        <f>'01_원자료'!P714*'03_가중치민감도'!$B$10+'01_원자료'!Q714*'03_가중치민감도'!$C$10+'01_원자료'!R714*'03_가중치민감도'!$D$10</f>
        <v>0.70510608764756988</v>
      </c>
      <c r="K717" s="31">
        <f t="shared" si="66"/>
        <v>463</v>
      </c>
      <c r="L717" s="31">
        <f t="shared" si="67"/>
        <v>374</v>
      </c>
      <c r="M717" s="31">
        <f t="shared" si="68"/>
        <v>498</v>
      </c>
      <c r="N717" s="31">
        <f t="shared" si="69"/>
        <v>365</v>
      </c>
      <c r="O717" s="31">
        <f t="shared" si="70"/>
        <v>397</v>
      </c>
      <c r="P717" s="31">
        <f t="shared" si="71"/>
        <v>481</v>
      </c>
    </row>
    <row r="718" spans="1:16">
      <c r="A718" s="2" t="str">
        <f>'01_원자료'!A715</f>
        <v>RPT-17</v>
      </c>
      <c r="B718" s="2" t="str">
        <f>'01_원자료'!B715</f>
        <v>gemini</v>
      </c>
      <c r="C718" s="2" t="str">
        <f>'01_원자료'!C715</f>
        <v>qwen</v>
      </c>
      <c r="E718" s="17">
        <f>'01_원자료'!P715*'03_가중치민감도'!$B$5+'01_원자료'!Q715*'03_가중치민감도'!$C$5+'01_원자료'!R715*'03_가중치민감도'!$D$5</f>
        <v>0.65468382900272237</v>
      </c>
      <c r="F718" s="17">
        <f>'01_원자료'!P715*'03_가중치민감도'!$B$6+'01_원자료'!Q715*'03_가중치민감도'!$C$6+'01_원자료'!R715*'03_가중치민감도'!$D$6</f>
        <v>0.55286940062011347</v>
      </c>
      <c r="G718" s="17">
        <f>'01_원자료'!P715*'03_가중치민감도'!$B$7+'01_원자료'!Q715*'03_가중치민감도'!$C$7+'01_원자료'!R715*'03_가중치민감도'!$D$7</f>
        <v>0.65902590091494639</v>
      </c>
      <c r="H718" s="17">
        <f>'01_원자료'!P715*'03_가중치민감도'!$B$8+'01_원자료'!Q715*'03_가중치민감도'!$C$8+'01_원자료'!R715*'03_가중치민감도'!$D$8</f>
        <v>0.63297346944160249</v>
      </c>
      <c r="I718" s="17">
        <f>'01_원자료'!P715*'03_가중치민감도'!$B$9+'01_원자료'!Q715*'03_가중치민감도'!$C$9+'01_원자료'!R715*'03_가중치민감도'!$D$9</f>
        <v>0.5853601861102411</v>
      </c>
      <c r="J718" s="17">
        <f>'01_원자료'!P715*'03_가중치민감도'!$B$10+'01_원자료'!Q715*'03_가중치민감도'!$C$10+'01_원자료'!R715*'03_가중치민감도'!$D$10</f>
        <v>0.74781411356088334</v>
      </c>
      <c r="K718" s="31">
        <f t="shared" si="66"/>
        <v>643</v>
      </c>
      <c r="L718" s="31">
        <f t="shared" si="67"/>
        <v>603</v>
      </c>
      <c r="M718" s="31">
        <f t="shared" si="68"/>
        <v>662</v>
      </c>
      <c r="N718" s="31">
        <f t="shared" si="69"/>
        <v>585</v>
      </c>
      <c r="O718" s="31">
        <f t="shared" si="70"/>
        <v>607</v>
      </c>
      <c r="P718" s="31">
        <f t="shared" si="71"/>
        <v>650</v>
      </c>
    </row>
    <row r="719" spans="1:16">
      <c r="A719" s="2" t="str">
        <f>'01_원자료'!A716</f>
        <v>RPT-17</v>
      </c>
      <c r="B719" s="2" t="str">
        <f>'01_원자료'!B716</f>
        <v>mistral</v>
      </c>
      <c r="C719" s="2" t="str">
        <f>'01_원자료'!C716</f>
        <v>gemma</v>
      </c>
      <c r="E719" s="17">
        <f>'01_원자료'!P716*'03_가중치민감도'!$B$5+'01_원자료'!Q716*'03_가중치민감도'!$C$5+'01_원자료'!R716*'03_가중치민감도'!$D$5</f>
        <v>0.57283770728877526</v>
      </c>
      <c r="F719" s="17">
        <f>'01_원자료'!P716*'03_가중치민감도'!$B$6+'01_원자료'!Q716*'03_가중치민감도'!$C$6+'01_원자료'!R716*'03_가중치민감도'!$D$6</f>
        <v>0.48590967573660082</v>
      </c>
      <c r="G719" s="17">
        <f>'01_원자료'!P716*'03_가중치민감도'!$B$7+'01_원자료'!Q716*'03_가중치민감도'!$C$7+'01_원자료'!R716*'03_가중치민감도'!$D$7</f>
        <v>0.57565316317962345</v>
      </c>
      <c r="H719" s="17">
        <f>'01_원자료'!P716*'03_가중치민감도'!$B$8+'01_원자료'!Q716*'03_가중치민감도'!$C$8+'01_원자료'!R716*'03_가중치민감도'!$D$8</f>
        <v>0.55876042783453439</v>
      </c>
      <c r="I719" s="17">
        <f>'01_원자료'!P716*'03_가중치민감도'!$B$9+'01_원자료'!Q716*'03_가중치민감도'!$C$9+'01_원자료'!R716*'03_가중치민감도'!$D$9</f>
        <v>0.51394720095704238</v>
      </c>
      <c r="J719" s="17">
        <f>'01_원자료'!P716*'03_가중치민감도'!$B$10+'01_원자료'!Q716*'03_가중치민감도'!$C$10+'01_원자료'!R716*'03_가중치민감도'!$D$10</f>
        <v>0.6541348270592533</v>
      </c>
      <c r="K719" s="31">
        <f t="shared" si="66"/>
        <v>300</v>
      </c>
      <c r="L719" s="31">
        <f t="shared" si="67"/>
        <v>300</v>
      </c>
      <c r="M719" s="31">
        <f t="shared" si="68"/>
        <v>274</v>
      </c>
      <c r="N719" s="31">
        <f t="shared" si="69"/>
        <v>367</v>
      </c>
      <c r="O719" s="31">
        <f t="shared" si="70"/>
        <v>305</v>
      </c>
      <c r="P719" s="31">
        <f t="shared" si="71"/>
        <v>319</v>
      </c>
    </row>
    <row r="720" spans="1:16">
      <c r="A720" s="2" t="str">
        <f>'01_원자료'!A717</f>
        <v>RPT-17</v>
      </c>
      <c r="B720" s="2" t="str">
        <f>'01_원자료'!B717</f>
        <v>mistral</v>
      </c>
      <c r="C720" s="2" t="str">
        <f>'01_원자료'!C717</f>
        <v>ministral</v>
      </c>
      <c r="E720" s="17">
        <f>'01_원자료'!P717*'03_가중치민감도'!$B$5+'01_원자료'!Q717*'03_가중치민감도'!$C$5+'01_원자료'!R717*'03_가중치민감도'!$D$5</f>
        <v>0.64607635084022119</v>
      </c>
      <c r="F720" s="17">
        <f>'01_원자료'!P717*'03_가중치민감도'!$B$6+'01_원자료'!Q717*'03_가중치민감도'!$C$6+'01_원자료'!R717*'03_가중치민감도'!$D$6</f>
        <v>0.55285609989205553</v>
      </c>
      <c r="G720" s="17">
        <f>'01_원자료'!P717*'03_가중치민감도'!$B$7+'01_원자료'!Q717*'03_가중치민감도'!$C$7+'01_원자료'!R717*'03_가중치민감도'!$D$7</f>
        <v>0.64416389123218454</v>
      </c>
      <c r="H720" s="17">
        <f>'01_원자료'!P717*'03_가중치민감도'!$B$8+'01_원자료'!Q717*'03_가중치민감도'!$C$8+'01_원자료'!R717*'03_가중치민감도'!$D$8</f>
        <v>0.65563864888040457</v>
      </c>
      <c r="I720" s="17">
        <f>'01_원자료'!P717*'03_가중치민감도'!$B$9+'01_원자료'!Q717*'03_가중치민감도'!$C$9+'01_원자료'!R717*'03_가중치민감도'!$D$9</f>
        <v>0.58456700341078904</v>
      </c>
      <c r="J720" s="17">
        <f>'01_원자료'!P717*'03_가중치민감도'!$B$10+'01_원자료'!Q717*'03_가중치민감도'!$C$10+'01_원자료'!R717*'03_가중치민감도'!$D$10</f>
        <v>0.74312152100446016</v>
      </c>
      <c r="K720" s="31">
        <f t="shared" si="66"/>
        <v>599</v>
      </c>
      <c r="L720" s="31">
        <f t="shared" si="67"/>
        <v>602</v>
      </c>
      <c r="M720" s="31">
        <f t="shared" si="68"/>
        <v>585</v>
      </c>
      <c r="N720" s="31">
        <f t="shared" si="69"/>
        <v>654</v>
      </c>
      <c r="O720" s="31">
        <f t="shared" si="70"/>
        <v>603</v>
      </c>
      <c r="P720" s="31">
        <f t="shared" si="71"/>
        <v>638</v>
      </c>
    </row>
    <row r="721" spans="1:16">
      <c r="A721" s="2" t="str">
        <f>'01_원자료'!A718</f>
        <v>RPT-17</v>
      </c>
      <c r="B721" s="2" t="str">
        <f>'01_원자료'!B718</f>
        <v>mistral</v>
      </c>
      <c r="C721" s="2" t="str">
        <f>'01_원자료'!C718</f>
        <v>qwen</v>
      </c>
      <c r="E721" s="17">
        <f>'01_원자료'!P718*'03_가중치민감도'!$B$5+'01_원자료'!Q718*'03_가중치민감도'!$C$5+'01_원자료'!R718*'03_가중치민감도'!$D$5</f>
        <v>0.68490412750135743</v>
      </c>
      <c r="F721" s="17">
        <f>'01_원자료'!P718*'03_가중치민감도'!$B$6+'01_원자료'!Q718*'03_가중치민감도'!$C$6+'01_원자료'!R718*'03_가중치민감도'!$D$6</f>
        <v>0.60287094766865579</v>
      </c>
      <c r="G721" s="17">
        <f>'01_원자료'!P718*'03_가중치민감도'!$B$7+'01_원자료'!Q718*'03_가중치민감도'!$C$7+'01_원자료'!R718*'03_가중치민감도'!$D$7</f>
        <v>0.67977166500926012</v>
      </c>
      <c r="H721" s="17">
        <f>'01_원자료'!P718*'03_가중치민감도'!$B$8+'01_원자료'!Q718*'03_가중치민감도'!$C$8+'01_원자료'!R718*'03_가중치민감도'!$D$8</f>
        <v>0.71056643996184432</v>
      </c>
      <c r="I721" s="17">
        <f>'01_원자료'!P718*'03_가중치민감도'!$B$9+'01_원자료'!Q718*'03_가중치민감도'!$C$9+'01_원자료'!R718*'03_가중치민감도'!$D$9</f>
        <v>0.6319261617769214</v>
      </c>
      <c r="J721" s="17">
        <f>'01_원자료'!P718*'03_가중치민감도'!$B$10+'01_원자료'!Q718*'03_가중치민감도'!$C$10+'01_원자료'!R718*'03_가중치민감도'!$D$10</f>
        <v>0.77720223231825392</v>
      </c>
      <c r="K721" s="31">
        <f t="shared" si="66"/>
        <v>770</v>
      </c>
      <c r="L721" s="31">
        <f t="shared" si="67"/>
        <v>824</v>
      </c>
      <c r="M721" s="31">
        <f t="shared" si="68"/>
        <v>761</v>
      </c>
      <c r="N721" s="31">
        <f t="shared" si="69"/>
        <v>813</v>
      </c>
      <c r="O721" s="31">
        <f t="shared" si="70"/>
        <v>799</v>
      </c>
      <c r="P721" s="31">
        <f t="shared" si="71"/>
        <v>747</v>
      </c>
    </row>
    <row r="722" spans="1:16">
      <c r="A722" s="2" t="str">
        <f>'01_원자료'!A719</f>
        <v>RPT-17</v>
      </c>
      <c r="B722" s="2" t="str">
        <f>'01_원자료'!B719</f>
        <v>qwen3_6</v>
      </c>
      <c r="C722" s="2" t="str">
        <f>'01_원자료'!C719</f>
        <v>gemma</v>
      </c>
      <c r="E722" s="17">
        <f>'01_원자료'!P719*'03_가중치민감도'!$B$5+'01_원자료'!Q719*'03_가중치민감도'!$C$5+'01_원자료'!R719*'03_가중치민감도'!$D$5</f>
        <v>0.71918023115492002</v>
      </c>
      <c r="F722" s="17">
        <f>'01_원자료'!P719*'03_가중치민감도'!$B$6+'01_원자료'!Q719*'03_가중치민감도'!$C$6+'01_원자료'!R719*'03_가중치민감도'!$D$6</f>
        <v>0.61043598572514335</v>
      </c>
      <c r="G722" s="17">
        <f>'01_원자료'!P719*'03_가중치민감도'!$B$7+'01_원자료'!Q719*'03_가중치민감도'!$C$7+'01_원자료'!R719*'03_가중치민감도'!$D$7</f>
        <v>0.70975147301638275</v>
      </c>
      <c r="H722" s="17">
        <f>'01_원자료'!P719*'03_가중치민감도'!$B$8+'01_원자료'!Q719*'03_가중치민감도'!$C$8+'01_원자료'!R719*'03_가중치민감도'!$D$8</f>
        <v>0.7663240218476064</v>
      </c>
      <c r="I722" s="17">
        <f>'01_원자료'!P719*'03_가중치민감도'!$B$9+'01_원자료'!Q719*'03_가중치민감도'!$C$9+'01_원자료'!R719*'03_가중치민감도'!$D$9</f>
        <v>0.64982698691458063</v>
      </c>
      <c r="J722" s="17">
        <f>'01_원자료'!P719*'03_가중치민감도'!$B$10+'01_원자료'!Q719*'03_가중치민감도'!$C$10+'01_원자료'!R719*'03_가중치민감도'!$D$10</f>
        <v>0.84678199286177125</v>
      </c>
      <c r="K722" s="31">
        <f t="shared" si="66"/>
        <v>874</v>
      </c>
      <c r="L722" s="31">
        <f t="shared" si="67"/>
        <v>859</v>
      </c>
      <c r="M722" s="31">
        <f t="shared" si="68"/>
        <v>867</v>
      </c>
      <c r="N722" s="31">
        <f t="shared" si="69"/>
        <v>883</v>
      </c>
      <c r="O722" s="31">
        <f t="shared" si="70"/>
        <v>864</v>
      </c>
      <c r="P722" s="31">
        <f t="shared" si="71"/>
        <v>881</v>
      </c>
    </row>
    <row r="723" spans="1:16">
      <c r="A723" s="2" t="str">
        <f>'01_원자료'!A720</f>
        <v>RPT-17</v>
      </c>
      <c r="B723" s="2" t="str">
        <f>'01_원자료'!B720</f>
        <v>qwen3_6</v>
      </c>
      <c r="C723" s="2" t="str">
        <f>'01_원자료'!C720</f>
        <v>ministral</v>
      </c>
      <c r="E723" s="17">
        <f>'01_원자료'!P720*'03_가중치민감도'!$B$5+'01_원자료'!Q720*'03_가중치민감도'!$C$5+'01_원자료'!R720*'03_가중치민감도'!$D$5</f>
        <v>0.58059379442578818</v>
      </c>
      <c r="F723" s="17">
        <f>'01_원자료'!P720*'03_가중치민감도'!$B$6+'01_원자료'!Q720*'03_가중치민감도'!$C$6+'01_원자료'!R720*'03_가중치민감도'!$D$6</f>
        <v>0.47685069429357524</v>
      </c>
      <c r="G723" s="17">
        <f>'01_원자료'!P720*'03_가중치민감도'!$B$7+'01_원자료'!Q720*'03_가중치민감도'!$C$7+'01_원자료'!R720*'03_가중치민감도'!$D$7</f>
        <v>0.58834334563775093</v>
      </c>
      <c r="H723" s="17">
        <f>'01_원자료'!P720*'03_가중치민감도'!$B$8+'01_원자료'!Q720*'03_가중치민감도'!$C$8+'01_원자료'!R720*'03_가중치민감도'!$D$8</f>
        <v>0.54184603836597434</v>
      </c>
      <c r="I723" s="17">
        <f>'01_원자료'!P720*'03_가중치민감도'!$B$9+'01_원자료'!Q720*'03_가중치민감도'!$C$9+'01_원자료'!R720*'03_가중치민감도'!$D$9</f>
        <v>0.50884854393365808</v>
      </c>
      <c r="J723" s="17">
        <f>'01_원자료'!P720*'03_가중치민감도'!$B$10+'01_원자료'!Q720*'03_가중치민감도'!$C$10+'01_원자료'!R720*'03_가중치민감도'!$D$10</f>
        <v>0.66883779213407568</v>
      </c>
      <c r="K723" s="31">
        <f t="shared" si="66"/>
        <v>322</v>
      </c>
      <c r="L723" s="31">
        <f t="shared" si="67"/>
        <v>251</v>
      </c>
      <c r="M723" s="31">
        <f t="shared" si="68"/>
        <v>320</v>
      </c>
      <c r="N723" s="31">
        <f t="shared" si="69"/>
        <v>311</v>
      </c>
      <c r="O723" s="31">
        <f t="shared" si="70"/>
        <v>281</v>
      </c>
      <c r="P723" s="31">
        <f t="shared" si="71"/>
        <v>352</v>
      </c>
    </row>
    <row r="724" spans="1:16">
      <c r="A724" s="2" t="str">
        <f>'01_원자료'!A721</f>
        <v>RPT-17</v>
      </c>
      <c r="B724" s="2" t="str">
        <f>'01_원자료'!B721</f>
        <v>qwen3_6</v>
      </c>
      <c r="C724" s="2" t="str">
        <f>'01_원자료'!C721</f>
        <v>qwen</v>
      </c>
      <c r="E724" s="17">
        <f>'01_원자료'!P721*'03_가중치민감도'!$B$5+'01_원자료'!Q721*'03_가중치민감도'!$C$5+'01_원자료'!R721*'03_가중치민감도'!$D$5</f>
        <v>0.65857780064980831</v>
      </c>
      <c r="F724" s="17">
        <f>'01_원자료'!P721*'03_가중치민감도'!$B$6+'01_원자료'!Q721*'03_가중치민감도'!$C$6+'01_원자료'!R721*'03_가중치민감도'!$D$6</f>
        <v>0.58075024313389711</v>
      </c>
      <c r="G724" s="17">
        <f>'01_원자료'!P721*'03_가중치민감도'!$B$7+'01_원자료'!Q721*'03_가중치민감도'!$C$7+'01_원자료'!R721*'03_가중치민감도'!$D$7</f>
        <v>0.66124546429373132</v>
      </c>
      <c r="H724" s="17">
        <f>'01_원자료'!P721*'03_가중치민감도'!$B$8+'01_원자료'!Q721*'03_가중치민감도'!$C$8+'01_원자료'!R721*'03_가중치민감도'!$D$8</f>
        <v>0.64523948243019325</v>
      </c>
      <c r="I724" s="17">
        <f>'01_원자료'!P721*'03_가중치민감도'!$B$9+'01_원자료'!Q721*'03_가중치민감도'!$C$9+'01_원자료'!R721*'03_가중치민감도'!$D$9</f>
        <v>0.60580354109122592</v>
      </c>
      <c r="J724" s="17">
        <f>'01_원자료'!P721*'03_가중치민감도'!$B$10+'01_원자료'!Q721*'03_가중치민감도'!$C$10+'01_원자료'!R721*'03_가중치민감도'!$D$10</f>
        <v>0.73107003087787359</v>
      </c>
      <c r="K724" s="31">
        <f t="shared" si="66"/>
        <v>663</v>
      </c>
      <c r="L724" s="31">
        <f t="shared" si="67"/>
        <v>739</v>
      </c>
      <c r="M724" s="31">
        <f t="shared" si="68"/>
        <v>674</v>
      </c>
      <c r="N724" s="31">
        <f t="shared" si="69"/>
        <v>629</v>
      </c>
      <c r="O724" s="31">
        <f t="shared" si="70"/>
        <v>717</v>
      </c>
      <c r="P724" s="31">
        <f t="shared" si="71"/>
        <v>587</v>
      </c>
    </row>
    <row r="725" spans="1:16">
      <c r="A725" s="2" t="str">
        <f>'01_원자료'!A722</f>
        <v>RPT-18</v>
      </c>
      <c r="B725" s="2" t="str">
        <f>'01_원자료'!B722</f>
        <v>chatgpt</v>
      </c>
      <c r="C725" s="2" t="str">
        <f>'01_원자료'!C722</f>
        <v>gemma</v>
      </c>
      <c r="E725" s="17">
        <f>'01_원자료'!P722*'03_가중치민감도'!$B$5+'01_원자료'!Q722*'03_가중치민감도'!$C$5+'01_원자료'!R722*'03_가중치민감도'!$D$5</f>
        <v>0.55755827535674518</v>
      </c>
      <c r="F725" s="17">
        <f>'01_원자료'!P722*'03_가중치민감도'!$B$6+'01_원자료'!Q722*'03_가중치민감도'!$C$6+'01_원자료'!R722*'03_가중치민감도'!$D$6</f>
        <v>0.47032962882592799</v>
      </c>
      <c r="G725" s="17">
        <f>'01_원자료'!P722*'03_가중치민감도'!$B$7+'01_원자료'!Q722*'03_가중치민감도'!$C$7+'01_원자료'!R722*'03_가중치민감도'!$D$7</f>
        <v>0.56552764668000877</v>
      </c>
      <c r="H725" s="17">
        <f>'01_원자료'!P722*'03_가중치민감도'!$B$8+'01_원자료'!Q722*'03_가중치민감도'!$C$8+'01_원자료'!R722*'03_가중치민감도'!$D$8</f>
        <v>0.51771141874042692</v>
      </c>
      <c r="I725" s="17">
        <f>'01_원자료'!P722*'03_가중치민감도'!$B$9+'01_원자료'!Q722*'03_가중치민감도'!$C$9+'01_원자료'!R722*'03_가중치민감도'!$D$9</f>
        <v>0.4967493872284453</v>
      </c>
      <c r="J725" s="17">
        <f>'01_원자료'!P722*'03_가중치민감도'!$B$10+'01_원자료'!Q722*'03_가중치민감도'!$C$10+'01_원자료'!R722*'03_가중치민감도'!$D$10</f>
        <v>0.62884817924103498</v>
      </c>
      <c r="K725" s="31">
        <f t="shared" si="66"/>
        <v>241</v>
      </c>
      <c r="L725" s="31">
        <f t="shared" si="67"/>
        <v>220</v>
      </c>
      <c r="M725" s="31">
        <f t="shared" si="68"/>
        <v>224</v>
      </c>
      <c r="N725" s="31">
        <f t="shared" si="69"/>
        <v>254</v>
      </c>
      <c r="O725" s="31">
        <f t="shared" si="70"/>
        <v>231</v>
      </c>
      <c r="P725" s="31">
        <f t="shared" si="71"/>
        <v>260</v>
      </c>
    </row>
    <row r="726" spans="1:16">
      <c r="A726" s="2" t="str">
        <f>'01_원자료'!A723</f>
        <v>RPT-18</v>
      </c>
      <c r="B726" s="2" t="str">
        <f>'01_원자료'!B723</f>
        <v>chatgpt</v>
      </c>
      <c r="C726" s="2" t="str">
        <f>'01_원자료'!C723</f>
        <v>ministral</v>
      </c>
      <c r="E726" s="17">
        <f>'01_원자료'!P723*'03_가중치민감도'!$B$5+'01_원자료'!Q723*'03_가중치민감도'!$C$5+'01_원자료'!R723*'03_가중치민감도'!$D$5</f>
        <v>0.4701255894914928</v>
      </c>
      <c r="F726" s="17">
        <f>'01_원자료'!P723*'03_가중치민감도'!$B$6+'01_원자료'!Q723*'03_가중치민감도'!$C$6+'01_원자료'!R723*'03_가중치민감도'!$D$6</f>
        <v>0.39452966731599448</v>
      </c>
      <c r="G726" s="17">
        <f>'01_원자료'!P723*'03_가중치민감도'!$B$7+'01_원자료'!Q723*'03_가중치민감도'!$C$7+'01_원자료'!R723*'03_가중치민감도'!$D$7</f>
        <v>0.49006711215782595</v>
      </c>
      <c r="H726" s="17">
        <f>'01_원자료'!P723*'03_가중치민감도'!$B$8+'01_원자료'!Q723*'03_가중치민감도'!$C$8+'01_원자료'!R723*'03_가중치민감도'!$D$8</f>
        <v>0.37041797615982691</v>
      </c>
      <c r="I726" s="17">
        <f>'01_원자료'!P723*'03_가중치민감도'!$B$9+'01_원자료'!Q723*'03_가중치민감도'!$C$9+'01_원자료'!R723*'03_가중치민감도'!$D$9</f>
        <v>0.41308113381904904</v>
      </c>
      <c r="J726" s="17">
        <f>'01_원자료'!P723*'03_가중치민감도'!$B$10+'01_원자료'!Q723*'03_가중치민감도'!$C$10+'01_원자료'!R723*'03_가중치민감도'!$D$10</f>
        <v>0.50583846633432472</v>
      </c>
      <c r="K726" s="31">
        <f t="shared" si="66"/>
        <v>12</v>
      </c>
      <c r="L726" s="31">
        <f t="shared" si="67"/>
        <v>12</v>
      </c>
      <c r="M726" s="31">
        <f t="shared" si="68"/>
        <v>12</v>
      </c>
      <c r="N726" s="31">
        <f t="shared" si="69"/>
        <v>12</v>
      </c>
      <c r="O726" s="31">
        <f t="shared" si="70"/>
        <v>11</v>
      </c>
      <c r="P726" s="31">
        <f t="shared" si="71"/>
        <v>12</v>
      </c>
    </row>
    <row r="727" spans="1:16">
      <c r="A727" s="2" t="str">
        <f>'01_원자료'!A724</f>
        <v>RPT-18</v>
      </c>
      <c r="B727" s="2" t="str">
        <f>'01_원자료'!B724</f>
        <v>chatgpt</v>
      </c>
      <c r="C727" s="2" t="str">
        <f>'01_원자료'!C724</f>
        <v>qwen</v>
      </c>
      <c r="E727" s="17">
        <f>'01_원자료'!P724*'03_가중치민감도'!$B$5+'01_원자료'!Q724*'03_가중치민감도'!$C$5+'01_원자료'!R724*'03_가중치민감도'!$D$5</f>
        <v>0.54085587620196707</v>
      </c>
      <c r="F727" s="17">
        <f>'01_원자료'!P724*'03_가중치민감도'!$B$6+'01_원자료'!Q724*'03_가중치민감도'!$C$6+'01_원자료'!R724*'03_가중치민감도'!$D$6</f>
        <v>0.46776052537053836</v>
      </c>
      <c r="G727" s="17">
        <f>'01_원자료'!P724*'03_가중치민감도'!$B$7+'01_원자료'!Q724*'03_가중치민감도'!$C$7+'01_원자료'!R724*'03_가중치민감도'!$D$7</f>
        <v>0.55113208644476253</v>
      </c>
      <c r="H727" s="17">
        <f>'01_원자료'!P724*'03_가중치민감도'!$B$8+'01_원자료'!Q724*'03_가중치민감도'!$C$8+'01_원자료'!R724*'03_가중치민감도'!$D$8</f>
        <v>0.48947482498798978</v>
      </c>
      <c r="I727" s="17">
        <f>'01_원자료'!P724*'03_가중치민감도'!$B$9+'01_원자료'!Q724*'03_가중치민감도'!$C$9+'01_원자료'!R724*'03_가중치민감도'!$D$9</f>
        <v>0.4887002389000823</v>
      </c>
      <c r="J727" s="17">
        <f>'01_원자료'!P724*'03_가중치민감도'!$B$10+'01_원자료'!Q724*'03_가중치민감도'!$C$10+'01_원자료'!R724*'03_가중치민감도'!$D$10</f>
        <v>0.59339880654780486</v>
      </c>
      <c r="K727" s="31">
        <f t="shared" si="66"/>
        <v>174</v>
      </c>
      <c r="L727" s="31">
        <f t="shared" si="67"/>
        <v>209</v>
      </c>
      <c r="M727" s="31">
        <f t="shared" si="68"/>
        <v>163</v>
      </c>
      <c r="N727" s="31">
        <f t="shared" si="69"/>
        <v>195</v>
      </c>
      <c r="O727" s="31">
        <f t="shared" si="70"/>
        <v>195</v>
      </c>
      <c r="P727" s="31">
        <f t="shared" si="71"/>
        <v>166</v>
      </c>
    </row>
    <row r="728" spans="1:16">
      <c r="A728" s="2" t="str">
        <f>'01_원자료'!A725</f>
        <v>RPT-18</v>
      </c>
      <c r="B728" s="2" t="str">
        <f>'01_원자료'!B725</f>
        <v>claude</v>
      </c>
      <c r="C728" s="2" t="str">
        <f>'01_원자료'!C725</f>
        <v>gemma</v>
      </c>
      <c r="E728" s="17">
        <f>'01_원자료'!P725*'03_가중치민감도'!$B$5+'01_원자료'!Q725*'03_가중치민감도'!$C$5+'01_원자료'!R725*'03_가중치민감도'!$D$5</f>
        <v>0.61396503384343626</v>
      </c>
      <c r="F728" s="17">
        <f>'01_원자료'!P725*'03_가중치민감도'!$B$6+'01_원자료'!Q725*'03_가중치민감도'!$C$6+'01_원자료'!R725*'03_가중치민감도'!$D$6</f>
        <v>0.51806890476014655</v>
      </c>
      <c r="G728" s="17">
        <f>'01_원자료'!P725*'03_가중치민감도'!$B$7+'01_원자료'!Q725*'03_가중치민감도'!$C$7+'01_원자료'!R725*'03_가중치민감도'!$D$7</f>
        <v>0.61836100603509003</v>
      </c>
      <c r="H728" s="17">
        <f>'01_원자료'!P725*'03_가중치민감도'!$B$8+'01_원자료'!Q725*'03_가중치민감도'!$C$8+'01_원자료'!R725*'03_가중치민감도'!$D$8</f>
        <v>0.5919851728851675</v>
      </c>
      <c r="I728" s="17">
        <f>'01_원자료'!P725*'03_가중치민감도'!$B$9+'01_원자료'!Q725*'03_가중치민감도'!$C$9+'01_원자료'!R725*'03_가중치민감도'!$D$9</f>
        <v>0.54856895705735798</v>
      </c>
      <c r="J728" s="17">
        <f>'01_원자료'!P725*'03_가중치민감도'!$B$10+'01_원자료'!Q725*'03_가중치민감도'!$C$10+'01_원자료'!R725*'03_가중치민감도'!$D$10</f>
        <v>0.70106921854341853</v>
      </c>
      <c r="K728" s="31">
        <f t="shared" si="66"/>
        <v>456</v>
      </c>
      <c r="L728" s="31">
        <f t="shared" si="67"/>
        <v>452</v>
      </c>
      <c r="M728" s="31">
        <f t="shared" si="68"/>
        <v>456</v>
      </c>
      <c r="N728" s="31">
        <f t="shared" si="69"/>
        <v>468</v>
      </c>
      <c r="O728" s="31">
        <f t="shared" si="70"/>
        <v>453</v>
      </c>
      <c r="P728" s="31">
        <f t="shared" si="71"/>
        <v>459</v>
      </c>
    </row>
    <row r="729" spans="1:16">
      <c r="A729" s="2" t="str">
        <f>'01_원자료'!A726</f>
        <v>RPT-18</v>
      </c>
      <c r="B729" s="2" t="str">
        <f>'01_원자료'!B726</f>
        <v>claude</v>
      </c>
      <c r="C729" s="2" t="str">
        <f>'01_원자료'!C726</f>
        <v>ministral</v>
      </c>
      <c r="E729" s="17">
        <f>'01_원자료'!P726*'03_가중치민감도'!$B$5+'01_원자료'!Q726*'03_가중치민감도'!$C$5+'01_원자료'!R726*'03_가중치민감도'!$D$5</f>
        <v>0.51681281292363412</v>
      </c>
      <c r="F729" s="17">
        <f>'01_원자료'!P726*'03_가중치민감도'!$B$6+'01_원자료'!Q726*'03_가중치민감도'!$C$6+'01_원자료'!R726*'03_가중치민감도'!$D$6</f>
        <v>0.43516366479157864</v>
      </c>
      <c r="G729" s="17">
        <f>'01_원자료'!P726*'03_가중치민감도'!$B$7+'01_원자료'!Q726*'03_가중치민감도'!$C$7+'01_원자료'!R726*'03_가중치민감도'!$D$7</f>
        <v>0.53306538063447562</v>
      </c>
      <c r="H729" s="17">
        <f>'01_원자료'!P726*'03_가중치민감도'!$B$8+'01_원자료'!Q726*'03_가중치민감도'!$C$8+'01_원자료'!R726*'03_가중치민감도'!$D$8</f>
        <v>0.43554997436942666</v>
      </c>
      <c r="I729" s="17">
        <f>'01_원자료'!P726*'03_가중치민감도'!$B$9+'01_원자료'!Q726*'03_가중치민감도'!$C$9+'01_원자료'!R726*'03_가중치민감도'!$D$9</f>
        <v>0.45696252493198286</v>
      </c>
      <c r="J729" s="17">
        <f>'01_원자료'!P726*'03_가중치민감도'!$B$10+'01_원자료'!Q726*'03_가중치민감도'!$C$10+'01_원자료'!R726*'03_가중치민감도'!$D$10</f>
        <v>0.56595682563400662</v>
      </c>
      <c r="K729" s="31">
        <f t="shared" si="66"/>
        <v>86</v>
      </c>
      <c r="L729" s="31">
        <f t="shared" si="67"/>
        <v>84</v>
      </c>
      <c r="M729" s="31">
        <f t="shared" si="68"/>
        <v>83</v>
      </c>
      <c r="N729" s="31">
        <f t="shared" si="69"/>
        <v>115</v>
      </c>
      <c r="O729" s="31">
        <f t="shared" si="70"/>
        <v>83</v>
      </c>
      <c r="P729" s="31">
        <f t="shared" si="71"/>
        <v>105</v>
      </c>
    </row>
    <row r="730" spans="1:16">
      <c r="A730" s="2" t="str">
        <f>'01_원자료'!A727</f>
        <v>RPT-18</v>
      </c>
      <c r="B730" s="2" t="str">
        <f>'01_원자료'!B727</f>
        <v>claude</v>
      </c>
      <c r="C730" s="2" t="str">
        <f>'01_원자료'!C727</f>
        <v>qwen</v>
      </c>
      <c r="E730" s="17">
        <f>'01_원자료'!P727*'03_가중치민감도'!$B$5+'01_원자료'!Q727*'03_가중치민감도'!$C$5+'01_원자료'!R727*'03_가중치민감도'!$D$5</f>
        <v>0.66604799651268687</v>
      </c>
      <c r="F730" s="17">
        <f>'01_원자료'!P727*'03_가중치민감도'!$B$6+'01_원자료'!Q727*'03_가중치민감도'!$C$6+'01_원자료'!R727*'03_가중치민감도'!$D$6</f>
        <v>0.57362934082131667</v>
      </c>
      <c r="G730" s="17">
        <f>'01_원자료'!P727*'03_가중치민감도'!$B$7+'01_원자료'!Q727*'03_가중치민감도'!$C$7+'01_원자료'!R727*'03_가중치민감도'!$D$7</f>
        <v>0.66375364383192037</v>
      </c>
      <c r="H730" s="17">
        <f>'01_원자료'!P727*'03_가중치민감도'!$B$8+'01_원자료'!Q727*'03_가중치민감도'!$C$8+'01_원자료'!R727*'03_가중치민감도'!$D$8</f>
        <v>0.67751975991652003</v>
      </c>
      <c r="I730" s="17">
        <f>'01_원자료'!P727*'03_가중치민감도'!$B$9+'01_원자료'!Q727*'03_가중치민감도'!$C$9+'01_원자료'!R727*'03_가중치민감도'!$D$9</f>
        <v>0.60520034361202835</v>
      </c>
      <c r="J730" s="17">
        <f>'01_원자료'!P727*'03_가중치민감도'!$B$10+'01_원자료'!Q727*'03_가중치민감도'!$C$10+'01_원자료'!R727*'03_가중치민감도'!$D$10</f>
        <v>0.76305535756559051</v>
      </c>
      <c r="K730" s="31">
        <f t="shared" si="66"/>
        <v>699</v>
      </c>
      <c r="L730" s="31">
        <f t="shared" si="67"/>
        <v>709</v>
      </c>
      <c r="M730" s="31">
        <f t="shared" si="68"/>
        <v>686</v>
      </c>
      <c r="N730" s="31">
        <f t="shared" si="69"/>
        <v>716</v>
      </c>
      <c r="O730" s="31">
        <f t="shared" si="70"/>
        <v>714</v>
      </c>
      <c r="P730" s="31">
        <f t="shared" si="71"/>
        <v>703</v>
      </c>
    </row>
    <row r="731" spans="1:16">
      <c r="A731" s="2" t="str">
        <f>'01_원자료'!A728</f>
        <v>RPT-18</v>
      </c>
      <c r="B731" s="2" t="str">
        <f>'01_원자료'!B728</f>
        <v>gemini</v>
      </c>
      <c r="C731" s="2" t="str">
        <f>'01_원자료'!C728</f>
        <v>gemma</v>
      </c>
      <c r="E731" s="17">
        <f>'01_원자료'!P728*'03_가중치민감도'!$B$5+'01_원자료'!Q728*'03_가중치민감도'!$C$5+'01_원자료'!R728*'03_가중치민감도'!$D$5</f>
        <v>0.70797832815935702</v>
      </c>
      <c r="F731" s="17">
        <f>'01_원자료'!P728*'03_가중치민감도'!$B$6+'01_원자료'!Q728*'03_가중치민감도'!$C$6+'01_원자료'!R728*'03_가중치민감도'!$D$6</f>
        <v>0.59758707705492009</v>
      </c>
      <c r="G731" s="17">
        <f>'01_원자료'!P728*'03_가중치민감도'!$B$7+'01_원자료'!Q728*'03_가중치민감도'!$C$7+'01_원자료'!R728*'03_가중치민감도'!$D$7</f>
        <v>0.70879649868874706</v>
      </c>
      <c r="H731" s="17">
        <f>'01_원자료'!P728*'03_가중치민감도'!$B$8+'01_원자료'!Q728*'03_가중치민감도'!$C$8+'01_원자료'!R728*'03_가중치민감도'!$D$8</f>
        <v>0.70388747551240671</v>
      </c>
      <c r="I731" s="17">
        <f>'01_원자료'!P728*'03_가중치민감도'!$B$9+'01_원자료'!Q728*'03_가중치민감도'!$C$9+'01_원자료'!R728*'03_가중치민감도'!$D$9</f>
        <v>0.63411143724660168</v>
      </c>
      <c r="J731" s="17">
        <f>'01_원자료'!P728*'03_가중치민감도'!$B$10+'01_원자료'!Q728*'03_가중치민감도'!$C$10+'01_원자료'!R728*'03_가중치민감도'!$D$10</f>
        <v>0.81673323820501387</v>
      </c>
      <c r="K731" s="31">
        <f t="shared" si="66"/>
        <v>837</v>
      </c>
      <c r="L731" s="31">
        <f t="shared" si="67"/>
        <v>796</v>
      </c>
      <c r="M731" s="31">
        <f t="shared" si="68"/>
        <v>864</v>
      </c>
      <c r="N731" s="31">
        <f t="shared" si="69"/>
        <v>796</v>
      </c>
      <c r="O731" s="31">
        <f t="shared" si="70"/>
        <v>812</v>
      </c>
      <c r="P731" s="31">
        <f t="shared" si="71"/>
        <v>839</v>
      </c>
    </row>
    <row r="732" spans="1:16">
      <c r="A732" s="2" t="str">
        <f>'01_원자료'!A729</f>
        <v>RPT-18</v>
      </c>
      <c r="B732" s="2" t="str">
        <f>'01_원자료'!B729</f>
        <v>gemini</v>
      </c>
      <c r="C732" s="2" t="str">
        <f>'01_원자료'!C729</f>
        <v>ministral</v>
      </c>
      <c r="E732" s="17">
        <f>'01_원자료'!P729*'03_가중치민감도'!$B$5+'01_원자료'!Q729*'03_가중치민감도'!$C$5+'01_원자료'!R729*'03_가중치민감도'!$D$5</f>
        <v>0.52291000579304692</v>
      </c>
      <c r="F732" s="17">
        <f>'01_원자료'!P729*'03_가중치민감도'!$B$6+'01_원자료'!Q729*'03_가중치민감도'!$C$6+'01_원자료'!R729*'03_가중치민감도'!$D$6</f>
        <v>0.42651777684561365</v>
      </c>
      <c r="G732" s="17">
        <f>'01_원자료'!P729*'03_가중치민감도'!$B$7+'01_원자료'!Q729*'03_가중치민감도'!$C$7+'01_원자료'!R729*'03_가중치민감도'!$D$7</f>
        <v>0.54560493928608478</v>
      </c>
      <c r="H732" s="17">
        <f>'01_원자료'!P729*'03_가중치민감도'!$B$8+'01_원자료'!Q729*'03_가중치민감도'!$C$8+'01_원자료'!R729*'03_가중치민감도'!$D$8</f>
        <v>0.40943533832785795</v>
      </c>
      <c r="I732" s="17">
        <f>'01_원자료'!P729*'03_가중치민감도'!$B$9+'01_원자료'!Q729*'03_가중치민감도'!$C$9+'01_원자료'!R729*'03_가중치민감도'!$D$9</f>
        <v>0.45108354199707834</v>
      </c>
      <c r="J732" s="17">
        <f>'01_원자료'!P729*'03_가중치민감도'!$B$10+'01_원자료'!Q729*'03_가중치민감도'!$C$10+'01_원자료'!R729*'03_가중치민감도'!$D$10</f>
        <v>0.57391236775440468</v>
      </c>
      <c r="K732" s="31">
        <f t="shared" si="66"/>
        <v>110</v>
      </c>
      <c r="L732" s="31">
        <f t="shared" si="67"/>
        <v>61</v>
      </c>
      <c r="M732" s="31">
        <f t="shared" si="68"/>
        <v>132</v>
      </c>
      <c r="N732" s="31">
        <f t="shared" si="69"/>
        <v>63</v>
      </c>
      <c r="O732" s="31">
        <f t="shared" si="70"/>
        <v>71</v>
      </c>
      <c r="P732" s="31">
        <f t="shared" si="71"/>
        <v>115</v>
      </c>
    </row>
    <row r="733" spans="1:16">
      <c r="A733" s="2" t="str">
        <f>'01_원자료'!A730</f>
        <v>RPT-18</v>
      </c>
      <c r="B733" s="2" t="str">
        <f>'01_원자료'!B730</f>
        <v>gemini</v>
      </c>
      <c r="C733" s="2" t="str">
        <f>'01_원자료'!C730</f>
        <v>qwen</v>
      </c>
      <c r="E733" s="17">
        <f>'01_원자료'!P730*'03_가중치민감도'!$B$5+'01_원자료'!Q730*'03_가중치민감도'!$C$5+'01_원자료'!R730*'03_가중치민감도'!$D$5</f>
        <v>0.66319398113744454</v>
      </c>
      <c r="F733" s="17">
        <f>'01_원자료'!P730*'03_가중치민감도'!$B$6+'01_원자료'!Q730*'03_가중치민감도'!$C$6+'01_원자료'!R730*'03_가중치민감도'!$D$6</f>
        <v>0.56481303659108817</v>
      </c>
      <c r="G733" s="17">
        <f>'01_원자료'!P730*'03_가중치민감도'!$B$7+'01_원자료'!Q730*'03_가중치민감도'!$C$7+'01_원자료'!R730*'03_가중치민감도'!$D$7</f>
        <v>0.66695468537164126</v>
      </c>
      <c r="H733" s="17">
        <f>'01_원자료'!P730*'03_가중치민감도'!$B$8+'01_원자료'!Q730*'03_가중치민감도'!$C$8+'01_원자료'!R730*'03_가중치민감도'!$D$8</f>
        <v>0.64439045996646138</v>
      </c>
      <c r="I733" s="17">
        <f>'01_원자료'!P730*'03_가중치민감도'!$B$9+'01_원자료'!Q730*'03_가중치민감도'!$C$9+'01_원자료'!R730*'03_가중치민감도'!$D$9</f>
        <v>0.59635311669514091</v>
      </c>
      <c r="J733" s="17">
        <f>'01_원자료'!P730*'03_가중치민감도'!$B$10+'01_원자료'!Q730*'03_가중치민감도'!$C$10+'01_원자료'!R730*'03_가중치민감도'!$D$10</f>
        <v>0.7540535172154077</v>
      </c>
      <c r="K733" s="31">
        <f t="shared" si="66"/>
        <v>687</v>
      </c>
      <c r="L733" s="31">
        <f t="shared" si="67"/>
        <v>664</v>
      </c>
      <c r="M733" s="31">
        <f t="shared" si="68"/>
        <v>704</v>
      </c>
      <c r="N733" s="31">
        <f t="shared" si="69"/>
        <v>623</v>
      </c>
      <c r="O733" s="31">
        <f t="shared" si="70"/>
        <v>665</v>
      </c>
      <c r="P733" s="31">
        <f t="shared" si="71"/>
        <v>673</v>
      </c>
    </row>
    <row r="734" spans="1:16">
      <c r="A734" s="2" t="str">
        <f>'01_원자료'!A731</f>
        <v>RPT-18</v>
      </c>
      <c r="B734" s="2" t="str">
        <f>'01_원자료'!B731</f>
        <v>mistral</v>
      </c>
      <c r="C734" s="2" t="str">
        <f>'01_원자료'!C731</f>
        <v>gemma</v>
      </c>
      <c r="E734" s="17">
        <f>'01_원자료'!P731*'03_가중치민감도'!$B$5+'01_원자료'!Q731*'03_가중치민감도'!$C$5+'01_원자료'!R731*'03_가중치민감도'!$D$5</f>
        <v>0.66442163054900016</v>
      </c>
      <c r="F734" s="17">
        <f>'01_원자료'!P731*'03_가중치민감도'!$B$6+'01_원자료'!Q731*'03_가중치민감도'!$C$6+'01_원자료'!R731*'03_가중치민감도'!$D$6</f>
        <v>0.55630796020622097</v>
      </c>
      <c r="G734" s="17">
        <f>'01_원자료'!P731*'03_가중치민감도'!$B$7+'01_원자료'!Q731*'03_가중치민감도'!$C$7+'01_원자료'!R731*'03_가중치민감도'!$D$7</f>
        <v>0.6675554422539054</v>
      </c>
      <c r="H734" s="17">
        <f>'01_원자료'!P731*'03_가중치민감도'!$B$8+'01_원자료'!Q731*'03_가중치민감도'!$C$8+'01_원자료'!R731*'03_가중치민감도'!$D$8</f>
        <v>0.64875257202447389</v>
      </c>
      <c r="I734" s="17">
        <f>'01_원자료'!P731*'03_가중치민감도'!$B$9+'01_원자료'!Q731*'03_가중치민감도'!$C$9+'01_원자료'!R731*'03_가중치민감도'!$D$9</f>
        <v>0.59130124641884496</v>
      </c>
      <c r="J734" s="17">
        <f>'01_원자료'!P731*'03_가중치민감도'!$B$10+'01_원자료'!Q731*'03_가중치민감도'!$C$10+'01_원자료'!R731*'03_가중치민감도'!$D$10</f>
        <v>0.76626767748196878</v>
      </c>
      <c r="K734" s="31">
        <f t="shared" si="66"/>
        <v>690</v>
      </c>
      <c r="L734" s="31">
        <f t="shared" si="67"/>
        <v>622</v>
      </c>
      <c r="M734" s="31">
        <f t="shared" si="68"/>
        <v>707</v>
      </c>
      <c r="N734" s="31">
        <f t="shared" si="69"/>
        <v>637</v>
      </c>
      <c r="O734" s="31">
        <f t="shared" si="70"/>
        <v>641</v>
      </c>
      <c r="P734" s="31">
        <f t="shared" si="71"/>
        <v>711</v>
      </c>
    </row>
    <row r="735" spans="1:16">
      <c r="A735" s="2" t="str">
        <f>'01_원자료'!A732</f>
        <v>RPT-18</v>
      </c>
      <c r="B735" s="2" t="str">
        <f>'01_원자료'!B732</f>
        <v>mistral</v>
      </c>
      <c r="C735" s="2" t="str">
        <f>'01_원자료'!C732</f>
        <v>ministral</v>
      </c>
      <c r="E735" s="17">
        <f>'01_원자료'!P732*'03_가중치민감도'!$B$5+'01_원자료'!Q732*'03_가중치민감도'!$C$5+'01_원자료'!R732*'03_가중치민감도'!$D$5</f>
        <v>0.53018828576503707</v>
      </c>
      <c r="F735" s="17">
        <f>'01_원자료'!P732*'03_가중치민감도'!$B$6+'01_원자료'!Q732*'03_가중치민감도'!$C$6+'01_원자료'!R732*'03_가중치민감도'!$D$6</f>
        <v>0.43715590380160063</v>
      </c>
      <c r="G735" s="17">
        <f>'01_원자료'!P732*'03_가중치민감도'!$B$7+'01_원자료'!Q732*'03_가중치민감도'!$C$7+'01_원자료'!R732*'03_가중치민감도'!$D$7</f>
        <v>0.55170725732223014</v>
      </c>
      <c r="H735" s="17">
        <f>'01_원자료'!P732*'03_가중치민감도'!$B$8+'01_원자료'!Q732*'03_가중치민감도'!$C$8+'01_원자료'!R732*'03_가중치민감도'!$D$8</f>
        <v>0.42259342797907151</v>
      </c>
      <c r="I735" s="17">
        <f>'01_원자료'!P732*'03_가중치민감도'!$B$9+'01_원자료'!Q732*'03_가중치민감도'!$C$9+'01_원자료'!R732*'03_가중치민감도'!$D$9</f>
        <v>0.46099370727034794</v>
      </c>
      <c r="J735" s="17">
        <f>'01_원자료'!P732*'03_가중치민감도'!$B$10+'01_원자료'!Q732*'03_가중치민감도'!$C$10+'01_원자료'!R732*'03_가중치민감도'!$D$10</f>
        <v>0.58018272461408715</v>
      </c>
      <c r="K735" s="31">
        <f t="shared" si="66"/>
        <v>133</v>
      </c>
      <c r="L735" s="31">
        <f t="shared" si="67"/>
        <v>87</v>
      </c>
      <c r="M735" s="31">
        <f t="shared" si="68"/>
        <v>167</v>
      </c>
      <c r="N735" s="31">
        <f t="shared" si="69"/>
        <v>90</v>
      </c>
      <c r="O735" s="31">
        <f t="shared" si="70"/>
        <v>97</v>
      </c>
      <c r="P735" s="31">
        <f t="shared" si="71"/>
        <v>132</v>
      </c>
    </row>
    <row r="736" spans="1:16">
      <c r="A736" s="2" t="str">
        <f>'01_원자료'!A733</f>
        <v>RPT-18</v>
      </c>
      <c r="B736" s="2" t="str">
        <f>'01_원자료'!B733</f>
        <v>mistral</v>
      </c>
      <c r="C736" s="2" t="str">
        <f>'01_원자료'!C733</f>
        <v>qwen</v>
      </c>
      <c r="E736" s="17">
        <f>'01_원자료'!P733*'03_가중치민감도'!$B$5+'01_원자료'!Q733*'03_가중치민감도'!$C$5+'01_원자료'!R733*'03_가중치민감도'!$D$5</f>
        <v>0.63063770641082617</v>
      </c>
      <c r="F736" s="17">
        <f>'01_원자료'!P733*'03_가중치민감도'!$B$6+'01_원자료'!Q733*'03_가중치민감도'!$C$6+'01_원자료'!R733*'03_가중치민감도'!$D$6</f>
        <v>0.53600531725061251</v>
      </c>
      <c r="G736" s="17">
        <f>'01_원자료'!P733*'03_가중치민감도'!$B$7+'01_원자료'!Q733*'03_가중치민감도'!$C$7+'01_원자료'!R733*'03_가중치민감도'!$D$7</f>
        <v>0.63622957478994557</v>
      </c>
      <c r="H736" s="17">
        <f>'01_원자료'!P733*'03_가중치민감도'!$B$8+'01_원자료'!Q733*'03_가중치민감도'!$C$8+'01_원자료'!R733*'03_가중치민감도'!$D$8</f>
        <v>0.60267836451522949</v>
      </c>
      <c r="I736" s="17">
        <f>'01_원자료'!P733*'03_가중치민감도'!$B$9+'01_원자료'!Q733*'03_가중치민감도'!$C$9+'01_원자료'!R733*'03_가중치민감도'!$D$9</f>
        <v>0.56568549084431008</v>
      </c>
      <c r="J736" s="17">
        <f>'01_원자료'!P733*'03_가중치민감도'!$B$10+'01_원자료'!Q733*'03_가중치민감도'!$C$10+'01_원자료'!R733*'03_가중치민감도'!$D$10</f>
        <v>0.71408635881280125</v>
      </c>
      <c r="K736" s="31">
        <f t="shared" si="66"/>
        <v>530</v>
      </c>
      <c r="L736" s="31">
        <f t="shared" si="67"/>
        <v>528</v>
      </c>
      <c r="M736" s="31">
        <f t="shared" si="68"/>
        <v>545</v>
      </c>
      <c r="N736" s="31">
        <f t="shared" si="69"/>
        <v>497</v>
      </c>
      <c r="O736" s="31">
        <f t="shared" si="70"/>
        <v>530</v>
      </c>
      <c r="P736" s="31">
        <f t="shared" si="71"/>
        <v>515</v>
      </c>
    </row>
    <row r="737" spans="1:16">
      <c r="A737" s="2" t="str">
        <f>'01_원자료'!A734</f>
        <v>RPT-18</v>
      </c>
      <c r="B737" s="2" t="str">
        <f>'01_원자료'!B734</f>
        <v>qwen3_6</v>
      </c>
      <c r="C737" s="2" t="str">
        <f>'01_원자료'!C734</f>
        <v>gemma</v>
      </c>
      <c r="E737" s="17">
        <f>'01_원자료'!P734*'03_가중치민감도'!$B$5+'01_원자료'!Q734*'03_가중치민감도'!$C$5+'01_원자료'!R734*'03_가중치민감도'!$D$5</f>
        <v>0.66319259334316671</v>
      </c>
      <c r="F737" s="17">
        <f>'01_원자료'!P734*'03_가중치민감도'!$B$6+'01_원자료'!Q734*'03_가중치민감도'!$C$6+'01_원자료'!R734*'03_가중치민감도'!$D$6</f>
        <v>0.5667546651197557</v>
      </c>
      <c r="G737" s="17">
        <f>'01_원자료'!P734*'03_가중치민감도'!$B$7+'01_원자료'!Q734*'03_가중치민감도'!$C$7+'01_원자료'!R734*'03_가중치민감도'!$D$7</f>
        <v>0.65911584239778875</v>
      </c>
      <c r="H737" s="17">
        <f>'01_원자료'!P734*'03_가중치민감도'!$B$8+'01_원자료'!Q734*'03_가중치민감도'!$C$8+'01_원자료'!R734*'03_가중치민감도'!$D$8</f>
        <v>0.68357634807005652</v>
      </c>
      <c r="I737" s="17">
        <f>'01_원자료'!P734*'03_가중치민감도'!$B$9+'01_원자료'!Q734*'03_가중치민감도'!$C$9+'01_원자료'!R734*'03_가중치민감도'!$D$9</f>
        <v>0.60025955817601806</v>
      </c>
      <c r="J737" s="17">
        <f>'01_원자료'!P734*'03_가중치민감도'!$B$10+'01_원자료'!Q734*'03_가중치민감도'!$C$10+'01_원자료'!R734*'03_가중치민감도'!$D$10</f>
        <v>0.76778402345733365</v>
      </c>
      <c r="K737" s="31">
        <f t="shared" si="66"/>
        <v>686</v>
      </c>
      <c r="L737" s="31">
        <f t="shared" si="67"/>
        <v>675</v>
      </c>
      <c r="M737" s="31">
        <f t="shared" si="68"/>
        <v>664</v>
      </c>
      <c r="N737" s="31">
        <f t="shared" si="69"/>
        <v>729</v>
      </c>
      <c r="O737" s="31">
        <f t="shared" si="70"/>
        <v>687</v>
      </c>
      <c r="P737" s="31">
        <f t="shared" si="71"/>
        <v>712</v>
      </c>
    </row>
    <row r="738" spans="1:16">
      <c r="A738" s="2" t="str">
        <f>'01_원자료'!A735</f>
        <v>RPT-18</v>
      </c>
      <c r="B738" s="2" t="str">
        <f>'01_원자료'!B735</f>
        <v>qwen3_6</v>
      </c>
      <c r="C738" s="2" t="str">
        <f>'01_원자료'!C735</f>
        <v>ministral</v>
      </c>
      <c r="E738" s="17">
        <f>'01_원자료'!P735*'03_가중치민감도'!$B$5+'01_원자료'!Q735*'03_가중치민감도'!$C$5+'01_원자료'!R735*'03_가중치민감도'!$D$5</f>
        <v>0.48209668439626285</v>
      </c>
      <c r="F738" s="17">
        <f>'01_원자료'!P735*'03_가중치민감도'!$B$6+'01_원자료'!Q735*'03_가중치민감도'!$C$6+'01_원자료'!R735*'03_가중치민감도'!$D$6</f>
        <v>0.3964746792927194</v>
      </c>
      <c r="G738" s="17">
        <f>'01_원자료'!P735*'03_가중치민감도'!$B$7+'01_원자료'!Q735*'03_가중치민감도'!$C$7+'01_원자료'!R735*'03_가중치민감도'!$D$7</f>
        <v>0.50049298911924445</v>
      </c>
      <c r="H738" s="17">
        <f>'01_원자료'!P735*'03_가중치민감도'!$B$8+'01_원자료'!Q735*'03_가중치민감도'!$C$8+'01_원자료'!R735*'03_가중치민감도'!$D$8</f>
        <v>0.39011516078135466</v>
      </c>
      <c r="I738" s="17">
        <f>'01_원자료'!P735*'03_가중치민감도'!$B$9+'01_원자료'!Q735*'03_가중치민감도'!$C$9+'01_원자료'!R735*'03_가중치민감도'!$D$9</f>
        <v>0.41888324608623961</v>
      </c>
      <c r="J738" s="17">
        <f>'01_원자료'!P735*'03_가중치민감도'!$B$10+'01_원자료'!Q735*'03_가중치민감도'!$C$10+'01_원자료'!R735*'03_가중치민감도'!$D$10</f>
        <v>0.53092608005384301</v>
      </c>
      <c r="K738" s="31">
        <f t="shared" si="66"/>
        <v>19</v>
      </c>
      <c r="L738" s="31">
        <f t="shared" si="67"/>
        <v>15</v>
      </c>
      <c r="M738" s="31">
        <f t="shared" si="68"/>
        <v>18</v>
      </c>
      <c r="N738" s="31">
        <f t="shared" si="69"/>
        <v>29</v>
      </c>
      <c r="O738" s="31">
        <f t="shared" si="70"/>
        <v>15</v>
      </c>
      <c r="P738" s="31">
        <f t="shared" si="71"/>
        <v>32</v>
      </c>
    </row>
    <row r="739" spans="1:16">
      <c r="A739" s="2" t="str">
        <f>'01_원자료'!A736</f>
        <v>RPT-18</v>
      </c>
      <c r="B739" s="2" t="str">
        <f>'01_원자료'!B736</f>
        <v>qwen3_6</v>
      </c>
      <c r="C739" s="2" t="str">
        <f>'01_원자료'!C736</f>
        <v>qwen</v>
      </c>
      <c r="E739" s="17">
        <f>'01_원자료'!P736*'03_가중치민감도'!$B$5+'01_원자료'!Q736*'03_가중치민감도'!$C$5+'01_원자료'!R736*'03_가중치민감도'!$D$5</f>
        <v>0.64819909271531495</v>
      </c>
      <c r="F739" s="17">
        <f>'01_원자료'!P736*'03_가중치민감도'!$B$6+'01_원자료'!Q736*'03_가중치민감도'!$C$6+'01_원자료'!R736*'03_가중치민감도'!$D$6</f>
        <v>0.56334891321154235</v>
      </c>
      <c r="G739" s="17">
        <f>'01_원자료'!P736*'03_가중치민감도'!$B$7+'01_원자료'!Q736*'03_가중치민감도'!$C$7+'01_원자료'!R736*'03_가중치민감도'!$D$7</f>
        <v>0.64958265916078539</v>
      </c>
      <c r="H739" s="17">
        <f>'01_원자료'!P736*'03_가중치민감도'!$B$8+'01_원자료'!Q736*'03_가중치민감도'!$C$8+'01_원자료'!R736*'03_가중치민감도'!$D$8</f>
        <v>0.6412812604879623</v>
      </c>
      <c r="I739" s="17">
        <f>'01_원자료'!P736*'03_가중치민감도'!$B$9+'01_원자료'!Q736*'03_가중치민감도'!$C$9+'01_원자료'!R736*'03_가중치민감도'!$D$9</f>
        <v>0.59117111756430907</v>
      </c>
      <c r="J739" s="17">
        <f>'01_원자료'!P736*'03_가중치민감도'!$B$10+'01_원자료'!Q736*'03_가중치민감도'!$C$10+'01_원자료'!R736*'03_가중치민감도'!$D$10</f>
        <v>0.73028213932814645</v>
      </c>
      <c r="K739" s="31">
        <f t="shared" si="66"/>
        <v>611</v>
      </c>
      <c r="L739" s="31">
        <f t="shared" si="67"/>
        <v>652</v>
      </c>
      <c r="M739" s="31">
        <f t="shared" si="68"/>
        <v>615</v>
      </c>
      <c r="N739" s="31">
        <f t="shared" si="69"/>
        <v>611</v>
      </c>
      <c r="O739" s="31">
        <f t="shared" si="70"/>
        <v>640</v>
      </c>
      <c r="P739" s="31">
        <f t="shared" si="71"/>
        <v>581</v>
      </c>
    </row>
    <row r="740" spans="1:16">
      <c r="A740" s="2" t="str">
        <f>'01_원자료'!A737</f>
        <v>RPT-19</v>
      </c>
      <c r="B740" s="2" t="str">
        <f>'01_원자료'!B737</f>
        <v>chatgpt</v>
      </c>
      <c r="C740" s="2" t="str">
        <f>'01_원자료'!C737</f>
        <v>gemma</v>
      </c>
      <c r="E740" s="17">
        <f>'01_원자료'!P737*'03_가중치민감도'!$B$5+'01_원자료'!Q737*'03_가중치민감도'!$C$5+'01_원자료'!R737*'03_가중치민감도'!$D$5</f>
        <v>0.55653555252905063</v>
      </c>
      <c r="F740" s="17">
        <f>'01_원자료'!P737*'03_가중치민감도'!$B$6+'01_원자료'!Q737*'03_가중치민감도'!$C$6+'01_원자료'!R737*'03_가중치민감도'!$D$6</f>
        <v>0.47211669952614532</v>
      </c>
      <c r="G740" s="17">
        <f>'01_원자료'!P737*'03_가중치민감도'!$B$7+'01_원자료'!Q737*'03_가중치민감도'!$C$7+'01_원자료'!R737*'03_가중치민감도'!$D$7</f>
        <v>0.56193079017840997</v>
      </c>
      <c r="H740" s="17">
        <f>'01_원자료'!P737*'03_가중치민감도'!$B$8+'01_원자료'!Q737*'03_가중치민감도'!$C$8+'01_원자료'!R737*'03_가중치민감도'!$D$8</f>
        <v>0.52955936428225381</v>
      </c>
      <c r="I740" s="17">
        <f>'01_원자료'!P737*'03_가중치민감도'!$B$9+'01_원자료'!Q737*'03_가중치민감도'!$C$9+'01_원자료'!R737*'03_가중치민감도'!$D$9</f>
        <v>0.49845790464399353</v>
      </c>
      <c r="J740" s="17">
        <f>'01_원자료'!P737*'03_가중치민감도'!$B$10+'01_원자료'!Q737*'03_가중치민감도'!$C$10+'01_원자료'!R737*'03_가중치민감도'!$D$10</f>
        <v>0.63016393023323714</v>
      </c>
      <c r="K740" s="31">
        <f t="shared" si="66"/>
        <v>237</v>
      </c>
      <c r="L740" s="31">
        <f t="shared" si="67"/>
        <v>227</v>
      </c>
      <c r="M740" s="31">
        <f t="shared" si="68"/>
        <v>209</v>
      </c>
      <c r="N740" s="31">
        <f t="shared" si="69"/>
        <v>277</v>
      </c>
      <c r="O740" s="31">
        <f t="shared" si="70"/>
        <v>239</v>
      </c>
      <c r="P740" s="31">
        <f t="shared" si="71"/>
        <v>266</v>
      </c>
    </row>
    <row r="741" spans="1:16">
      <c r="A741" s="2" t="str">
        <f>'01_원자료'!A738</f>
        <v>RPT-19</v>
      </c>
      <c r="B741" s="2" t="str">
        <f>'01_원자료'!B738</f>
        <v>chatgpt</v>
      </c>
      <c r="C741" s="2" t="str">
        <f>'01_원자료'!C738</f>
        <v>ministral</v>
      </c>
      <c r="E741" s="17">
        <f>'01_원자료'!P738*'03_가중치민감도'!$B$5+'01_원자료'!Q738*'03_가중치민감도'!$C$5+'01_원자료'!R738*'03_가중치민감도'!$D$5</f>
        <v>0.48831573459311672</v>
      </c>
      <c r="F741" s="17">
        <f>'01_원자료'!P738*'03_가중치민감도'!$B$6+'01_원자료'!Q738*'03_가중치민감도'!$C$6+'01_원자료'!R738*'03_가중치민감도'!$D$6</f>
        <v>0.40888630563683243</v>
      </c>
      <c r="G741" s="17">
        <f>'01_원자료'!P738*'03_가중치민감도'!$B$7+'01_원자료'!Q738*'03_가중치민감도'!$C$7+'01_원자료'!R738*'03_가중치민감도'!$D$7</f>
        <v>0.50939804139388811</v>
      </c>
      <c r="H741" s="17">
        <f>'01_원자료'!P738*'03_가중치민감도'!$B$8+'01_원자료'!Q738*'03_가중치민감도'!$C$8+'01_원자료'!R738*'03_가중치민감도'!$D$8</f>
        <v>0.38290420058925978</v>
      </c>
      <c r="I741" s="17">
        <f>'01_원자료'!P738*'03_가중치민감도'!$B$9+'01_원자료'!Q738*'03_가중치민감도'!$C$9+'01_원자료'!R738*'03_가중치민감도'!$D$9</f>
        <v>0.42833534635533627</v>
      </c>
      <c r="J741" s="17">
        <f>'01_원자료'!P738*'03_가중치민감도'!$B$10+'01_원자료'!Q738*'03_가중치민감도'!$C$10+'01_원자료'!R738*'03_가중치민감도'!$D$10</f>
        <v>0.52558054994785819</v>
      </c>
      <c r="K741" s="31">
        <f t="shared" si="66"/>
        <v>27</v>
      </c>
      <c r="L741" s="31">
        <f t="shared" si="67"/>
        <v>29</v>
      </c>
      <c r="M741" s="31">
        <f t="shared" si="68"/>
        <v>29</v>
      </c>
      <c r="N741" s="31">
        <f t="shared" si="69"/>
        <v>21</v>
      </c>
      <c r="O741" s="31">
        <f t="shared" si="70"/>
        <v>27</v>
      </c>
      <c r="P741" s="31">
        <f t="shared" si="71"/>
        <v>25</v>
      </c>
    </row>
    <row r="742" spans="1:16">
      <c r="A742" s="2" t="str">
        <f>'01_원자료'!A739</f>
        <v>RPT-19</v>
      </c>
      <c r="B742" s="2" t="str">
        <f>'01_원자료'!B739</f>
        <v>chatgpt</v>
      </c>
      <c r="C742" s="2" t="str">
        <f>'01_원자료'!C739</f>
        <v>qwen</v>
      </c>
      <c r="E742" s="17">
        <f>'01_원자료'!P739*'03_가중치민감도'!$B$5+'01_원자료'!Q739*'03_가중치민감도'!$C$5+'01_원자료'!R739*'03_가중치민감도'!$D$5</f>
        <v>0.5668388497384762</v>
      </c>
      <c r="F742" s="17">
        <f>'01_원자료'!P739*'03_가중치민감도'!$B$6+'01_원자료'!Q739*'03_가중치민감도'!$C$6+'01_원자료'!R739*'03_가중치민감도'!$D$6</f>
        <v>0.49414732477644341</v>
      </c>
      <c r="G742" s="17">
        <f>'01_원자료'!P739*'03_가중치민감도'!$B$7+'01_원자료'!Q739*'03_가중치민감도'!$C$7+'01_원자료'!R739*'03_가중치민감도'!$D$7</f>
        <v>0.57804550554264322</v>
      </c>
      <c r="H742" s="17">
        <f>'01_원자료'!P739*'03_가중치민감도'!$B$8+'01_원자료'!Q739*'03_가중치민감도'!$C$8+'01_원자료'!R739*'03_가중치민감도'!$D$8</f>
        <v>0.51080557071764121</v>
      </c>
      <c r="I742" s="17">
        <f>'01_원자료'!P739*'03_가중치민감도'!$B$9+'01_원자료'!Q739*'03_가중치민감도'!$C$9+'01_원자료'!R739*'03_가중치민감도'!$D$9</f>
        <v>0.51464228116239807</v>
      </c>
      <c r="J742" s="17">
        <f>'01_원자료'!P739*'03_가중치민감도'!$B$10+'01_원자료'!Q739*'03_가중치민감도'!$C$10+'01_원자료'!R739*'03_가중치민감도'!$D$10</f>
        <v>0.61711706309217507</v>
      </c>
      <c r="K742" s="31">
        <f t="shared" si="66"/>
        <v>271</v>
      </c>
      <c r="L742" s="31">
        <f t="shared" si="67"/>
        <v>334</v>
      </c>
      <c r="M742" s="31">
        <f t="shared" si="68"/>
        <v>283</v>
      </c>
      <c r="N742" s="31">
        <f t="shared" si="69"/>
        <v>245</v>
      </c>
      <c r="O742" s="31">
        <f t="shared" si="70"/>
        <v>310</v>
      </c>
      <c r="P742" s="31">
        <f t="shared" si="71"/>
        <v>232</v>
      </c>
    </row>
    <row r="743" spans="1:16">
      <c r="A743" s="2" t="str">
        <f>'01_원자료'!A740</f>
        <v>RPT-19</v>
      </c>
      <c r="B743" s="2" t="str">
        <f>'01_원자료'!B740</f>
        <v>claude</v>
      </c>
      <c r="C743" s="2" t="str">
        <f>'01_원자료'!C740</f>
        <v>gemma</v>
      </c>
      <c r="E743" s="17">
        <f>'01_원자료'!P740*'03_가중치민감도'!$B$5+'01_원자료'!Q740*'03_가중치민감도'!$C$5+'01_원자료'!R740*'03_가중치민감도'!$D$5</f>
        <v>0.63314454294423683</v>
      </c>
      <c r="F743" s="17">
        <f>'01_원자료'!P740*'03_가중치민감도'!$B$6+'01_원자료'!Q740*'03_가중치민감도'!$C$6+'01_원자료'!R740*'03_가중치민감도'!$D$6</f>
        <v>0.53392323703489053</v>
      </c>
      <c r="G743" s="17">
        <f>'01_원자료'!P740*'03_가중치민감도'!$B$7+'01_원자료'!Q740*'03_가중치민감도'!$C$7+'01_원자료'!R740*'03_가중치민감도'!$D$7</f>
        <v>0.63134595562938345</v>
      </c>
      <c r="H743" s="17">
        <f>'01_원자료'!P740*'03_가중치민감도'!$B$8+'01_원자료'!Q740*'03_가중치민감도'!$C$8+'01_원자료'!R740*'03_가중치민감도'!$D$8</f>
        <v>0.64213747951850353</v>
      </c>
      <c r="I743" s="17">
        <f>'01_원자료'!P740*'03_가중치민감도'!$B$9+'01_원자료'!Q740*'03_가중치민감도'!$C$9+'01_원자료'!R740*'03_가중치민감도'!$D$9</f>
        <v>0.56759653477628969</v>
      </c>
      <c r="J743" s="17">
        <f>'01_원자료'!P740*'03_가중치민감도'!$B$10+'01_원자료'!Q740*'03_가중치민감도'!$C$10+'01_원자료'!R740*'03_가중치민감도'!$D$10</f>
        <v>0.7359630234832899</v>
      </c>
      <c r="K743" s="31">
        <f t="shared" si="66"/>
        <v>544</v>
      </c>
      <c r="L743" s="31">
        <f t="shared" si="67"/>
        <v>521</v>
      </c>
      <c r="M743" s="31">
        <f t="shared" si="68"/>
        <v>522</v>
      </c>
      <c r="N743" s="31">
        <f t="shared" si="69"/>
        <v>614</v>
      </c>
      <c r="O743" s="31">
        <f t="shared" si="70"/>
        <v>538</v>
      </c>
      <c r="P743" s="31">
        <f t="shared" si="71"/>
        <v>607</v>
      </c>
    </row>
    <row r="744" spans="1:16">
      <c r="A744" s="2" t="str">
        <f>'01_원자료'!A741</f>
        <v>RPT-19</v>
      </c>
      <c r="B744" s="2" t="str">
        <f>'01_원자료'!B741</f>
        <v>claude</v>
      </c>
      <c r="C744" s="2" t="str">
        <f>'01_원자료'!C741</f>
        <v>ministral</v>
      </c>
      <c r="E744" s="17">
        <f>'01_원자료'!P741*'03_가중치민감도'!$B$5+'01_원자료'!Q741*'03_가중치민감도'!$C$5+'01_원자료'!R741*'03_가중치민감도'!$D$5</f>
        <v>0.52205179677497804</v>
      </c>
      <c r="F744" s="17">
        <f>'01_원자료'!P741*'03_가중치민감도'!$B$6+'01_원자료'!Q741*'03_가중치민감도'!$C$6+'01_원자료'!R741*'03_가중치민감도'!$D$6</f>
        <v>0.44236459898953151</v>
      </c>
      <c r="G744" s="17">
        <f>'01_원자료'!P741*'03_가중치민감도'!$B$7+'01_원자료'!Q741*'03_가중치민감도'!$C$7+'01_원자료'!R741*'03_가중치민감도'!$D$7</f>
        <v>0.53849942531473982</v>
      </c>
      <c r="H744" s="17">
        <f>'01_원자료'!P741*'03_가중치민감도'!$B$8+'01_원자료'!Q741*'03_가중치민감도'!$C$8+'01_원자료'!R741*'03_가중치민감도'!$D$8</f>
        <v>0.43981365407616946</v>
      </c>
      <c r="I744" s="17">
        <f>'01_원자료'!P741*'03_가중치민감도'!$B$9+'01_원자료'!Q741*'03_가중치민감도'!$C$9+'01_원자료'!R741*'03_가중치민감도'!$D$9</f>
        <v>0.46344445540475931</v>
      </c>
      <c r="J744" s="17">
        <f>'01_원자료'!P741*'03_가중치민감도'!$B$10+'01_원자료'!Q741*'03_가중치민감도'!$C$10+'01_원자료'!R741*'03_가중치민감도'!$D$10</f>
        <v>0.56884373748090111</v>
      </c>
      <c r="K744" s="31">
        <f t="shared" si="66"/>
        <v>102</v>
      </c>
      <c r="L744" s="31">
        <f t="shared" si="67"/>
        <v>103</v>
      </c>
      <c r="M744" s="31">
        <f t="shared" si="68"/>
        <v>100</v>
      </c>
      <c r="N744" s="31">
        <f t="shared" si="69"/>
        <v>122</v>
      </c>
      <c r="O744" s="31">
        <f t="shared" si="70"/>
        <v>104</v>
      </c>
      <c r="P744" s="31">
        <f t="shared" si="71"/>
        <v>108</v>
      </c>
    </row>
    <row r="745" spans="1:16">
      <c r="A745" s="2" t="str">
        <f>'01_원자료'!A742</f>
        <v>RPT-19</v>
      </c>
      <c r="B745" s="2" t="str">
        <f>'01_원자료'!B742</f>
        <v>claude</v>
      </c>
      <c r="C745" s="2" t="str">
        <f>'01_원자료'!C742</f>
        <v>qwen</v>
      </c>
      <c r="E745" s="17">
        <f>'01_원자료'!P742*'03_가중치민감도'!$B$5+'01_원자료'!Q742*'03_가중치민감도'!$C$5+'01_원자료'!R742*'03_가중치민감도'!$D$5</f>
        <v>0.69628923355895489</v>
      </c>
      <c r="F745" s="17">
        <f>'01_원자료'!P742*'03_가중치민감도'!$B$6+'01_원자료'!Q742*'03_가중치민감도'!$C$6+'01_원자료'!R742*'03_가중치민감도'!$D$6</f>
        <v>0.6097861088769736</v>
      </c>
      <c r="G745" s="17">
        <f>'01_원자료'!P742*'03_가중치민감도'!$B$7+'01_원자료'!Q742*'03_가중치민감도'!$C$7+'01_원자료'!R742*'03_가중치민감도'!$D$7</f>
        <v>0.68848669972672938</v>
      </c>
      <c r="H745" s="17">
        <f>'01_원자료'!P742*'03_가중치민감도'!$B$8+'01_원자료'!Q742*'03_가중치민감도'!$C$8+'01_원자료'!R742*'03_가중치민감도'!$D$8</f>
        <v>0.73530190272008245</v>
      </c>
      <c r="I745" s="17">
        <f>'01_원자료'!P742*'03_가중치민감도'!$B$9+'01_원자료'!Q742*'03_가중치민감도'!$C$9+'01_원자료'!R742*'03_가중치민감도'!$D$9</f>
        <v>0.64122132838170853</v>
      </c>
      <c r="J745" s="17">
        <f>'01_원자료'!P742*'03_가중치민감도'!$B$10+'01_원자료'!Q742*'03_가중치민감도'!$C$10+'01_원자료'!R742*'03_가중치민감도'!$D$10</f>
        <v>0.7983974259053872</v>
      </c>
      <c r="K745" s="31">
        <f t="shared" si="66"/>
        <v>811</v>
      </c>
      <c r="L745" s="31">
        <f t="shared" si="67"/>
        <v>858</v>
      </c>
      <c r="M745" s="31">
        <f t="shared" si="68"/>
        <v>791</v>
      </c>
      <c r="N745" s="31">
        <f t="shared" si="69"/>
        <v>839</v>
      </c>
      <c r="O745" s="31">
        <f t="shared" si="70"/>
        <v>841</v>
      </c>
      <c r="P745" s="31">
        <f t="shared" si="71"/>
        <v>809</v>
      </c>
    </row>
    <row r="746" spans="1:16">
      <c r="A746" s="2" t="str">
        <f>'01_원자료'!A743</f>
        <v>RPT-19</v>
      </c>
      <c r="B746" s="2" t="str">
        <f>'01_원자료'!B743</f>
        <v>gemini</v>
      </c>
      <c r="C746" s="2" t="str">
        <f>'01_원자료'!C743</f>
        <v>gemma</v>
      </c>
      <c r="E746" s="17">
        <f>'01_원자료'!P743*'03_가중치민감도'!$B$5+'01_원자료'!Q743*'03_가중치민감도'!$C$5+'01_원자료'!R743*'03_가중치민감도'!$D$5</f>
        <v>0.7426088781683895</v>
      </c>
      <c r="F746" s="17">
        <f>'01_원자료'!P743*'03_가중치민감도'!$B$6+'01_원자료'!Q743*'03_가중치민감도'!$C$6+'01_원자료'!R743*'03_가중치민감도'!$D$6</f>
        <v>0.62707768338107406</v>
      </c>
      <c r="G746" s="17">
        <f>'01_원자료'!P743*'03_가중치민감도'!$B$7+'01_원자료'!Q743*'03_가중치민감도'!$C$7+'01_원자료'!R743*'03_가중치민감도'!$D$7</f>
        <v>0.73569808639410295</v>
      </c>
      <c r="H746" s="17">
        <f>'01_원자료'!P743*'03_가중치민감도'!$B$8+'01_원자료'!Q743*'03_가중치민감도'!$C$8+'01_원자료'!R743*'03_가중치민감도'!$D$8</f>
        <v>0.77716283703982258</v>
      </c>
      <c r="I746" s="17">
        <f>'01_원자료'!P743*'03_가중치민감도'!$B$9+'01_원자료'!Q743*'03_가중치민감도'!$C$9+'01_원자료'!R743*'03_가중치민감도'!$D$9</f>
        <v>0.66789167890160739</v>
      </c>
      <c r="J746" s="17">
        <f>'01_원자료'!P743*'03_가중치민감도'!$B$10+'01_원자료'!Q743*'03_가중치민감도'!$C$10+'01_원자료'!R743*'03_가중치민감도'!$D$10</f>
        <v>0.87196165650427815</v>
      </c>
      <c r="K746" s="31">
        <f t="shared" si="66"/>
        <v>934</v>
      </c>
      <c r="L746" s="31">
        <f t="shared" si="67"/>
        <v>916</v>
      </c>
      <c r="M746" s="31">
        <f t="shared" si="68"/>
        <v>937</v>
      </c>
      <c r="N746" s="31">
        <f t="shared" si="69"/>
        <v>926</v>
      </c>
      <c r="O746" s="31">
        <f t="shared" si="70"/>
        <v>924</v>
      </c>
      <c r="P746" s="31">
        <f t="shared" si="71"/>
        <v>948</v>
      </c>
    </row>
    <row r="747" spans="1:16">
      <c r="A747" s="2" t="str">
        <f>'01_원자료'!A744</f>
        <v>RPT-19</v>
      </c>
      <c r="B747" s="2" t="str">
        <f>'01_원자료'!B744</f>
        <v>gemini</v>
      </c>
      <c r="C747" s="2" t="str">
        <f>'01_원자료'!C744</f>
        <v>ministral</v>
      </c>
      <c r="E747" s="17">
        <f>'01_원자료'!P744*'03_가중치민감도'!$B$5+'01_원자료'!Q744*'03_가중치민감도'!$C$5+'01_원자료'!R744*'03_가중치민감도'!$D$5</f>
        <v>0.55275466226221059</v>
      </c>
      <c r="F747" s="17">
        <f>'01_원자료'!P744*'03_가중치민감도'!$B$6+'01_원자료'!Q744*'03_가중치민감도'!$C$6+'01_원자료'!R744*'03_가중치민감도'!$D$6</f>
        <v>0.46218547973038687</v>
      </c>
      <c r="G747" s="17">
        <f>'01_원자료'!P744*'03_가중치민감도'!$B$7+'01_원자료'!Q744*'03_가중치민감도'!$C$7+'01_원자료'!R744*'03_가중치민감도'!$D$7</f>
        <v>0.57555753446481051</v>
      </c>
      <c r="H747" s="17">
        <f>'01_원자료'!P744*'03_가중치민감도'!$B$8+'01_원자료'!Q744*'03_가중치민감도'!$C$8+'01_원자료'!R744*'03_가중치민감도'!$D$8</f>
        <v>0.43874030124921115</v>
      </c>
      <c r="I747" s="17">
        <f>'01_원자료'!P744*'03_가중치민감도'!$B$9+'01_원자료'!Q744*'03_가중치민감도'!$C$9+'01_원자료'!R744*'03_가중치민감도'!$D$9</f>
        <v>0.48477424984012768</v>
      </c>
      <c r="J747" s="17">
        <f>'01_원자료'!P744*'03_가중치민감도'!$B$10+'01_원자료'!Q744*'03_가중치민감도'!$C$10+'01_원자료'!R744*'03_가중치민감도'!$D$10</f>
        <v>0.59771810038883455</v>
      </c>
      <c r="K747" s="31">
        <f t="shared" si="66"/>
        <v>216</v>
      </c>
      <c r="L747" s="31">
        <f t="shared" si="67"/>
        <v>185</v>
      </c>
      <c r="M747" s="31">
        <f t="shared" si="68"/>
        <v>273</v>
      </c>
      <c r="N747" s="31">
        <f t="shared" si="69"/>
        <v>120</v>
      </c>
      <c r="O747" s="31">
        <f t="shared" si="70"/>
        <v>181</v>
      </c>
      <c r="P747" s="31">
        <f t="shared" si="71"/>
        <v>180</v>
      </c>
    </row>
    <row r="748" spans="1:16">
      <c r="A748" s="2" t="str">
        <f>'01_원자료'!A745</f>
        <v>RPT-19</v>
      </c>
      <c r="B748" s="2" t="str">
        <f>'01_원자료'!B745</f>
        <v>gemini</v>
      </c>
      <c r="C748" s="2" t="str">
        <f>'01_원자료'!C745</f>
        <v>qwen</v>
      </c>
      <c r="E748" s="17">
        <f>'01_원자료'!P745*'03_가중치민감도'!$B$5+'01_원자료'!Q745*'03_가중치민감도'!$C$5+'01_원자료'!R745*'03_가중치민감도'!$D$5</f>
        <v>0.70222740341498935</v>
      </c>
      <c r="F748" s="17">
        <f>'01_원자료'!P745*'03_가중치민감도'!$B$6+'01_원자료'!Q745*'03_가중치민감도'!$C$6+'01_원자료'!R745*'03_가중치민감도'!$D$6</f>
        <v>0.60468284514646709</v>
      </c>
      <c r="G748" s="17">
        <f>'01_원자료'!P745*'03_가중치민감도'!$B$7+'01_원자료'!Q745*'03_가중치민감도'!$C$7+'01_원자료'!R745*'03_가중치민감도'!$D$7</f>
        <v>0.70271087532184728</v>
      </c>
      <c r="H748" s="17">
        <f>'01_원자료'!P745*'03_가중치민감도'!$B$8+'01_원자료'!Q745*'03_가중치민감도'!$C$8+'01_원자료'!R745*'03_가중치민감도'!$D$8</f>
        <v>0.69981004388069978</v>
      </c>
      <c r="I748" s="17">
        <f>'01_원자료'!P745*'03_가중치민감도'!$B$9+'01_원자료'!Q745*'03_가중치민감도'!$C$9+'01_원자료'!R745*'03_가중치민감도'!$D$9</f>
        <v>0.63703654060035453</v>
      </c>
      <c r="J748" s="17">
        <f>'01_원자료'!P745*'03_가중치민감도'!$B$10+'01_원자료'!Q745*'03_가중치민감도'!$C$10+'01_원자료'!R745*'03_가중치민감도'!$D$10</f>
        <v>0.79880501786979585</v>
      </c>
      <c r="K748" s="31">
        <f t="shared" si="66"/>
        <v>828</v>
      </c>
      <c r="L748" s="31">
        <f t="shared" si="67"/>
        <v>835</v>
      </c>
      <c r="M748" s="31">
        <f t="shared" si="68"/>
        <v>843</v>
      </c>
      <c r="N748" s="31">
        <f t="shared" si="69"/>
        <v>788</v>
      </c>
      <c r="O748" s="31">
        <f t="shared" si="70"/>
        <v>824</v>
      </c>
      <c r="P748" s="31">
        <f t="shared" si="71"/>
        <v>812</v>
      </c>
    </row>
    <row r="749" spans="1:16">
      <c r="A749" s="2" t="str">
        <f>'01_원자료'!A746</f>
        <v>RPT-19</v>
      </c>
      <c r="B749" s="2" t="str">
        <f>'01_원자료'!B746</f>
        <v>mistral</v>
      </c>
      <c r="C749" s="2" t="str">
        <f>'01_원자료'!C746</f>
        <v>gemma</v>
      </c>
      <c r="E749" s="17">
        <f>'01_원자료'!P746*'03_가중치민감도'!$B$5+'01_원자료'!Q746*'03_가중치민감도'!$C$5+'01_원자료'!R746*'03_가중치민감도'!$D$5</f>
        <v>0.58351479787621297</v>
      </c>
      <c r="F749" s="17">
        <f>'01_원자료'!P746*'03_가중치민감도'!$B$6+'01_원자료'!Q746*'03_가중치민감도'!$C$6+'01_원자료'!R746*'03_가중치민감도'!$D$6</f>
        <v>0.50317143398863484</v>
      </c>
      <c r="G749" s="17">
        <f>'01_원자료'!P746*'03_가중치민감도'!$B$7+'01_원자료'!Q746*'03_가중치민감도'!$C$7+'01_원자료'!R746*'03_가중치민감도'!$D$7</f>
        <v>0.58472083224104976</v>
      </c>
      <c r="H749" s="17">
        <f>'01_원자료'!P746*'03_가중치민감도'!$B$8+'01_원자료'!Q746*'03_가중치민감도'!$C$8+'01_원자료'!R746*'03_가중치민감도'!$D$8</f>
        <v>0.57748462605202888</v>
      </c>
      <c r="I749" s="17">
        <f>'01_원자료'!P746*'03_가중치민감도'!$B$9+'01_원자료'!Q746*'03_가중치민감도'!$C$9+'01_원자료'!R746*'03_가중치민감도'!$D$9</f>
        <v>0.52955054382954803</v>
      </c>
      <c r="J749" s="17">
        <f>'01_원자료'!P746*'03_가중치민감도'!$B$10+'01_원자료'!Q746*'03_가중치민감도'!$C$10+'01_원자료'!R746*'03_가중치민감도'!$D$10</f>
        <v>0.66144609303411739</v>
      </c>
      <c r="K749" s="31">
        <f t="shared" si="66"/>
        <v>331</v>
      </c>
      <c r="L749" s="31">
        <f t="shared" si="67"/>
        <v>378</v>
      </c>
      <c r="M749" s="31">
        <f t="shared" si="68"/>
        <v>312</v>
      </c>
      <c r="N749" s="31">
        <f t="shared" si="69"/>
        <v>418</v>
      </c>
      <c r="O749" s="31">
        <f t="shared" si="70"/>
        <v>370</v>
      </c>
      <c r="P749" s="31">
        <f t="shared" si="71"/>
        <v>333</v>
      </c>
    </row>
    <row r="750" spans="1:16">
      <c r="A750" s="2" t="str">
        <f>'01_원자료'!A747</f>
        <v>RPT-19</v>
      </c>
      <c r="B750" s="2" t="str">
        <f>'01_원자료'!B747</f>
        <v>mistral</v>
      </c>
      <c r="C750" s="2" t="str">
        <f>'01_원자료'!C747</f>
        <v>ministral</v>
      </c>
      <c r="E750" s="17">
        <f>'01_원자료'!P747*'03_가중치민감도'!$B$5+'01_원자료'!Q747*'03_가중치민감도'!$C$5+'01_원자료'!R747*'03_가중치민감도'!$D$5</f>
        <v>0.54461719969902844</v>
      </c>
      <c r="F750" s="17">
        <f>'01_원자료'!P747*'03_가중치민감도'!$B$6+'01_원자료'!Q747*'03_가중치민감도'!$C$6+'01_원자료'!R747*'03_가중치민감도'!$D$6</f>
        <v>0.47623556866367045</v>
      </c>
      <c r="G750" s="17">
        <f>'01_원자료'!P747*'03_가중치민감도'!$B$7+'01_원자료'!Q747*'03_가중치민감도'!$C$7+'01_원자료'!R747*'03_가중치민감도'!$D$7</f>
        <v>0.55848308447740769</v>
      </c>
      <c r="H750" s="17">
        <f>'01_원자료'!P747*'03_가중치민감도'!$B$8+'01_원자료'!Q747*'03_가중치민감도'!$C$8+'01_원자료'!R747*'03_가중치민감도'!$D$8</f>
        <v>0.475287775807132</v>
      </c>
      <c r="I750" s="17">
        <f>'01_원자료'!P747*'03_가중치민감도'!$B$9+'01_원자료'!Q747*'03_가중치민감도'!$C$9+'01_원자료'!R747*'03_가중치민감도'!$D$9</f>
        <v>0.49440748408266283</v>
      </c>
      <c r="J750" s="17">
        <f>'01_원자료'!P747*'03_가중치민감도'!$B$10+'01_원자료'!Q747*'03_가중치민감도'!$C$10+'01_원자료'!R747*'03_가중치민감도'!$D$10</f>
        <v>0.58526706117762783</v>
      </c>
      <c r="K750" s="31">
        <f t="shared" si="66"/>
        <v>185</v>
      </c>
      <c r="L750" s="31">
        <f t="shared" si="67"/>
        <v>247</v>
      </c>
      <c r="M750" s="31">
        <f t="shared" si="68"/>
        <v>195</v>
      </c>
      <c r="N750" s="31">
        <f t="shared" si="69"/>
        <v>166</v>
      </c>
      <c r="O750" s="31">
        <f t="shared" si="70"/>
        <v>219</v>
      </c>
      <c r="P750" s="31">
        <f t="shared" si="71"/>
        <v>145</v>
      </c>
    </row>
    <row r="751" spans="1:16">
      <c r="A751" s="2" t="str">
        <f>'01_원자료'!A748</f>
        <v>RPT-19</v>
      </c>
      <c r="B751" s="2" t="str">
        <f>'01_원자료'!B748</f>
        <v>mistral</v>
      </c>
      <c r="C751" s="2" t="str">
        <f>'01_원자료'!C748</f>
        <v>qwen</v>
      </c>
      <c r="E751" s="17">
        <f>'01_원자료'!P748*'03_가중치민감도'!$B$5+'01_원자료'!Q748*'03_가중치민감도'!$C$5+'01_원자료'!R748*'03_가중치민감도'!$D$5</f>
        <v>0.66126569911315425</v>
      </c>
      <c r="F751" s="17">
        <f>'01_원자료'!P748*'03_가중치민감도'!$B$6+'01_원자료'!Q748*'03_가중치민감도'!$C$6+'01_원자료'!R748*'03_가중치민감도'!$D$6</f>
        <v>0.58778181899081561</v>
      </c>
      <c r="G751" s="17">
        <f>'01_원자료'!P748*'03_가중치민감도'!$B$7+'01_원자료'!Q748*'03_가중치민감도'!$C$7+'01_원자료'!R748*'03_가중치민감도'!$D$7</f>
        <v>0.65897449219577353</v>
      </c>
      <c r="H751" s="17">
        <f>'01_원자료'!P748*'03_가중치민감도'!$B$8+'01_원자료'!Q748*'03_가중치민감도'!$C$8+'01_원자료'!R748*'03_가중치민감도'!$D$8</f>
        <v>0.67272173370005794</v>
      </c>
      <c r="I751" s="17">
        <f>'01_원자료'!P748*'03_가중치민감도'!$B$9+'01_원자료'!Q748*'03_가중치민감도'!$C$9+'01_원자료'!R748*'03_가중치민감도'!$D$9</f>
        <v>0.61304018133738802</v>
      </c>
      <c r="J751" s="17">
        <f>'01_원자료'!P748*'03_가중치민감도'!$B$10+'01_원자료'!Q748*'03_가중치민감도'!$C$10+'01_원자료'!R748*'03_가중치민감도'!$D$10</f>
        <v>0.73933199307025443</v>
      </c>
      <c r="K751" s="31">
        <f t="shared" si="66"/>
        <v>679</v>
      </c>
      <c r="L751" s="31">
        <f t="shared" si="67"/>
        <v>760</v>
      </c>
      <c r="M751" s="31">
        <f t="shared" si="68"/>
        <v>660</v>
      </c>
      <c r="N751" s="31">
        <f t="shared" si="69"/>
        <v>705</v>
      </c>
      <c r="O751" s="31">
        <f t="shared" si="70"/>
        <v>739</v>
      </c>
      <c r="P751" s="31">
        <f t="shared" si="71"/>
        <v>620</v>
      </c>
    </row>
    <row r="752" spans="1:16">
      <c r="A752" s="2" t="str">
        <f>'01_원자료'!A749</f>
        <v>RPT-19</v>
      </c>
      <c r="B752" s="2" t="str">
        <f>'01_원자료'!B749</f>
        <v>qwen3_6</v>
      </c>
      <c r="C752" s="2" t="str">
        <f>'01_원자료'!C749</f>
        <v>gemma</v>
      </c>
      <c r="E752" s="17">
        <f>'01_원자료'!P749*'03_가중치민감도'!$B$5+'01_원자료'!Q749*'03_가중치민감도'!$C$5+'01_원자료'!R749*'03_가중치민감도'!$D$5</f>
        <v>0.72087281922286883</v>
      </c>
      <c r="F752" s="17">
        <f>'01_원자료'!P749*'03_가중치민감도'!$B$6+'01_원자료'!Q749*'03_가중치민감도'!$C$6+'01_원자료'!R749*'03_가중치민감도'!$D$6</f>
        <v>0.61944950679703203</v>
      </c>
      <c r="G752" s="17">
        <f>'01_원자료'!P749*'03_가중치민감도'!$B$7+'01_원자료'!Q749*'03_가중치민감도'!$C$7+'01_원자료'!R749*'03_가중치민감도'!$D$7</f>
        <v>0.71097503233966575</v>
      </c>
      <c r="H752" s="17">
        <f>'01_원자료'!P749*'03_가중치민감도'!$B$8+'01_원자료'!Q749*'03_가중치민감도'!$C$8+'01_원자료'!R749*'03_가중치민감도'!$D$8</f>
        <v>0.77036175363888493</v>
      </c>
      <c r="I752" s="17">
        <f>'01_원자료'!P749*'03_가중치민감도'!$B$9+'01_원자료'!Q749*'03_가중치민감도'!$C$9+'01_원자료'!R749*'03_가중치민감도'!$D$9</f>
        <v>0.65655653990004481</v>
      </c>
      <c r="J752" s="17">
        <f>'01_원자료'!P749*'03_가중치민감도'!$B$10+'01_원자료'!Q749*'03_가중치민감도'!$C$10+'01_원자료'!R749*'03_가중치민감도'!$D$10</f>
        <v>0.84209170541511214</v>
      </c>
      <c r="K752" s="31">
        <f t="shared" si="66"/>
        <v>884</v>
      </c>
      <c r="L752" s="31">
        <f t="shared" si="67"/>
        <v>889</v>
      </c>
      <c r="M752" s="31">
        <f t="shared" si="68"/>
        <v>873</v>
      </c>
      <c r="N752" s="31">
        <f t="shared" si="69"/>
        <v>901</v>
      </c>
      <c r="O752" s="31">
        <f t="shared" si="70"/>
        <v>894</v>
      </c>
      <c r="P752" s="31">
        <f t="shared" si="71"/>
        <v>865</v>
      </c>
    </row>
    <row r="753" spans="1:16">
      <c r="A753" s="2" t="str">
        <f>'01_원자료'!A750</f>
        <v>RPT-19</v>
      </c>
      <c r="B753" s="2" t="str">
        <f>'01_원자료'!B750</f>
        <v>qwen3_6</v>
      </c>
      <c r="C753" s="2" t="str">
        <f>'01_원자료'!C750</f>
        <v>ministral</v>
      </c>
      <c r="E753" s="17">
        <f>'01_원자료'!P750*'03_가중치민감도'!$B$5+'01_원자료'!Q750*'03_가중치민감도'!$C$5+'01_원자료'!R750*'03_가중치민감도'!$D$5</f>
        <v>0.51541794239127481</v>
      </c>
      <c r="F753" s="17">
        <f>'01_원자료'!P750*'03_가중치민감도'!$B$6+'01_원자료'!Q750*'03_가중치민감도'!$C$6+'01_원자료'!R750*'03_가중치민감도'!$D$6</f>
        <v>0.43865725609327294</v>
      </c>
      <c r="G753" s="17">
        <f>'01_원자료'!P750*'03_가중치민감도'!$B$7+'01_원자료'!Q750*'03_가중치민감도'!$C$7+'01_원자료'!R750*'03_가중치민감도'!$D$7</f>
        <v>0.53395871325181155</v>
      </c>
      <c r="H753" s="17">
        <f>'01_원자료'!P750*'03_가중치민감도'!$B$8+'01_원자료'!Q750*'03_가중치민감도'!$C$8+'01_원자료'!R750*'03_가중치민감도'!$D$8</f>
        <v>0.42271408808859101</v>
      </c>
      <c r="I753" s="17">
        <f>'01_원자료'!P750*'03_가중치민감도'!$B$9+'01_원자료'!Q750*'03_가중치민감도'!$C$9+'01_원자료'!R750*'03_가중치민감도'!$D$9</f>
        <v>0.45806389457242752</v>
      </c>
      <c r="J753" s="17">
        <f>'01_원자료'!P750*'03_가중치민감도'!$B$10+'01_원자료'!Q750*'03_가중치민감도'!$C$10+'01_원자료'!R750*'03_가중치민감도'!$D$10</f>
        <v>0.55509708696820315</v>
      </c>
      <c r="K753" s="31">
        <f t="shared" si="66"/>
        <v>81</v>
      </c>
      <c r="L753" s="31">
        <f t="shared" si="67"/>
        <v>93</v>
      </c>
      <c r="M753" s="31">
        <f t="shared" si="68"/>
        <v>85</v>
      </c>
      <c r="N753" s="31">
        <f t="shared" si="69"/>
        <v>91</v>
      </c>
      <c r="O753" s="31">
        <f t="shared" si="70"/>
        <v>90</v>
      </c>
      <c r="P753" s="31">
        <f t="shared" si="71"/>
        <v>75</v>
      </c>
    </row>
    <row r="754" spans="1:16">
      <c r="A754" s="2" t="str">
        <f>'01_원자료'!A751</f>
        <v>RPT-19</v>
      </c>
      <c r="B754" s="2" t="str">
        <f>'01_원자료'!B751</f>
        <v>qwen3_6</v>
      </c>
      <c r="C754" s="2" t="str">
        <f>'01_원자료'!C751</f>
        <v>qwen</v>
      </c>
      <c r="E754" s="17">
        <f>'01_원자료'!P751*'03_가중치민감도'!$B$5+'01_원자료'!Q751*'03_가중치민감도'!$C$5+'01_원자료'!R751*'03_가중치민감도'!$D$5</f>
        <v>0.70927326373870059</v>
      </c>
      <c r="F754" s="17">
        <f>'01_원자료'!P751*'03_가중치민감도'!$B$6+'01_원자료'!Q751*'03_가중치민감도'!$C$6+'01_원자료'!R751*'03_가중치민감도'!$D$6</f>
        <v>0.64073849182802955</v>
      </c>
      <c r="G754" s="17">
        <f>'01_원자료'!P751*'03_가중치민감도'!$B$7+'01_원자료'!Q751*'03_가중치민감도'!$C$7+'01_원자료'!R751*'03_가중치민감도'!$D$7</f>
        <v>0.70792640847604682</v>
      </c>
      <c r="H754" s="17">
        <f>'01_원자료'!P751*'03_가중치민감도'!$B$8+'01_원자료'!Q751*'03_가중치민감도'!$C$8+'01_원자료'!R751*'03_가중치민감도'!$D$8</f>
        <v>0.71600754005196932</v>
      </c>
      <c r="I754" s="17">
        <f>'01_원자료'!P751*'03_가중치민감도'!$B$9+'01_원자료'!Q751*'03_가중치민감도'!$C$9+'01_원자료'!R751*'03_가중치민감도'!$D$9</f>
        <v>0.66403236755247042</v>
      </c>
      <c r="J754" s="17">
        <f>'01_원자료'!P751*'03_가중치민감도'!$B$10+'01_원자료'!Q751*'03_가중치민감도'!$C$10+'01_원자료'!R751*'03_가중치민감도'!$D$10</f>
        <v>0.78050174617467916</v>
      </c>
      <c r="K754" s="31">
        <f t="shared" si="66"/>
        <v>843</v>
      </c>
      <c r="L754" s="31">
        <f t="shared" si="67"/>
        <v>940</v>
      </c>
      <c r="M754" s="31">
        <f t="shared" si="68"/>
        <v>860</v>
      </c>
      <c r="N754" s="31">
        <f t="shared" si="69"/>
        <v>821</v>
      </c>
      <c r="O754" s="31">
        <f t="shared" si="70"/>
        <v>917</v>
      </c>
      <c r="P754" s="31">
        <f t="shared" si="71"/>
        <v>759</v>
      </c>
    </row>
    <row r="755" spans="1:16">
      <c r="A755" s="2" t="str">
        <f>'01_원자료'!A752</f>
        <v>RPT-20</v>
      </c>
      <c r="B755" s="2" t="str">
        <f>'01_원자료'!B752</f>
        <v>chatgpt</v>
      </c>
      <c r="C755" s="2" t="str">
        <f>'01_원자료'!C752</f>
        <v>gemma</v>
      </c>
      <c r="E755" s="17">
        <f>'01_원자료'!P752*'03_가중치민감도'!$B$5+'01_원자료'!Q752*'03_가중치민감도'!$C$5+'01_원자료'!R752*'03_가중치민감도'!$D$5</f>
        <v>0.57378153172408908</v>
      </c>
      <c r="F755" s="17">
        <f>'01_원자료'!P752*'03_가중치민감도'!$B$6+'01_원자료'!Q752*'03_가중치민감도'!$C$6+'01_원자료'!R752*'03_가중치민감도'!$D$6</f>
        <v>0.48103895387779427</v>
      </c>
      <c r="G755" s="17">
        <f>'01_원자료'!P752*'03_가중치민감도'!$B$7+'01_원자료'!Q752*'03_가중치민감도'!$C$7+'01_원자료'!R752*'03_가중치민감도'!$D$7</f>
        <v>0.5835623353542545</v>
      </c>
      <c r="H755" s="17">
        <f>'01_원자료'!P752*'03_가중치민감도'!$B$8+'01_원자료'!Q752*'03_가중치민감도'!$C$8+'01_원자료'!R752*'03_가중치민감도'!$D$8</f>
        <v>0.52487751357326196</v>
      </c>
      <c r="I755" s="17">
        <f>'01_원자료'!P752*'03_가중치민감도'!$B$9+'01_원자료'!Q752*'03_가중치민감도'!$C$9+'01_원자료'!R752*'03_가중치민감도'!$D$9</f>
        <v>0.50869287861650347</v>
      </c>
      <c r="J755" s="17">
        <f>'01_원자료'!P752*'03_가중치민감도'!$B$10+'01_원자료'!Q752*'03_가중치민감도'!$C$10+'01_원자료'!R752*'03_가중치민감도'!$D$10</f>
        <v>0.64696250231005292</v>
      </c>
      <c r="K755" s="31">
        <f t="shared" si="66"/>
        <v>302</v>
      </c>
      <c r="L755" s="31">
        <f t="shared" si="67"/>
        <v>272</v>
      </c>
      <c r="M755" s="31">
        <f t="shared" si="68"/>
        <v>307</v>
      </c>
      <c r="N755" s="31">
        <f t="shared" si="69"/>
        <v>268</v>
      </c>
      <c r="O755" s="31">
        <f t="shared" si="70"/>
        <v>278</v>
      </c>
      <c r="P755" s="31">
        <f t="shared" si="71"/>
        <v>299</v>
      </c>
    </row>
    <row r="756" spans="1:16">
      <c r="A756" s="2" t="str">
        <f>'01_원자료'!A753</f>
        <v>RPT-20</v>
      </c>
      <c r="B756" s="2" t="str">
        <f>'01_원자료'!B753</f>
        <v>chatgpt</v>
      </c>
      <c r="C756" s="2" t="str">
        <f>'01_원자료'!C753</f>
        <v>ministral</v>
      </c>
      <c r="E756" s="17">
        <f>'01_원자료'!P753*'03_가중치민감도'!$B$5+'01_원자료'!Q753*'03_가중치민감도'!$C$5+'01_원자료'!R753*'03_가중치민감도'!$D$5</f>
        <v>0.56778007452261081</v>
      </c>
      <c r="F756" s="17">
        <f>'01_원자료'!P753*'03_가중치민감도'!$B$6+'01_원자료'!Q753*'03_가중치민감도'!$C$6+'01_원자료'!R753*'03_가중치민감도'!$D$6</f>
        <v>0.47027773732314915</v>
      </c>
      <c r="G756" s="17">
        <f>'01_원자료'!P753*'03_가중치민감도'!$B$7+'01_원자료'!Q753*'03_가중치민감도'!$C$7+'01_원자료'!R753*'03_가중치민감도'!$D$7</f>
        <v>0.58342229570147042</v>
      </c>
      <c r="H756" s="17">
        <f>'01_원자료'!P753*'03_가중치민감도'!$B$8+'01_원자료'!Q753*'03_가중치민감도'!$C$8+'01_원자료'!R753*'03_가중치민감도'!$D$8</f>
        <v>0.48956896862831301</v>
      </c>
      <c r="I756" s="17">
        <f>'01_원자료'!P753*'03_가중치민감도'!$B$9+'01_원자료'!Q753*'03_가중치민감도'!$C$9+'01_원자료'!R753*'03_가중치민감도'!$D$9</f>
        <v>0.49756444266334932</v>
      </c>
      <c r="J756" s="17">
        <f>'01_원자료'!P753*'03_가중치민감도'!$B$10+'01_원자료'!Q753*'03_가중치민감도'!$C$10+'01_원자료'!R753*'03_가중치민감도'!$D$10</f>
        <v>0.63399796936435338</v>
      </c>
      <c r="K756" s="31">
        <f t="shared" si="66"/>
        <v>276</v>
      </c>
      <c r="L756" s="31">
        <f t="shared" si="67"/>
        <v>219</v>
      </c>
      <c r="M756" s="31">
        <f t="shared" si="68"/>
        <v>306</v>
      </c>
      <c r="N756" s="31">
        <f t="shared" si="69"/>
        <v>197</v>
      </c>
      <c r="O756" s="31">
        <f t="shared" si="70"/>
        <v>236</v>
      </c>
      <c r="P756" s="31">
        <f t="shared" si="71"/>
        <v>274</v>
      </c>
    </row>
    <row r="757" spans="1:16">
      <c r="A757" s="2" t="str">
        <f>'01_원자료'!A754</f>
        <v>RPT-20</v>
      </c>
      <c r="B757" s="2" t="str">
        <f>'01_원자료'!B754</f>
        <v>chatgpt</v>
      </c>
      <c r="C757" s="2" t="str">
        <f>'01_원자료'!C754</f>
        <v>qwen</v>
      </c>
      <c r="E757" s="17">
        <f>'01_원자료'!P754*'03_가중치민감도'!$B$5+'01_원자료'!Q754*'03_가중치민감도'!$C$5+'01_원자료'!R754*'03_가중치민감도'!$D$5</f>
        <v>0.5712247229279761</v>
      </c>
      <c r="F757" s="17">
        <f>'01_원자료'!P754*'03_가중치민감도'!$B$6+'01_원자료'!Q754*'03_가중치민감도'!$C$6+'01_원자료'!R754*'03_가중치민감도'!$D$6</f>
        <v>0.49725676045031653</v>
      </c>
      <c r="G757" s="17">
        <f>'01_원자료'!P754*'03_가중치민감도'!$B$7+'01_원자료'!Q754*'03_가중치민감도'!$C$7+'01_원자료'!R754*'03_가중치민감도'!$D$7</f>
        <v>0.58435038595644251</v>
      </c>
      <c r="H757" s="17">
        <f>'01_원자료'!P754*'03_가중치민감도'!$B$8+'01_원자료'!Q754*'03_가중치민감도'!$C$8+'01_원자료'!R754*'03_가중치민감도'!$D$8</f>
        <v>0.5055964077856443</v>
      </c>
      <c r="I757" s="17">
        <f>'01_원자료'!P754*'03_가중치민감도'!$B$9+'01_원자료'!Q754*'03_가중치민감도'!$C$9+'01_원자료'!R754*'03_가중치민감도'!$D$9</f>
        <v>0.5175375269333804</v>
      </c>
      <c r="J757" s="17">
        <f>'01_원자료'!P754*'03_가중치민감도'!$B$10+'01_원자료'!Q754*'03_가중치민감도'!$C$10+'01_원자료'!R754*'03_가중치민감도'!$D$10</f>
        <v>0.61894135934870298</v>
      </c>
      <c r="K757" s="31">
        <f t="shared" si="66"/>
        <v>288</v>
      </c>
      <c r="L757" s="31">
        <f t="shared" si="67"/>
        <v>349</v>
      </c>
      <c r="M757" s="31">
        <f t="shared" si="68"/>
        <v>310</v>
      </c>
      <c r="N757" s="31">
        <f t="shared" si="69"/>
        <v>239</v>
      </c>
      <c r="O757" s="31">
        <f t="shared" si="70"/>
        <v>316</v>
      </c>
      <c r="P757" s="31">
        <f t="shared" si="71"/>
        <v>240</v>
      </c>
    </row>
    <row r="758" spans="1:16">
      <c r="A758" s="2" t="str">
        <f>'01_원자료'!A755</f>
        <v>RPT-20</v>
      </c>
      <c r="B758" s="2" t="str">
        <f>'01_원자료'!B755</f>
        <v>claude</v>
      </c>
      <c r="C758" s="2" t="str">
        <f>'01_원자료'!C755</f>
        <v>gemma</v>
      </c>
      <c r="E758" s="17">
        <f>'01_원자료'!P755*'03_가중치민감도'!$B$5+'01_원자료'!Q755*'03_가중치민감도'!$C$5+'01_원자료'!R755*'03_가중치민감도'!$D$5</f>
        <v>0.61110598878652178</v>
      </c>
      <c r="F758" s="17">
        <f>'01_원자료'!P755*'03_가중치민감도'!$B$6+'01_원자료'!Q755*'03_가중치민감도'!$C$6+'01_원자료'!R755*'03_가중치민감도'!$D$6</f>
        <v>0.50692986098448245</v>
      </c>
      <c r="G758" s="17">
        <f>'01_원자료'!P755*'03_가중치민감도'!$B$7+'01_원자료'!Q755*'03_가중치민감도'!$C$7+'01_원자료'!R755*'03_가중치민감도'!$D$7</f>
        <v>0.61514818222934087</v>
      </c>
      <c r="H758" s="17">
        <f>'01_원자료'!P755*'03_가중치민감도'!$B$8+'01_원자료'!Q755*'03_가중치민감도'!$C$8+'01_원자료'!R755*'03_가중치민감도'!$D$8</f>
        <v>0.5908950215724259</v>
      </c>
      <c r="I758" s="17">
        <f>'01_원자료'!P755*'03_가중치민감도'!$B$9+'01_원자료'!Q755*'03_가중치민감도'!$C$9+'01_원자료'!R755*'03_가중치민감도'!$D$9</f>
        <v>0.54030783910422198</v>
      </c>
      <c r="J758" s="17">
        <f>'01_원자료'!P755*'03_가중치민감도'!$B$10+'01_원자료'!Q755*'03_가중치민감도'!$C$10+'01_원자료'!R755*'03_가중치민감도'!$D$10</f>
        <v>0.70719772970292261</v>
      </c>
      <c r="K758" s="31">
        <f t="shared" si="66"/>
        <v>436</v>
      </c>
      <c r="L758" s="31">
        <f t="shared" si="67"/>
        <v>402</v>
      </c>
      <c r="M758" s="31">
        <f t="shared" si="68"/>
        <v>437</v>
      </c>
      <c r="N758" s="31">
        <f t="shared" si="69"/>
        <v>464</v>
      </c>
      <c r="O758" s="31">
        <f t="shared" si="70"/>
        <v>417</v>
      </c>
      <c r="P758" s="31">
        <f t="shared" si="71"/>
        <v>487</v>
      </c>
    </row>
    <row r="759" spans="1:16">
      <c r="A759" s="2" t="str">
        <f>'01_원자료'!A756</f>
        <v>RPT-20</v>
      </c>
      <c r="B759" s="2" t="str">
        <f>'01_원자료'!B756</f>
        <v>claude</v>
      </c>
      <c r="C759" s="2" t="str">
        <f>'01_원자료'!C756</f>
        <v>ministral</v>
      </c>
      <c r="E759" s="17">
        <f>'01_원자료'!P756*'03_가중치민감도'!$B$5+'01_원자료'!Q756*'03_가중치민감도'!$C$5+'01_원자료'!R756*'03_가중치민감도'!$D$5</f>
        <v>0.61091283032323407</v>
      </c>
      <c r="F759" s="17">
        <f>'01_원자료'!P756*'03_가중치민감도'!$B$6+'01_원자료'!Q756*'03_가중치민감도'!$C$6+'01_원자료'!R756*'03_가중치민감도'!$D$6</f>
        <v>0.51235721266834833</v>
      </c>
      <c r="G759" s="17">
        <f>'01_원자료'!P756*'03_가중치민감도'!$B$7+'01_원자료'!Q756*'03_가중치민감도'!$C$7+'01_원자료'!R756*'03_가중치민감도'!$D$7</f>
        <v>0.61176856516418976</v>
      </c>
      <c r="H759" s="17">
        <f>'01_원자료'!P756*'03_가중치민감도'!$B$8+'01_원자료'!Q756*'03_가중치민감도'!$C$8+'01_원자료'!R756*'03_가중치민감도'!$D$8</f>
        <v>0.60663415611845628</v>
      </c>
      <c r="I759" s="17">
        <f>'01_원자료'!P756*'03_가중치민감도'!$B$9+'01_원자료'!Q756*'03_가중치민감도'!$C$9+'01_원자료'!R756*'03_가중치민감도'!$D$9</f>
        <v>0.54492384027299112</v>
      </c>
      <c r="J759" s="17">
        <f>'01_원자료'!P756*'03_가중치민감도'!$B$10+'01_원자료'!Q756*'03_가중치민감도'!$C$10+'01_원자료'!R756*'03_가중치민감도'!$D$10</f>
        <v>0.70775697829620887</v>
      </c>
      <c r="K759" s="31">
        <f t="shared" si="66"/>
        <v>433</v>
      </c>
      <c r="L759" s="31">
        <f t="shared" si="67"/>
        <v>425</v>
      </c>
      <c r="M759" s="31">
        <f t="shared" si="68"/>
        <v>417</v>
      </c>
      <c r="N759" s="31">
        <f t="shared" si="69"/>
        <v>511</v>
      </c>
      <c r="O759" s="31">
        <f t="shared" si="70"/>
        <v>434</v>
      </c>
      <c r="P759" s="31">
        <f t="shared" si="71"/>
        <v>488</v>
      </c>
    </row>
    <row r="760" spans="1:16">
      <c r="A760" s="2" t="str">
        <f>'01_원자료'!A757</f>
        <v>RPT-20</v>
      </c>
      <c r="B760" s="2" t="str">
        <f>'01_원자료'!B757</f>
        <v>claude</v>
      </c>
      <c r="C760" s="2" t="str">
        <f>'01_원자료'!C757</f>
        <v>qwen</v>
      </c>
      <c r="E760" s="17">
        <f>'01_원자료'!P757*'03_가중치민감도'!$B$5+'01_원자료'!Q757*'03_가중치민감도'!$C$5+'01_원자료'!R757*'03_가중치민감도'!$D$5</f>
        <v>0.64646062394119941</v>
      </c>
      <c r="F760" s="17">
        <f>'01_원자료'!P757*'03_가중치민감도'!$B$6+'01_원자료'!Q757*'03_가중치민감도'!$C$6+'01_원자료'!R757*'03_가중치민감도'!$D$6</f>
        <v>0.5679273043978571</v>
      </c>
      <c r="G760" s="17">
        <f>'01_원자료'!P757*'03_가중치민감도'!$B$7+'01_원자료'!Q757*'03_가중치민감도'!$C$7+'01_원자료'!R757*'03_가중치민감도'!$D$7</f>
        <v>0.64539525640401096</v>
      </c>
      <c r="H760" s="17">
        <f>'01_원자료'!P757*'03_가중치민감도'!$B$8+'01_원자료'!Q757*'03_가중치민감도'!$C$8+'01_원자료'!R757*'03_가중치민감도'!$D$8</f>
        <v>0.65178746162714196</v>
      </c>
      <c r="I760" s="17">
        <f>'01_원자료'!P757*'03_가중치민감도'!$B$9+'01_원자료'!Q757*'03_가중치민감도'!$C$9+'01_원자료'!R757*'03_가중치민감도'!$D$9</f>
        <v>0.5944602000913668</v>
      </c>
      <c r="J760" s="17">
        <f>'01_원자료'!P757*'03_가중치민감도'!$B$10+'01_원자료'!Q757*'03_가중치민감도'!$C$10+'01_원자료'!R757*'03_가중치민감도'!$D$10</f>
        <v>0.72712467855891882</v>
      </c>
      <c r="K760" s="31">
        <f t="shared" si="66"/>
        <v>602</v>
      </c>
      <c r="L760" s="31">
        <f t="shared" si="67"/>
        <v>680</v>
      </c>
      <c r="M760" s="31">
        <f t="shared" si="68"/>
        <v>594</v>
      </c>
      <c r="N760" s="31">
        <f t="shared" si="69"/>
        <v>646</v>
      </c>
      <c r="O760" s="31">
        <f t="shared" si="70"/>
        <v>660</v>
      </c>
      <c r="P760" s="31">
        <f t="shared" si="71"/>
        <v>572</v>
      </c>
    </row>
    <row r="761" spans="1:16">
      <c r="A761" s="2" t="str">
        <f>'01_원자료'!A758</f>
        <v>RPT-20</v>
      </c>
      <c r="B761" s="2" t="str">
        <f>'01_원자료'!B758</f>
        <v>gemini</v>
      </c>
      <c r="C761" s="2" t="str">
        <f>'01_원자료'!C758</f>
        <v>gemma</v>
      </c>
      <c r="E761" s="17">
        <f>'01_원자료'!P758*'03_가중치민감도'!$B$5+'01_원자료'!Q758*'03_가중치민감도'!$C$5+'01_원자료'!R758*'03_가중치민감도'!$D$5</f>
        <v>0.68571212283226113</v>
      </c>
      <c r="F761" s="17">
        <f>'01_원자료'!P758*'03_가중치민감도'!$B$6+'01_원자료'!Q758*'03_가중치민감도'!$C$6+'01_원자료'!R758*'03_가중치민감도'!$D$6</f>
        <v>0.57442905589259907</v>
      </c>
      <c r="G761" s="17">
        <f>'01_원자료'!P758*'03_가중치민감도'!$B$7+'01_원자료'!Q758*'03_가중치민감도'!$C$7+'01_원자료'!R758*'03_가중치민감도'!$D$7</f>
        <v>0.68474909423732866</v>
      </c>
      <c r="H761" s="17">
        <f>'01_원자료'!P758*'03_가중치민감도'!$B$8+'01_원자료'!Q758*'03_가중치민감도'!$C$8+'01_원자료'!R758*'03_가중치민감도'!$D$8</f>
        <v>0.6905272658069237</v>
      </c>
      <c r="I761" s="17">
        <f>'01_원자료'!P758*'03_가중치민감도'!$B$9+'01_원자료'!Q758*'03_가중치민감도'!$C$9+'01_원자료'!R758*'03_가중치민감도'!$D$9</f>
        <v>0.61184442107079662</v>
      </c>
      <c r="J761" s="17">
        <f>'01_원자료'!P758*'03_가중치민감도'!$B$10+'01_원자료'!Q758*'03_가중치민감도'!$C$10+'01_원자료'!R758*'03_가중치민감도'!$D$10</f>
        <v>0.79892124696178823</v>
      </c>
      <c r="K761" s="31">
        <f t="shared" si="66"/>
        <v>773</v>
      </c>
      <c r="L761" s="31">
        <f t="shared" si="67"/>
        <v>715</v>
      </c>
      <c r="M761" s="31">
        <f t="shared" si="68"/>
        <v>779</v>
      </c>
      <c r="N761" s="31">
        <f t="shared" si="69"/>
        <v>749</v>
      </c>
      <c r="O761" s="31">
        <f t="shared" si="70"/>
        <v>730</v>
      </c>
      <c r="P761" s="31">
        <f t="shared" si="71"/>
        <v>814</v>
      </c>
    </row>
    <row r="762" spans="1:16">
      <c r="A762" s="2" t="str">
        <f>'01_원자료'!A759</f>
        <v>RPT-20</v>
      </c>
      <c r="B762" s="2" t="str">
        <f>'01_원자료'!B759</f>
        <v>gemini</v>
      </c>
      <c r="C762" s="2" t="str">
        <f>'01_원자료'!C759</f>
        <v>ministral</v>
      </c>
      <c r="E762" s="17">
        <f>'01_원자료'!P759*'03_가중치민감도'!$B$5+'01_원자료'!Q759*'03_가중치민감도'!$C$5+'01_원자료'!R759*'03_가중치민감도'!$D$5</f>
        <v>0.6107424689408848</v>
      </c>
      <c r="F762" s="17">
        <f>'01_원자료'!P759*'03_가중치민감도'!$B$6+'01_원자료'!Q759*'03_가중치민감도'!$C$6+'01_원자료'!R759*'03_가중치민감도'!$D$6</f>
        <v>0.49179038895910598</v>
      </c>
      <c r="G762" s="17">
        <f>'01_원자료'!P759*'03_가중치민감도'!$B$7+'01_원자료'!Q759*'03_가중치민감도'!$C$7+'01_원자료'!R759*'03_가중치민감도'!$D$7</f>
        <v>0.62231216465745265</v>
      </c>
      <c r="H762" s="17">
        <f>'01_원자료'!P759*'03_가중치민감도'!$B$8+'01_원자료'!Q759*'03_가중치민감도'!$C$8+'01_원자료'!R759*'03_가중치민감도'!$D$8</f>
        <v>0.55289399035804554</v>
      </c>
      <c r="I762" s="17">
        <f>'01_원자료'!P759*'03_가중치민감도'!$B$9+'01_원자료'!Q759*'03_가중치민감도'!$C$9+'01_원자료'!R759*'03_가중치민감도'!$D$9</f>
        <v>0.52758451704750908</v>
      </c>
      <c r="J762" s="17">
        <f>'01_원자료'!P759*'03_가중치민감도'!$B$10+'01_원자료'!Q759*'03_가중치민감도'!$C$10+'01_원자료'!R759*'03_가중치민감도'!$D$10</f>
        <v>0.70655515748952791</v>
      </c>
      <c r="K762" s="31">
        <f t="shared" si="66"/>
        <v>432</v>
      </c>
      <c r="L762" s="31">
        <f t="shared" si="67"/>
        <v>324</v>
      </c>
      <c r="M762" s="31">
        <f t="shared" si="68"/>
        <v>476</v>
      </c>
      <c r="N762" s="31">
        <f t="shared" si="69"/>
        <v>347</v>
      </c>
      <c r="O762" s="31">
        <f t="shared" si="70"/>
        <v>357</v>
      </c>
      <c r="P762" s="31">
        <f t="shared" si="71"/>
        <v>486</v>
      </c>
    </row>
    <row r="763" spans="1:16">
      <c r="A763" s="2" t="str">
        <f>'01_원자료'!A760</f>
        <v>RPT-20</v>
      </c>
      <c r="B763" s="2" t="str">
        <f>'01_원자료'!B760</f>
        <v>gemini</v>
      </c>
      <c r="C763" s="2" t="str">
        <f>'01_원자료'!C760</f>
        <v>qwen</v>
      </c>
      <c r="E763" s="17">
        <f>'01_원자료'!P760*'03_가중치민감도'!$B$5+'01_원자료'!Q760*'03_가중치민감도'!$C$5+'01_원자료'!R760*'03_가중치민감도'!$D$5</f>
        <v>0.65529393364113975</v>
      </c>
      <c r="F763" s="17">
        <f>'01_원자료'!P760*'03_가중치민감도'!$B$6+'01_원자료'!Q760*'03_가중치민감도'!$C$6+'01_원자료'!R760*'03_가중치민감도'!$D$6</f>
        <v>0.55816741432865558</v>
      </c>
      <c r="G763" s="17">
        <f>'01_원자료'!P760*'03_가중치민감도'!$B$7+'01_원자료'!Q760*'03_가중치민감도'!$C$7+'01_원자료'!R760*'03_가중치민감도'!$D$7</f>
        <v>0.66354317547988206</v>
      </c>
      <c r="H763" s="17">
        <f>'01_원자료'!P760*'03_가중치민감도'!$B$8+'01_원자료'!Q760*'03_가중치민감도'!$C$8+'01_원자료'!R760*'03_가중치민감도'!$D$8</f>
        <v>0.61404772444742817</v>
      </c>
      <c r="I763" s="17">
        <f>'01_원자료'!P760*'03_가중치민감도'!$B$9+'01_원자료'!Q760*'03_가중치민감도'!$C$9+'01_원자료'!R760*'03_가중치민감도'!$D$9</f>
        <v>0.5877931734865689</v>
      </c>
      <c r="J763" s="17">
        <f>'01_원자료'!P760*'03_가중치민감도'!$B$10+'01_원자료'!Q760*'03_가중치민감도'!$C$10+'01_원자료'!R760*'03_가중치민감도'!$D$10</f>
        <v>0.73592196927613918</v>
      </c>
      <c r="K763" s="31">
        <f t="shared" si="66"/>
        <v>647</v>
      </c>
      <c r="L763" s="31">
        <f t="shared" si="67"/>
        <v>631</v>
      </c>
      <c r="M763" s="31">
        <f t="shared" si="68"/>
        <v>685</v>
      </c>
      <c r="N763" s="31">
        <f t="shared" si="69"/>
        <v>532</v>
      </c>
      <c r="O763" s="31">
        <f t="shared" si="70"/>
        <v>617</v>
      </c>
      <c r="P763" s="31">
        <f t="shared" si="71"/>
        <v>606</v>
      </c>
    </row>
    <row r="764" spans="1:16">
      <c r="A764" s="2" t="str">
        <f>'01_원자료'!A761</f>
        <v>RPT-20</v>
      </c>
      <c r="B764" s="2" t="str">
        <f>'01_원자료'!B761</f>
        <v>mistral</v>
      </c>
      <c r="C764" s="2" t="str">
        <f>'01_원자료'!C761</f>
        <v>gemma</v>
      </c>
      <c r="E764" s="17">
        <f>'01_원자료'!P761*'03_가중치민감도'!$B$5+'01_원자료'!Q761*'03_가중치민감도'!$C$5+'01_원자료'!R761*'03_가중치민감도'!$D$5</f>
        <v>0.64693322132340014</v>
      </c>
      <c r="F764" s="17">
        <f>'01_원자료'!P761*'03_가중치민감도'!$B$6+'01_원자료'!Q761*'03_가중치민감도'!$C$6+'01_원자료'!R761*'03_가중치민감도'!$D$6</f>
        <v>0.55188080417971386</v>
      </c>
      <c r="G764" s="17">
        <f>'01_원자료'!P761*'03_가중치민감도'!$B$7+'01_원자료'!Q761*'03_가중치민감도'!$C$7+'01_원자료'!R761*'03_가중치민감도'!$D$7</f>
        <v>0.64752122782624766</v>
      </c>
      <c r="H764" s="17">
        <f>'01_원자료'!P761*'03_가중치민감도'!$B$8+'01_원자료'!Q761*'03_가중치민감도'!$C$8+'01_원자료'!R761*'03_가중치민감도'!$D$8</f>
        <v>0.64399318880916256</v>
      </c>
      <c r="I764" s="17">
        <f>'01_원자료'!P761*'03_가중치민감도'!$B$9+'01_원자료'!Q761*'03_가중치민감도'!$C$9+'01_원자료'!R761*'03_가중치민감도'!$D$9</f>
        <v>0.58336894105999282</v>
      </c>
      <c r="J764" s="17">
        <f>'01_원자료'!P761*'03_가중치민감도'!$B$10+'01_원자료'!Q761*'03_가중치민감도'!$C$10+'01_원자료'!R761*'03_가중치민감도'!$D$10</f>
        <v>0.74080962546139151</v>
      </c>
      <c r="K764" s="31">
        <f t="shared" si="66"/>
        <v>604</v>
      </c>
      <c r="L764" s="31">
        <f t="shared" si="67"/>
        <v>598</v>
      </c>
      <c r="M764" s="31">
        <f t="shared" si="68"/>
        <v>603</v>
      </c>
      <c r="N764" s="31">
        <f t="shared" si="69"/>
        <v>621</v>
      </c>
      <c r="O764" s="31">
        <f t="shared" si="70"/>
        <v>595</v>
      </c>
      <c r="P764" s="31">
        <f t="shared" si="71"/>
        <v>628</v>
      </c>
    </row>
    <row r="765" spans="1:16">
      <c r="A765" s="2" t="str">
        <f>'01_원자료'!A762</f>
        <v>RPT-20</v>
      </c>
      <c r="B765" s="2" t="str">
        <f>'01_원자료'!B762</f>
        <v>mistral</v>
      </c>
      <c r="C765" s="2" t="str">
        <f>'01_원자료'!C762</f>
        <v>ministral</v>
      </c>
      <c r="E765" s="17">
        <f>'01_원자료'!P762*'03_가중치민감도'!$B$5+'01_원자료'!Q762*'03_가중치민감도'!$C$5+'01_원자료'!R762*'03_가중치민감도'!$D$5</f>
        <v>0.5969661448912168</v>
      </c>
      <c r="F765" s="17">
        <f>'01_원자료'!P762*'03_가중치민감도'!$B$6+'01_원자료'!Q762*'03_가중치민감도'!$C$6+'01_원자료'!R762*'03_가중치민감도'!$D$6</f>
        <v>0.50148719331086278</v>
      </c>
      <c r="G765" s="17">
        <f>'01_원자료'!P762*'03_가중치민감도'!$B$7+'01_원자료'!Q762*'03_가중치민감도'!$C$7+'01_원자료'!R762*'03_가중치민감도'!$D$7</f>
        <v>0.60489582628620886</v>
      </c>
      <c r="H765" s="17">
        <f>'01_원자료'!P762*'03_가중치민감도'!$B$8+'01_원자료'!Q762*'03_가중치민감도'!$C$8+'01_원자료'!R762*'03_가중치민감도'!$D$8</f>
        <v>0.55731773791625716</v>
      </c>
      <c r="I765" s="17">
        <f>'01_원자료'!P762*'03_가중치민감도'!$B$9+'01_원자료'!Q762*'03_가중치민감도'!$C$9+'01_원자료'!R762*'03_가중치민감도'!$D$9</f>
        <v>0.53067028337264954</v>
      </c>
      <c r="J765" s="17">
        <f>'01_원자료'!P762*'03_가중치민감도'!$B$10+'01_원자료'!Q762*'03_가중치민감도'!$C$10+'01_원자료'!R762*'03_가중치민감도'!$D$10</f>
        <v>0.67658573368158703</v>
      </c>
      <c r="K765" s="31">
        <f t="shared" si="66"/>
        <v>382</v>
      </c>
      <c r="L765" s="31">
        <f t="shared" si="67"/>
        <v>367</v>
      </c>
      <c r="M765" s="31">
        <f t="shared" si="68"/>
        <v>391</v>
      </c>
      <c r="N765" s="31">
        <f t="shared" si="69"/>
        <v>361</v>
      </c>
      <c r="O765" s="31">
        <f t="shared" si="70"/>
        <v>374</v>
      </c>
      <c r="P765" s="31">
        <f t="shared" si="71"/>
        <v>379</v>
      </c>
    </row>
    <row r="766" spans="1:16">
      <c r="A766" s="2" t="str">
        <f>'01_원자료'!A763</f>
        <v>RPT-20</v>
      </c>
      <c r="B766" s="2" t="str">
        <f>'01_원자료'!B763</f>
        <v>mistral</v>
      </c>
      <c r="C766" s="2" t="str">
        <f>'01_원자료'!C763</f>
        <v>qwen</v>
      </c>
      <c r="E766" s="17">
        <f>'01_원자료'!P763*'03_가중치민감도'!$B$5+'01_원자료'!Q763*'03_가중치민감도'!$C$5+'01_원자료'!R763*'03_가중치민감도'!$D$5</f>
        <v>0.59587409377476863</v>
      </c>
      <c r="F766" s="17">
        <f>'01_원자료'!P763*'03_가중치민감도'!$B$6+'01_원자료'!Q763*'03_가중치민감도'!$C$6+'01_원자료'!R763*'03_가중치민감도'!$D$6</f>
        <v>0.51629448043364434</v>
      </c>
      <c r="G766" s="17">
        <f>'01_원자료'!P763*'03_가중치민감도'!$B$7+'01_원자료'!Q763*'03_가중치민감도'!$C$7+'01_원자료'!R763*'03_가중치민감도'!$D$7</f>
        <v>0.60176171641161447</v>
      </c>
      <c r="H766" s="17">
        <f>'01_원자료'!P763*'03_가중치민감도'!$B$8+'01_원자료'!Q763*'03_가중치민감도'!$C$8+'01_원자료'!R763*'03_가중치민감도'!$D$8</f>
        <v>0.5664359805905389</v>
      </c>
      <c r="I766" s="17">
        <f>'01_원자료'!P763*'03_가중치민감도'!$B$9+'01_원자료'!Q763*'03_가중치민감도'!$C$9+'01_원자료'!R763*'03_가중치민감도'!$D$9</f>
        <v>0.54085847733506986</v>
      </c>
      <c r="J766" s="17">
        <f>'01_원자료'!P763*'03_가중치민감도'!$B$10+'01_원자료'!Q763*'03_가중치민감도'!$C$10+'01_원자료'!R763*'03_가중치민감도'!$D$10</f>
        <v>0.66367846184220092</v>
      </c>
      <c r="K766" s="31">
        <f t="shared" si="66"/>
        <v>376</v>
      </c>
      <c r="L766" s="31">
        <f t="shared" si="67"/>
        <v>446</v>
      </c>
      <c r="M766" s="31">
        <f t="shared" si="68"/>
        <v>370</v>
      </c>
      <c r="N766" s="31">
        <f t="shared" si="69"/>
        <v>389</v>
      </c>
      <c r="O766" s="31">
        <f t="shared" si="70"/>
        <v>420</v>
      </c>
      <c r="P766" s="31">
        <f t="shared" si="71"/>
        <v>339</v>
      </c>
    </row>
    <row r="767" spans="1:16">
      <c r="A767" s="2" t="str">
        <f>'01_원자료'!A764</f>
        <v>RPT-20</v>
      </c>
      <c r="B767" s="2" t="str">
        <f>'01_원자료'!B764</f>
        <v>qwen3_6</v>
      </c>
      <c r="C767" s="2" t="str">
        <f>'01_원자료'!C764</f>
        <v>gemma</v>
      </c>
      <c r="E767" s="17">
        <f>'01_원자료'!P764*'03_가중치민감도'!$B$5+'01_원자료'!Q764*'03_가중치민감도'!$C$5+'01_원자료'!R764*'03_가중치민감도'!$D$5</f>
        <v>0.66892058787631492</v>
      </c>
      <c r="F767" s="17">
        <f>'01_원자료'!P764*'03_가중치민감도'!$B$6+'01_원자료'!Q764*'03_가중치민감도'!$C$6+'01_원자료'!R764*'03_가중치민감도'!$D$6</f>
        <v>0.56379735266803599</v>
      </c>
      <c r="G767" s="17">
        <f>'01_원자료'!P764*'03_가중치민감도'!$B$7+'01_원자료'!Q764*'03_가중치민감도'!$C$7+'01_원자료'!R764*'03_가중치민감도'!$D$7</f>
        <v>0.66604494539077164</v>
      </c>
      <c r="H767" s="17">
        <f>'01_원자료'!P764*'03_가중치민감도'!$B$8+'01_원자료'!Q764*'03_가중치민감도'!$C$8+'01_원자료'!R764*'03_가중치민감도'!$D$8</f>
        <v>0.68329880030403145</v>
      </c>
      <c r="I767" s="17">
        <f>'01_원자료'!P764*'03_가중치민감도'!$B$9+'01_원자료'!Q764*'03_가중치민감도'!$C$9+'01_원자료'!R764*'03_가중치민감도'!$D$9</f>
        <v>0.59979697856597625</v>
      </c>
      <c r="J767" s="17">
        <f>'01_원자료'!P764*'03_가중치민감도'!$B$10+'01_원자료'!Q764*'03_가중치민감도'!$C$10+'01_원자료'!R764*'03_가중치민감도'!$D$10</f>
        <v>0.77979510805568042</v>
      </c>
      <c r="K767" s="31">
        <f t="shared" si="66"/>
        <v>712</v>
      </c>
      <c r="L767" s="31">
        <f t="shared" si="67"/>
        <v>655</v>
      </c>
      <c r="M767" s="31">
        <f t="shared" si="68"/>
        <v>698</v>
      </c>
      <c r="N767" s="31">
        <f t="shared" si="69"/>
        <v>727</v>
      </c>
      <c r="O767" s="31">
        <f t="shared" si="70"/>
        <v>682</v>
      </c>
      <c r="P767" s="31">
        <f t="shared" si="71"/>
        <v>756</v>
      </c>
    </row>
    <row r="768" spans="1:16">
      <c r="A768" s="2" t="str">
        <f>'01_원자료'!A765</f>
        <v>RPT-20</v>
      </c>
      <c r="B768" s="2" t="str">
        <f>'01_원자료'!B765</f>
        <v>qwen3_6</v>
      </c>
      <c r="C768" s="2" t="str">
        <f>'01_원자료'!C765</f>
        <v>ministral</v>
      </c>
      <c r="E768" s="17">
        <f>'01_원자료'!P765*'03_가중치민감도'!$B$5+'01_원자료'!Q765*'03_가중치민감도'!$C$5+'01_원자료'!R765*'03_가중치민감도'!$D$5</f>
        <v>0.59316995365444103</v>
      </c>
      <c r="F768" s="17">
        <f>'01_원자료'!P765*'03_가중치민감도'!$B$6+'01_원자료'!Q765*'03_가중치민감도'!$C$6+'01_원자료'!R765*'03_가중치민감도'!$D$6</f>
        <v>0.48791412664235778</v>
      </c>
      <c r="G768" s="17">
        <f>'01_원자료'!P765*'03_가중치민감도'!$B$7+'01_원자료'!Q765*'03_가중치민감도'!$C$7+'01_원자료'!R765*'03_가중치민감도'!$D$7</f>
        <v>0.60213391868299737</v>
      </c>
      <c r="H768" s="17">
        <f>'01_원자료'!P765*'03_가중치민감도'!$B$8+'01_원자료'!Q765*'03_가중치민감도'!$C$8+'01_원자료'!R765*'03_가중치민감도'!$D$8</f>
        <v>0.54835012851165987</v>
      </c>
      <c r="I768" s="17">
        <f>'01_원자료'!P765*'03_가중치민감도'!$B$9+'01_원자료'!Q765*'03_가중치민감도'!$C$9+'01_원자료'!R765*'03_가중치민감도'!$D$9</f>
        <v>0.52001141397019968</v>
      </c>
      <c r="J768" s="17">
        <f>'01_원자료'!P765*'03_가중치민감도'!$B$10+'01_원자료'!Q765*'03_가중치민감도'!$C$10+'01_원자료'!R765*'03_가중치민감도'!$D$10</f>
        <v>0.68049785060941181</v>
      </c>
      <c r="K768" s="31">
        <f t="shared" si="66"/>
        <v>356</v>
      </c>
      <c r="L768" s="31">
        <f t="shared" si="67"/>
        <v>307</v>
      </c>
      <c r="M768" s="31">
        <f t="shared" si="68"/>
        <v>372</v>
      </c>
      <c r="N768" s="31">
        <f t="shared" si="69"/>
        <v>331</v>
      </c>
      <c r="O768" s="31">
        <f t="shared" si="70"/>
        <v>327</v>
      </c>
      <c r="P768" s="31">
        <f t="shared" si="71"/>
        <v>390</v>
      </c>
    </row>
    <row r="769" spans="1:16">
      <c r="A769" s="2" t="str">
        <f>'01_원자료'!A766</f>
        <v>RPT-20</v>
      </c>
      <c r="B769" s="2" t="str">
        <f>'01_원자료'!B766</f>
        <v>qwen3_6</v>
      </c>
      <c r="C769" s="2" t="str">
        <f>'01_원자료'!C766</f>
        <v>qwen</v>
      </c>
      <c r="E769" s="17">
        <f>'01_원자료'!P766*'03_가중치민감도'!$B$5+'01_원자료'!Q766*'03_가중치민감도'!$C$5+'01_원자료'!R766*'03_가중치민감도'!$D$5</f>
        <v>0.62739832693469155</v>
      </c>
      <c r="F769" s="17">
        <f>'01_원자료'!P766*'03_가중치민감도'!$B$6+'01_원자료'!Q766*'03_가중치민감도'!$C$6+'01_원자료'!R766*'03_가중치민감도'!$D$6</f>
        <v>0.54332835886402808</v>
      </c>
      <c r="G769" s="17">
        <f>'01_원자료'!P766*'03_가중치민감도'!$B$7+'01_원자료'!Q766*'03_가중치민감도'!$C$7+'01_원자료'!R766*'03_가중치민감도'!$D$7</f>
        <v>0.63223488894441149</v>
      </c>
      <c r="H769" s="17">
        <f>'01_원자료'!P766*'03_가중치민감도'!$B$8+'01_원자료'!Q766*'03_가중치민감도'!$C$8+'01_원자료'!R766*'03_가중치민감도'!$D$8</f>
        <v>0.60321551688609198</v>
      </c>
      <c r="I769" s="17">
        <f>'01_원자료'!P766*'03_가중치민감도'!$B$9+'01_원자료'!Q766*'03_가중치민감도'!$C$9+'01_원자료'!R766*'03_가중치민감도'!$D$9</f>
        <v>0.56973949421767534</v>
      </c>
      <c r="J769" s="17">
        <f>'01_원자료'!P766*'03_가중치민감도'!$B$10+'01_원자료'!Q766*'03_가중치민감도'!$C$10+'01_원자료'!R766*'03_가중치민감도'!$D$10</f>
        <v>0.70179517098591515</v>
      </c>
      <c r="K769" s="31">
        <f t="shared" si="66"/>
        <v>517</v>
      </c>
      <c r="L769" s="31">
        <f t="shared" si="67"/>
        <v>554</v>
      </c>
      <c r="M769" s="31">
        <f t="shared" si="68"/>
        <v>529</v>
      </c>
      <c r="N769" s="31">
        <f t="shared" si="69"/>
        <v>498</v>
      </c>
      <c r="O769" s="31">
        <f t="shared" si="70"/>
        <v>546</v>
      </c>
      <c r="P769" s="31">
        <f t="shared" si="71"/>
        <v>464</v>
      </c>
    </row>
    <row r="770" spans="1:16">
      <c r="A770" s="2" t="str">
        <f>'01_원자료'!A767</f>
        <v>RPT-21</v>
      </c>
      <c r="B770" s="2" t="str">
        <f>'01_원자료'!B767</f>
        <v>chatgpt</v>
      </c>
      <c r="C770" s="2" t="str">
        <f>'01_원자료'!C767</f>
        <v>gemma</v>
      </c>
      <c r="E770" s="17">
        <f>'01_원자료'!P767*'03_가중치민감도'!$B$5+'01_원자료'!Q767*'03_가중치민감도'!$C$5+'01_원자료'!R767*'03_가중치민감도'!$D$5</f>
        <v>0.55371475754258848</v>
      </c>
      <c r="F770" s="17">
        <f>'01_원자료'!P767*'03_가중치민감도'!$B$6+'01_원자료'!Q767*'03_가중치민감도'!$C$6+'01_원자료'!R767*'03_가중치민감도'!$D$6</f>
        <v>0.46431138921225024</v>
      </c>
      <c r="G770" s="17">
        <f>'01_원자료'!P767*'03_가중치민감도'!$B$7+'01_원자료'!Q767*'03_가중치민감도'!$C$7+'01_원자료'!R767*'03_가중치민감도'!$D$7</f>
        <v>0.56154506253129921</v>
      </c>
      <c r="H770" s="17">
        <f>'01_원자료'!P767*'03_가중치민감도'!$B$8+'01_원자료'!Q767*'03_가중치민감도'!$C$8+'01_원자료'!R767*'03_가중치민감도'!$D$8</f>
        <v>0.51456323259903514</v>
      </c>
      <c r="I770" s="17">
        <f>'01_원자료'!P767*'03_가중치민감도'!$B$9+'01_원자료'!Q767*'03_가중치민감도'!$C$9+'01_원자료'!R767*'03_가중치민감도'!$D$9</f>
        <v>0.49150241032612557</v>
      </c>
      <c r="J770" s="17">
        <f>'01_원자료'!P767*'03_가중치민감도'!$B$10+'01_원자료'!Q767*'03_가중치민감도'!$C$10+'01_원자료'!R767*'03_가중치민감도'!$D$10</f>
        <v>0.62745751589550558</v>
      </c>
      <c r="K770" s="31">
        <f t="shared" si="66"/>
        <v>222</v>
      </c>
      <c r="L770" s="31">
        <f t="shared" si="67"/>
        <v>196</v>
      </c>
      <c r="M770" s="31">
        <f t="shared" si="68"/>
        <v>203</v>
      </c>
      <c r="N770" s="31">
        <f t="shared" si="69"/>
        <v>251</v>
      </c>
      <c r="O770" s="31">
        <f t="shared" si="70"/>
        <v>208</v>
      </c>
      <c r="P770" s="31">
        <f t="shared" si="71"/>
        <v>257</v>
      </c>
    </row>
    <row r="771" spans="1:16">
      <c r="A771" s="2" t="str">
        <f>'01_원자료'!A768</f>
        <v>RPT-21</v>
      </c>
      <c r="B771" s="2" t="str">
        <f>'01_원자료'!B768</f>
        <v>chatgpt</v>
      </c>
      <c r="C771" s="2" t="str">
        <f>'01_원자료'!C768</f>
        <v>ministral</v>
      </c>
      <c r="E771" s="17">
        <f>'01_원자료'!P768*'03_가중치민감도'!$B$5+'01_원자료'!Q768*'03_가중치민감도'!$C$5+'01_원자료'!R768*'03_가중치민감도'!$D$5</f>
        <v>0.54398529646864313</v>
      </c>
      <c r="F771" s="17">
        <f>'01_원자료'!P768*'03_가중치민감도'!$B$6+'01_원자료'!Q768*'03_가중치민감도'!$C$6+'01_원자료'!R768*'03_가중치민감도'!$D$6</f>
        <v>0.44827409827049308</v>
      </c>
      <c r="G771" s="17">
        <f>'01_원자료'!P768*'03_가중치민감도'!$B$7+'01_원자료'!Q768*'03_가중치민감도'!$C$7+'01_원자료'!R768*'03_가중치민감도'!$D$7</f>
        <v>0.55705556905804543</v>
      </c>
      <c r="H771" s="17">
        <f>'01_원자료'!P768*'03_가중치민감도'!$B$8+'01_원자료'!Q768*'03_가중치민감도'!$C$8+'01_원자료'!R768*'03_가중치민감도'!$D$8</f>
        <v>0.47863393352163114</v>
      </c>
      <c r="I771" s="17">
        <f>'01_원자료'!P768*'03_가중치민감도'!$B$9+'01_원자료'!Q768*'03_가중치민감도'!$C$9+'01_원자료'!R768*'03_가중치민감도'!$D$9</f>
        <v>0.47582107347340841</v>
      </c>
      <c r="J771" s="17">
        <f>'01_원자료'!P768*'03_가중치민감도'!$B$10+'01_원자료'!Q768*'03_가중치민감도'!$C$10+'01_원자료'!R768*'03_가중치민감도'!$D$10</f>
        <v>0.61355594948798831</v>
      </c>
      <c r="K771" s="31">
        <f t="shared" si="66"/>
        <v>182</v>
      </c>
      <c r="L771" s="31">
        <f t="shared" si="67"/>
        <v>132</v>
      </c>
      <c r="M771" s="31">
        <f t="shared" si="68"/>
        <v>190</v>
      </c>
      <c r="N771" s="31">
        <f t="shared" si="69"/>
        <v>170</v>
      </c>
      <c r="O771" s="31">
        <f t="shared" si="70"/>
        <v>155</v>
      </c>
      <c r="P771" s="31">
        <f t="shared" si="71"/>
        <v>222</v>
      </c>
    </row>
    <row r="772" spans="1:16">
      <c r="A772" s="2" t="str">
        <f>'01_원자료'!A769</f>
        <v>RPT-21</v>
      </c>
      <c r="B772" s="2" t="str">
        <f>'01_원자료'!B769</f>
        <v>chatgpt</v>
      </c>
      <c r="C772" s="2" t="str">
        <f>'01_원자료'!C769</f>
        <v>qwen</v>
      </c>
      <c r="E772" s="17">
        <f>'01_원자료'!P769*'03_가중치민감도'!$B$5+'01_원자료'!Q769*'03_가중치민감도'!$C$5+'01_원자료'!R769*'03_가중치민감도'!$D$5</f>
        <v>0.57843222548934248</v>
      </c>
      <c r="F772" s="17">
        <f>'01_원자료'!P769*'03_가중치민감도'!$B$6+'01_원자료'!Q769*'03_가중치민감도'!$C$6+'01_원자료'!R769*'03_가중치민감도'!$D$6</f>
        <v>0.50495748541958774</v>
      </c>
      <c r="G772" s="17">
        <f>'01_원자료'!P769*'03_가중치민감도'!$B$7+'01_원자료'!Q769*'03_가중치민감도'!$C$7+'01_원자료'!R769*'03_가중치민감도'!$D$7</f>
        <v>0.58474017647429688</v>
      </c>
      <c r="H772" s="17">
        <f>'01_원자료'!P769*'03_가중치민감도'!$B$8+'01_원자료'!Q769*'03_가중치민감도'!$C$8+'01_원자료'!R769*'03_가중치민감도'!$D$8</f>
        <v>0.54689247056457013</v>
      </c>
      <c r="I772" s="17">
        <f>'01_원자료'!P769*'03_가중치민감도'!$B$9+'01_원자료'!Q769*'03_가중치민감도'!$C$9+'01_원자료'!R769*'03_가중치민감도'!$D$9</f>
        <v>0.52734641511452063</v>
      </c>
      <c r="J772" s="17">
        <f>'01_원자료'!P769*'03_가중치민감도'!$B$10+'01_원자료'!Q769*'03_가중치민감도'!$C$10+'01_원자료'!R769*'03_가중치민감도'!$D$10</f>
        <v>0.63929106358918819</v>
      </c>
      <c r="K772" s="31">
        <f t="shared" si="66"/>
        <v>316</v>
      </c>
      <c r="L772" s="31">
        <f t="shared" si="67"/>
        <v>389</v>
      </c>
      <c r="M772" s="31">
        <f t="shared" si="68"/>
        <v>314</v>
      </c>
      <c r="N772" s="31">
        <f t="shared" si="69"/>
        <v>328</v>
      </c>
      <c r="O772" s="31">
        <f t="shared" si="70"/>
        <v>355</v>
      </c>
      <c r="P772" s="31">
        <f t="shared" si="71"/>
        <v>286</v>
      </c>
    </row>
    <row r="773" spans="1:16">
      <c r="A773" s="2" t="str">
        <f>'01_원자료'!A770</f>
        <v>RPT-21</v>
      </c>
      <c r="B773" s="2" t="str">
        <f>'01_원자료'!B770</f>
        <v>claude</v>
      </c>
      <c r="C773" s="2" t="str">
        <f>'01_원자료'!C770</f>
        <v>gemma</v>
      </c>
      <c r="E773" s="17">
        <f>'01_원자료'!P770*'03_가중치민감도'!$B$5+'01_원자료'!Q770*'03_가중치민감도'!$C$5+'01_원자료'!R770*'03_가중치민감도'!$D$5</f>
        <v>0.59569190049025078</v>
      </c>
      <c r="F773" s="17">
        <f>'01_원자료'!P770*'03_가중치민감도'!$B$6+'01_원자료'!Q770*'03_가중치민감도'!$C$6+'01_원자료'!R770*'03_가중치민감도'!$D$6</f>
        <v>0.49906798350002024</v>
      </c>
      <c r="G773" s="17">
        <f>'01_원자료'!P770*'03_가중치민감도'!$B$7+'01_원자료'!Q770*'03_가중치민감도'!$C$7+'01_원자료'!R770*'03_가중치민감도'!$D$7</f>
        <v>0.59782023567406328</v>
      </c>
      <c r="H773" s="17">
        <f>'01_원자료'!P770*'03_가중치민감도'!$B$8+'01_원자료'!Q770*'03_가중치민감도'!$C$8+'01_원자료'!R770*'03_가중치민감도'!$D$8</f>
        <v>0.58505022457118816</v>
      </c>
      <c r="I773" s="17">
        <f>'01_원자료'!P770*'03_가중치민감도'!$B$9+'01_원자료'!Q770*'03_가중치민감도'!$C$9+'01_원자료'!R770*'03_가중치민감도'!$D$9</f>
        <v>0.53056651076882555</v>
      </c>
      <c r="J773" s="17">
        <f>'01_원자료'!P770*'03_가중치민감도'!$B$10+'01_원자료'!Q770*'03_가중치민감도'!$C$10+'01_원자료'!R770*'03_가중치민감도'!$D$10</f>
        <v>0.68805914711285632</v>
      </c>
      <c r="K773" s="31">
        <f t="shared" ref="K773:K836" si="72">COUNTIF($E$5:$E$979,"&lt;"&amp;E773)+(COUNTIF($E$5:$E$979,"="&amp;E773)+1)/2</f>
        <v>372</v>
      </c>
      <c r="L773" s="31">
        <f t="shared" ref="L773:L836" si="73">COUNTIF($F$5:$F$979,"&lt;"&amp;F773)+(COUNTIF($F$5:$F$979,"="&amp;F773)+1)/2</f>
        <v>361</v>
      </c>
      <c r="M773" s="31">
        <f t="shared" ref="M773:M836" si="74">COUNTIF($G$5:$G$979,"&lt;"&amp;G773)+(COUNTIF($G$5:$G$979,"="&amp;G773)+1)/2</f>
        <v>355</v>
      </c>
      <c r="N773" s="31">
        <f t="shared" ref="N773:N836" si="75">COUNTIF($H$5:$H$979,"&lt;"&amp;H773)+(COUNTIF($H$5:$H$979,"="&amp;H773)+1)/2</f>
        <v>449</v>
      </c>
      <c r="O773" s="31">
        <f t="shared" ref="O773:O836" si="76">COUNTIF($I$5:$I$979,"&lt;"&amp;I773)+(COUNTIF($I$5:$I$979,"="&amp;I773)+1)/2</f>
        <v>373</v>
      </c>
      <c r="P773" s="31">
        <f t="shared" ref="P773:P836" si="77">COUNTIF($J$5:$J$979,"&lt;"&amp;J773)+(COUNTIF($J$5:$J$979,"="&amp;J773)+1)/2</f>
        <v>420</v>
      </c>
    </row>
    <row r="774" spans="1:16">
      <c r="A774" s="2" t="str">
        <f>'01_원자료'!A771</f>
        <v>RPT-21</v>
      </c>
      <c r="B774" s="2" t="str">
        <f>'01_원자료'!B771</f>
        <v>claude</v>
      </c>
      <c r="C774" s="2" t="str">
        <f>'01_원자료'!C771</f>
        <v>ministral</v>
      </c>
      <c r="E774" s="17">
        <f>'01_원자료'!P771*'03_가중치민감도'!$B$5+'01_원자료'!Q771*'03_가중치민감도'!$C$5+'01_원자료'!R771*'03_가중치민감도'!$D$5</f>
        <v>0.60670911645702497</v>
      </c>
      <c r="F774" s="17">
        <f>'01_원자료'!P771*'03_가중치민감도'!$B$6+'01_원자료'!Q771*'03_가중치민감도'!$C$6+'01_원자료'!R771*'03_가중치민감도'!$D$6</f>
        <v>0.50758655072267689</v>
      </c>
      <c r="G774" s="17">
        <f>'01_원자료'!P771*'03_가중치민감도'!$B$7+'01_원자료'!Q771*'03_가중치민감도'!$C$7+'01_원자료'!R771*'03_가중치민감도'!$D$7</f>
        <v>0.60713620496492282</v>
      </c>
      <c r="H774" s="17">
        <f>'01_원자료'!P771*'03_가중치민감도'!$B$8+'01_원자료'!Q771*'03_가중치민감도'!$C$8+'01_원자료'!R771*'03_가중치민감도'!$D$8</f>
        <v>0.60457367391753558</v>
      </c>
      <c r="I774" s="17">
        <f>'01_원자료'!P771*'03_가중치민감도'!$B$9+'01_원자료'!Q771*'03_가중치민감도'!$C$9+'01_원자료'!R771*'03_가중치민감도'!$D$9</f>
        <v>0.54048504313149304</v>
      </c>
      <c r="J774" s="17">
        <f>'01_원자료'!P771*'03_가중치민감도'!$B$10+'01_원자료'!Q771*'03_가중치민감도'!$C$10+'01_원자료'!R771*'03_가중치민감도'!$D$10</f>
        <v>0.70497750517557711</v>
      </c>
      <c r="K774" s="31">
        <f t="shared" si="72"/>
        <v>417</v>
      </c>
      <c r="L774" s="31">
        <f t="shared" si="73"/>
        <v>405</v>
      </c>
      <c r="M774" s="31">
        <f t="shared" si="74"/>
        <v>403</v>
      </c>
      <c r="N774" s="31">
        <f t="shared" si="75"/>
        <v>502</v>
      </c>
      <c r="O774" s="31">
        <f t="shared" si="76"/>
        <v>418</v>
      </c>
      <c r="P774" s="31">
        <f t="shared" si="77"/>
        <v>480</v>
      </c>
    </row>
    <row r="775" spans="1:16">
      <c r="A775" s="2" t="str">
        <f>'01_원자료'!A772</f>
        <v>RPT-21</v>
      </c>
      <c r="B775" s="2" t="str">
        <f>'01_원자료'!B772</f>
        <v>claude</v>
      </c>
      <c r="C775" s="2" t="str">
        <f>'01_원자료'!C772</f>
        <v>qwen</v>
      </c>
      <c r="E775" s="17">
        <f>'01_원자료'!P772*'03_가중치민감도'!$B$5+'01_원자료'!Q772*'03_가중치민감도'!$C$5+'01_원자료'!R772*'03_가중치민감도'!$D$5</f>
        <v>0.62162427989592084</v>
      </c>
      <c r="F775" s="17">
        <f>'01_원자료'!P772*'03_가중치민감도'!$B$6+'01_원자료'!Q772*'03_가중치민감도'!$C$6+'01_원자료'!R772*'03_가중치민감도'!$D$6</f>
        <v>0.52744875579592065</v>
      </c>
      <c r="G775" s="17">
        <f>'01_원자료'!P772*'03_가중치민감도'!$B$7+'01_원자료'!Q772*'03_가중치민감도'!$C$7+'01_원자료'!R772*'03_가중치민감도'!$D$7</f>
        <v>0.61844518884292898</v>
      </c>
      <c r="H775" s="17">
        <f>'01_원자료'!P772*'03_가중치민감도'!$B$8+'01_원자료'!Q772*'03_가중치민감도'!$C$8+'01_원자료'!R772*'03_가중치민감도'!$D$8</f>
        <v>0.63751973516088012</v>
      </c>
      <c r="I775" s="17">
        <f>'01_원자료'!P772*'03_가중치민감도'!$B$9+'01_원자료'!Q772*'03_가중치민감도'!$C$9+'01_원자료'!R772*'03_가중치민감도'!$D$9</f>
        <v>0.55990029418025078</v>
      </c>
      <c r="J775" s="17">
        <f>'01_원자료'!P772*'03_가중치민감도'!$B$10+'01_원자료'!Q772*'03_가중치민감도'!$C$10+'01_원자료'!R772*'03_가중치민감도'!$D$10</f>
        <v>0.72215798610190474</v>
      </c>
      <c r="K775" s="31">
        <f t="shared" si="72"/>
        <v>497</v>
      </c>
      <c r="L775" s="31">
        <f t="shared" si="73"/>
        <v>487</v>
      </c>
      <c r="M775" s="31">
        <f t="shared" si="74"/>
        <v>458</v>
      </c>
      <c r="N775" s="31">
        <f t="shared" si="75"/>
        <v>598</v>
      </c>
      <c r="O775" s="31">
        <f t="shared" si="76"/>
        <v>500</v>
      </c>
      <c r="P775" s="31">
        <f t="shared" si="77"/>
        <v>556</v>
      </c>
    </row>
    <row r="776" spans="1:16">
      <c r="A776" s="2" t="str">
        <f>'01_원자료'!A773</f>
        <v>RPT-21</v>
      </c>
      <c r="B776" s="2" t="str">
        <f>'01_원자료'!B773</f>
        <v>gemini</v>
      </c>
      <c r="C776" s="2" t="str">
        <f>'01_원자료'!C773</f>
        <v>gemma</v>
      </c>
      <c r="E776" s="17">
        <f>'01_원자료'!P773*'03_가중치민감도'!$B$5+'01_원자료'!Q773*'03_가중치민감도'!$C$5+'01_원자료'!R773*'03_가중치민감도'!$D$5</f>
        <v>0.68274374671095006</v>
      </c>
      <c r="F776" s="17">
        <f>'01_원자료'!P773*'03_가중치민감도'!$B$6+'01_원자료'!Q773*'03_가중치민감도'!$C$6+'01_원자료'!R773*'03_가중치민감도'!$D$6</f>
        <v>0.57085814132655965</v>
      </c>
      <c r="G776" s="17">
        <f>'01_원자료'!P773*'03_가중치민감도'!$B$7+'01_원자료'!Q773*'03_가중치민감도'!$C$7+'01_원자료'!R773*'03_가중치민감도'!$D$7</f>
        <v>0.68158356497630224</v>
      </c>
      <c r="H776" s="17">
        <f>'01_원자료'!P773*'03_가중치민감도'!$B$8+'01_원자료'!Q773*'03_가중치민감도'!$C$8+'01_원자료'!R773*'03_가중치민감도'!$D$8</f>
        <v>0.68854465538418874</v>
      </c>
      <c r="I776" s="17">
        <f>'01_원자료'!P773*'03_가중치민감도'!$B$9+'01_원자료'!Q773*'03_가중치민감도'!$C$9+'01_원자료'!R773*'03_가중치민감도'!$D$9</f>
        <v>0.60854007036623847</v>
      </c>
      <c r="J776" s="17">
        <f>'01_원자료'!P773*'03_가중치민감도'!$B$10+'01_원자료'!Q773*'03_가중치민감도'!$C$10+'01_원자료'!R773*'03_가중치민감도'!$D$10</f>
        <v>0.7969497155646359</v>
      </c>
      <c r="K776" s="31">
        <f t="shared" si="72"/>
        <v>765</v>
      </c>
      <c r="L776" s="31">
        <f t="shared" si="73"/>
        <v>698</v>
      </c>
      <c r="M776" s="31">
        <f t="shared" si="74"/>
        <v>769</v>
      </c>
      <c r="N776" s="31">
        <f t="shared" si="75"/>
        <v>743</v>
      </c>
      <c r="O776" s="31">
        <f t="shared" si="76"/>
        <v>725</v>
      </c>
      <c r="P776" s="31">
        <f t="shared" si="77"/>
        <v>801</v>
      </c>
    </row>
    <row r="777" spans="1:16">
      <c r="A777" s="2" t="str">
        <f>'01_원자료'!A774</f>
        <v>RPT-21</v>
      </c>
      <c r="B777" s="2" t="str">
        <f>'01_원자료'!B774</f>
        <v>gemini</v>
      </c>
      <c r="C777" s="2" t="str">
        <f>'01_원자료'!C774</f>
        <v>ministral</v>
      </c>
      <c r="E777" s="17">
        <f>'01_원자료'!P774*'03_가중치민감도'!$B$5+'01_원자료'!Q774*'03_가중치민감도'!$C$5+'01_원자료'!R774*'03_가중치민감도'!$D$5</f>
        <v>0.61147869355524054</v>
      </c>
      <c r="F777" s="17">
        <f>'01_원자료'!P774*'03_가중치민감도'!$B$6+'01_원자료'!Q774*'03_가중치민감도'!$C$6+'01_원자료'!R774*'03_가중치민감도'!$D$6</f>
        <v>0.50298832555003237</v>
      </c>
      <c r="G777" s="17">
        <f>'01_원자료'!P774*'03_가중치민감도'!$B$7+'01_원자료'!Q774*'03_가중치민감도'!$C$7+'01_원자료'!R774*'03_가중치민감도'!$D$7</f>
        <v>0.61977162011077547</v>
      </c>
      <c r="H777" s="17">
        <f>'01_원자료'!P774*'03_가중치민감도'!$B$8+'01_원자료'!Q774*'03_가중치민감도'!$C$8+'01_원자료'!R774*'03_가중치민감도'!$D$8</f>
        <v>0.57001406077756611</v>
      </c>
      <c r="I777" s="17">
        <f>'01_원자료'!P774*'03_가중치민감도'!$B$9+'01_원자료'!Q774*'03_가중치민감도'!$C$9+'01_원자료'!R774*'03_가중치민감도'!$D$9</f>
        <v>0.53638747269992293</v>
      </c>
      <c r="J777" s="17">
        <f>'01_원자료'!P774*'03_가중치민감도'!$B$10+'01_원자료'!Q774*'03_가중치민감도'!$C$10+'01_원자료'!R774*'03_가중치민감도'!$D$10</f>
        <v>0.70338320844937896</v>
      </c>
      <c r="K777" s="31">
        <f t="shared" si="72"/>
        <v>439</v>
      </c>
      <c r="L777" s="31">
        <f t="shared" si="73"/>
        <v>375</v>
      </c>
      <c r="M777" s="31">
        <f t="shared" si="74"/>
        <v>466</v>
      </c>
      <c r="N777" s="31">
        <f t="shared" si="75"/>
        <v>399</v>
      </c>
      <c r="O777" s="31">
        <f t="shared" si="76"/>
        <v>396</v>
      </c>
      <c r="P777" s="31">
        <f t="shared" si="77"/>
        <v>475</v>
      </c>
    </row>
    <row r="778" spans="1:16">
      <c r="A778" s="2" t="str">
        <f>'01_원자료'!A775</f>
        <v>RPT-21</v>
      </c>
      <c r="B778" s="2" t="str">
        <f>'01_원자료'!B775</f>
        <v>gemini</v>
      </c>
      <c r="C778" s="2" t="str">
        <f>'01_원자료'!C775</f>
        <v>qwen</v>
      </c>
      <c r="E778" s="17">
        <f>'01_원자료'!P775*'03_가중치민감도'!$B$5+'01_원자료'!Q775*'03_가중치민감도'!$C$5+'01_원자료'!R775*'03_가중치민감도'!$D$5</f>
        <v>0.76318840401705601</v>
      </c>
      <c r="F778" s="17">
        <f>'01_원자료'!P775*'03_가중치민감도'!$B$6+'01_원자료'!Q775*'03_가중치민감도'!$C$6+'01_원자료'!R775*'03_가중치민감도'!$D$6</f>
        <v>0.66112089892017067</v>
      </c>
      <c r="G778" s="17">
        <f>'01_원자료'!P775*'03_가중치민감도'!$B$7+'01_원자료'!Q775*'03_가중치민감도'!$C$7+'01_원자료'!R775*'03_가중치민감도'!$D$7</f>
        <v>0.75687059858928907</v>
      </c>
      <c r="H778" s="17">
        <f>'01_원자료'!P775*'03_가중치민감도'!$B$8+'01_원자료'!Q775*'03_가중치민감도'!$C$8+'01_원자료'!R775*'03_가중치민감도'!$D$8</f>
        <v>0.79477743115589061</v>
      </c>
      <c r="I778" s="17">
        <f>'01_원자료'!P775*'03_가중치민감도'!$B$9+'01_원자료'!Q775*'03_가중치민감도'!$C$9+'01_원자료'!R775*'03_가중치민감도'!$D$9</f>
        <v>0.69724933576172077</v>
      </c>
      <c r="J778" s="17">
        <f>'01_원자료'!P775*'03_가중치민감도'!$B$10+'01_원자료'!Q775*'03_가중치민감도'!$C$10+'01_원자료'!R775*'03_가중치민감도'!$D$10</f>
        <v>0.87789151996947512</v>
      </c>
      <c r="K778" s="31">
        <f t="shared" si="72"/>
        <v>969</v>
      </c>
      <c r="L778" s="31">
        <f t="shared" si="73"/>
        <v>962</v>
      </c>
      <c r="M778" s="31">
        <f t="shared" si="74"/>
        <v>970</v>
      </c>
      <c r="N778" s="31">
        <f t="shared" si="75"/>
        <v>964</v>
      </c>
      <c r="O778" s="31">
        <f t="shared" si="76"/>
        <v>964</v>
      </c>
      <c r="P778" s="31">
        <f t="shared" si="77"/>
        <v>962</v>
      </c>
    </row>
    <row r="779" spans="1:16">
      <c r="A779" s="2" t="str">
        <f>'01_원자료'!A776</f>
        <v>RPT-21</v>
      </c>
      <c r="B779" s="2" t="str">
        <f>'01_원자료'!B776</f>
        <v>mistral</v>
      </c>
      <c r="C779" s="2" t="str">
        <f>'01_원자료'!C776</f>
        <v>gemma</v>
      </c>
      <c r="E779" s="17">
        <f>'01_원자료'!P776*'03_가중치민감도'!$B$5+'01_원자료'!Q776*'03_가중치민감도'!$C$5+'01_원자료'!R776*'03_가중치민감도'!$D$5</f>
        <v>0.65163425740760472</v>
      </c>
      <c r="F779" s="17">
        <f>'01_원자료'!P776*'03_가중치민감도'!$B$6+'01_원자료'!Q776*'03_가중치민감도'!$C$6+'01_원자료'!R776*'03_가중치민감도'!$D$6</f>
        <v>0.54741596031933604</v>
      </c>
      <c r="G779" s="17">
        <f>'01_원자료'!P776*'03_가중치민감도'!$B$7+'01_원자료'!Q776*'03_가중치민감도'!$C$7+'01_원자료'!R776*'03_가중치민감도'!$D$7</f>
        <v>0.65044608724353625</v>
      </c>
      <c r="H779" s="17">
        <f>'01_원자료'!P776*'03_가중치민감도'!$B$8+'01_원자료'!Q776*'03_가중치민감도'!$C$8+'01_원자료'!R776*'03_가중치민감도'!$D$8</f>
        <v>0.65757510822794685</v>
      </c>
      <c r="I779" s="17">
        <f>'01_원자료'!P776*'03_가중치민감도'!$B$9+'01_원자료'!Q776*'03_가중치민감도'!$C$9+'01_원자료'!R776*'03_가중치민감도'!$D$9</f>
        <v>0.58255144940344783</v>
      </c>
      <c r="J779" s="17">
        <f>'01_원자료'!P776*'03_가중치민감도'!$B$10+'01_원자료'!Q776*'03_가중치민감도'!$C$10+'01_원자료'!R776*'03_가중치민감도'!$D$10</f>
        <v>0.75822889482401012</v>
      </c>
      <c r="K779" s="31">
        <f t="shared" si="72"/>
        <v>626</v>
      </c>
      <c r="L779" s="31">
        <f t="shared" si="73"/>
        <v>575</v>
      </c>
      <c r="M779" s="31">
        <f t="shared" si="74"/>
        <v>618</v>
      </c>
      <c r="N779" s="31">
        <f t="shared" si="75"/>
        <v>657</v>
      </c>
      <c r="O779" s="31">
        <f t="shared" si="76"/>
        <v>589</v>
      </c>
      <c r="P779" s="31">
        <f t="shared" si="77"/>
        <v>688</v>
      </c>
    </row>
    <row r="780" spans="1:16">
      <c r="A780" s="2" t="str">
        <f>'01_원자료'!A777</f>
        <v>RPT-21</v>
      </c>
      <c r="B780" s="2" t="str">
        <f>'01_원자료'!B777</f>
        <v>mistral</v>
      </c>
      <c r="C780" s="2" t="str">
        <f>'01_원자료'!C777</f>
        <v>ministral</v>
      </c>
      <c r="E780" s="17">
        <f>'01_원자료'!P777*'03_가중치민감도'!$B$5+'01_원자료'!Q777*'03_가중치민감도'!$C$5+'01_원자료'!R777*'03_가중치민감도'!$D$5</f>
        <v>0.5894127572379525</v>
      </c>
      <c r="F780" s="17">
        <f>'01_원자료'!P777*'03_가중치민감도'!$B$6+'01_원자료'!Q777*'03_가중치민감도'!$C$6+'01_원자료'!R777*'03_가중치민감도'!$D$6</f>
        <v>0.49135123725653834</v>
      </c>
      <c r="G780" s="17">
        <f>'01_원자료'!P777*'03_가중치민감도'!$B$7+'01_원자료'!Q777*'03_가중치민감도'!$C$7+'01_원자료'!R777*'03_가중치민감도'!$D$7</f>
        <v>0.5968796077863201</v>
      </c>
      <c r="H780" s="17">
        <f>'01_원자료'!P777*'03_가중치민감도'!$B$8+'01_원자료'!Q777*'03_가중치민감도'!$C$8+'01_원자료'!R777*'03_가중치민감도'!$D$8</f>
        <v>0.5520785044961144</v>
      </c>
      <c r="I780" s="17">
        <f>'01_원자료'!P777*'03_가중치민감도'!$B$9+'01_원자료'!Q777*'03_가중치민감도'!$C$9+'01_원자료'!R777*'03_가중치민감도'!$D$9</f>
        <v>0.52154946040088668</v>
      </c>
      <c r="J780" s="17">
        <f>'01_원자료'!P777*'03_가중치민감도'!$B$10+'01_원자료'!Q777*'03_가중치민감도'!$C$10+'01_원자료'!R777*'03_가중치민감도'!$D$10</f>
        <v>0.67254057612263152</v>
      </c>
      <c r="K780" s="31">
        <f t="shared" si="72"/>
        <v>351</v>
      </c>
      <c r="L780" s="31">
        <f t="shared" si="73"/>
        <v>320</v>
      </c>
      <c r="M780" s="31">
        <f t="shared" si="74"/>
        <v>350</v>
      </c>
      <c r="N780" s="31">
        <f t="shared" si="75"/>
        <v>345</v>
      </c>
      <c r="O780" s="31">
        <f t="shared" si="76"/>
        <v>333</v>
      </c>
      <c r="P780" s="31">
        <f t="shared" si="77"/>
        <v>361</v>
      </c>
    </row>
    <row r="781" spans="1:16">
      <c r="A781" s="2" t="str">
        <f>'01_원자료'!A778</f>
        <v>RPT-21</v>
      </c>
      <c r="B781" s="2" t="str">
        <f>'01_원자료'!B778</f>
        <v>mistral</v>
      </c>
      <c r="C781" s="2" t="str">
        <f>'01_원자료'!C778</f>
        <v>qwen</v>
      </c>
      <c r="E781" s="17">
        <f>'01_원자료'!P778*'03_가중치민감도'!$B$5+'01_원자료'!Q778*'03_가중치민감도'!$C$5+'01_원자료'!R778*'03_가중치민감도'!$D$5</f>
        <v>0.6840728667367999</v>
      </c>
      <c r="F781" s="17">
        <f>'01_원자료'!P778*'03_가중치민감도'!$B$6+'01_원자료'!Q778*'03_가중치민감도'!$C$6+'01_원자료'!R778*'03_가중치민감도'!$D$6</f>
        <v>0.60011584968161014</v>
      </c>
      <c r="G781" s="17">
        <f>'01_원자료'!P778*'03_가중치민감도'!$B$7+'01_원자료'!Q778*'03_가중치민감도'!$C$7+'01_원자료'!R778*'03_가중치민감도'!$D$7</f>
        <v>0.67889970699479607</v>
      </c>
      <c r="H781" s="17">
        <f>'01_원자료'!P778*'03_가중치민감도'!$B$8+'01_원자료'!Q778*'03_가중치민감도'!$C$8+'01_원자료'!R778*'03_가중치민감도'!$D$8</f>
        <v>0.70993866544681916</v>
      </c>
      <c r="I781" s="17">
        <f>'01_원자료'!P778*'03_가중치민감도'!$B$9+'01_원자료'!Q778*'03_가중치민감도'!$C$9+'01_원자료'!R778*'03_가중치민감도'!$D$9</f>
        <v>0.62982590861400745</v>
      </c>
      <c r="J781" s="17">
        <f>'01_원자료'!P778*'03_가중치민감도'!$B$10+'01_원자료'!Q778*'03_가중치민감도'!$C$10+'01_원자료'!R778*'03_가중치민감도'!$D$10</f>
        <v>0.77837620327599744</v>
      </c>
      <c r="K781" s="31">
        <f t="shared" si="72"/>
        <v>768</v>
      </c>
      <c r="L781" s="31">
        <f t="shared" si="73"/>
        <v>813</v>
      </c>
      <c r="M781" s="31">
        <f t="shared" si="74"/>
        <v>757</v>
      </c>
      <c r="N781" s="31">
        <f t="shared" si="75"/>
        <v>810</v>
      </c>
      <c r="O781" s="31">
        <f t="shared" si="76"/>
        <v>790</v>
      </c>
      <c r="P781" s="31">
        <f t="shared" si="77"/>
        <v>750</v>
      </c>
    </row>
    <row r="782" spans="1:16">
      <c r="A782" s="2" t="str">
        <f>'01_원자료'!A779</f>
        <v>RPT-21</v>
      </c>
      <c r="B782" s="2" t="str">
        <f>'01_원자료'!B779</f>
        <v>qwen3_6</v>
      </c>
      <c r="C782" s="2" t="str">
        <f>'01_원자료'!C779</f>
        <v>gemma</v>
      </c>
      <c r="E782" s="17">
        <f>'01_원자료'!P779*'03_가중치민감도'!$B$5+'01_원자료'!Q779*'03_가중치민감도'!$C$5+'01_원자료'!R779*'03_가중치민감도'!$D$5</f>
        <v>0.66879416396658864</v>
      </c>
      <c r="F782" s="17">
        <f>'01_원자료'!P779*'03_가중치민감도'!$B$6+'01_원자료'!Q779*'03_가중치민감도'!$C$6+'01_원자료'!R779*'03_가중치민감도'!$D$6</f>
        <v>0.56392835074781744</v>
      </c>
      <c r="G782" s="17">
        <f>'01_원자료'!P779*'03_가중치민감도'!$B$7+'01_원자료'!Q779*'03_가중치민감도'!$C$7+'01_원자료'!R779*'03_가중치민감도'!$D$7</f>
        <v>0.66588653432277578</v>
      </c>
      <c r="H782" s="17">
        <f>'01_원자료'!P779*'03_가중치민감도'!$B$8+'01_원자료'!Q779*'03_가중치민감도'!$C$8+'01_원자료'!R779*'03_가중치민감도'!$D$8</f>
        <v>0.6833323121856526</v>
      </c>
      <c r="I782" s="17">
        <f>'01_원자료'!P779*'03_가중치민감도'!$B$9+'01_원자료'!Q779*'03_가중치민감도'!$C$9+'01_원자료'!R779*'03_가중치민감도'!$D$9</f>
        <v>0.59985283170201142</v>
      </c>
      <c r="J782" s="17">
        <f>'01_원자료'!P779*'03_가중치민감도'!$B$10+'01_원자료'!Q779*'03_가중치민감도'!$C$10+'01_원자료'!R779*'03_가중치민감도'!$D$10</f>
        <v>0.77947523647298533</v>
      </c>
      <c r="K782" s="31">
        <f t="shared" si="72"/>
        <v>711</v>
      </c>
      <c r="L782" s="31">
        <f t="shared" si="73"/>
        <v>657</v>
      </c>
      <c r="M782" s="31">
        <f t="shared" si="74"/>
        <v>696</v>
      </c>
      <c r="N782" s="31">
        <f t="shared" si="75"/>
        <v>728</v>
      </c>
      <c r="O782" s="31">
        <f t="shared" si="76"/>
        <v>683</v>
      </c>
      <c r="P782" s="31">
        <f t="shared" si="77"/>
        <v>753</v>
      </c>
    </row>
    <row r="783" spans="1:16">
      <c r="A783" s="2" t="str">
        <f>'01_원자료'!A780</f>
        <v>RPT-21</v>
      </c>
      <c r="B783" s="2" t="str">
        <f>'01_원자료'!B780</f>
        <v>qwen3_6</v>
      </c>
      <c r="C783" s="2" t="str">
        <f>'01_원자료'!C780</f>
        <v>ministral</v>
      </c>
      <c r="E783" s="17">
        <f>'01_원자료'!P780*'03_가중치민감도'!$B$5+'01_원자료'!Q780*'03_가중치민감도'!$C$5+'01_원자료'!R780*'03_가중치민감도'!$D$5</f>
        <v>0.58687644502993497</v>
      </c>
      <c r="F783" s="17">
        <f>'01_원자료'!P780*'03_가중치민감도'!$B$6+'01_원자료'!Q780*'03_가중치민감도'!$C$6+'01_원자료'!R780*'03_가중치민감도'!$D$6</f>
        <v>0.48114280301561685</v>
      </c>
      <c r="G783" s="17">
        <f>'01_원자료'!P780*'03_가중치민감도'!$B$7+'01_원자료'!Q780*'03_가중치민감도'!$C$7+'01_원자료'!R780*'03_가중치민감도'!$D$7</f>
        <v>0.59288945704245366</v>
      </c>
      <c r="H783" s="17">
        <f>'01_원자료'!P780*'03_가중치민감도'!$B$8+'01_원자료'!Q780*'03_가중치민감도'!$C$8+'01_원자료'!R780*'03_가중치민감도'!$D$8</f>
        <v>0.55681138496734195</v>
      </c>
      <c r="I783" s="17">
        <f>'01_원자료'!P780*'03_가중치민감도'!$B$9+'01_원자료'!Q780*'03_가중치민감도'!$C$9+'01_원자료'!R780*'03_가중치민감도'!$D$9</f>
        <v>0.51438301301621614</v>
      </c>
      <c r="J783" s="17">
        <f>'01_원자료'!P780*'03_가중치민감도'!$B$10+'01_원자료'!Q780*'03_가중치민감도'!$C$10+'01_원자료'!R780*'03_가중치민감도'!$D$10</f>
        <v>0.68058406301921592</v>
      </c>
      <c r="K783" s="31">
        <f t="shared" si="72"/>
        <v>339</v>
      </c>
      <c r="L783" s="31">
        <f t="shared" si="73"/>
        <v>274</v>
      </c>
      <c r="M783" s="31">
        <f t="shared" si="74"/>
        <v>336</v>
      </c>
      <c r="N783" s="31">
        <f t="shared" si="75"/>
        <v>360</v>
      </c>
      <c r="O783" s="31">
        <f t="shared" si="76"/>
        <v>307</v>
      </c>
      <c r="P783" s="31">
        <f t="shared" si="77"/>
        <v>391</v>
      </c>
    </row>
    <row r="784" spans="1:16">
      <c r="A784" s="2" t="str">
        <f>'01_원자료'!A781</f>
        <v>RPT-21</v>
      </c>
      <c r="B784" s="2" t="str">
        <f>'01_원자료'!B781</f>
        <v>qwen3_6</v>
      </c>
      <c r="C784" s="2" t="str">
        <f>'01_원자료'!C781</f>
        <v>qwen</v>
      </c>
      <c r="E784" s="17">
        <f>'01_원자료'!P781*'03_가중치민감도'!$B$5+'01_원자료'!Q781*'03_가중치민감도'!$C$5+'01_원자료'!R781*'03_가중치민감도'!$D$5</f>
        <v>0.7411056785489103</v>
      </c>
      <c r="F784" s="17">
        <f>'01_원자료'!P781*'03_가중치민감도'!$B$6+'01_원자료'!Q781*'03_가중치민감도'!$C$6+'01_원자료'!R781*'03_가중치민감도'!$D$6</f>
        <v>0.65438330618804508</v>
      </c>
      <c r="G784" s="17">
        <f>'01_원자료'!P781*'03_가중치민감도'!$B$7+'01_원자료'!Q781*'03_가중치민감도'!$C$7+'01_원자료'!R781*'03_가중치민감도'!$D$7</f>
        <v>0.73166888493746285</v>
      </c>
      <c r="H784" s="17">
        <f>'01_원자료'!P781*'03_가중치민감도'!$B$8+'01_원자료'!Q781*'03_가중치민감도'!$C$8+'01_원자료'!R781*'03_가중치민감도'!$D$8</f>
        <v>0.78828964660614731</v>
      </c>
      <c r="I784" s="17">
        <f>'01_원자료'!P781*'03_가중치민감도'!$B$9+'01_원자료'!Q781*'03_가중치민감도'!$C$9+'01_원자료'!R781*'03_가중치민감도'!$D$9</f>
        <v>0.68643636151214849</v>
      </c>
      <c r="J784" s="17">
        <f>'01_원자료'!P781*'03_가중치민감도'!$B$10+'01_원자료'!Q781*'03_가중치민감도'!$C$10+'01_원자료'!R781*'03_가중치민감도'!$D$10</f>
        <v>0.8467016381326703</v>
      </c>
      <c r="K784" s="31">
        <f t="shared" si="72"/>
        <v>927</v>
      </c>
      <c r="L784" s="31">
        <f t="shared" si="73"/>
        <v>956</v>
      </c>
      <c r="M784" s="31">
        <f t="shared" si="74"/>
        <v>924</v>
      </c>
      <c r="N784" s="31">
        <f t="shared" si="75"/>
        <v>953</v>
      </c>
      <c r="O784" s="31">
        <f t="shared" si="76"/>
        <v>953</v>
      </c>
      <c r="P784" s="31">
        <f t="shared" si="77"/>
        <v>880</v>
      </c>
    </row>
    <row r="785" spans="1:16">
      <c r="A785" s="2" t="str">
        <f>'01_원자료'!A782</f>
        <v>RPT-22</v>
      </c>
      <c r="B785" s="2" t="str">
        <f>'01_원자료'!B782</f>
        <v>chatgpt</v>
      </c>
      <c r="C785" s="2" t="str">
        <f>'01_원자료'!C782</f>
        <v>gemma</v>
      </c>
      <c r="E785" s="17">
        <f>'01_원자료'!P782*'03_가중치민감도'!$B$5+'01_원자료'!Q782*'03_가중치민감도'!$C$5+'01_원자료'!R782*'03_가중치민감도'!$D$5</f>
        <v>0.57897642794304116</v>
      </c>
      <c r="F785" s="17">
        <f>'01_원자료'!P782*'03_가중치민감도'!$B$6+'01_원자료'!Q782*'03_가중치민감도'!$C$6+'01_원자료'!R782*'03_가중치민감도'!$D$6</f>
        <v>0.49591826648188531</v>
      </c>
      <c r="G785" s="17">
        <f>'01_원자료'!P782*'03_가중치민감도'!$B$7+'01_원자료'!Q782*'03_가중치민감도'!$C$7+'01_원자료'!R782*'03_가중치민감도'!$D$7</f>
        <v>0.58612834758175392</v>
      </c>
      <c r="H785" s="17">
        <f>'01_원자료'!P782*'03_가중치민감도'!$B$8+'01_원자료'!Q782*'03_가중치민감도'!$C$8+'01_원자료'!R782*'03_가중치민감도'!$D$8</f>
        <v>0.54321682974947727</v>
      </c>
      <c r="I785" s="17">
        <f>'01_원자료'!P782*'03_가중치민감도'!$B$9+'01_원자료'!Q782*'03_가중치민감도'!$C$9+'01_원자료'!R782*'03_가중치민감도'!$D$9</f>
        <v>0.52122034708936582</v>
      </c>
      <c r="J785" s="17">
        <f>'01_원자료'!P782*'03_가중치민감도'!$B$10+'01_원자료'!Q782*'03_가중치민감도'!$C$10+'01_원자료'!R782*'03_가중치민감도'!$D$10</f>
        <v>0.6477307501267715</v>
      </c>
      <c r="K785" s="31">
        <f t="shared" si="72"/>
        <v>319</v>
      </c>
      <c r="L785" s="31">
        <f t="shared" si="73"/>
        <v>341</v>
      </c>
      <c r="M785" s="31">
        <f t="shared" si="74"/>
        <v>319</v>
      </c>
      <c r="N785" s="31">
        <f t="shared" si="75"/>
        <v>314</v>
      </c>
      <c r="O785" s="31">
        <f t="shared" si="76"/>
        <v>331</v>
      </c>
      <c r="P785" s="31">
        <f t="shared" si="77"/>
        <v>301</v>
      </c>
    </row>
    <row r="786" spans="1:16">
      <c r="A786" s="2" t="str">
        <f>'01_원자료'!A783</f>
        <v>RPT-22</v>
      </c>
      <c r="B786" s="2" t="str">
        <f>'01_원자료'!B783</f>
        <v>chatgpt</v>
      </c>
      <c r="C786" s="2" t="str">
        <f>'01_원자료'!C783</f>
        <v>ministral</v>
      </c>
      <c r="E786" s="17">
        <f>'01_원자료'!P783*'03_가중치민감도'!$B$5+'01_원자료'!Q783*'03_가중치민감도'!$C$5+'01_원자료'!R783*'03_가중치민감도'!$D$5</f>
        <v>0.53854719421718356</v>
      </c>
      <c r="F786" s="17">
        <f>'01_원자료'!P783*'03_가중치민감도'!$B$6+'01_원자료'!Q783*'03_가중치민감도'!$C$6+'01_원자료'!R783*'03_가중치민감도'!$D$6</f>
        <v>0.44571817350775111</v>
      </c>
      <c r="G786" s="17">
        <f>'01_원자료'!P783*'03_가중치민감도'!$B$7+'01_원자료'!Q783*'03_가중치민감도'!$C$7+'01_원자료'!R783*'03_가중치민감도'!$D$7</f>
        <v>0.55156377004735657</v>
      </c>
      <c r="H786" s="17">
        <f>'01_원자료'!P783*'03_가중치민감도'!$B$8+'01_원자료'!Q783*'03_가중치민감도'!$C$8+'01_원자료'!R783*'03_가중치민감도'!$D$8</f>
        <v>0.47346431506631809</v>
      </c>
      <c r="I786" s="17">
        <f>'01_원자료'!P783*'03_가중치민감도'!$B$9+'01_원자료'!Q783*'03_가중치민감도'!$C$9+'01_원자료'!R783*'03_가중치민감도'!$D$9</f>
        <v>0.472322321800837</v>
      </c>
      <c r="J786" s="17">
        <f>'01_원자료'!P783*'03_가중치민감도'!$B$10+'01_원자료'!Q783*'03_가중치민감도'!$C$10+'01_원자료'!R783*'03_가중치민감도'!$D$10</f>
        <v>0.60534306326626974</v>
      </c>
      <c r="K786" s="31">
        <f t="shared" si="72"/>
        <v>163</v>
      </c>
      <c r="L786" s="31">
        <f t="shared" si="73"/>
        <v>119</v>
      </c>
      <c r="M786" s="31">
        <f t="shared" si="74"/>
        <v>166</v>
      </c>
      <c r="N786" s="31">
        <f t="shared" si="75"/>
        <v>163</v>
      </c>
      <c r="O786" s="31">
        <f t="shared" si="76"/>
        <v>140</v>
      </c>
      <c r="P786" s="31">
        <f t="shared" si="77"/>
        <v>202</v>
      </c>
    </row>
    <row r="787" spans="1:16">
      <c r="A787" s="2" t="str">
        <f>'01_원자료'!A784</f>
        <v>RPT-22</v>
      </c>
      <c r="B787" s="2" t="str">
        <f>'01_원자료'!B784</f>
        <v>chatgpt</v>
      </c>
      <c r="C787" s="2" t="str">
        <f>'01_원자료'!C784</f>
        <v>qwen</v>
      </c>
      <c r="E787" s="17">
        <f>'01_원자료'!P784*'03_가중치민감도'!$B$5+'01_원자료'!Q784*'03_가중치민감도'!$C$5+'01_원자료'!R784*'03_가중치민감도'!$D$5</f>
        <v>0.55846875535555107</v>
      </c>
      <c r="F787" s="17">
        <f>'01_원자료'!P784*'03_가중치민감도'!$B$6+'01_원자료'!Q784*'03_가중치민감도'!$C$6+'01_원자료'!R784*'03_가중치민감도'!$D$6</f>
        <v>0.49603598176680513</v>
      </c>
      <c r="G787" s="17">
        <f>'01_원자료'!P784*'03_가중치민감도'!$B$7+'01_원자료'!Q784*'03_가중치민감도'!$C$7+'01_원자료'!R784*'03_가중치민감도'!$D$7</f>
        <v>0.57149001071370376</v>
      </c>
      <c r="H787" s="17">
        <f>'01_원자료'!P784*'03_가중치민감도'!$B$8+'01_원자료'!Q784*'03_가중치민감도'!$C$8+'01_원자료'!R784*'03_가중치민감도'!$D$8</f>
        <v>0.4933624785647876</v>
      </c>
      <c r="I787" s="17">
        <f>'01_원자료'!P784*'03_가중치민감도'!$B$9+'01_원자료'!Q784*'03_가중치민감도'!$C$9+'01_원자료'!R784*'03_가중치민감도'!$D$9</f>
        <v>0.51250648784366892</v>
      </c>
      <c r="J787" s="17">
        <f>'01_원자료'!P784*'03_가중치민감도'!$B$10+'01_원자료'!Q784*'03_가중치민감도'!$C$10+'01_원자료'!R784*'03_가중치민감도'!$D$10</f>
        <v>0.59485901822799148</v>
      </c>
      <c r="K787" s="31">
        <f t="shared" si="72"/>
        <v>244</v>
      </c>
      <c r="L787" s="31">
        <f t="shared" si="73"/>
        <v>342</v>
      </c>
      <c r="M787" s="31">
        <f t="shared" si="74"/>
        <v>253</v>
      </c>
      <c r="N787" s="31">
        <f t="shared" si="75"/>
        <v>208</v>
      </c>
      <c r="O787" s="31">
        <f t="shared" si="76"/>
        <v>297</v>
      </c>
      <c r="P787" s="31">
        <f t="shared" si="77"/>
        <v>170</v>
      </c>
    </row>
    <row r="788" spans="1:16">
      <c r="A788" s="2" t="str">
        <f>'01_원자료'!A785</f>
        <v>RPT-22</v>
      </c>
      <c r="B788" s="2" t="str">
        <f>'01_원자료'!B785</f>
        <v>claude</v>
      </c>
      <c r="C788" s="2" t="str">
        <f>'01_원자료'!C785</f>
        <v>gemma</v>
      </c>
      <c r="E788" s="17">
        <f>'01_원자료'!P785*'03_가중치민감도'!$B$5+'01_원자료'!Q785*'03_가중치민감도'!$C$5+'01_원자료'!R785*'03_가중치민감도'!$D$5</f>
        <v>0.63543642985734794</v>
      </c>
      <c r="F788" s="17">
        <f>'01_원자료'!P785*'03_가중치민감도'!$B$6+'01_원자료'!Q785*'03_가중치민감도'!$C$6+'01_원자료'!R785*'03_가중치민감도'!$D$6</f>
        <v>0.54198926671885639</v>
      </c>
      <c r="G788" s="17">
        <f>'01_원자료'!P785*'03_가중치민감도'!$B$7+'01_원자료'!Q785*'03_가중치민감도'!$C$7+'01_원자료'!R785*'03_가중치민감도'!$D$7</f>
        <v>0.63511712315592228</v>
      </c>
      <c r="H788" s="17">
        <f>'01_원자료'!P785*'03_가중치민감도'!$B$8+'01_원자료'!Q785*'03_가중치민감도'!$C$8+'01_원자료'!R785*'03_가중치민감도'!$D$8</f>
        <v>0.63703296336447635</v>
      </c>
      <c r="I788" s="17">
        <f>'01_원자료'!P785*'03_가중치민감도'!$B$9+'01_원자료'!Q785*'03_가중치민감도'!$C$9+'01_원자료'!R785*'03_가중치민감도'!$D$9</f>
        <v>0.5732447566654949</v>
      </c>
      <c r="J788" s="17">
        <f>'01_원자료'!P785*'03_가중치민감도'!$B$10+'01_원자료'!Q785*'03_가중치민감도'!$C$10+'01_원자료'!R785*'03_가중치민감도'!$D$10</f>
        <v>0.72952220639869081</v>
      </c>
      <c r="K788" s="31">
        <f t="shared" si="72"/>
        <v>558</v>
      </c>
      <c r="L788" s="31">
        <f t="shared" si="73"/>
        <v>549</v>
      </c>
      <c r="M788" s="31">
        <f t="shared" si="74"/>
        <v>537</v>
      </c>
      <c r="N788" s="31">
        <f t="shared" si="75"/>
        <v>596</v>
      </c>
      <c r="O788" s="31">
        <f t="shared" si="76"/>
        <v>553</v>
      </c>
      <c r="P788" s="31">
        <f t="shared" si="77"/>
        <v>577</v>
      </c>
    </row>
    <row r="789" spans="1:16">
      <c r="A789" s="2" t="str">
        <f>'01_원자료'!A786</f>
        <v>RPT-22</v>
      </c>
      <c r="B789" s="2" t="str">
        <f>'01_원자료'!B786</f>
        <v>claude</v>
      </c>
      <c r="C789" s="2" t="str">
        <f>'01_원자료'!C786</f>
        <v>ministral</v>
      </c>
      <c r="E789" s="17">
        <f>'01_원자료'!P786*'03_가중치민감도'!$B$5+'01_원자료'!Q786*'03_가중치민감도'!$C$5+'01_원자료'!R786*'03_가중치민감도'!$D$5</f>
        <v>0.61669344153146799</v>
      </c>
      <c r="F789" s="17">
        <f>'01_원자료'!P786*'03_가중치민감도'!$B$6+'01_원자료'!Q786*'03_가중치민감도'!$C$6+'01_원자료'!R786*'03_가중치민감도'!$D$6</f>
        <v>0.51705024874872185</v>
      </c>
      <c r="G789" s="17">
        <f>'01_원자료'!P786*'03_가중치민감도'!$B$7+'01_원자료'!Q786*'03_가중치민감도'!$C$7+'01_원자료'!R786*'03_가중치민감도'!$D$7</f>
        <v>0.6184942356799159</v>
      </c>
      <c r="H789" s="17">
        <f>'01_원자료'!P786*'03_가중치민감도'!$B$8+'01_원자료'!Q786*'03_가중치민감도'!$C$8+'01_원자료'!R786*'03_가중치민감도'!$D$8</f>
        <v>0.60768947078922886</v>
      </c>
      <c r="I789" s="17">
        <f>'01_원자료'!P786*'03_가중치민감도'!$B$9+'01_원자료'!Q786*'03_가중치민감도'!$C$9+'01_원자료'!R786*'03_가중치민감도'!$D$9</f>
        <v>0.54966438162682074</v>
      </c>
      <c r="J789" s="17">
        <f>'01_원자료'!P786*'03_가중치민감도'!$B$10+'01_원자료'!Q786*'03_가중치민감도'!$C$10+'01_원자료'!R786*'03_가중치민감도'!$D$10</f>
        <v>0.71273504601731852</v>
      </c>
      <c r="K789" s="31">
        <f t="shared" si="72"/>
        <v>472</v>
      </c>
      <c r="L789" s="31">
        <f t="shared" si="73"/>
        <v>449</v>
      </c>
      <c r="M789" s="31">
        <f t="shared" si="74"/>
        <v>459</v>
      </c>
      <c r="N789" s="31">
        <f t="shared" si="75"/>
        <v>513</v>
      </c>
      <c r="O789" s="31">
        <f t="shared" si="76"/>
        <v>459</v>
      </c>
      <c r="P789" s="31">
        <f t="shared" si="77"/>
        <v>504</v>
      </c>
    </row>
    <row r="790" spans="1:16">
      <c r="A790" s="2" t="str">
        <f>'01_원자료'!A787</f>
        <v>RPT-22</v>
      </c>
      <c r="B790" s="2" t="str">
        <f>'01_원자료'!B787</f>
        <v>claude</v>
      </c>
      <c r="C790" s="2" t="str">
        <f>'01_원자료'!C787</f>
        <v>qwen</v>
      </c>
      <c r="E790" s="17">
        <f>'01_원자료'!P787*'03_가중치민감도'!$B$5+'01_원자료'!Q787*'03_가중치민감도'!$C$5+'01_원자료'!R787*'03_가중치민감도'!$D$5</f>
        <v>0.65801838354179709</v>
      </c>
      <c r="F790" s="17">
        <f>'01_원자료'!P787*'03_가중치민감도'!$B$6+'01_원자료'!Q787*'03_가중치민감도'!$C$6+'01_원자료'!R787*'03_가중치민감도'!$D$6</f>
        <v>0.5796382169316332</v>
      </c>
      <c r="G790" s="17">
        <f>'01_원자료'!P787*'03_가중치민감도'!$B$7+'01_원자료'!Q787*'03_가중치민감도'!$C$7+'01_원자료'!R787*'03_가중치민감도'!$D$7</f>
        <v>0.65626203376489833</v>
      </c>
      <c r="H790" s="17">
        <f>'01_원자료'!P787*'03_가중치민감도'!$B$8+'01_원자료'!Q787*'03_가중치민감도'!$C$8+'01_원자료'!R787*'03_가중치민감도'!$D$8</f>
        <v>0.66680013242629133</v>
      </c>
      <c r="I790" s="17">
        <f>'01_원자료'!P787*'03_가중치민감도'!$B$9+'01_원자료'!Q787*'03_가중치민감도'!$C$9+'01_원자료'!R787*'03_가중치민감도'!$D$9</f>
        <v>0.60635038906065342</v>
      </c>
      <c r="J790" s="17">
        <f>'01_원자료'!P787*'03_가중치민감도'!$B$10+'01_원자료'!Q787*'03_가중치민감도'!$C$10+'01_원자료'!R787*'03_가중치민감도'!$D$10</f>
        <v>0.73991124970575883</v>
      </c>
      <c r="K790" s="31">
        <f t="shared" si="72"/>
        <v>662</v>
      </c>
      <c r="L790" s="31">
        <f t="shared" si="73"/>
        <v>734</v>
      </c>
      <c r="M790" s="31">
        <f t="shared" si="74"/>
        <v>646</v>
      </c>
      <c r="N790" s="31">
        <f t="shared" si="75"/>
        <v>694</v>
      </c>
      <c r="O790" s="31">
        <f t="shared" si="76"/>
        <v>719</v>
      </c>
      <c r="P790" s="31">
        <f t="shared" si="77"/>
        <v>622</v>
      </c>
    </row>
    <row r="791" spans="1:16">
      <c r="A791" s="2" t="str">
        <f>'01_원자료'!A788</f>
        <v>RPT-22</v>
      </c>
      <c r="B791" s="2" t="str">
        <f>'01_원자료'!B788</f>
        <v>gemini</v>
      </c>
      <c r="C791" s="2" t="str">
        <f>'01_원자료'!C788</f>
        <v>gemma</v>
      </c>
      <c r="E791" s="17">
        <f>'01_원자료'!P788*'03_가중치민감도'!$B$5+'01_원자료'!Q788*'03_가중치민감도'!$C$5+'01_원자료'!R788*'03_가중치민감도'!$D$5</f>
        <v>0.74590336651885414</v>
      </c>
      <c r="F791" s="17">
        <f>'01_원자료'!P788*'03_가중치민감도'!$B$6+'01_원자료'!Q788*'03_가중치민감도'!$C$6+'01_원자료'!R788*'03_가중치민감도'!$D$6</f>
        <v>0.64370875830014518</v>
      </c>
      <c r="G791" s="17">
        <f>'01_원자료'!P788*'03_가중치민감도'!$B$7+'01_원자료'!Q788*'03_가중치민감도'!$C$7+'01_원자료'!R788*'03_가중치민감도'!$D$7</f>
        <v>0.73815573322638905</v>
      </c>
      <c r="H791" s="17">
        <f>'01_원자료'!P788*'03_가중치민감도'!$B$8+'01_원자료'!Q788*'03_가중치민감도'!$C$8+'01_원자료'!R788*'03_가중치민감도'!$D$8</f>
        <v>0.78464153298117967</v>
      </c>
      <c r="I791" s="17">
        <f>'01_원자료'!P788*'03_가중치민감도'!$B$9+'01_원자료'!Q788*'03_가중치민감도'!$C$9+'01_원자료'!R788*'03_가중치민감도'!$D$9</f>
        <v>0.68035617213720245</v>
      </c>
      <c r="J791" s="17">
        <f>'01_원자료'!P788*'03_가중치민감도'!$B$10+'01_원자료'!Q788*'03_가중치민감도'!$C$10+'01_원자료'!R788*'03_가중치민감도'!$D$10</f>
        <v>0.86359324132249338</v>
      </c>
      <c r="K791" s="31">
        <f t="shared" si="72"/>
        <v>945</v>
      </c>
      <c r="L791" s="31">
        <f t="shared" si="73"/>
        <v>945</v>
      </c>
      <c r="M791" s="31">
        <f t="shared" si="74"/>
        <v>945</v>
      </c>
      <c r="N791" s="31">
        <f t="shared" si="75"/>
        <v>948</v>
      </c>
      <c r="O791" s="31">
        <f t="shared" si="76"/>
        <v>948</v>
      </c>
      <c r="P791" s="31">
        <f t="shared" si="77"/>
        <v>929</v>
      </c>
    </row>
    <row r="792" spans="1:16">
      <c r="A792" s="2" t="str">
        <f>'01_원자료'!A789</f>
        <v>RPT-22</v>
      </c>
      <c r="B792" s="2" t="str">
        <f>'01_원자료'!B789</f>
        <v>gemini</v>
      </c>
      <c r="C792" s="2" t="str">
        <f>'01_원자료'!C789</f>
        <v>ministral</v>
      </c>
      <c r="E792" s="17">
        <f>'01_원자료'!P789*'03_가중치민감도'!$B$5+'01_원자료'!Q789*'03_가중치민감도'!$C$5+'01_원자료'!R789*'03_가중치민감도'!$D$5</f>
        <v>0.6215343478397517</v>
      </c>
      <c r="F792" s="17">
        <f>'01_원자료'!P789*'03_가중치민감도'!$B$6+'01_원자료'!Q789*'03_가중치민감도'!$C$6+'01_원자료'!R789*'03_가중치민감도'!$D$6</f>
        <v>0.51257358525902752</v>
      </c>
      <c r="G792" s="17">
        <f>'01_원자료'!P789*'03_가중치민감도'!$B$7+'01_원자료'!Q789*'03_가중치민감도'!$C$7+'01_원자료'!R789*'03_가중치민감도'!$D$7</f>
        <v>0.6298804174022351</v>
      </c>
      <c r="H792" s="17">
        <f>'01_원자료'!P789*'03_가중치민감도'!$B$8+'01_원자료'!Q789*'03_가중치민감도'!$C$8+'01_원자료'!R789*'03_가중치민감도'!$D$8</f>
        <v>0.57980400002733479</v>
      </c>
      <c r="I792" s="17">
        <f>'01_원자료'!P789*'03_가중치민감도'!$B$9+'01_원자료'!Q789*'03_가중치민감도'!$C$9+'01_원자료'!R789*'03_가중치민감도'!$D$9</f>
        <v>0.5461118162651073</v>
      </c>
      <c r="J792" s="17">
        <f>'01_원자료'!P789*'03_가중치민감도'!$B$10+'01_원자료'!Q789*'03_가중치민감도'!$C$10+'01_원자료'!R789*'03_가중치민감도'!$D$10</f>
        <v>0.71380297129550918</v>
      </c>
      <c r="K792" s="31">
        <f t="shared" si="72"/>
        <v>496</v>
      </c>
      <c r="L792" s="31">
        <f t="shared" si="73"/>
        <v>427</v>
      </c>
      <c r="M792" s="31">
        <f t="shared" si="74"/>
        <v>516</v>
      </c>
      <c r="N792" s="31">
        <f t="shared" si="75"/>
        <v>421</v>
      </c>
      <c r="O792" s="31">
        <f t="shared" si="76"/>
        <v>445</v>
      </c>
      <c r="P792" s="31">
        <f t="shared" si="77"/>
        <v>511</v>
      </c>
    </row>
    <row r="793" spans="1:16">
      <c r="A793" s="2" t="str">
        <f>'01_원자료'!A790</f>
        <v>RPT-22</v>
      </c>
      <c r="B793" s="2" t="str">
        <f>'01_원자료'!B790</f>
        <v>gemini</v>
      </c>
      <c r="C793" s="2" t="str">
        <f>'01_원자료'!C790</f>
        <v>qwen</v>
      </c>
      <c r="E793" s="17">
        <f>'01_원자료'!P790*'03_가중치민감도'!$B$5+'01_원자료'!Q790*'03_가중치민감도'!$C$5+'01_원자료'!R790*'03_가중치민감도'!$D$5</f>
        <v>0.67338065791903601</v>
      </c>
      <c r="F793" s="17">
        <f>'01_원자료'!P790*'03_가중치민감도'!$B$6+'01_원자료'!Q790*'03_가중치민감도'!$C$6+'01_원자료'!R790*'03_가중치민감도'!$D$6</f>
        <v>0.58140397874832317</v>
      </c>
      <c r="G793" s="17">
        <f>'01_원자료'!P790*'03_가중치민감도'!$B$7+'01_원자료'!Q790*'03_가중치민감도'!$C$7+'01_원자료'!R790*'03_가중치민감도'!$D$7</f>
        <v>0.67777491412432656</v>
      </c>
      <c r="H793" s="17">
        <f>'01_원자료'!P790*'03_가중치민감도'!$B$8+'01_원자료'!Q790*'03_가중치민감도'!$C$8+'01_원자료'!R790*'03_가중치민감도'!$D$8</f>
        <v>0.65140937689258349</v>
      </c>
      <c r="I793" s="17">
        <f>'01_원자료'!P790*'03_가중치민감도'!$B$9+'01_원자료'!Q790*'03_가중치민감도'!$C$9+'01_원자료'!R790*'03_가중치민감도'!$D$9</f>
        <v>0.61059811973679667</v>
      </c>
      <c r="J793" s="17">
        <f>'01_원자료'!P790*'03_가중치민감도'!$B$10+'01_원자료'!Q790*'03_가중치민감도'!$C$10+'01_원자료'!R790*'03_가중치민감도'!$D$10</f>
        <v>0.75656882467916775</v>
      </c>
      <c r="K793" s="31">
        <f t="shared" si="72"/>
        <v>730</v>
      </c>
      <c r="L793" s="31">
        <f t="shared" si="73"/>
        <v>742</v>
      </c>
      <c r="M793" s="31">
        <f t="shared" si="74"/>
        <v>755</v>
      </c>
      <c r="N793" s="31">
        <f t="shared" si="75"/>
        <v>644</v>
      </c>
      <c r="O793" s="31">
        <f t="shared" si="76"/>
        <v>727</v>
      </c>
      <c r="P793" s="31">
        <f t="shared" si="77"/>
        <v>684</v>
      </c>
    </row>
    <row r="794" spans="1:16">
      <c r="A794" s="2" t="str">
        <f>'01_원자료'!A791</f>
        <v>RPT-22</v>
      </c>
      <c r="B794" s="2" t="str">
        <f>'01_원자료'!B791</f>
        <v>mistral</v>
      </c>
      <c r="C794" s="2" t="str">
        <f>'01_원자료'!C791</f>
        <v>gemma</v>
      </c>
      <c r="E794" s="17">
        <f>'01_원자료'!P791*'03_가중치민감도'!$B$5+'01_원자료'!Q791*'03_가중치민감도'!$C$5+'01_원자료'!R791*'03_가중치민감도'!$D$5</f>
        <v>0.6592800100572962</v>
      </c>
      <c r="F794" s="17">
        <f>'01_원자료'!P791*'03_가중치민감도'!$B$6+'01_원자료'!Q791*'03_가중치민감도'!$C$6+'01_원자료'!R791*'03_가중치민감도'!$D$6</f>
        <v>0.56611862877678876</v>
      </c>
      <c r="G794" s="17">
        <f>'01_원자료'!P791*'03_가중치민감도'!$B$7+'01_원자료'!Q791*'03_가중치민감도'!$C$7+'01_원자료'!R791*'03_가중치민감도'!$D$7</f>
        <v>0.65280780927744342</v>
      </c>
      <c r="H794" s="17">
        <f>'01_원자료'!P791*'03_가중치민감도'!$B$8+'01_원자료'!Q791*'03_가중치민감도'!$C$8+'01_원자료'!R791*'03_가중치민감도'!$D$8</f>
        <v>0.69164101395655964</v>
      </c>
      <c r="I794" s="17">
        <f>'01_원자료'!P791*'03_가중치민감도'!$B$9+'01_원자료'!Q791*'03_가중치민감도'!$C$9+'01_원자료'!R791*'03_가중치민감도'!$D$9</f>
        <v>0.59932982279690816</v>
      </c>
      <c r="J794" s="17">
        <f>'01_원자료'!P791*'03_가중치민감도'!$B$10+'01_원자료'!Q791*'03_가중치민감도'!$C$10+'01_원자료'!R791*'03_가중치민감도'!$D$10</f>
        <v>0.76538579289750885</v>
      </c>
      <c r="K794" s="31">
        <f t="shared" si="72"/>
        <v>667</v>
      </c>
      <c r="L794" s="31">
        <f t="shared" si="73"/>
        <v>672</v>
      </c>
      <c r="M794" s="31">
        <f t="shared" si="74"/>
        <v>630</v>
      </c>
      <c r="N794" s="31">
        <f t="shared" si="75"/>
        <v>754</v>
      </c>
      <c r="O794" s="31">
        <f t="shared" si="76"/>
        <v>679</v>
      </c>
      <c r="P794" s="31">
        <f t="shared" si="77"/>
        <v>708</v>
      </c>
    </row>
    <row r="795" spans="1:16">
      <c r="A795" s="2" t="str">
        <f>'01_원자료'!A792</f>
        <v>RPT-22</v>
      </c>
      <c r="B795" s="2" t="str">
        <f>'01_원자료'!B792</f>
        <v>mistral</v>
      </c>
      <c r="C795" s="2" t="str">
        <f>'01_원자료'!C792</f>
        <v>ministral</v>
      </c>
      <c r="E795" s="17">
        <f>'01_원자료'!P792*'03_가중치민감도'!$B$5+'01_원자료'!Q792*'03_가중치민감도'!$C$5+'01_원자료'!R792*'03_가중치민감도'!$D$5</f>
        <v>0.58692193599715825</v>
      </c>
      <c r="F795" s="17">
        <f>'01_원자료'!P792*'03_가중치민감도'!$B$6+'01_원자료'!Q792*'03_가중치민감도'!$C$6+'01_원자료'!R792*'03_가중치민감도'!$D$6</f>
        <v>0.48849273756410416</v>
      </c>
      <c r="G795" s="17">
        <f>'01_원자료'!P792*'03_가중치민감도'!$B$7+'01_원자료'!Q792*'03_가중치민감도'!$C$7+'01_원자료'!R792*'03_가중치민감도'!$D$7</f>
        <v>0.59416301239137082</v>
      </c>
      <c r="H795" s="17">
        <f>'01_원자료'!P792*'03_가중치민감도'!$B$8+'01_원자료'!Q792*'03_가중치민감도'!$C$8+'01_원자료'!R792*'03_가중치민감도'!$D$8</f>
        <v>0.55071655402609521</v>
      </c>
      <c r="I795" s="17">
        <f>'01_원자료'!P792*'03_가중치민감도'!$B$9+'01_원자료'!Q792*'03_가중치민감도'!$C$9+'01_원자료'!R792*'03_가중치민감도'!$D$9</f>
        <v>0.51888877824371749</v>
      </c>
      <c r="J795" s="17">
        <f>'01_원자료'!P792*'03_가중치민감도'!$B$10+'01_원자료'!Q792*'03_가중치민감도'!$C$10+'01_원자료'!R792*'03_가중치민감도'!$D$10</f>
        <v>0.67086898164178699</v>
      </c>
      <c r="K795" s="31">
        <f t="shared" si="72"/>
        <v>341</v>
      </c>
      <c r="L795" s="31">
        <f t="shared" si="73"/>
        <v>309</v>
      </c>
      <c r="M795" s="31">
        <f t="shared" si="74"/>
        <v>340</v>
      </c>
      <c r="N795" s="31">
        <f t="shared" si="75"/>
        <v>335</v>
      </c>
      <c r="O795" s="31">
        <f t="shared" si="76"/>
        <v>321</v>
      </c>
      <c r="P795" s="31">
        <f t="shared" si="77"/>
        <v>358</v>
      </c>
    </row>
    <row r="796" spans="1:16">
      <c r="A796" s="2" t="str">
        <f>'01_원자료'!A793</f>
        <v>RPT-22</v>
      </c>
      <c r="B796" s="2" t="str">
        <f>'01_원자료'!B793</f>
        <v>mistral</v>
      </c>
      <c r="C796" s="2" t="str">
        <f>'01_원자료'!C793</f>
        <v>qwen</v>
      </c>
      <c r="E796" s="17">
        <f>'01_원자료'!P793*'03_가중치민감도'!$B$5+'01_원자료'!Q793*'03_가중치민감도'!$C$5+'01_원자료'!R793*'03_가중치민감도'!$D$5</f>
        <v>0.61666292969043723</v>
      </c>
      <c r="F796" s="17">
        <f>'01_원자료'!P793*'03_가중치민감도'!$B$6+'01_원자료'!Q793*'03_가중치민감도'!$C$6+'01_원자료'!R793*'03_가중치민감도'!$D$6</f>
        <v>0.54129361375944862</v>
      </c>
      <c r="G796" s="17">
        <f>'01_원자료'!P793*'03_가중치민감도'!$B$7+'01_원자료'!Q793*'03_가중치민감도'!$C$7+'01_원자료'!R793*'03_가중치민감도'!$D$7</f>
        <v>0.62131039797033727</v>
      </c>
      <c r="H796" s="17">
        <f>'01_원자료'!P793*'03_가중치민감도'!$B$8+'01_원자료'!Q793*'03_가중치민감도'!$C$8+'01_원자료'!R793*'03_가중치민감도'!$D$8</f>
        <v>0.59342558829093739</v>
      </c>
      <c r="I796" s="17">
        <f>'01_원자료'!P793*'03_가중치민감도'!$B$9+'01_원자료'!Q793*'03_가중치민감도'!$C$9+'01_원자료'!R793*'03_가중치민감도'!$D$9</f>
        <v>0.56486756297647756</v>
      </c>
      <c r="J796" s="17">
        <f>'01_원자료'!P793*'03_가중치민감도'!$B$10+'01_원자료'!Q793*'03_가중치민감도'!$C$10+'01_원자료'!R793*'03_가중치민감도'!$D$10</f>
        <v>0.682737309061626</v>
      </c>
      <c r="K796" s="31">
        <f t="shared" si="72"/>
        <v>471</v>
      </c>
      <c r="L796" s="31">
        <f t="shared" si="73"/>
        <v>548</v>
      </c>
      <c r="M796" s="31">
        <f t="shared" si="74"/>
        <v>473</v>
      </c>
      <c r="N796" s="31">
        <f t="shared" si="75"/>
        <v>472</v>
      </c>
      <c r="O796" s="31">
        <f t="shared" si="76"/>
        <v>523</v>
      </c>
      <c r="P796" s="31">
        <f t="shared" si="77"/>
        <v>403</v>
      </c>
    </row>
    <row r="797" spans="1:16">
      <c r="A797" s="2" t="str">
        <f>'01_원자료'!A794</f>
        <v>RPT-22</v>
      </c>
      <c r="B797" s="2" t="str">
        <f>'01_원자료'!B794</f>
        <v>qwen3_6</v>
      </c>
      <c r="C797" s="2" t="str">
        <f>'01_원자료'!C794</f>
        <v>gemma</v>
      </c>
      <c r="E797" s="17">
        <f>'01_원자료'!P794*'03_가중치민감도'!$B$5+'01_원자료'!Q794*'03_가중치민감도'!$C$5+'01_원자료'!R794*'03_가중치민감도'!$D$5</f>
        <v>0.74317764704157818</v>
      </c>
      <c r="F797" s="17">
        <f>'01_원자료'!P794*'03_가중치민감도'!$B$6+'01_원자료'!Q794*'03_가중치민감도'!$C$6+'01_원자료'!R794*'03_가중치민감도'!$D$6</f>
        <v>0.64189701913752983</v>
      </c>
      <c r="G797" s="17">
        <f>'01_원자료'!P794*'03_가중치민감도'!$B$7+'01_원자료'!Q794*'03_가중치민감도'!$C$7+'01_원자료'!R794*'03_가중치민감도'!$D$7</f>
        <v>0.73512670543311831</v>
      </c>
      <c r="H797" s="17">
        <f>'01_원자료'!P794*'03_가중치민감도'!$B$8+'01_원자료'!Q794*'03_가중치민감도'!$C$8+'01_원자료'!R794*'03_가중치민감도'!$D$8</f>
        <v>0.78343235508387721</v>
      </c>
      <c r="I797" s="17">
        <f>'01_원자료'!P794*'03_가중치민감도'!$B$9+'01_원자료'!Q794*'03_가중치민감도'!$C$9+'01_원자료'!R794*'03_가중치민감도'!$D$9</f>
        <v>0.67834087564169843</v>
      </c>
      <c r="J797" s="17">
        <f>'01_원자료'!P794*'03_가중치민감도'!$B$10+'01_원자료'!Q794*'03_가중치민감도'!$C$10+'01_원자료'!R794*'03_가중치민감도'!$D$10</f>
        <v>0.86056015816254616</v>
      </c>
      <c r="K797" s="31">
        <f t="shared" si="72"/>
        <v>936</v>
      </c>
      <c r="L797" s="31">
        <f t="shared" si="73"/>
        <v>941</v>
      </c>
      <c r="M797" s="31">
        <f t="shared" si="74"/>
        <v>933</v>
      </c>
      <c r="N797" s="31">
        <f t="shared" si="75"/>
        <v>945</v>
      </c>
      <c r="O797" s="31">
        <f t="shared" si="76"/>
        <v>943</v>
      </c>
      <c r="P797" s="31">
        <f t="shared" si="77"/>
        <v>918</v>
      </c>
    </row>
    <row r="798" spans="1:16">
      <c r="A798" s="2" t="str">
        <f>'01_원자료'!A795</f>
        <v>RPT-22</v>
      </c>
      <c r="B798" s="2" t="str">
        <f>'01_원자료'!B795</f>
        <v>qwen3_6</v>
      </c>
      <c r="C798" s="2" t="str">
        <f>'01_원자료'!C795</f>
        <v>ministral</v>
      </c>
      <c r="E798" s="17">
        <f>'01_원자료'!P795*'03_가중치민감도'!$B$5+'01_원자료'!Q795*'03_가중치민감도'!$C$5+'01_원자료'!R795*'03_가중치민감도'!$D$5</f>
        <v>0.60406127402717591</v>
      </c>
      <c r="F798" s="17">
        <f>'01_원자료'!P795*'03_가중치민감도'!$B$6+'01_원자료'!Q795*'03_가중치민감도'!$C$6+'01_원자료'!R795*'03_가중치민감도'!$D$6</f>
        <v>0.50100621390053157</v>
      </c>
      <c r="G798" s="17">
        <f>'01_원자료'!P795*'03_가중치민감도'!$B$7+'01_원자료'!Q795*'03_가중치민감도'!$C$7+'01_원자료'!R795*'03_가중치민감도'!$D$7</f>
        <v>0.61045911223410465</v>
      </c>
      <c r="H798" s="17">
        <f>'01_원자료'!P795*'03_가중치민감도'!$B$8+'01_원자료'!Q795*'03_가중치민감도'!$C$8+'01_원자료'!R795*'03_가중치민감도'!$D$8</f>
        <v>0.5720720829925322</v>
      </c>
      <c r="I798" s="17">
        <f>'01_원자료'!P795*'03_가중치민감도'!$B$9+'01_원자료'!Q795*'03_가중치민감도'!$C$9+'01_원자료'!R795*'03_가중치민감도'!$D$9</f>
        <v>0.53322528787376955</v>
      </c>
      <c r="J798" s="17">
        <f>'01_원자료'!P795*'03_가중치민감도'!$B$10+'01_원자료'!Q795*'03_가중치민감도'!$C$10+'01_원자료'!R795*'03_가중치민감도'!$D$10</f>
        <v>0.69432065773996277</v>
      </c>
      <c r="K798" s="31">
        <f t="shared" si="72"/>
        <v>407</v>
      </c>
      <c r="L798" s="31">
        <f t="shared" si="73"/>
        <v>363</v>
      </c>
      <c r="M798" s="31">
        <f t="shared" si="74"/>
        <v>415</v>
      </c>
      <c r="N798" s="31">
        <f t="shared" si="75"/>
        <v>406</v>
      </c>
      <c r="O798" s="31">
        <f t="shared" si="76"/>
        <v>383</v>
      </c>
      <c r="P798" s="31">
        <f t="shared" si="77"/>
        <v>438</v>
      </c>
    </row>
    <row r="799" spans="1:16">
      <c r="A799" s="2" t="str">
        <f>'01_원자료'!A796</f>
        <v>RPT-22</v>
      </c>
      <c r="B799" s="2" t="str">
        <f>'01_원자료'!B796</f>
        <v>qwen3_6</v>
      </c>
      <c r="C799" s="2" t="str">
        <f>'01_원자료'!C796</f>
        <v>qwen</v>
      </c>
      <c r="E799" s="17">
        <f>'01_원자료'!P796*'03_가중치민감도'!$B$5+'01_원자료'!Q796*'03_가중치민감도'!$C$5+'01_원자료'!R796*'03_가중치민감도'!$D$5</f>
        <v>0.65637150292813606</v>
      </c>
      <c r="F799" s="17">
        <f>'01_원자료'!P796*'03_가중치민감도'!$B$6+'01_원자료'!Q796*'03_가중치민감도'!$C$6+'01_원자료'!R796*'03_가중치민감도'!$D$6</f>
        <v>0.57375647855627177</v>
      </c>
      <c r="G799" s="17">
        <f>'01_원자료'!P796*'03_가중치민감도'!$B$7+'01_원자료'!Q796*'03_가중치민감도'!$C$7+'01_원자료'!R796*'03_가중치민감도'!$D$7</f>
        <v>0.6585681916509476</v>
      </c>
      <c r="H799" s="17">
        <f>'01_원자료'!P796*'03_가중치민감도'!$B$8+'01_원자료'!Q796*'03_가중치민감도'!$C$8+'01_원자료'!R796*'03_가중치민감도'!$D$8</f>
        <v>0.64538805931407872</v>
      </c>
      <c r="I799" s="17">
        <f>'01_원자료'!P796*'03_가중치민감도'!$B$9+'01_원자료'!Q796*'03_가중치민감도'!$C$9+'01_원자료'!R796*'03_가중치민감도'!$D$9</f>
        <v>0.60056259043928872</v>
      </c>
      <c r="J799" s="17">
        <f>'01_원자료'!P796*'03_가중치민감도'!$B$10+'01_원자료'!Q796*'03_가중치민감도'!$C$10+'01_원자료'!R796*'03_가중치민감도'!$D$10</f>
        <v>0.7345931498543774</v>
      </c>
      <c r="K799" s="31">
        <f t="shared" si="72"/>
        <v>650</v>
      </c>
      <c r="L799" s="31">
        <f t="shared" si="73"/>
        <v>710</v>
      </c>
      <c r="M799" s="31">
        <f t="shared" si="74"/>
        <v>657</v>
      </c>
      <c r="N799" s="31">
        <f t="shared" si="75"/>
        <v>631</v>
      </c>
      <c r="O799" s="31">
        <f t="shared" si="76"/>
        <v>690</v>
      </c>
      <c r="P799" s="31">
        <f t="shared" si="77"/>
        <v>603</v>
      </c>
    </row>
    <row r="800" spans="1:16">
      <c r="A800" s="2" t="str">
        <f>'01_원자료'!A797</f>
        <v>RPT-23</v>
      </c>
      <c r="B800" s="2" t="str">
        <f>'01_원자료'!B797</f>
        <v>chatgpt</v>
      </c>
      <c r="C800" s="2" t="str">
        <f>'01_원자료'!C797</f>
        <v>gemma</v>
      </c>
      <c r="E800" s="17">
        <f>'01_원자료'!P797*'03_가중치민감도'!$B$5+'01_원자료'!Q797*'03_가중치민감도'!$C$5+'01_원자료'!R797*'03_가중치민감도'!$D$5</f>
        <v>0.52251503245274455</v>
      </c>
      <c r="F800" s="17">
        <f>'01_원자료'!P797*'03_가중치민감도'!$B$6+'01_원자료'!Q797*'03_가중치민감도'!$C$6+'01_원자료'!R797*'03_가중치민감도'!$D$6</f>
        <v>0.44686603764276456</v>
      </c>
      <c r="G800" s="17">
        <f>'01_원자료'!P797*'03_가중치민감도'!$B$7+'01_원자료'!Q797*'03_가중치민감도'!$C$7+'01_원자료'!R797*'03_가중치민감도'!$D$7</f>
        <v>0.52980339734563597</v>
      </c>
      <c r="H800" s="17">
        <f>'01_원자료'!P797*'03_가중치민감도'!$B$8+'01_원자료'!Q797*'03_가중치민감도'!$C$8+'01_원자료'!R797*'03_가중치민감도'!$D$8</f>
        <v>0.48607320798828713</v>
      </c>
      <c r="I800" s="17">
        <f>'01_원자료'!P797*'03_가중치민감도'!$B$9+'01_원자료'!Q797*'03_가중치민감도'!$C$9+'01_원자료'!R797*'03_가중치민감도'!$D$9</f>
        <v>0.46965291428179357</v>
      </c>
      <c r="J800" s="17">
        <f>'01_원자료'!P797*'03_가중치민감도'!$B$10+'01_원자료'!Q797*'03_가중치민감도'!$C$10+'01_원자료'!R797*'03_가중치민감도'!$D$10</f>
        <v>0.58358729747694149</v>
      </c>
      <c r="K800" s="31">
        <f t="shared" si="72"/>
        <v>107</v>
      </c>
      <c r="L800" s="31">
        <f t="shared" si="73"/>
        <v>124</v>
      </c>
      <c r="M800" s="31">
        <f t="shared" si="74"/>
        <v>72</v>
      </c>
      <c r="N800" s="31">
        <f t="shared" si="75"/>
        <v>188</v>
      </c>
      <c r="O800" s="31">
        <f t="shared" si="76"/>
        <v>130</v>
      </c>
      <c r="P800" s="31">
        <f t="shared" si="77"/>
        <v>139</v>
      </c>
    </row>
    <row r="801" spans="1:16">
      <c r="A801" s="2" t="str">
        <f>'01_원자료'!A798</f>
        <v>RPT-23</v>
      </c>
      <c r="B801" s="2" t="str">
        <f>'01_원자료'!B798</f>
        <v>chatgpt</v>
      </c>
      <c r="C801" s="2" t="str">
        <f>'01_원자료'!C798</f>
        <v>ministral</v>
      </c>
      <c r="E801" s="17">
        <f>'01_원자료'!P798*'03_가중치민감도'!$B$5+'01_원자료'!Q798*'03_가중치민감도'!$C$5+'01_원자료'!R798*'03_가중치민감도'!$D$5</f>
        <v>0.60049825353618413</v>
      </c>
      <c r="F801" s="17">
        <f>'01_원자료'!P798*'03_가중치민감도'!$B$6+'01_원자료'!Q798*'03_가중치민감도'!$C$6+'01_원자료'!R798*'03_가중치민감도'!$D$6</f>
        <v>0.51439116633524318</v>
      </c>
      <c r="G801" s="17">
        <f>'01_원자료'!P798*'03_가중치민감도'!$B$7+'01_원자료'!Q798*'03_가중치민감도'!$C$7+'01_원자료'!R798*'03_가중치민감도'!$D$7</f>
        <v>0.60455368840715507</v>
      </c>
      <c r="H801" s="17">
        <f>'01_원자료'!P798*'03_가중치민감도'!$B$8+'01_원자료'!Q798*'03_가중치민감도'!$C$8+'01_원자료'!R798*'03_가중치민감도'!$D$8</f>
        <v>0.58022107918132926</v>
      </c>
      <c r="I801" s="17">
        <f>'01_원자료'!P798*'03_가중치민감도'!$B$9+'01_원자료'!Q798*'03_가중치민감도'!$C$9+'01_원자료'!R798*'03_가중치민감도'!$D$9</f>
        <v>0.54174171711189933</v>
      </c>
      <c r="J801" s="17">
        <f>'01_원자료'!P798*'03_가중치민감도'!$B$10+'01_원자료'!Q798*'03_가중치민감도'!$C$10+'01_원자료'!R798*'03_가중치민감도'!$D$10</f>
        <v>0.67849447099518301</v>
      </c>
      <c r="K801" s="31">
        <f t="shared" si="72"/>
        <v>392</v>
      </c>
      <c r="L801" s="31">
        <f t="shared" si="73"/>
        <v>436</v>
      </c>
      <c r="M801" s="31">
        <f t="shared" si="74"/>
        <v>389</v>
      </c>
      <c r="N801" s="31">
        <f t="shared" si="75"/>
        <v>422</v>
      </c>
      <c r="O801" s="31">
        <f t="shared" si="76"/>
        <v>424</v>
      </c>
      <c r="P801" s="31">
        <f t="shared" si="77"/>
        <v>384</v>
      </c>
    </row>
    <row r="802" spans="1:16">
      <c r="A802" s="2" t="str">
        <f>'01_원자료'!A799</f>
        <v>RPT-23</v>
      </c>
      <c r="B802" s="2" t="str">
        <f>'01_원자료'!B799</f>
        <v>chatgpt</v>
      </c>
      <c r="C802" s="2" t="str">
        <f>'01_원자료'!C799</f>
        <v>qwen</v>
      </c>
      <c r="E802" s="17">
        <f>'01_원자료'!P799*'03_가중치민감도'!$B$5+'01_원자료'!Q799*'03_가중치민감도'!$C$5+'01_원자료'!R799*'03_가중치민감도'!$D$5</f>
        <v>0.57387311873918612</v>
      </c>
      <c r="F802" s="17">
        <f>'01_원자료'!P799*'03_가중치민감도'!$B$6+'01_원자료'!Q799*'03_가중치민감도'!$C$6+'01_원자료'!R799*'03_가중치민감도'!$D$6</f>
        <v>0.48383576102233561</v>
      </c>
      <c r="G802" s="17">
        <f>'01_원자료'!P799*'03_가중치민감도'!$B$7+'01_원자료'!Q799*'03_가중치민감도'!$C$7+'01_원자료'!R799*'03_가중치민감도'!$D$7</f>
        <v>0.5784531836086334</v>
      </c>
      <c r="H802" s="17">
        <f>'01_원자료'!P799*'03_가중치민감도'!$B$8+'01_원자료'!Q799*'03_가중치민감도'!$C$8+'01_원자료'!R799*'03_가중치민감도'!$D$8</f>
        <v>0.55097279439194957</v>
      </c>
      <c r="I802" s="17">
        <f>'01_원자료'!P799*'03_가중치민감도'!$B$9+'01_원자료'!Q799*'03_가중치민감도'!$C$9+'01_원자료'!R799*'03_가중치민감도'!$D$9</f>
        <v>0.51232152530480279</v>
      </c>
      <c r="J802" s="17">
        <f>'01_원자료'!P799*'03_가중치민감도'!$B$10+'01_원자료'!Q799*'03_가중치민감도'!$C$10+'01_원자료'!R799*'03_가중치민감도'!$D$10</f>
        <v>0.65475034671714205</v>
      </c>
      <c r="K802" s="31">
        <f t="shared" si="72"/>
        <v>303</v>
      </c>
      <c r="L802" s="31">
        <f t="shared" si="73"/>
        <v>289</v>
      </c>
      <c r="M802" s="31">
        <f t="shared" si="74"/>
        <v>286</v>
      </c>
      <c r="N802" s="31">
        <f t="shared" si="75"/>
        <v>337</v>
      </c>
      <c r="O802" s="31">
        <f t="shared" si="76"/>
        <v>296</v>
      </c>
      <c r="P802" s="31">
        <f t="shared" si="77"/>
        <v>321</v>
      </c>
    </row>
    <row r="803" spans="1:16">
      <c r="A803" s="2" t="str">
        <f>'01_원자료'!A800</f>
        <v>RPT-23</v>
      </c>
      <c r="B803" s="2" t="str">
        <f>'01_원자료'!B800</f>
        <v>claude</v>
      </c>
      <c r="C803" s="2" t="str">
        <f>'01_원자료'!C800</f>
        <v>gemma</v>
      </c>
      <c r="E803" s="17">
        <f>'01_원자료'!P800*'03_가중치민감도'!$B$5+'01_원자료'!Q800*'03_가중치민감도'!$C$5+'01_원자료'!R800*'03_가중치민감도'!$D$5</f>
        <v>0.63232367319725946</v>
      </c>
      <c r="F803" s="17">
        <f>'01_원자료'!P800*'03_가중치민감도'!$B$6+'01_원자료'!Q800*'03_가중치민감도'!$C$6+'01_원자료'!R800*'03_가중치민감도'!$D$6</f>
        <v>0.52685383448186307</v>
      </c>
      <c r="G803" s="17">
        <f>'01_원자료'!P800*'03_가중치민감도'!$B$7+'01_원자료'!Q800*'03_가중치민감도'!$C$7+'01_원자료'!R800*'03_가중치민감도'!$D$7</f>
        <v>0.63199365129993035</v>
      </c>
      <c r="H803" s="17">
        <f>'01_원자료'!P800*'03_가중치민감도'!$B$8+'01_원자료'!Q800*'03_가중치민감도'!$C$8+'01_원자료'!R800*'03_가중치민감도'!$D$8</f>
        <v>0.63397378268390447</v>
      </c>
      <c r="I803" s="17">
        <f>'01_원자료'!P800*'03_가중치민감도'!$B$9+'01_원자료'!Q800*'03_가중치민감도'!$C$9+'01_원자료'!R800*'03_가중치민감도'!$D$9</f>
        <v>0.56212045468610428</v>
      </c>
      <c r="J803" s="17">
        <f>'01_원자료'!P800*'03_가중치민감도'!$B$10+'01_원자료'!Q800*'03_가중치민감도'!$C$10+'01_원자료'!R800*'03_가중치민감도'!$D$10</f>
        <v>0.73845355570731375</v>
      </c>
      <c r="K803" s="31">
        <f t="shared" si="72"/>
        <v>541</v>
      </c>
      <c r="L803" s="31">
        <f t="shared" si="73"/>
        <v>482</v>
      </c>
      <c r="M803" s="31">
        <f t="shared" si="74"/>
        <v>528</v>
      </c>
      <c r="N803" s="31">
        <f t="shared" si="75"/>
        <v>591</v>
      </c>
      <c r="O803" s="31">
        <f t="shared" si="76"/>
        <v>512</v>
      </c>
      <c r="P803" s="31">
        <f t="shared" si="77"/>
        <v>618</v>
      </c>
    </row>
    <row r="804" spans="1:16">
      <c r="A804" s="2" t="str">
        <f>'01_원자료'!A801</f>
        <v>RPT-23</v>
      </c>
      <c r="B804" s="2" t="str">
        <f>'01_원자료'!B801</f>
        <v>claude</v>
      </c>
      <c r="C804" s="2" t="str">
        <f>'01_원자료'!C801</f>
        <v>ministral</v>
      </c>
      <c r="E804" s="17">
        <f>'01_원자료'!P801*'03_가중치민감도'!$B$5+'01_원자료'!Q801*'03_가중치민감도'!$C$5+'01_원자료'!R801*'03_가중치민감도'!$D$5</f>
        <v>0.61234367462310002</v>
      </c>
      <c r="F804" s="17">
        <f>'01_원자료'!P801*'03_가중치민감도'!$B$6+'01_원자료'!Q801*'03_가중치민감도'!$C$6+'01_원자료'!R801*'03_가중치민감도'!$D$6</f>
        <v>0.5137495206303595</v>
      </c>
      <c r="G804" s="17">
        <f>'01_원자료'!P801*'03_가중치민감도'!$B$7+'01_원자료'!Q801*'03_가중치민감도'!$C$7+'01_원자료'!R801*'03_가중치민감도'!$D$7</f>
        <v>0.61305997265527634</v>
      </c>
      <c r="H804" s="17">
        <f>'01_원자료'!P801*'03_가중치민감도'!$B$8+'01_원자료'!Q801*'03_가중치민감도'!$C$8+'01_원자료'!R801*'03_가중치민감도'!$D$8</f>
        <v>0.6087621844622183</v>
      </c>
      <c r="I804" s="17">
        <f>'01_원자료'!P801*'03_가중치민감도'!$B$9+'01_원자료'!Q801*'03_가중치민감도'!$C$9+'01_원자료'!R801*'03_가중치민감도'!$D$9</f>
        <v>0.54637547261721364</v>
      </c>
      <c r="J804" s="17">
        <f>'01_원자료'!P801*'03_가중치민감도'!$B$10+'01_원자료'!Q801*'03_가중치민감도'!$C$10+'01_원자료'!R801*'03_가중치민감도'!$D$10</f>
        <v>0.7095052325514879</v>
      </c>
      <c r="K804" s="31">
        <f t="shared" si="72"/>
        <v>447</v>
      </c>
      <c r="L804" s="31">
        <f t="shared" si="73"/>
        <v>433</v>
      </c>
      <c r="M804" s="31">
        <f t="shared" si="74"/>
        <v>424</v>
      </c>
      <c r="N804" s="31">
        <f t="shared" si="75"/>
        <v>518</v>
      </c>
      <c r="O804" s="31">
        <f t="shared" si="76"/>
        <v>448</v>
      </c>
      <c r="P804" s="31">
        <f t="shared" si="77"/>
        <v>494</v>
      </c>
    </row>
    <row r="805" spans="1:16">
      <c r="A805" s="2" t="str">
        <f>'01_원자료'!A802</f>
        <v>RPT-23</v>
      </c>
      <c r="B805" s="2" t="str">
        <f>'01_원자료'!B802</f>
        <v>claude</v>
      </c>
      <c r="C805" s="2" t="str">
        <f>'01_원자료'!C802</f>
        <v>qwen</v>
      </c>
      <c r="E805" s="17">
        <f>'01_원자료'!P802*'03_가중치민감도'!$B$5+'01_원자료'!Q802*'03_가중치민감도'!$C$5+'01_원자료'!R802*'03_가중치민감도'!$D$5</f>
        <v>0.64867240036268603</v>
      </c>
      <c r="F805" s="17">
        <f>'01_원자료'!P802*'03_가중치민감도'!$B$6+'01_원자료'!Q802*'03_가중치민감도'!$C$6+'01_원자료'!R802*'03_가중치민감도'!$D$6</f>
        <v>0.55222077136914582</v>
      </c>
      <c r="G805" s="17">
        <f>'01_원자료'!P802*'03_가중치민감도'!$B$7+'01_원자료'!Q802*'03_가중치민감도'!$C$7+'01_원자료'!R802*'03_가중치민감도'!$D$7</f>
        <v>0.64471907093221748</v>
      </c>
      <c r="H805" s="17">
        <f>'01_원자료'!P802*'03_가중치민감도'!$B$8+'01_원자료'!Q802*'03_가중치민감도'!$C$8+'01_원자료'!R802*'03_가중치민감도'!$D$8</f>
        <v>0.66843904751502825</v>
      </c>
      <c r="I805" s="17">
        <f>'01_원자료'!P802*'03_가중치민감도'!$B$9+'01_원자료'!Q802*'03_가중치민감도'!$C$9+'01_원자료'!R802*'03_가중치민감도'!$D$9</f>
        <v>0.58568909084381482</v>
      </c>
      <c r="J805" s="17">
        <f>'01_원자료'!P802*'03_가중치민감도'!$B$10+'01_원자료'!Q802*'03_가중치민감도'!$C$10+'01_원자료'!R802*'03_가중치민감도'!$D$10</f>
        <v>0.75303068821716301</v>
      </c>
      <c r="K805" s="31">
        <f t="shared" si="72"/>
        <v>612</v>
      </c>
      <c r="L805" s="31">
        <f t="shared" si="73"/>
        <v>601</v>
      </c>
      <c r="M805" s="31">
        <f t="shared" si="74"/>
        <v>589</v>
      </c>
      <c r="N805" s="31">
        <f t="shared" si="75"/>
        <v>697</v>
      </c>
      <c r="O805" s="31">
        <f t="shared" si="76"/>
        <v>612</v>
      </c>
      <c r="P805" s="31">
        <f t="shared" si="77"/>
        <v>668</v>
      </c>
    </row>
    <row r="806" spans="1:16">
      <c r="A806" s="2" t="str">
        <f>'01_원자료'!A803</f>
        <v>RPT-23</v>
      </c>
      <c r="B806" s="2" t="str">
        <f>'01_원자료'!B803</f>
        <v>gemini</v>
      </c>
      <c r="C806" s="2" t="str">
        <f>'01_원자료'!C803</f>
        <v>gemma</v>
      </c>
      <c r="E806" s="17">
        <f>'01_원자료'!P803*'03_가중치민감도'!$B$5+'01_원자료'!Q803*'03_가중치민감도'!$C$5+'01_원자료'!R803*'03_가중치민감도'!$D$5</f>
        <v>0.72855549179621981</v>
      </c>
      <c r="F806" s="17">
        <f>'01_원자료'!P803*'03_가중치민감도'!$B$6+'01_원자료'!Q803*'03_가중치민감도'!$C$6+'01_원자료'!R803*'03_가중치민감도'!$D$6</f>
        <v>0.61423484856750421</v>
      </c>
      <c r="G806" s="17">
        <f>'01_원자료'!P803*'03_가중치민감도'!$B$7+'01_원자료'!Q803*'03_가중치민감도'!$C$7+'01_원자료'!R803*'03_가중치민감도'!$D$7</f>
        <v>0.72292230991880069</v>
      </c>
      <c r="H806" s="17">
        <f>'01_원자료'!P803*'03_가중치민감도'!$B$8+'01_원자료'!Q803*'03_가중치민감도'!$C$8+'01_원자료'!R803*'03_가중치민감도'!$D$8</f>
        <v>0.75672140118331499</v>
      </c>
      <c r="I806" s="17">
        <f>'01_원자료'!P803*'03_가중치민감도'!$B$9+'01_원자료'!Q803*'03_가중치민감도'!$C$9+'01_원자료'!R803*'03_가중치민감도'!$D$9</f>
        <v>0.65421945693621508</v>
      </c>
      <c r="J806" s="17">
        <f>'01_원자료'!P803*'03_가중치민감도'!$B$10+'01_원자료'!Q803*'03_가중치민감도'!$C$10+'01_원자료'!R803*'03_가중치민감도'!$D$10</f>
        <v>0.85414249877977333</v>
      </c>
      <c r="K806" s="31">
        <f t="shared" si="72"/>
        <v>900</v>
      </c>
      <c r="L806" s="31">
        <f t="shared" si="73"/>
        <v>873</v>
      </c>
      <c r="M806" s="31">
        <f t="shared" si="74"/>
        <v>902</v>
      </c>
      <c r="N806" s="31">
        <f t="shared" si="75"/>
        <v>859</v>
      </c>
      <c r="O806" s="31">
        <f t="shared" si="76"/>
        <v>885</v>
      </c>
      <c r="P806" s="31">
        <f t="shared" si="77"/>
        <v>900</v>
      </c>
    </row>
    <row r="807" spans="1:16">
      <c r="A807" s="2" t="str">
        <f>'01_원자료'!A804</f>
        <v>RPT-23</v>
      </c>
      <c r="B807" s="2" t="str">
        <f>'01_원자료'!B804</f>
        <v>gemini</v>
      </c>
      <c r="C807" s="2" t="str">
        <f>'01_원자료'!C804</f>
        <v>ministral</v>
      </c>
      <c r="E807" s="17">
        <f>'01_원자료'!P804*'03_가중치민감도'!$B$5+'01_원자료'!Q804*'03_가중치민감도'!$C$5+'01_원자료'!R804*'03_가중치민감도'!$D$5</f>
        <v>0.60823373125673252</v>
      </c>
      <c r="F807" s="17">
        <f>'01_원자료'!P804*'03_가중치민감도'!$B$6+'01_원자료'!Q804*'03_가중치민감도'!$C$6+'01_원자료'!R804*'03_가중치민감도'!$D$6</f>
        <v>0.49469649794630915</v>
      </c>
      <c r="G807" s="17">
        <f>'01_원자료'!P804*'03_가중치민감도'!$B$7+'01_원자료'!Q804*'03_가중치민감도'!$C$7+'01_원자료'!R804*'03_가중치민감도'!$D$7</f>
        <v>0.61910278830279153</v>
      </c>
      <c r="H807" s="17">
        <f>'01_원자료'!P804*'03_가중치민감도'!$B$8+'01_원자료'!Q804*'03_가중치민감도'!$C$8+'01_원자료'!R804*'03_가중치민감도'!$D$8</f>
        <v>0.55388844602643761</v>
      </c>
      <c r="I807" s="17">
        <f>'01_원자료'!P804*'03_가중치민감도'!$B$9+'01_원자료'!Q804*'03_가중치민감도'!$C$9+'01_원자료'!R804*'03_가중치민감도'!$D$9</f>
        <v>0.52891922336776342</v>
      </c>
      <c r="J807" s="17">
        <f>'01_원자료'!P804*'03_가중치민감도'!$B$10+'01_원자료'!Q804*'03_가중치민감도'!$C$10+'01_원자료'!R804*'03_가중치민감도'!$D$10</f>
        <v>0.70003285047503783</v>
      </c>
      <c r="K807" s="31">
        <f t="shared" si="72"/>
        <v>425</v>
      </c>
      <c r="L807" s="31">
        <f t="shared" si="73"/>
        <v>335</v>
      </c>
      <c r="M807" s="31">
        <f t="shared" si="74"/>
        <v>462</v>
      </c>
      <c r="N807" s="31">
        <f t="shared" si="75"/>
        <v>352</v>
      </c>
      <c r="O807" s="31">
        <f t="shared" si="76"/>
        <v>369</v>
      </c>
      <c r="P807" s="31">
        <f t="shared" si="77"/>
        <v>455</v>
      </c>
    </row>
    <row r="808" spans="1:16">
      <c r="A808" s="2" t="str">
        <f>'01_원자료'!A805</f>
        <v>RPT-23</v>
      </c>
      <c r="B808" s="2" t="str">
        <f>'01_원자료'!B805</f>
        <v>gemini</v>
      </c>
      <c r="C808" s="2" t="str">
        <f>'01_원자료'!C805</f>
        <v>qwen</v>
      </c>
      <c r="E808" s="17">
        <f>'01_원자료'!P805*'03_가중치민감도'!$B$5+'01_원자료'!Q805*'03_가중치민감도'!$C$5+'01_원자료'!R805*'03_가중치민감도'!$D$5</f>
        <v>0.65397262907142517</v>
      </c>
      <c r="F808" s="17">
        <f>'01_원자료'!P805*'03_가중치민감도'!$B$6+'01_원자료'!Q805*'03_가중치민감도'!$C$6+'01_원자료'!R805*'03_가중치민감도'!$D$6</f>
        <v>0.5480522855167671</v>
      </c>
      <c r="G808" s="17">
        <f>'01_원자료'!P805*'03_가중치민감도'!$B$7+'01_원자료'!Q805*'03_가중치민감도'!$C$7+'01_원자료'!R805*'03_가중치민감도'!$D$7</f>
        <v>0.65846758548772688</v>
      </c>
      <c r="H808" s="17">
        <f>'01_원자료'!P805*'03_가중치민감도'!$B$8+'01_원자료'!Q805*'03_가중치민감도'!$C$8+'01_원자료'!R805*'03_가중치민감도'!$D$8</f>
        <v>0.63149784698991629</v>
      </c>
      <c r="I808" s="17">
        <f>'01_원자료'!P805*'03_가중치민감도'!$B$9+'01_원자료'!Q805*'03_가중치민감도'!$C$9+'01_원자료'!R805*'03_가중치민감도'!$D$9</f>
        <v>0.58186074789621856</v>
      </c>
      <c r="J808" s="17">
        <f>'01_원자료'!P805*'03_가중치민감도'!$B$10+'01_원자료'!Q805*'03_가중치민감도'!$C$10+'01_원자료'!R805*'03_가중치민감도'!$D$10</f>
        <v>0.7509030597934796</v>
      </c>
      <c r="K808" s="31">
        <f t="shared" si="72"/>
        <v>635</v>
      </c>
      <c r="L808" s="31">
        <f t="shared" si="73"/>
        <v>578</v>
      </c>
      <c r="M808" s="31">
        <f t="shared" si="74"/>
        <v>655</v>
      </c>
      <c r="N808" s="31">
        <f t="shared" si="75"/>
        <v>580</v>
      </c>
      <c r="O808" s="31">
        <f t="shared" si="76"/>
        <v>584</v>
      </c>
      <c r="P808" s="31">
        <f t="shared" si="77"/>
        <v>658</v>
      </c>
    </row>
    <row r="809" spans="1:16">
      <c r="A809" s="2" t="str">
        <f>'01_원자료'!A806</f>
        <v>RPT-23</v>
      </c>
      <c r="B809" s="2" t="str">
        <f>'01_원자료'!B806</f>
        <v>mistral</v>
      </c>
      <c r="C809" s="2" t="str">
        <f>'01_원자료'!C806</f>
        <v>gemma</v>
      </c>
      <c r="E809" s="17">
        <f>'01_원자료'!P806*'03_가중치민감도'!$B$5+'01_원자료'!Q806*'03_가중치민감도'!$C$5+'01_원자료'!R806*'03_가중치민감도'!$D$5</f>
        <v>0.65343155548346443</v>
      </c>
      <c r="F809" s="17">
        <f>'01_원자료'!P806*'03_가중치민감도'!$B$6+'01_원자료'!Q806*'03_가중치민감도'!$C$6+'01_원자료'!R806*'03_가중치민감도'!$D$6</f>
        <v>0.55611708998251463</v>
      </c>
      <c r="G809" s="17">
        <f>'01_원자료'!P806*'03_가중치민감도'!$B$7+'01_원자료'!Q806*'03_가중치민감도'!$C$7+'01_원자료'!R806*'03_가중치민감도'!$D$7</f>
        <v>0.64948126032754527</v>
      </c>
      <c r="H809" s="17">
        <f>'01_원자료'!P806*'03_가중치민감도'!$B$8+'01_원자료'!Q806*'03_가중치민감도'!$C$8+'01_원자료'!R806*'03_가중치민감도'!$D$8</f>
        <v>0.67318303126306067</v>
      </c>
      <c r="I809" s="17">
        <f>'01_원자료'!P806*'03_가중치민감도'!$B$9+'01_원자료'!Q806*'03_가중치민감도'!$C$9+'01_원자료'!R806*'03_가중치민감도'!$D$9</f>
        <v>0.58987201020147029</v>
      </c>
      <c r="J809" s="17">
        <f>'01_원자료'!P806*'03_가중치민감도'!$B$10+'01_원자료'!Q806*'03_가중치민감도'!$C$10+'01_원자료'!R806*'03_가중치민감도'!$D$10</f>
        <v>0.75864661129625288</v>
      </c>
      <c r="K809" s="31">
        <f t="shared" si="72"/>
        <v>633</v>
      </c>
      <c r="L809" s="31">
        <f t="shared" si="73"/>
        <v>621</v>
      </c>
      <c r="M809" s="31">
        <f t="shared" si="74"/>
        <v>613</v>
      </c>
      <c r="N809" s="31">
        <f t="shared" si="75"/>
        <v>706</v>
      </c>
      <c r="O809" s="31">
        <f t="shared" si="76"/>
        <v>629</v>
      </c>
      <c r="P809" s="31">
        <f t="shared" si="77"/>
        <v>689</v>
      </c>
    </row>
    <row r="810" spans="1:16">
      <c r="A810" s="2" t="str">
        <f>'01_원자료'!A807</f>
        <v>RPT-23</v>
      </c>
      <c r="B810" s="2" t="str">
        <f>'01_원자료'!B807</f>
        <v>mistral</v>
      </c>
      <c r="C810" s="2" t="str">
        <f>'01_원자료'!C807</f>
        <v>ministral</v>
      </c>
      <c r="E810" s="17">
        <f>'01_원자료'!P807*'03_가중치민감도'!$B$5+'01_원자료'!Q807*'03_가중치민감도'!$C$5+'01_원자료'!R807*'03_가중치민감도'!$D$5</f>
        <v>0.58410028157497651</v>
      </c>
      <c r="F810" s="17">
        <f>'01_원자료'!P807*'03_가중치민감도'!$B$6+'01_원자료'!Q807*'03_가중치민감도'!$C$6+'01_원자료'!R807*'03_가중치민감도'!$D$6</f>
        <v>0.48557464055382737</v>
      </c>
      <c r="G810" s="17">
        <f>'01_원자료'!P807*'03_가중치민감도'!$B$7+'01_원자료'!Q807*'03_가중치민감도'!$C$7+'01_원자료'!R807*'03_가중치민감도'!$D$7</f>
        <v>0.59308028023241199</v>
      </c>
      <c r="H810" s="17">
        <f>'01_원자료'!P807*'03_가중치민감도'!$B$8+'01_원자료'!Q807*'03_가중치민감도'!$C$8+'01_원자료'!R807*'03_가중치민감도'!$D$8</f>
        <v>0.53920028828779876</v>
      </c>
      <c r="I810" s="17">
        <f>'01_원자료'!P807*'03_가중치민감도'!$B$9+'01_원자료'!Q807*'03_가중치민감도'!$C$9+'01_원자료'!R807*'03_가중치민감도'!$D$9</f>
        <v>0.51542318800839804</v>
      </c>
      <c r="J810" s="17">
        <f>'01_원자료'!P807*'03_가중치민감도'!$B$10+'01_원자료'!Q807*'03_가중치민감도'!$C$10+'01_원자료'!R807*'03_가중치민감도'!$D$10</f>
        <v>0.66466592528125445</v>
      </c>
      <c r="K810" s="31">
        <f t="shared" si="72"/>
        <v>332</v>
      </c>
      <c r="L810" s="31">
        <f t="shared" si="73"/>
        <v>296</v>
      </c>
      <c r="M810" s="31">
        <f t="shared" si="74"/>
        <v>338</v>
      </c>
      <c r="N810" s="31">
        <f t="shared" si="75"/>
        <v>301</v>
      </c>
      <c r="O810" s="31">
        <f t="shared" si="76"/>
        <v>311</v>
      </c>
      <c r="P810" s="31">
        <f t="shared" si="77"/>
        <v>343</v>
      </c>
    </row>
    <row r="811" spans="1:16">
      <c r="A811" s="2" t="str">
        <f>'01_원자료'!A808</f>
        <v>RPT-23</v>
      </c>
      <c r="B811" s="2" t="str">
        <f>'01_원자료'!B808</f>
        <v>mistral</v>
      </c>
      <c r="C811" s="2" t="str">
        <f>'01_원자료'!C808</f>
        <v>qwen</v>
      </c>
      <c r="E811" s="17">
        <f>'01_원자료'!P808*'03_가중치민감도'!$B$5+'01_원자료'!Q808*'03_가중치민감도'!$C$5+'01_원자료'!R808*'03_가중치민감도'!$D$5</f>
        <v>0.62755800078431356</v>
      </c>
      <c r="F811" s="17">
        <f>'01_원자료'!P808*'03_가중치민감도'!$B$6+'01_원자료'!Q808*'03_가중치민감도'!$C$6+'01_원자료'!R808*'03_가중치민감도'!$D$6</f>
        <v>0.52419641699507047</v>
      </c>
      <c r="G811" s="17">
        <f>'01_원자료'!P808*'03_가중치민감도'!$B$7+'01_원자료'!Q808*'03_가중치민감도'!$C$7+'01_원자료'!R808*'03_가중치민감도'!$D$7</f>
        <v>0.62870217860822319</v>
      </c>
      <c r="H811" s="17">
        <f>'01_원자료'!P808*'03_가중치민감도'!$B$8+'01_원자료'!Q808*'03_가중치민감도'!$C$8+'01_원자료'!R808*'03_가중치민감도'!$D$8</f>
        <v>0.62183711166476563</v>
      </c>
      <c r="I811" s="17">
        <f>'01_원자료'!P808*'03_가중치민감도'!$B$9+'01_원자료'!Q808*'03_가중치민감도'!$C$9+'01_원자료'!R808*'03_가중치민감도'!$D$9</f>
        <v>0.55826888565018118</v>
      </c>
      <c r="J811" s="17">
        <f>'01_원자료'!P808*'03_가중치민감도'!$B$10+'01_원자료'!Q808*'03_가중치민감도'!$C$10+'01_원자료'!R808*'03_가중치민감도'!$D$10</f>
        <v>0.72863122892573751</v>
      </c>
      <c r="K811" s="31">
        <f t="shared" si="72"/>
        <v>518</v>
      </c>
      <c r="L811" s="31">
        <f t="shared" si="73"/>
        <v>470</v>
      </c>
      <c r="M811" s="31">
        <f t="shared" si="74"/>
        <v>512</v>
      </c>
      <c r="N811" s="31">
        <f t="shared" si="75"/>
        <v>553</v>
      </c>
      <c r="O811" s="31">
        <f t="shared" si="76"/>
        <v>494</v>
      </c>
      <c r="P811" s="31">
        <f t="shared" si="77"/>
        <v>574</v>
      </c>
    </row>
    <row r="812" spans="1:16">
      <c r="A812" s="2" t="str">
        <f>'01_원자료'!A809</f>
        <v>RPT-23</v>
      </c>
      <c r="B812" s="2" t="str">
        <f>'01_원자료'!B809</f>
        <v>qwen3_6</v>
      </c>
      <c r="C812" s="2" t="str">
        <f>'01_원자료'!C809</f>
        <v>gemma</v>
      </c>
      <c r="E812" s="17">
        <f>'01_원자료'!P809*'03_가중치민감도'!$B$5+'01_원자료'!Q809*'03_가중치민감도'!$C$5+'01_원자료'!R809*'03_가중치민감도'!$D$5</f>
        <v>0.71492288277622373</v>
      </c>
      <c r="F812" s="17">
        <f>'01_원자료'!P809*'03_가중치민감도'!$B$6+'01_원자료'!Q809*'03_가중치민감도'!$C$6+'01_원자료'!R809*'03_가중치민감도'!$D$6</f>
        <v>0.61144631944630246</v>
      </c>
      <c r="G812" s="17">
        <f>'01_원자료'!P809*'03_가중치민감도'!$B$7+'01_원자료'!Q809*'03_가중치민감도'!$C$7+'01_원자료'!R809*'03_가중치민감도'!$D$7</f>
        <v>0.70724997682223878</v>
      </c>
      <c r="H812" s="17">
        <f>'01_원자료'!P809*'03_가중치민감도'!$B$8+'01_원자료'!Q809*'03_가중치민감도'!$C$8+'01_원자료'!R809*'03_가중치민감도'!$D$8</f>
        <v>0.75328741254614817</v>
      </c>
      <c r="I812" s="17">
        <f>'01_원자료'!P809*'03_가중치민감도'!$B$9+'01_원자료'!Q809*'03_가중치민감도'!$C$9+'01_원자료'!R809*'03_가중치민감도'!$D$9</f>
        <v>0.64849614254093724</v>
      </c>
      <c r="J812" s="17">
        <f>'01_원자료'!P809*'03_가중치민감도'!$B$10+'01_원자료'!Q809*'03_가중치민감도'!$C$10+'01_원자료'!R809*'03_가중치민감도'!$D$10</f>
        <v>0.8337452580141147</v>
      </c>
      <c r="K812" s="31">
        <f t="shared" si="72"/>
        <v>860</v>
      </c>
      <c r="L812" s="31">
        <f t="shared" si="73"/>
        <v>863</v>
      </c>
      <c r="M812" s="31">
        <f t="shared" si="74"/>
        <v>856</v>
      </c>
      <c r="N812" s="31">
        <f t="shared" si="75"/>
        <v>854</v>
      </c>
      <c r="O812" s="31">
        <f t="shared" si="76"/>
        <v>860</v>
      </c>
      <c r="P812" s="31">
        <f t="shared" si="77"/>
        <v>853</v>
      </c>
    </row>
    <row r="813" spans="1:16">
      <c r="A813" s="2" t="str">
        <f>'01_원자료'!A810</f>
        <v>RPT-23</v>
      </c>
      <c r="B813" s="2" t="str">
        <f>'01_원자료'!B810</f>
        <v>qwen3_6</v>
      </c>
      <c r="C813" s="2" t="str">
        <f>'01_원자료'!C810</f>
        <v>ministral</v>
      </c>
      <c r="E813" s="17">
        <f>'01_원자료'!P810*'03_가중치민감도'!$B$5+'01_원자료'!Q810*'03_가중치민감도'!$C$5+'01_원자료'!R810*'03_가중치민감도'!$D$5</f>
        <v>0.57753959596869253</v>
      </c>
      <c r="F813" s="17">
        <f>'01_원자료'!P810*'03_가중치민감도'!$B$6+'01_원자료'!Q810*'03_가중치민감도'!$C$6+'01_원자료'!R810*'03_가중치민감도'!$D$6</f>
        <v>0.47751566536877721</v>
      </c>
      <c r="G813" s="17">
        <f>'01_원자료'!P810*'03_가중치민감도'!$B$7+'01_원자료'!Q810*'03_가중치민감도'!$C$7+'01_원자료'!R810*'03_가중치민감도'!$D$7</f>
        <v>0.58472469984820585</v>
      </c>
      <c r="H813" s="17">
        <f>'01_원자료'!P810*'03_가중치민감도'!$B$8+'01_원자료'!Q810*'03_가중치민감도'!$C$8+'01_원자료'!R810*'03_가중치민감도'!$D$8</f>
        <v>0.54161407657112592</v>
      </c>
      <c r="I813" s="17">
        <f>'01_원자료'!P810*'03_가중치민감도'!$B$9+'01_원자료'!Q810*'03_가중치민감도'!$C$9+'01_원자료'!R810*'03_가중치민감도'!$D$9</f>
        <v>0.50846194094224406</v>
      </c>
      <c r="J813" s="17">
        <f>'01_원자료'!P810*'03_가중치민감도'!$B$10+'01_원자료'!Q810*'03_가중치민감도'!$C$10+'01_원자료'!R810*'03_가중치민감도'!$D$10</f>
        <v>0.66319331880958132</v>
      </c>
      <c r="K813" s="31">
        <f t="shared" si="72"/>
        <v>314</v>
      </c>
      <c r="L813" s="31">
        <f t="shared" si="73"/>
        <v>259</v>
      </c>
      <c r="M813" s="31">
        <f t="shared" si="74"/>
        <v>313</v>
      </c>
      <c r="N813" s="31">
        <f t="shared" si="75"/>
        <v>310</v>
      </c>
      <c r="O813" s="31">
        <f t="shared" si="76"/>
        <v>277</v>
      </c>
      <c r="P813" s="31">
        <f t="shared" si="77"/>
        <v>336</v>
      </c>
    </row>
    <row r="814" spans="1:16">
      <c r="A814" s="2" t="str">
        <f>'01_원자료'!A811</f>
        <v>RPT-23</v>
      </c>
      <c r="B814" s="2" t="str">
        <f>'01_원자료'!B811</f>
        <v>qwen3_6</v>
      </c>
      <c r="C814" s="2" t="str">
        <f>'01_원자료'!C811</f>
        <v>qwen</v>
      </c>
      <c r="E814" s="17">
        <f>'01_원자료'!P811*'03_가중치민감도'!$B$5+'01_원자료'!Q811*'03_가중치민감도'!$C$5+'01_원자료'!R811*'03_가중치민감도'!$D$5</f>
        <v>0.66182117102679427</v>
      </c>
      <c r="F814" s="17">
        <f>'01_원자료'!P811*'03_가중치민감도'!$B$6+'01_원자료'!Q811*'03_가중치민감도'!$C$6+'01_원자료'!R811*'03_가중치민감도'!$D$6</f>
        <v>0.58018991086770766</v>
      </c>
      <c r="G814" s="17">
        <f>'01_원자료'!P811*'03_가중치민감도'!$B$7+'01_원자료'!Q811*'03_가중치민감도'!$C$7+'01_원자료'!R811*'03_가중치민감도'!$D$7</f>
        <v>0.66494608232307906</v>
      </c>
      <c r="H814" s="17">
        <f>'01_원자료'!P811*'03_가중치민감도'!$B$8+'01_원자료'!Q811*'03_가중치민감도'!$C$8+'01_원자료'!R811*'03_가중치민감도'!$D$8</f>
        <v>0.6461966145453697</v>
      </c>
      <c r="I814" s="17">
        <f>'01_원자료'!P811*'03_가중치민감도'!$B$9+'01_원자료'!Q811*'03_가중치민감도'!$C$9+'01_원자료'!R811*'03_가중치민감도'!$D$9</f>
        <v>0.60635869382197416</v>
      </c>
      <c r="J814" s="17">
        <f>'01_원자료'!P811*'03_가중치민감도'!$B$10+'01_원자료'!Q811*'03_가중치민감도'!$C$10+'01_원자료'!R811*'03_가중치민감도'!$D$10</f>
        <v>0.73720260859331099</v>
      </c>
      <c r="K814" s="31">
        <f t="shared" si="72"/>
        <v>683</v>
      </c>
      <c r="L814" s="31">
        <f t="shared" si="73"/>
        <v>736</v>
      </c>
      <c r="M814" s="31">
        <f t="shared" si="74"/>
        <v>693</v>
      </c>
      <c r="N814" s="31">
        <f t="shared" si="75"/>
        <v>635</v>
      </c>
      <c r="O814" s="31">
        <f t="shared" si="76"/>
        <v>720</v>
      </c>
      <c r="P814" s="31">
        <f t="shared" si="77"/>
        <v>610</v>
      </c>
    </row>
    <row r="815" spans="1:16">
      <c r="A815" s="2" t="str">
        <f>'01_원자료'!A812</f>
        <v>RPT-24</v>
      </c>
      <c r="B815" s="2" t="str">
        <f>'01_원자료'!B812</f>
        <v>chatgpt</v>
      </c>
      <c r="C815" s="2" t="str">
        <f>'01_원자료'!C812</f>
        <v>gemma</v>
      </c>
      <c r="E815" s="17">
        <f>'01_원자료'!P812*'03_가중치민감도'!$B$5+'01_원자료'!Q812*'03_가중치민감도'!$C$5+'01_원자료'!R812*'03_가중치민감도'!$D$5</f>
        <v>0.56076786657931155</v>
      </c>
      <c r="F815" s="17">
        <f>'01_원자료'!P812*'03_가중치민감도'!$B$6+'01_원자료'!Q812*'03_가중치민감도'!$C$6+'01_원자료'!R812*'03_가중치민감도'!$D$6</f>
        <v>0.47444857132494822</v>
      </c>
      <c r="G815" s="17">
        <f>'01_원자료'!P812*'03_가중치민감도'!$B$7+'01_원자료'!Q812*'03_가중치민감도'!$C$7+'01_원자료'!R812*'03_가중치민감도'!$D$7</f>
        <v>0.56667416725381414</v>
      </c>
      <c r="H815" s="17">
        <f>'01_원자료'!P812*'03_가중치민감도'!$B$8+'01_원자료'!Q812*'03_가중치민감도'!$C$8+'01_원자료'!R812*'03_가중치민감도'!$D$8</f>
        <v>0.53123636320679857</v>
      </c>
      <c r="I815" s="17">
        <f>'01_원자료'!P812*'03_가중치민감도'!$B$9+'01_원자료'!Q812*'03_가중치민감도'!$C$9+'01_원자료'!R812*'03_가중치민감도'!$D$9</f>
        <v>0.50125290285156798</v>
      </c>
      <c r="J815" s="17">
        <f>'01_원자료'!P812*'03_가중치민감도'!$B$10+'01_원자료'!Q812*'03_가중치민감도'!$C$10+'01_원자료'!R812*'03_가중치민감도'!$D$10</f>
        <v>0.63527456048466968</v>
      </c>
      <c r="K815" s="31">
        <f t="shared" si="72"/>
        <v>254</v>
      </c>
      <c r="L815" s="31">
        <f t="shared" si="73"/>
        <v>238</v>
      </c>
      <c r="M815" s="31">
        <f t="shared" si="74"/>
        <v>231</v>
      </c>
      <c r="N815" s="31">
        <f t="shared" si="75"/>
        <v>282</v>
      </c>
      <c r="O815" s="31">
        <f t="shared" si="76"/>
        <v>252</v>
      </c>
      <c r="P815" s="31">
        <f t="shared" si="77"/>
        <v>276</v>
      </c>
    </row>
    <row r="816" spans="1:16">
      <c r="A816" s="2" t="str">
        <f>'01_원자료'!A813</f>
        <v>RPT-24</v>
      </c>
      <c r="B816" s="2" t="str">
        <f>'01_원자료'!B813</f>
        <v>chatgpt</v>
      </c>
      <c r="C816" s="2" t="str">
        <f>'01_원자료'!C813</f>
        <v>ministral</v>
      </c>
      <c r="E816" s="17">
        <f>'01_원자료'!P813*'03_가중치민감도'!$B$5+'01_원자료'!Q813*'03_가중치민감도'!$C$5+'01_원자료'!R813*'03_가중치민감도'!$D$5</f>
        <v>0.51558330532434782</v>
      </c>
      <c r="F816" s="17">
        <f>'01_원자료'!P813*'03_가중치민감도'!$B$6+'01_원자료'!Q813*'03_가중치민감도'!$C$6+'01_원자료'!R813*'03_가중치민감도'!$D$6</f>
        <v>0.45469172596392443</v>
      </c>
      <c r="G816" s="17">
        <f>'01_원자료'!P813*'03_가중치민감도'!$B$7+'01_원자료'!Q813*'03_가중치민감도'!$C$7+'01_원자료'!R813*'03_가중치민감도'!$D$7</f>
        <v>0.53778045541497499</v>
      </c>
      <c r="H816" s="17">
        <f>'01_원자료'!P813*'03_가중치민감도'!$B$8+'01_원자료'!Q813*'03_가중치민감도'!$C$8+'01_원자료'!R813*'03_가중치민감도'!$D$8</f>
        <v>0.40459755487121202</v>
      </c>
      <c r="I816" s="17">
        <f>'01_원자료'!P813*'03_가중치민감도'!$B$9+'01_원자료'!Q813*'03_가중치민감도'!$C$9+'01_원자료'!R813*'03_가중치민감도'!$D$9</f>
        <v>0.46758986905385602</v>
      </c>
      <c r="J816" s="17">
        <f>'01_원자료'!P813*'03_가중치민감도'!$B$10+'01_원자료'!Q813*'03_가중치민감도'!$C$10+'01_원자료'!R813*'03_가중치민감도'!$D$10</f>
        <v>0.53208058450351681</v>
      </c>
      <c r="K816" s="31">
        <f t="shared" si="72"/>
        <v>82</v>
      </c>
      <c r="L816" s="31">
        <f t="shared" si="73"/>
        <v>155</v>
      </c>
      <c r="M816" s="31">
        <f t="shared" si="74"/>
        <v>98</v>
      </c>
      <c r="N816" s="31">
        <f t="shared" si="75"/>
        <v>50</v>
      </c>
      <c r="O816" s="31">
        <f t="shared" si="76"/>
        <v>118</v>
      </c>
      <c r="P816" s="31">
        <f t="shared" si="77"/>
        <v>34</v>
      </c>
    </row>
    <row r="817" spans="1:16">
      <c r="A817" s="2" t="str">
        <f>'01_원자료'!A814</f>
        <v>RPT-24</v>
      </c>
      <c r="B817" s="2" t="str">
        <f>'01_원자료'!B814</f>
        <v>chatgpt</v>
      </c>
      <c r="C817" s="2" t="str">
        <f>'01_원자료'!C814</f>
        <v>qwen</v>
      </c>
      <c r="E817" s="17">
        <f>'01_원자료'!P814*'03_가중치민감도'!$B$5+'01_원자료'!Q814*'03_가중치민감도'!$C$5+'01_원자료'!R814*'03_가중치민감도'!$D$5</f>
        <v>0.529224968350271</v>
      </c>
      <c r="F817" s="17">
        <f>'01_원자료'!P814*'03_가중치민감도'!$B$6+'01_원자료'!Q814*'03_가중치민감도'!$C$6+'01_원자료'!R814*'03_가중치민감도'!$D$6</f>
        <v>0.4554544809701519</v>
      </c>
      <c r="G817" s="17">
        <f>'01_원자료'!P814*'03_가중치민감도'!$B$7+'01_원자료'!Q814*'03_가중치민감도'!$C$7+'01_원자료'!R814*'03_가중치민감도'!$D$7</f>
        <v>0.54120925047959112</v>
      </c>
      <c r="H817" s="17">
        <f>'01_원자료'!P814*'03_가중치민감도'!$B$8+'01_원자료'!Q814*'03_가중치민감도'!$C$8+'01_원자료'!R814*'03_가중치민감도'!$D$8</f>
        <v>0.46930355770367049</v>
      </c>
      <c r="I817" s="17">
        <f>'01_원자료'!P814*'03_가중치민감도'!$B$9+'01_원자료'!Q814*'03_가중치민감도'!$C$9+'01_원자료'!R814*'03_가중치민감도'!$D$9</f>
        <v>0.47604988272041771</v>
      </c>
      <c r="J817" s="17">
        <f>'01_원자료'!P814*'03_가중치민감도'!$B$10+'01_원자료'!Q814*'03_가중치민감도'!$C$10+'01_원자료'!R814*'03_가중치민감도'!$D$10</f>
        <v>0.57902689147174979</v>
      </c>
      <c r="K817" s="31">
        <f t="shared" si="72"/>
        <v>130</v>
      </c>
      <c r="L817" s="31">
        <f t="shared" si="73"/>
        <v>158</v>
      </c>
      <c r="M817" s="31">
        <f t="shared" si="74"/>
        <v>111</v>
      </c>
      <c r="N817" s="31">
        <f t="shared" si="75"/>
        <v>158</v>
      </c>
      <c r="O817" s="31">
        <f t="shared" si="76"/>
        <v>156</v>
      </c>
      <c r="P817" s="31">
        <f t="shared" si="77"/>
        <v>129</v>
      </c>
    </row>
    <row r="818" spans="1:16">
      <c r="A818" s="2" t="str">
        <f>'01_원자료'!A815</f>
        <v>RPT-24</v>
      </c>
      <c r="B818" s="2" t="str">
        <f>'01_원자료'!B815</f>
        <v>claude</v>
      </c>
      <c r="C818" s="2" t="str">
        <f>'01_원자료'!C815</f>
        <v>gemma</v>
      </c>
      <c r="E818" s="17">
        <f>'01_원자료'!P815*'03_가중치민감도'!$B$5+'01_원자료'!Q815*'03_가중치민감도'!$C$5+'01_원자료'!R815*'03_가중치민감도'!$D$5</f>
        <v>0.61490795999255576</v>
      </c>
      <c r="F818" s="17">
        <f>'01_원자료'!P815*'03_가중치민감도'!$B$6+'01_원자료'!Q815*'03_가중치민감도'!$C$6+'01_원자료'!R815*'03_가중치민감도'!$D$6</f>
        <v>0.52185544500278425</v>
      </c>
      <c r="G818" s="17">
        <f>'01_원자료'!P815*'03_가중치민감도'!$B$7+'01_원자료'!Q815*'03_가중치민감도'!$C$7+'01_원자료'!R815*'03_가중치민감도'!$D$7</f>
        <v>0.61589495050562781</v>
      </c>
      <c r="H818" s="17">
        <f>'01_원자료'!P815*'03_가중치민감도'!$B$8+'01_원자료'!Q815*'03_가중치민감도'!$C$8+'01_원자료'!R815*'03_가중치민감도'!$D$8</f>
        <v>0.60997300742719551</v>
      </c>
      <c r="I818" s="17">
        <f>'01_원자료'!P815*'03_가중치민감도'!$B$9+'01_원자료'!Q815*'03_가중치민감도'!$C$9+'01_원자료'!R815*'03_가중치민감도'!$D$9</f>
        <v>0.55254395316168348</v>
      </c>
      <c r="J818" s="17">
        <f>'01_원자료'!P815*'03_가중치민감도'!$B$10+'01_원자료'!Q815*'03_가중치민감도'!$C$10+'01_원자료'!R815*'03_가중치민감도'!$D$10</f>
        <v>0.70598649395618318</v>
      </c>
      <c r="K818" s="31">
        <f t="shared" si="72"/>
        <v>461</v>
      </c>
      <c r="L818" s="31">
        <f t="shared" si="73"/>
        <v>465</v>
      </c>
      <c r="M818" s="31">
        <f t="shared" si="74"/>
        <v>441</v>
      </c>
      <c r="N818" s="31">
        <f t="shared" si="75"/>
        <v>522</v>
      </c>
      <c r="O818" s="31">
        <f t="shared" si="76"/>
        <v>464</v>
      </c>
      <c r="P818" s="31">
        <f t="shared" si="77"/>
        <v>484</v>
      </c>
    </row>
    <row r="819" spans="1:16">
      <c r="A819" s="2" t="str">
        <f>'01_원자료'!A816</f>
        <v>RPT-24</v>
      </c>
      <c r="B819" s="2" t="str">
        <f>'01_원자료'!B816</f>
        <v>claude</v>
      </c>
      <c r="C819" s="2" t="str">
        <f>'01_원자료'!C816</f>
        <v>ministral</v>
      </c>
      <c r="E819" s="17">
        <f>'01_원자료'!P816*'03_가중치민감도'!$B$5+'01_원자료'!Q816*'03_가중치민감도'!$C$5+'01_원자료'!R816*'03_가중치민감도'!$D$5</f>
        <v>0.53384760179557544</v>
      </c>
      <c r="F819" s="17">
        <f>'01_원자료'!P816*'03_가중치민감도'!$B$6+'01_원자료'!Q816*'03_가중치민감도'!$C$6+'01_원자료'!R816*'03_가중치민감도'!$D$6</f>
        <v>0.47094311577322856</v>
      </c>
      <c r="G819" s="17">
        <f>'01_원자료'!P816*'03_가중치민감도'!$B$7+'01_원자료'!Q816*'03_가중치민감도'!$C$7+'01_원자료'!R816*'03_가중치민감도'!$D$7</f>
        <v>0.55127105999896009</v>
      </c>
      <c r="H819" s="17">
        <f>'01_원자료'!P816*'03_가중치민감도'!$B$8+'01_원자료'!Q816*'03_가중치민감도'!$C$8+'01_원자료'!R816*'03_가중치민감도'!$D$8</f>
        <v>0.44673031077865227</v>
      </c>
      <c r="I819" s="17">
        <f>'01_원자료'!P816*'03_가중치민감도'!$B$9+'01_원자료'!Q816*'03_가중치민감도'!$C$9+'01_원자료'!R816*'03_가중치민감도'!$D$9</f>
        <v>0.48610345837954883</v>
      </c>
      <c r="J819" s="17">
        <f>'01_원자료'!P816*'03_가중치민감도'!$B$10+'01_원자료'!Q816*'03_가중치민감도'!$C$10+'01_원자료'!R816*'03_가중치민감도'!$D$10</f>
        <v>0.56190517141115304</v>
      </c>
      <c r="K819" s="31">
        <f t="shared" si="72"/>
        <v>146</v>
      </c>
      <c r="L819" s="31">
        <f t="shared" si="73"/>
        <v>222</v>
      </c>
      <c r="M819" s="31">
        <f t="shared" si="74"/>
        <v>164</v>
      </c>
      <c r="N819" s="31">
        <f t="shared" si="75"/>
        <v>132</v>
      </c>
      <c r="O819" s="31">
        <f t="shared" si="76"/>
        <v>184</v>
      </c>
      <c r="P819" s="31">
        <f t="shared" si="77"/>
        <v>92</v>
      </c>
    </row>
    <row r="820" spans="1:16">
      <c r="A820" s="2" t="str">
        <f>'01_원자료'!A817</f>
        <v>RPT-24</v>
      </c>
      <c r="B820" s="2" t="str">
        <f>'01_원자료'!B817</f>
        <v>claude</v>
      </c>
      <c r="C820" s="2" t="str">
        <f>'01_원자료'!C817</f>
        <v>qwen</v>
      </c>
      <c r="E820" s="17">
        <f>'01_원자료'!P817*'03_가중치민감도'!$B$5+'01_원자료'!Q817*'03_가중치민감도'!$C$5+'01_원자료'!R817*'03_가중치민감도'!$D$5</f>
        <v>0.6439623610565699</v>
      </c>
      <c r="F820" s="17">
        <f>'01_원자료'!P817*'03_가중치민감도'!$B$6+'01_원자료'!Q817*'03_가중치민감도'!$C$6+'01_원자료'!R817*'03_가중치민감도'!$D$6</f>
        <v>0.56667266200227473</v>
      </c>
      <c r="G820" s="17">
        <f>'01_원자료'!P817*'03_가중치민감도'!$B$7+'01_원자료'!Q817*'03_가중치민감도'!$C$7+'01_원자료'!R817*'03_가중치민감도'!$D$7</f>
        <v>0.64457036515840793</v>
      </c>
      <c r="H820" s="17">
        <f>'01_원자료'!P817*'03_가중치민감도'!$B$8+'01_원자료'!Q817*'03_가중치민감도'!$C$8+'01_원자료'!R817*'03_가중치민감도'!$D$8</f>
        <v>0.64092234054738029</v>
      </c>
      <c r="I820" s="17">
        <f>'01_원자료'!P817*'03_가중치민감도'!$B$9+'01_원자료'!Q817*'03_가중치민감도'!$C$9+'01_원자료'!R817*'03_가중치민감도'!$D$9</f>
        <v>0.59223322698642655</v>
      </c>
      <c r="J820" s="17">
        <f>'01_원자료'!P817*'03_가중치민감도'!$B$10+'01_원자료'!Q817*'03_가중치민감도'!$C$10+'01_원자료'!R817*'03_가중치민감도'!$D$10</f>
        <v>0.72003605190718922</v>
      </c>
      <c r="K820" s="31">
        <f t="shared" si="72"/>
        <v>592</v>
      </c>
      <c r="L820" s="31">
        <f t="shared" si="73"/>
        <v>673</v>
      </c>
      <c r="M820" s="31">
        <f t="shared" si="74"/>
        <v>587</v>
      </c>
      <c r="N820" s="31">
        <f t="shared" si="75"/>
        <v>610</v>
      </c>
      <c r="O820" s="31">
        <f t="shared" si="76"/>
        <v>649</v>
      </c>
      <c r="P820" s="31">
        <f t="shared" si="77"/>
        <v>548</v>
      </c>
    </row>
    <row r="821" spans="1:16">
      <c r="A821" s="2" t="str">
        <f>'01_원자료'!A818</f>
        <v>RPT-24</v>
      </c>
      <c r="B821" s="2" t="str">
        <f>'01_원자료'!B818</f>
        <v>gemini</v>
      </c>
      <c r="C821" s="2" t="str">
        <f>'01_원자료'!C818</f>
        <v>gemma</v>
      </c>
      <c r="E821" s="17">
        <f>'01_원자료'!P818*'03_가중치민감도'!$B$5+'01_원자료'!Q818*'03_가중치민감도'!$C$5+'01_원자료'!R818*'03_가중치민감도'!$D$5</f>
        <v>0.73742636861804423</v>
      </c>
      <c r="F821" s="17">
        <f>'01_원자료'!P818*'03_가중치민감도'!$B$6+'01_원자료'!Q818*'03_가중치민감도'!$C$6+'01_원자료'!R818*'03_가중치민감도'!$D$6</f>
        <v>0.61994178281132206</v>
      </c>
      <c r="G821" s="17">
        <f>'01_원자료'!P818*'03_가중치민감도'!$B$7+'01_원자료'!Q818*'03_가중치민감도'!$C$7+'01_원자료'!R818*'03_가중치민감도'!$D$7</f>
        <v>0.73024648363284617</v>
      </c>
      <c r="H821" s="17">
        <f>'01_원자료'!P818*'03_가중치민감도'!$B$8+'01_원자료'!Q818*'03_가중치민감도'!$C$8+'01_원자료'!R818*'03_가중치민감도'!$D$8</f>
        <v>0.77332579354403497</v>
      </c>
      <c r="I821" s="17">
        <f>'01_원자료'!P818*'03_가중치민감도'!$B$9+'01_원자료'!Q818*'03_가중치민감도'!$C$9+'01_원자료'!R818*'03_가중치민감도'!$D$9</f>
        <v>0.66149660640862806</v>
      </c>
      <c r="J821" s="17">
        <f>'01_원자료'!P818*'03_가중치민감도'!$B$10+'01_원자료'!Q818*'03_가중치민감도'!$C$10+'01_원자료'!R818*'03_가중치민감도'!$D$10</f>
        <v>0.86927072439516284</v>
      </c>
      <c r="K821" s="31">
        <f t="shared" si="72"/>
        <v>921</v>
      </c>
      <c r="L821" s="31">
        <f t="shared" si="73"/>
        <v>893</v>
      </c>
      <c r="M821" s="31">
        <f t="shared" si="74"/>
        <v>921</v>
      </c>
      <c r="N821" s="31">
        <f t="shared" si="75"/>
        <v>916</v>
      </c>
      <c r="O821" s="31">
        <f t="shared" si="76"/>
        <v>911</v>
      </c>
      <c r="P821" s="31">
        <f t="shared" si="77"/>
        <v>945</v>
      </c>
    </row>
    <row r="822" spans="1:16">
      <c r="A822" s="2" t="str">
        <f>'01_원자료'!A819</f>
        <v>RPT-24</v>
      </c>
      <c r="B822" s="2" t="str">
        <f>'01_원자료'!B819</f>
        <v>gemini</v>
      </c>
      <c r="C822" s="2" t="str">
        <f>'01_원자료'!C819</f>
        <v>ministral</v>
      </c>
      <c r="E822" s="17">
        <f>'01_원자료'!P819*'03_가중치민감도'!$B$5+'01_원자료'!Q819*'03_가중치민감도'!$C$5+'01_원자료'!R819*'03_가중치민감도'!$D$5</f>
        <v>0.54972995279624093</v>
      </c>
      <c r="F822" s="17">
        <f>'01_원자료'!P819*'03_가중치민감도'!$B$6+'01_원자료'!Q819*'03_가중치민감도'!$C$6+'01_원자료'!R819*'03_가중치민감도'!$D$6</f>
        <v>0.47236331200631104</v>
      </c>
      <c r="G822" s="17">
        <f>'01_원자료'!P819*'03_가중치민감도'!$B$7+'01_원자료'!Q819*'03_가중치민감도'!$C$7+'01_원자료'!R819*'03_가중치민감도'!$D$7</f>
        <v>0.57255952542793564</v>
      </c>
      <c r="H822" s="17">
        <f>'01_원자료'!P819*'03_가중치민감도'!$B$8+'01_원자료'!Q819*'03_가중치민감도'!$C$8+'01_원자료'!R819*'03_가중치민감도'!$D$8</f>
        <v>0.4355820896377674</v>
      </c>
      <c r="I822" s="17">
        <f>'01_원자료'!P819*'03_가중치민감도'!$B$9+'01_원자료'!Q819*'03_가중치민감도'!$C$9+'01_원자료'!R819*'03_가중치민감도'!$D$9</f>
        <v>0.49054233472572228</v>
      </c>
      <c r="J822" s="17">
        <f>'01_원자료'!P819*'03_가중치민감도'!$B$10+'01_원자료'!Q819*'03_가중치민감도'!$C$10+'01_원자료'!R819*'03_가중치민감도'!$D$10</f>
        <v>0.58143744832278144</v>
      </c>
      <c r="K822" s="31">
        <f t="shared" si="72"/>
        <v>207</v>
      </c>
      <c r="L822" s="31">
        <f t="shared" si="73"/>
        <v>228</v>
      </c>
      <c r="M822" s="31">
        <f t="shared" si="74"/>
        <v>258</v>
      </c>
      <c r="N822" s="31">
        <f t="shared" si="75"/>
        <v>116</v>
      </c>
      <c r="O822" s="31">
        <f t="shared" si="76"/>
        <v>204</v>
      </c>
      <c r="P822" s="31">
        <f t="shared" si="77"/>
        <v>133</v>
      </c>
    </row>
    <row r="823" spans="1:16">
      <c r="A823" s="2" t="str">
        <f>'01_원자료'!A820</f>
        <v>RPT-24</v>
      </c>
      <c r="B823" s="2" t="str">
        <f>'01_원자료'!B820</f>
        <v>gemini</v>
      </c>
      <c r="C823" s="2" t="str">
        <f>'01_원자료'!C820</f>
        <v>qwen</v>
      </c>
      <c r="E823" s="17">
        <f>'01_원자료'!P820*'03_가중치민감도'!$B$5+'01_원자료'!Q820*'03_가중치민감도'!$C$5+'01_원자료'!R820*'03_가중치민감도'!$D$5</f>
        <v>0.63704455249600334</v>
      </c>
      <c r="F823" s="17">
        <f>'01_원자료'!P820*'03_가중치민감도'!$B$6+'01_원자료'!Q820*'03_가중치민감도'!$C$6+'01_원자료'!R820*'03_가중치민감도'!$D$6</f>
        <v>0.54872372707390515</v>
      </c>
      <c r="G823" s="17">
        <f>'01_원자료'!P820*'03_가중치민감도'!$B$7+'01_원자료'!Q820*'03_가중치민감도'!$C$7+'01_원자료'!R820*'03_가중치민감도'!$D$7</f>
        <v>0.64487392228477092</v>
      </c>
      <c r="H823" s="17">
        <f>'01_원자료'!P820*'03_가중치민감도'!$B$8+'01_원자료'!Q820*'03_가중치민감도'!$C$8+'01_원자료'!R820*'03_가중치민감도'!$D$8</f>
        <v>0.59789770355216598</v>
      </c>
      <c r="I823" s="17">
        <f>'01_원자료'!P820*'03_가중치민감도'!$B$9+'01_원자료'!Q820*'03_가중치민감도'!$C$9+'01_원자료'!R820*'03_가중치민감도'!$D$9</f>
        <v>0.5755542122850148</v>
      </c>
      <c r="J823" s="17">
        <f>'01_원자료'!P820*'03_가중치민감도'!$B$10+'01_원자료'!Q820*'03_가중치민감도'!$C$10+'01_원자료'!R820*'03_가중치민감도'!$D$10</f>
        <v>0.70970663834056658</v>
      </c>
      <c r="K823" s="31">
        <f t="shared" si="72"/>
        <v>568</v>
      </c>
      <c r="L823" s="31">
        <f t="shared" si="73"/>
        <v>585</v>
      </c>
      <c r="M823" s="31">
        <f t="shared" si="74"/>
        <v>590</v>
      </c>
      <c r="N823" s="31">
        <f t="shared" si="75"/>
        <v>479</v>
      </c>
      <c r="O823" s="31">
        <f t="shared" si="76"/>
        <v>567</v>
      </c>
      <c r="P823" s="31">
        <f t="shared" si="77"/>
        <v>496</v>
      </c>
    </row>
    <row r="824" spans="1:16">
      <c r="A824" s="2" t="str">
        <f>'01_원자료'!A821</f>
        <v>RPT-24</v>
      </c>
      <c r="B824" s="2" t="str">
        <f>'01_원자료'!B821</f>
        <v>mistral</v>
      </c>
      <c r="C824" s="2" t="str">
        <f>'01_원자료'!C821</f>
        <v>gemma</v>
      </c>
      <c r="E824" s="17">
        <f>'01_원자료'!P821*'03_가중치민감도'!$B$5+'01_원자료'!Q821*'03_가중치민감도'!$C$5+'01_원자료'!R821*'03_가중치민감도'!$D$5</f>
        <v>0.56007281067321613</v>
      </c>
      <c r="F824" s="17">
        <f>'01_원자료'!P821*'03_가중치민감도'!$B$6+'01_원자료'!Q821*'03_가중치민감도'!$C$6+'01_원자료'!R821*'03_가중치민감도'!$D$6</f>
        <v>0.4816850199434205</v>
      </c>
      <c r="G824" s="17">
        <f>'01_원자료'!P821*'03_가중치민감도'!$B$7+'01_원자료'!Q821*'03_가중치민감도'!$C$7+'01_원자료'!R821*'03_가중치민감도'!$D$7</f>
        <v>0.56430099577794346</v>
      </c>
      <c r="H824" s="17">
        <f>'01_원자료'!P821*'03_가중치민감도'!$B$8+'01_원자료'!Q821*'03_가중치민감도'!$C$8+'01_원자료'!R821*'03_가중치민감도'!$D$8</f>
        <v>0.53893188514957957</v>
      </c>
      <c r="I824" s="17">
        <f>'01_원자료'!P821*'03_가중치민감도'!$B$9+'01_원자료'!Q821*'03_가중치민감도'!$C$9+'01_원자료'!R821*'03_가중치민감도'!$D$9</f>
        <v>0.50640488848510945</v>
      </c>
      <c r="J824" s="17">
        <f>'01_원자료'!P821*'03_가중치민감도'!$B$10+'01_원자료'!Q821*'03_가중치민감도'!$C$10+'01_원자료'!R821*'03_가중치민감도'!$D$10</f>
        <v>0.6300042311935572</v>
      </c>
      <c r="K824" s="31">
        <f t="shared" si="72"/>
        <v>251</v>
      </c>
      <c r="L824" s="31">
        <f t="shared" si="73"/>
        <v>277</v>
      </c>
      <c r="M824" s="31">
        <f t="shared" si="74"/>
        <v>219</v>
      </c>
      <c r="N824" s="31">
        <f t="shared" si="75"/>
        <v>300</v>
      </c>
      <c r="O824" s="31">
        <f t="shared" si="76"/>
        <v>269</v>
      </c>
      <c r="P824" s="31">
        <f t="shared" si="77"/>
        <v>265</v>
      </c>
    </row>
    <row r="825" spans="1:16">
      <c r="A825" s="2" t="str">
        <f>'01_원자료'!A822</f>
        <v>RPT-24</v>
      </c>
      <c r="B825" s="2" t="str">
        <f>'01_원자료'!B822</f>
        <v>mistral</v>
      </c>
      <c r="C825" s="2" t="str">
        <f>'01_원자료'!C822</f>
        <v>ministral</v>
      </c>
      <c r="E825" s="17">
        <f>'01_원자료'!P822*'03_가중치민감도'!$B$5+'01_원자료'!Q822*'03_가중치민감도'!$C$5+'01_원자료'!R822*'03_가중치민감도'!$D$5</f>
        <v>0.56899965138330533</v>
      </c>
      <c r="F825" s="17">
        <f>'01_원자료'!P822*'03_가중치민감도'!$B$6+'01_원자료'!Q822*'03_가중치민감도'!$C$6+'01_원자료'!R822*'03_가중치민감도'!$D$6</f>
        <v>0.51832035120954756</v>
      </c>
      <c r="G825" s="17">
        <f>'01_원자료'!P822*'03_가중치민감도'!$B$7+'01_원자료'!Q822*'03_가중치민감도'!$C$7+'01_원자료'!R822*'03_가중치민감도'!$D$7</f>
        <v>0.58466693805036707</v>
      </c>
      <c r="H825" s="17">
        <f>'01_원자료'!P822*'03_가중치민감도'!$B$8+'01_원자료'!Q822*'03_가중치민감도'!$C$8+'01_원자료'!R822*'03_가중치민감도'!$D$8</f>
        <v>0.49066321804799651</v>
      </c>
      <c r="I825" s="17">
        <f>'01_원자료'!P822*'03_가중치민감도'!$B$9+'01_원자료'!Q822*'03_가중치민감도'!$C$9+'01_원자료'!R822*'03_가중치민감도'!$D$9</f>
        <v>0.52999102237844564</v>
      </c>
      <c r="J825" s="17">
        <f>'01_원자료'!P822*'03_가중치민감도'!$B$10+'01_원자료'!Q822*'03_가중치민감도'!$C$10+'01_원자료'!R822*'03_가중치민감도'!$D$10</f>
        <v>0.58834437822293961</v>
      </c>
      <c r="K825" s="31">
        <f t="shared" si="72"/>
        <v>280</v>
      </c>
      <c r="L825" s="31">
        <f t="shared" si="73"/>
        <v>455</v>
      </c>
      <c r="M825" s="31">
        <f t="shared" si="74"/>
        <v>311</v>
      </c>
      <c r="N825" s="31">
        <f t="shared" si="75"/>
        <v>203</v>
      </c>
      <c r="O825" s="31">
        <f t="shared" si="76"/>
        <v>372</v>
      </c>
      <c r="P825" s="31">
        <f t="shared" si="77"/>
        <v>152</v>
      </c>
    </row>
    <row r="826" spans="1:16">
      <c r="A826" s="2" t="str">
        <f>'01_원자료'!A823</f>
        <v>RPT-24</v>
      </c>
      <c r="B826" s="2" t="str">
        <f>'01_원자료'!B823</f>
        <v>mistral</v>
      </c>
      <c r="C826" s="2" t="str">
        <f>'01_원자료'!C823</f>
        <v>qwen</v>
      </c>
      <c r="E826" s="17">
        <f>'01_원자료'!P823*'03_가중치민감도'!$B$5+'01_원자료'!Q823*'03_가중치민감도'!$C$5+'01_원자료'!R823*'03_가중치민감도'!$D$5</f>
        <v>0.65456716371577395</v>
      </c>
      <c r="F826" s="17">
        <f>'01_원자료'!P823*'03_가중치민감도'!$B$6+'01_원자료'!Q823*'03_가중치민감도'!$C$6+'01_원자료'!R823*'03_가중치민감도'!$D$6</f>
        <v>0.59342011390983029</v>
      </c>
      <c r="G826" s="17">
        <f>'01_원자료'!P823*'03_가중치민감도'!$B$7+'01_원자료'!Q823*'03_가중치민감도'!$C$7+'01_원자료'!R823*'03_가중치민감도'!$D$7</f>
        <v>0.65232049967412242</v>
      </c>
      <c r="H826" s="17">
        <f>'01_원자료'!P823*'03_가중치민감도'!$B$8+'01_원자료'!Q823*'03_가중치민감도'!$C$8+'01_원자료'!R823*'03_가중치민감도'!$D$8</f>
        <v>0.66580048392403168</v>
      </c>
      <c r="I826" s="17">
        <f>'01_원자료'!P823*'03_가중치민감도'!$B$9+'01_원자료'!Q823*'03_가중치민감도'!$C$9+'01_원자료'!R823*'03_가중치민감도'!$D$9</f>
        <v>0.61455135185902809</v>
      </c>
      <c r="J826" s="17">
        <f>'01_원자료'!P823*'03_가중치민감도'!$B$10+'01_원자료'!Q823*'03_가중치민감도'!$C$10+'01_원자료'!R823*'03_가중치민감도'!$D$10</f>
        <v>0.72020754160502076</v>
      </c>
      <c r="K826" s="31">
        <f t="shared" si="72"/>
        <v>641</v>
      </c>
      <c r="L826" s="31">
        <f t="shared" si="73"/>
        <v>780</v>
      </c>
      <c r="M826" s="31">
        <f t="shared" si="74"/>
        <v>627</v>
      </c>
      <c r="N826" s="31">
        <f t="shared" si="75"/>
        <v>688</v>
      </c>
      <c r="O826" s="31">
        <f t="shared" si="76"/>
        <v>748</v>
      </c>
      <c r="P826" s="31">
        <f t="shared" si="77"/>
        <v>550</v>
      </c>
    </row>
    <row r="827" spans="1:16">
      <c r="A827" s="2" t="str">
        <f>'01_원자료'!A824</f>
        <v>RPT-24</v>
      </c>
      <c r="B827" s="2" t="str">
        <f>'01_원자료'!B824</f>
        <v>qwen3_6</v>
      </c>
      <c r="C827" s="2" t="str">
        <f>'01_원자료'!C824</f>
        <v>gemma</v>
      </c>
      <c r="E827" s="17">
        <f>'01_원자료'!P824*'03_가중치민감도'!$B$5+'01_원자료'!Q824*'03_가중치민감도'!$C$5+'01_원자료'!R824*'03_가중치민감도'!$D$5</f>
        <v>0.70391089467554302</v>
      </c>
      <c r="F827" s="17">
        <f>'01_원자료'!P824*'03_가중치민감도'!$B$6+'01_원자료'!Q824*'03_가중치민감도'!$C$6+'01_원자료'!R824*'03_가중치민감도'!$D$6</f>
        <v>0.60263357382797822</v>
      </c>
      <c r="G827" s="17">
        <f>'01_원자료'!P824*'03_가중치민감도'!$B$7+'01_원자료'!Q824*'03_가중치민감도'!$C$7+'01_원자료'!R824*'03_가중치민감도'!$D$7</f>
        <v>0.69455179564030201</v>
      </c>
      <c r="H827" s="17">
        <f>'01_원자료'!P824*'03_가중치민감도'!$B$8+'01_원자료'!Q824*'03_가중치민감도'!$C$8+'01_원자료'!R824*'03_가중치민감도'!$D$8</f>
        <v>0.75070638985174898</v>
      </c>
      <c r="I827" s="17">
        <f>'01_원자료'!P824*'03_가중치민감도'!$B$9+'01_원자료'!Q824*'03_가중치민감도'!$C$9+'01_원자료'!R824*'03_가중치민감도'!$D$9</f>
        <v>0.63951238045557968</v>
      </c>
      <c r="J827" s="17">
        <f>'01_원자료'!P824*'03_가중치민감도'!$B$10+'01_원자료'!Q824*'03_가중치민감도'!$C$10+'01_원자료'!R824*'03_가중치민감도'!$D$10</f>
        <v>0.82390641359359029</v>
      </c>
      <c r="K827" s="31">
        <f t="shared" si="72"/>
        <v>833</v>
      </c>
      <c r="L827" s="31">
        <f t="shared" si="73"/>
        <v>823</v>
      </c>
      <c r="M827" s="31">
        <f t="shared" si="74"/>
        <v>813</v>
      </c>
      <c r="N827" s="31">
        <f t="shared" si="75"/>
        <v>848</v>
      </c>
      <c r="O827" s="31">
        <f t="shared" si="76"/>
        <v>835</v>
      </c>
      <c r="P827" s="31">
        <f t="shared" si="77"/>
        <v>844</v>
      </c>
    </row>
    <row r="828" spans="1:16">
      <c r="A828" s="2" t="str">
        <f>'01_원자료'!A825</f>
        <v>RPT-24</v>
      </c>
      <c r="B828" s="2" t="str">
        <f>'01_원자료'!B825</f>
        <v>qwen3_6</v>
      </c>
      <c r="C828" s="2" t="str">
        <f>'01_원자료'!C825</f>
        <v>ministral</v>
      </c>
      <c r="E828" s="17">
        <f>'01_원자료'!P825*'03_가중치민감도'!$B$5+'01_원자료'!Q825*'03_가중치민감도'!$C$5+'01_원자료'!R825*'03_가중치민감도'!$D$5</f>
        <v>0.52191959581972025</v>
      </c>
      <c r="F828" s="17">
        <f>'01_원자료'!P825*'03_가중치민감도'!$B$6+'01_원자료'!Q825*'03_가중치민감도'!$C$6+'01_원자료'!R825*'03_가중치민감도'!$D$6</f>
        <v>0.45946350450363566</v>
      </c>
      <c r="G828" s="17">
        <f>'01_원자료'!P825*'03_가중치민감도'!$B$7+'01_원자료'!Q825*'03_가중치민감도'!$C$7+'01_원자료'!R825*'03_가중치민감도'!$D$7</f>
        <v>0.54083833705971984</v>
      </c>
      <c r="H828" s="17">
        <f>'01_원자료'!P825*'03_가중치민감도'!$B$8+'01_원자료'!Q825*'03_가중치민감도'!$C$8+'01_원자료'!R825*'03_가중치민감도'!$D$8</f>
        <v>0.42732588961972229</v>
      </c>
      <c r="I828" s="17">
        <f>'01_원자료'!P825*'03_가중치민감도'!$B$9+'01_원자료'!Q825*'03_가중치민감도'!$C$9+'01_원자료'!R825*'03_가중치민감도'!$D$9</f>
        <v>0.47397595452899677</v>
      </c>
      <c r="J828" s="17">
        <f>'01_원자료'!P825*'03_가중치민감도'!$B$10+'01_원자료'!Q825*'03_가중치민감도'!$C$10+'01_원자료'!R825*'03_가중치민감도'!$D$10</f>
        <v>0.5465382046558056</v>
      </c>
      <c r="K828" s="31">
        <f t="shared" si="72"/>
        <v>100</v>
      </c>
      <c r="L828" s="31">
        <f t="shared" si="73"/>
        <v>175</v>
      </c>
      <c r="M828" s="31">
        <f t="shared" si="74"/>
        <v>109</v>
      </c>
      <c r="N828" s="31">
        <f t="shared" si="75"/>
        <v>103</v>
      </c>
      <c r="O828" s="31">
        <f t="shared" si="76"/>
        <v>148</v>
      </c>
      <c r="P828" s="31">
        <f t="shared" si="77"/>
        <v>61</v>
      </c>
    </row>
    <row r="829" spans="1:16">
      <c r="A829" s="2" t="str">
        <f>'01_원자료'!A826</f>
        <v>RPT-24</v>
      </c>
      <c r="B829" s="2" t="str">
        <f>'01_원자료'!B826</f>
        <v>qwen3_6</v>
      </c>
      <c r="C829" s="2" t="str">
        <f>'01_원자료'!C826</f>
        <v>qwen</v>
      </c>
      <c r="E829" s="17">
        <f>'01_원자료'!P826*'03_가중치민감도'!$B$5+'01_원자료'!Q826*'03_가중치민감도'!$C$5+'01_원자료'!R826*'03_가중치민감도'!$D$5</f>
        <v>0.61536038223359668</v>
      </c>
      <c r="F829" s="17">
        <f>'01_원자료'!P826*'03_가중치민감도'!$B$6+'01_원자료'!Q826*'03_가중치민감도'!$C$6+'01_원자료'!R826*'03_가중치민감도'!$D$6</f>
        <v>0.54366678473071162</v>
      </c>
      <c r="G829" s="17">
        <f>'01_원자료'!P826*'03_가중치민감도'!$B$7+'01_원자료'!Q826*'03_가중치민감도'!$C$7+'01_원자료'!R826*'03_가중치민감도'!$D$7</f>
        <v>0.62077520382950691</v>
      </c>
      <c r="H829" s="17">
        <f>'01_원자료'!P826*'03_가중치민감도'!$B$8+'01_원자료'!Q826*'03_가중치민감도'!$C$8+'01_원자료'!R826*'03_가중치민감도'!$D$8</f>
        <v>0.58828627425404489</v>
      </c>
      <c r="I829" s="17">
        <f>'01_원자료'!P826*'03_가중치민감도'!$B$9+'01_원자료'!Q826*'03_가중치민감도'!$C$9+'01_원자료'!R826*'03_가중치민감도'!$D$9</f>
        <v>0.56575971003303593</v>
      </c>
      <c r="J829" s="17">
        <f>'01_원자료'!P826*'03_가중치민감도'!$B$10+'01_원자료'!Q826*'03_가중치민감도'!$C$10+'01_원자료'!R826*'03_가중치민감도'!$D$10</f>
        <v>0.67622433654466096</v>
      </c>
      <c r="K829" s="31">
        <f t="shared" si="72"/>
        <v>464</v>
      </c>
      <c r="L829" s="31">
        <f t="shared" si="73"/>
        <v>557</v>
      </c>
      <c r="M829" s="31">
        <f t="shared" si="74"/>
        <v>471</v>
      </c>
      <c r="N829" s="31">
        <f t="shared" si="75"/>
        <v>455</v>
      </c>
      <c r="O829" s="31">
        <f t="shared" si="76"/>
        <v>531</v>
      </c>
      <c r="P829" s="31">
        <f t="shared" si="77"/>
        <v>377</v>
      </c>
    </row>
    <row r="830" spans="1:16">
      <c r="A830" s="2" t="str">
        <f>'01_원자료'!A827</f>
        <v>RPT-25</v>
      </c>
      <c r="B830" s="2" t="str">
        <f>'01_원자료'!B827</f>
        <v>chatgpt</v>
      </c>
      <c r="C830" s="2" t="str">
        <f>'01_원자료'!C827</f>
        <v>gemma</v>
      </c>
      <c r="E830" s="17">
        <f>'01_원자료'!P827*'03_가중치민감도'!$B$5+'01_원자료'!Q827*'03_가중치민감도'!$C$5+'01_원자료'!R827*'03_가중치민감도'!$D$5</f>
        <v>0.55510001382458762</v>
      </c>
      <c r="F830" s="17">
        <f>'01_원자료'!P827*'03_가중치민감도'!$B$6+'01_원자료'!Q827*'03_가중치민감도'!$C$6+'01_원자료'!R827*'03_가중치민감도'!$D$6</f>
        <v>0.47976941496546988</v>
      </c>
      <c r="G830" s="17">
        <f>'01_원자료'!P827*'03_가중치민감도'!$B$7+'01_원자료'!Q827*'03_가중치민감도'!$C$7+'01_원자료'!R827*'03_가중치민감도'!$D$7</f>
        <v>0.56507726083589427</v>
      </c>
      <c r="H830" s="17">
        <f>'01_원자료'!P827*'03_가중치민감도'!$B$8+'01_원자료'!Q827*'03_가중치민감도'!$C$8+'01_원자료'!R827*'03_가중치민감도'!$D$8</f>
        <v>0.50521377876805484</v>
      </c>
      <c r="I830" s="17">
        <f>'01_원자료'!P827*'03_가중치민감도'!$B$9+'01_원자료'!Q827*'03_가중치민감도'!$C$9+'01_원자료'!R827*'03_가중치민감도'!$D$9</f>
        <v>0.50155386558140647</v>
      </c>
      <c r="J830" s="17">
        <f>'01_원자료'!P827*'03_가중치민감도'!$B$10+'01_원자료'!Q827*'03_가중치민감도'!$C$10+'01_원자료'!R827*'03_가중치민감도'!$D$10</f>
        <v>0.6104761186610923</v>
      </c>
      <c r="K830" s="31">
        <f t="shared" si="72"/>
        <v>228</v>
      </c>
      <c r="L830" s="31">
        <f t="shared" si="73"/>
        <v>264</v>
      </c>
      <c r="M830" s="31">
        <f t="shared" si="74"/>
        <v>221</v>
      </c>
      <c r="N830" s="31">
        <f t="shared" si="75"/>
        <v>238</v>
      </c>
      <c r="O830" s="31">
        <f t="shared" si="76"/>
        <v>253</v>
      </c>
      <c r="P830" s="31">
        <f t="shared" si="77"/>
        <v>213</v>
      </c>
    </row>
    <row r="831" spans="1:16">
      <c r="A831" s="2" t="str">
        <f>'01_원자료'!A828</f>
        <v>RPT-25</v>
      </c>
      <c r="B831" s="2" t="str">
        <f>'01_원자료'!B828</f>
        <v>chatgpt</v>
      </c>
      <c r="C831" s="2" t="str">
        <f>'01_원자료'!C828</f>
        <v>ministral</v>
      </c>
      <c r="E831" s="17">
        <f>'01_원자료'!P828*'03_가중치민감도'!$B$5+'01_원자료'!Q828*'03_가중치민감도'!$C$5+'01_원자료'!R828*'03_가중치민감도'!$D$5</f>
        <v>0.60701854113752851</v>
      </c>
      <c r="F831" s="17">
        <f>'01_원자료'!P828*'03_가중치민감도'!$B$6+'01_원자료'!Q828*'03_가중치민감도'!$C$6+'01_원자료'!R828*'03_가중치민감도'!$D$6</f>
        <v>0.53092844270185224</v>
      </c>
      <c r="G831" s="17">
        <f>'01_원자료'!P828*'03_가중치민감도'!$B$7+'01_원자료'!Q828*'03_가중치민감도'!$C$7+'01_원자료'!R828*'03_가중치민감도'!$D$7</f>
        <v>0.61491258795450354</v>
      </c>
      <c r="H831" s="17">
        <f>'01_원자료'!P828*'03_가중치민감도'!$B$8+'01_원자료'!Q828*'03_가중치민감도'!$C$8+'01_원자료'!R828*'03_가중치민감도'!$D$8</f>
        <v>0.56754830705265336</v>
      </c>
      <c r="I831" s="17">
        <f>'01_원자료'!P828*'03_가중치민감도'!$B$9+'01_원자료'!Q828*'03_가중치민감도'!$C$9+'01_원자료'!R828*'03_가중치민감도'!$D$9</f>
        <v>0.55366045990808543</v>
      </c>
      <c r="J831" s="17">
        <f>'01_원자료'!P828*'03_가중치민감도'!$B$10+'01_원자료'!Q828*'03_가중치민감도'!$C$10+'01_원자료'!R828*'03_가중치민감도'!$D$10</f>
        <v>0.66732054593925472</v>
      </c>
      <c r="K831" s="31">
        <f t="shared" si="72"/>
        <v>418</v>
      </c>
      <c r="L831" s="31">
        <f t="shared" si="73"/>
        <v>504</v>
      </c>
      <c r="M831" s="31">
        <f t="shared" si="74"/>
        <v>435</v>
      </c>
      <c r="N831" s="31">
        <f t="shared" si="75"/>
        <v>392</v>
      </c>
      <c r="O831" s="31">
        <f t="shared" si="76"/>
        <v>467</v>
      </c>
      <c r="P831" s="31">
        <f t="shared" si="77"/>
        <v>347</v>
      </c>
    </row>
    <row r="832" spans="1:16">
      <c r="A832" s="2" t="str">
        <f>'01_원자료'!A829</f>
        <v>RPT-25</v>
      </c>
      <c r="B832" s="2" t="str">
        <f>'01_원자료'!B829</f>
        <v>chatgpt</v>
      </c>
      <c r="C832" s="2" t="str">
        <f>'01_원자료'!C829</f>
        <v>qwen</v>
      </c>
      <c r="E832" s="17">
        <f>'01_원자료'!P829*'03_가중치민감도'!$B$5+'01_원자료'!Q829*'03_가중치민감도'!$C$5+'01_원자료'!R829*'03_가중치민감도'!$D$5</f>
        <v>0.54518945846848332</v>
      </c>
      <c r="F832" s="17">
        <f>'01_원자료'!P829*'03_가중치민감도'!$B$6+'01_원자료'!Q829*'03_가중치민감도'!$C$6+'01_원자료'!R829*'03_가중치민감도'!$D$6</f>
        <v>0.46602864051465187</v>
      </c>
      <c r="G832" s="17">
        <f>'01_원자료'!P829*'03_가중치민감도'!$B$7+'01_원자료'!Q829*'03_가중치민감도'!$C$7+'01_원자료'!R829*'03_가중치민감도'!$D$7</f>
        <v>0.55506161306375446</v>
      </c>
      <c r="H832" s="17">
        <f>'01_원자료'!P829*'03_가중치민감도'!$B$8+'01_원자료'!Q829*'03_가중치민감도'!$C$8+'01_원자료'!R829*'03_가중치민감도'!$D$8</f>
        <v>0.49582868549212722</v>
      </c>
      <c r="I832" s="17">
        <f>'01_원자료'!P829*'03_가중치민감도'!$B$9+'01_원자료'!Q829*'03_가중치민감도'!$C$9+'01_원자료'!R829*'03_가중치민감도'!$D$9</f>
        <v>0.48912486163417146</v>
      </c>
      <c r="J832" s="17">
        <f>'01_원자료'!P829*'03_가중치민감도'!$B$10+'01_원자료'!Q829*'03_가중치민감도'!$C$10+'01_원자료'!R829*'03_가중치민감도'!$D$10</f>
        <v>0.60460596723177229</v>
      </c>
      <c r="K832" s="31">
        <f t="shared" si="72"/>
        <v>187</v>
      </c>
      <c r="L832" s="31">
        <f t="shared" si="73"/>
        <v>204</v>
      </c>
      <c r="M832" s="31">
        <f t="shared" si="74"/>
        <v>181</v>
      </c>
      <c r="N832" s="31">
        <f t="shared" si="75"/>
        <v>218</v>
      </c>
      <c r="O832" s="31">
        <f t="shared" si="76"/>
        <v>198</v>
      </c>
      <c r="P832" s="31">
        <f t="shared" si="77"/>
        <v>200</v>
      </c>
    </row>
    <row r="833" spans="1:16">
      <c r="A833" s="2" t="str">
        <f>'01_원자료'!A830</f>
        <v>RPT-25</v>
      </c>
      <c r="B833" s="2" t="str">
        <f>'01_원자료'!B830</f>
        <v>claude</v>
      </c>
      <c r="C833" s="2" t="str">
        <f>'01_원자료'!C830</f>
        <v>gemma</v>
      </c>
      <c r="E833" s="17">
        <f>'01_원자료'!P830*'03_가중치민감도'!$B$5+'01_원자료'!Q830*'03_가중치민감도'!$C$5+'01_원자료'!R830*'03_가중치민감도'!$D$5</f>
        <v>0.611837430496319</v>
      </c>
      <c r="F833" s="17">
        <f>'01_원자료'!P830*'03_가중치민감도'!$B$6+'01_원자료'!Q830*'03_가중치민감도'!$C$6+'01_원자료'!R830*'03_가중치민감도'!$D$6</f>
        <v>0.52131314798843487</v>
      </c>
      <c r="G833" s="17">
        <f>'01_원자료'!P830*'03_가중치민감도'!$B$7+'01_원자료'!Q830*'03_가중치민감도'!$C$7+'01_원자료'!R830*'03_가중치민감도'!$D$7</f>
        <v>0.61395957283414393</v>
      </c>
      <c r="H833" s="17">
        <f>'01_원자료'!P830*'03_가중치민감도'!$B$8+'01_원자료'!Q830*'03_가중치민감도'!$C$8+'01_원자료'!R830*'03_가중치민감도'!$D$8</f>
        <v>0.60122671880719425</v>
      </c>
      <c r="I833" s="17">
        <f>'01_원자료'!P830*'03_가중치민감도'!$B$9+'01_원자료'!Q830*'03_가중치민감도'!$C$9+'01_원자료'!R830*'03_가중치민감도'!$D$9</f>
        <v>0.55078052804512068</v>
      </c>
      <c r="J833" s="17">
        <f>'01_원자료'!P830*'03_가중치민감도'!$B$10+'01_원자료'!Q830*'03_가중치민감도'!$C$10+'01_원자료'!R830*'03_가중치민감도'!$D$10</f>
        <v>0.69811742832855328</v>
      </c>
      <c r="K833" s="31">
        <f t="shared" si="72"/>
        <v>444</v>
      </c>
      <c r="L833" s="31">
        <f t="shared" si="73"/>
        <v>463</v>
      </c>
      <c r="M833" s="31">
        <f t="shared" si="74"/>
        <v>427</v>
      </c>
      <c r="N833" s="31">
        <f t="shared" si="75"/>
        <v>492</v>
      </c>
      <c r="O833" s="31">
        <f t="shared" si="76"/>
        <v>461</v>
      </c>
      <c r="P833" s="31">
        <f t="shared" si="77"/>
        <v>451</v>
      </c>
    </row>
    <row r="834" spans="1:16">
      <c r="A834" s="2" t="str">
        <f>'01_원자료'!A831</f>
        <v>RPT-25</v>
      </c>
      <c r="B834" s="2" t="str">
        <f>'01_원자료'!B831</f>
        <v>claude</v>
      </c>
      <c r="C834" s="2" t="str">
        <f>'01_원자료'!C831</f>
        <v>ministral</v>
      </c>
      <c r="E834" s="17">
        <f>'01_원자료'!P831*'03_가중치민감도'!$B$5+'01_원자료'!Q831*'03_가중치민감도'!$C$5+'01_원자료'!R831*'03_가중치민감도'!$D$5</f>
        <v>0.64111236351362932</v>
      </c>
      <c r="F834" s="17">
        <f>'01_원자료'!P831*'03_가중치민감도'!$B$6+'01_원자료'!Q831*'03_가중치민감도'!$C$6+'01_원자료'!R831*'03_가중치민감도'!$D$6</f>
        <v>0.56358434697876292</v>
      </c>
      <c r="G834" s="17">
        <f>'01_원자료'!P831*'03_가중치민감도'!$B$7+'01_원자료'!Q831*'03_가중치민감도'!$C$7+'01_원자료'!R831*'03_가중치민감도'!$D$7</f>
        <v>0.64362891910714981</v>
      </c>
      <c r="H834" s="17">
        <f>'01_원자료'!P831*'03_가중치민감도'!$B$8+'01_원자료'!Q831*'03_가중치민감도'!$C$8+'01_원자료'!R831*'03_가중치민감도'!$D$8</f>
        <v>0.62852958554602656</v>
      </c>
      <c r="I834" s="17">
        <f>'01_원자료'!P831*'03_가중치민감도'!$B$9+'01_원자료'!Q831*'03_가중치민감도'!$C$9+'01_원자료'!R831*'03_가중치민감도'!$D$9</f>
        <v>0.58858816729254437</v>
      </c>
      <c r="J834" s="17">
        <f>'01_원자료'!P831*'03_가중치민감도'!$B$10+'01_원자료'!Q831*'03_가중치민감도'!$C$10+'01_원자료'!R831*'03_가중치민감도'!$D$10</f>
        <v>0.71360726886145454</v>
      </c>
      <c r="K834" s="31">
        <f t="shared" si="72"/>
        <v>582</v>
      </c>
      <c r="L834" s="31">
        <f t="shared" si="73"/>
        <v>653</v>
      </c>
      <c r="M834" s="31">
        <f t="shared" si="74"/>
        <v>580</v>
      </c>
      <c r="N834" s="31">
        <f t="shared" si="75"/>
        <v>573</v>
      </c>
      <c r="O834" s="31">
        <f t="shared" si="76"/>
        <v>620</v>
      </c>
      <c r="P834" s="31">
        <f t="shared" si="77"/>
        <v>508</v>
      </c>
    </row>
    <row r="835" spans="1:16">
      <c r="A835" s="2" t="str">
        <f>'01_원자료'!A832</f>
        <v>RPT-25</v>
      </c>
      <c r="B835" s="2" t="str">
        <f>'01_원자료'!B832</f>
        <v>claude</v>
      </c>
      <c r="C835" s="2" t="str">
        <f>'01_원자료'!C832</f>
        <v>qwen</v>
      </c>
      <c r="E835" s="17">
        <f>'01_원자료'!P832*'03_가중치민감도'!$B$5+'01_원자료'!Q832*'03_가중치민감도'!$C$5+'01_원자료'!R832*'03_가중치민감도'!$D$5</f>
        <v>0.61648198684423838</v>
      </c>
      <c r="F835" s="17">
        <f>'01_원자료'!P832*'03_가중치민감도'!$B$6+'01_원자료'!Q832*'03_가중치민감도'!$C$6+'01_원자료'!R832*'03_가중치민감도'!$D$6</f>
        <v>0.54605237714521904</v>
      </c>
      <c r="G835" s="17">
        <f>'01_원자료'!P832*'03_가중치민감도'!$B$7+'01_원자료'!Q832*'03_가중치민감도'!$C$7+'01_원자료'!R832*'03_가중치민감도'!$D$7</f>
        <v>0.62234104870955864</v>
      </c>
      <c r="H835" s="17">
        <f>'01_원자료'!P832*'03_가중치민감도'!$B$8+'01_원자료'!Q832*'03_가중치민감도'!$C$8+'01_원자료'!R832*'03_가중치민감도'!$D$8</f>
        <v>0.58718667751763731</v>
      </c>
      <c r="I835" s="17">
        <f>'01_원자료'!P832*'03_가중치민감도'!$B$9+'01_원자료'!Q832*'03_가중치민감도'!$C$9+'01_원자료'!R832*'03_가중치민감도'!$D$9</f>
        <v>0.56757589308978473</v>
      </c>
      <c r="J835" s="17">
        <f>'01_원자료'!P832*'03_가중치민감도'!$B$10+'01_원자료'!Q832*'03_가중치민감도'!$C$10+'01_원자료'!R832*'03_가중치민감도'!$D$10</f>
        <v>0.67519347281261743</v>
      </c>
      <c r="K835" s="31">
        <f t="shared" si="72"/>
        <v>467</v>
      </c>
      <c r="L835" s="31">
        <f t="shared" si="73"/>
        <v>566</v>
      </c>
      <c r="M835" s="31">
        <f t="shared" si="74"/>
        <v>477</v>
      </c>
      <c r="N835" s="31">
        <f t="shared" si="75"/>
        <v>452</v>
      </c>
      <c r="O835" s="31">
        <f t="shared" si="76"/>
        <v>537</v>
      </c>
      <c r="P835" s="31">
        <f t="shared" si="77"/>
        <v>372</v>
      </c>
    </row>
    <row r="836" spans="1:16">
      <c r="A836" s="2" t="str">
        <f>'01_원자료'!A833</f>
        <v>RPT-25</v>
      </c>
      <c r="B836" s="2" t="str">
        <f>'01_원자료'!B833</f>
        <v>gemini</v>
      </c>
      <c r="C836" s="2" t="str">
        <f>'01_원자료'!C833</f>
        <v>gemma</v>
      </c>
      <c r="E836" s="17">
        <f>'01_원자료'!P833*'03_가중치민감도'!$B$5+'01_원자료'!Q833*'03_가중치민감도'!$C$5+'01_원자료'!R833*'03_가중치민감도'!$D$5</f>
        <v>0.74284619108805883</v>
      </c>
      <c r="F836" s="17">
        <f>'01_원자료'!P833*'03_가중치민감도'!$B$6+'01_원자료'!Q833*'03_가중치민감도'!$C$6+'01_원자료'!R833*'03_가중치민감도'!$D$6</f>
        <v>0.63053978320231452</v>
      </c>
      <c r="G836" s="17">
        <f>'01_원자료'!P833*'03_가중치민감도'!$B$7+'01_원자료'!Q833*'03_가중치민감도'!$C$7+'01_원자료'!R833*'03_가중치민감도'!$D$7</f>
        <v>0.73568644314861376</v>
      </c>
      <c r="H836" s="17">
        <f>'01_원자료'!P833*'03_가중치민감도'!$B$8+'01_원자료'!Q833*'03_가중치민감도'!$C$8+'01_원자료'!R833*'03_가중치민감도'!$D$8</f>
        <v>0.77864493078528429</v>
      </c>
      <c r="I836" s="17">
        <f>'01_원자료'!P833*'03_가중치민감도'!$B$9+'01_원자료'!Q833*'03_가중치민감도'!$C$9+'01_원자료'!R833*'03_가중치민감도'!$D$9</f>
        <v>0.67036183514404368</v>
      </c>
      <c r="J836" s="17">
        <f>'01_원자료'!P833*'03_가중치민감도'!$B$10+'01_원자료'!Q833*'03_가중치민감도'!$C$10+'01_원자료'!R833*'03_가중치민감도'!$D$10</f>
        <v>0.86947209485269328</v>
      </c>
      <c r="K836" s="31">
        <f t="shared" si="72"/>
        <v>935</v>
      </c>
      <c r="L836" s="31">
        <f t="shared" si="73"/>
        <v>922</v>
      </c>
      <c r="M836" s="31">
        <f t="shared" si="74"/>
        <v>936</v>
      </c>
      <c r="N836" s="31">
        <f t="shared" si="75"/>
        <v>931</v>
      </c>
      <c r="O836" s="31">
        <f t="shared" si="76"/>
        <v>929</v>
      </c>
      <c r="P836" s="31">
        <f t="shared" si="77"/>
        <v>946</v>
      </c>
    </row>
    <row r="837" spans="1:16">
      <c r="A837" s="2" t="str">
        <f>'01_원자료'!A834</f>
        <v>RPT-25</v>
      </c>
      <c r="B837" s="2" t="str">
        <f>'01_원자료'!B834</f>
        <v>gemini</v>
      </c>
      <c r="C837" s="2" t="str">
        <f>'01_원자료'!C834</f>
        <v>ministral</v>
      </c>
      <c r="E837" s="17">
        <f>'01_원자료'!P834*'03_가중치민감도'!$B$5+'01_원자료'!Q834*'03_가중치민감도'!$C$5+'01_원자료'!R834*'03_가중치민감도'!$D$5</f>
        <v>0.66977737369263579</v>
      </c>
      <c r="F837" s="17">
        <f>'01_원자료'!P834*'03_가중치민감도'!$B$6+'01_원자료'!Q834*'03_가중치민감도'!$C$6+'01_원자료'!R834*'03_가중치민감도'!$D$6</f>
        <v>0.57321102895631526</v>
      </c>
      <c r="G837" s="17">
        <f>'01_원자료'!P834*'03_가중치민감도'!$B$7+'01_원자료'!Q834*'03_가중치민감도'!$C$7+'01_원자료'!R834*'03_가중치민감도'!$D$7</f>
        <v>0.6772825126215446</v>
      </c>
      <c r="H837" s="17">
        <f>'01_원자료'!P834*'03_가중치민감도'!$B$8+'01_원자료'!Q834*'03_가중치민감도'!$C$8+'01_원자료'!R834*'03_가중치민감도'!$D$8</f>
        <v>0.6322516790480921</v>
      </c>
      <c r="I837" s="17">
        <f>'01_원자료'!P834*'03_가중치민감도'!$B$9+'01_원자료'!Q834*'03_가중치민감도'!$C$9+'01_원자료'!R834*'03_가중치민감도'!$D$9</f>
        <v>0.60289809755878521</v>
      </c>
      <c r="J837" s="17">
        <f>'01_원자료'!P834*'03_가중치민감도'!$B$10+'01_원자료'!Q834*'03_가중치민감도'!$C$10+'01_원자료'!R834*'03_가중치민감도'!$D$10</f>
        <v>0.75133344057113893</v>
      </c>
      <c r="K837" s="31">
        <f t="shared" ref="K837:K900" si="78">COUNTIF($E$5:$E$979,"&lt;"&amp;E837)+(COUNTIF($E$5:$E$979,"="&amp;E837)+1)/2</f>
        <v>714</v>
      </c>
      <c r="L837" s="31">
        <f t="shared" ref="L837:L900" si="79">COUNTIF($F$5:$F$979,"&lt;"&amp;F837)+(COUNTIF($F$5:$F$979,"="&amp;F837)+1)/2</f>
        <v>707</v>
      </c>
      <c r="M837" s="31">
        <f t="shared" ref="M837:M900" si="80">COUNTIF($G$5:$G$979,"&lt;"&amp;G837)+(COUNTIF($G$5:$G$979,"="&amp;G837)+1)/2</f>
        <v>753</v>
      </c>
      <c r="N837" s="31">
        <f t="shared" ref="N837:N900" si="81">COUNTIF($H$5:$H$979,"&lt;"&amp;H837)+(COUNTIF($H$5:$H$979,"="&amp;H837)+1)/2</f>
        <v>582</v>
      </c>
      <c r="O837" s="31">
        <f t="shared" ref="O837:O900" si="82">COUNTIF($I$5:$I$979,"&lt;"&amp;I837)+(COUNTIF($I$5:$I$979,"="&amp;I837)+1)/2</f>
        <v>702</v>
      </c>
      <c r="P837" s="31">
        <f t="shared" ref="P837:P900" si="83">COUNTIF($J$5:$J$979,"&lt;"&amp;J837)+(COUNTIF($J$5:$J$979,"="&amp;J837)+1)/2</f>
        <v>661</v>
      </c>
    </row>
    <row r="838" spans="1:16">
      <c r="A838" s="2" t="str">
        <f>'01_원자료'!A835</f>
        <v>RPT-25</v>
      </c>
      <c r="B838" s="2" t="str">
        <f>'01_원자료'!B835</f>
        <v>gemini</v>
      </c>
      <c r="C838" s="2" t="str">
        <f>'01_원자료'!C835</f>
        <v>qwen</v>
      </c>
      <c r="E838" s="17">
        <f>'01_원자료'!P835*'03_가중치민감도'!$B$5+'01_원자료'!Q835*'03_가중치민감도'!$C$5+'01_원자료'!R835*'03_가중치민감도'!$D$5</f>
        <v>0.69939876397552658</v>
      </c>
      <c r="F838" s="17">
        <f>'01_원자료'!P835*'03_가중치민감도'!$B$6+'01_원자료'!Q835*'03_가중치민감도'!$C$6+'01_원자료'!R835*'03_가중치민감도'!$D$6</f>
        <v>0.59978922841527971</v>
      </c>
      <c r="G838" s="17">
        <f>'01_원자료'!P835*'03_가중치민감도'!$B$7+'01_원자료'!Q835*'03_가중치민감도'!$C$7+'01_원자료'!R835*'03_가중치민감도'!$D$7</f>
        <v>0.69805006028982675</v>
      </c>
      <c r="H838" s="17">
        <f>'01_원자료'!P835*'03_가중치민감도'!$B$8+'01_원자료'!Q835*'03_가중치민감도'!$C$8+'01_원자료'!R835*'03_가중치민감도'!$D$8</f>
        <v>0.7061422824040261</v>
      </c>
      <c r="I838" s="17">
        <f>'01_원자료'!P835*'03_가중치민감도'!$B$9+'01_원자료'!Q835*'03_가중치민감도'!$C$9+'01_원자료'!R835*'03_가중치민감도'!$D$9</f>
        <v>0.63344197483059461</v>
      </c>
      <c r="J838" s="17">
        <f>'01_원자료'!P835*'03_가중치민감도'!$B$10+'01_원자료'!Q835*'03_가중치민감도'!$C$10+'01_원자료'!R835*'03_가중치민감도'!$D$10</f>
        <v>0.80170570690717335</v>
      </c>
      <c r="K838" s="31">
        <f t="shared" si="78"/>
        <v>821</v>
      </c>
      <c r="L838" s="31">
        <f t="shared" si="79"/>
        <v>809</v>
      </c>
      <c r="M838" s="31">
        <f t="shared" si="80"/>
        <v>826</v>
      </c>
      <c r="N838" s="31">
        <f t="shared" si="81"/>
        <v>802</v>
      </c>
      <c r="O838" s="31">
        <f t="shared" si="82"/>
        <v>810</v>
      </c>
      <c r="P838" s="31">
        <f t="shared" si="83"/>
        <v>819</v>
      </c>
    </row>
    <row r="839" spans="1:16">
      <c r="A839" s="2" t="str">
        <f>'01_원자료'!A836</f>
        <v>RPT-25</v>
      </c>
      <c r="B839" s="2" t="str">
        <f>'01_원자료'!B836</f>
        <v>mistral</v>
      </c>
      <c r="C839" s="2" t="str">
        <f>'01_원자료'!C836</f>
        <v>gemma</v>
      </c>
      <c r="E839" s="17">
        <f>'01_원자료'!P836*'03_가중치민감도'!$B$5+'01_원자료'!Q836*'03_가중치민감도'!$C$5+'01_원자료'!R836*'03_가중치민감도'!$D$5</f>
        <v>0.65459678457499937</v>
      </c>
      <c r="F839" s="17">
        <f>'01_원자료'!P836*'03_가중치민감도'!$B$6+'01_원자료'!Q836*'03_가중치민감도'!$C$6+'01_원자료'!R836*'03_가중치민감도'!$D$6</f>
        <v>0.56070274776334994</v>
      </c>
      <c r="G839" s="17">
        <f>'01_원자료'!P836*'03_가중치민감도'!$B$7+'01_원자료'!Q836*'03_가중치민감도'!$C$7+'01_원자료'!R836*'03_가중치민감도'!$D$7</f>
        <v>0.65248709131773608</v>
      </c>
      <c r="H839" s="17">
        <f>'01_원자료'!P836*'03_가중치민감도'!$B$8+'01_원자료'!Q836*'03_가중치민감도'!$C$8+'01_원자료'!R836*'03_가중치민감도'!$D$8</f>
        <v>0.66514525086131515</v>
      </c>
      <c r="I839" s="17">
        <f>'01_원자료'!P836*'03_가중치민감도'!$B$9+'01_원자료'!Q836*'03_가중치민감도'!$C$9+'01_원자료'!R836*'03_가중치민감도'!$D$9</f>
        <v>0.59270399111965344</v>
      </c>
      <c r="J839" s="17">
        <f>'01_원자료'!P836*'03_가중치민감도'!$B$10+'01_원자료'!Q836*'03_가중치민감도'!$C$10+'01_원자료'!R836*'03_가중치민감도'!$D$10</f>
        <v>0.75271020790117515</v>
      </c>
      <c r="K839" s="31">
        <f t="shared" si="78"/>
        <v>642</v>
      </c>
      <c r="L839" s="31">
        <f t="shared" si="79"/>
        <v>640</v>
      </c>
      <c r="M839" s="31">
        <f t="shared" si="80"/>
        <v>629</v>
      </c>
      <c r="N839" s="31">
        <f t="shared" si="81"/>
        <v>684</v>
      </c>
      <c r="O839" s="31">
        <f t="shared" si="82"/>
        <v>651</v>
      </c>
      <c r="P839" s="31">
        <f t="shared" si="83"/>
        <v>666</v>
      </c>
    </row>
    <row r="840" spans="1:16">
      <c r="A840" s="2" t="str">
        <f>'01_원자료'!A837</f>
        <v>RPT-25</v>
      </c>
      <c r="B840" s="2" t="str">
        <f>'01_원자료'!B837</f>
        <v>mistral</v>
      </c>
      <c r="C840" s="2" t="str">
        <f>'01_원자료'!C837</f>
        <v>ministral</v>
      </c>
      <c r="E840" s="17">
        <f>'01_원자료'!P837*'03_가중치민감도'!$B$5+'01_원자료'!Q837*'03_가중치민감도'!$C$5+'01_원자료'!R837*'03_가중치민감도'!$D$5</f>
        <v>0.65396716153378021</v>
      </c>
      <c r="F840" s="17">
        <f>'01_원자료'!P837*'03_가중치민감도'!$B$6+'01_원자료'!Q837*'03_가중치민감도'!$C$6+'01_원자료'!R837*'03_가중치민감도'!$D$6</f>
        <v>0.57909401302850627</v>
      </c>
      <c r="G840" s="17">
        <f>'01_원자료'!P837*'03_가중치민감도'!$B$7+'01_원자료'!Q837*'03_가중치민감도'!$C$7+'01_원자료'!R837*'03_가중치민감도'!$D$7</f>
        <v>0.65977610709897849</v>
      </c>
      <c r="H840" s="17">
        <f>'01_원자료'!P837*'03_가중치민감도'!$B$8+'01_원자료'!Q837*'03_가중치민감도'!$C$8+'01_원자료'!R837*'03_가중치민감도'!$D$8</f>
        <v>0.62492243370778877</v>
      </c>
      <c r="I840" s="17">
        <f>'01_원자료'!P837*'03_가중치민감도'!$B$9+'01_원자료'!Q837*'03_가중치민감도'!$C$9+'01_원자료'!R837*'03_가중치민감도'!$D$9</f>
        <v>0.60211541400853086</v>
      </c>
      <c r="J840" s="17">
        <f>'01_원자료'!P837*'03_가중치민감도'!$B$10+'01_원자료'!Q837*'03_가중치민감도'!$C$10+'01_원자료'!R837*'03_가중치민감도'!$D$10</f>
        <v>0.71722241890865746</v>
      </c>
      <c r="K840" s="31">
        <f t="shared" si="78"/>
        <v>634</v>
      </c>
      <c r="L840" s="31">
        <f t="shared" si="79"/>
        <v>730</v>
      </c>
      <c r="M840" s="31">
        <f t="shared" si="80"/>
        <v>668</v>
      </c>
      <c r="N840" s="31">
        <f t="shared" si="81"/>
        <v>564</v>
      </c>
      <c r="O840" s="31">
        <f t="shared" si="82"/>
        <v>698</v>
      </c>
      <c r="P840" s="31">
        <f t="shared" si="83"/>
        <v>529</v>
      </c>
    </row>
    <row r="841" spans="1:16">
      <c r="A841" s="2" t="str">
        <f>'01_원자료'!A838</f>
        <v>RPT-25</v>
      </c>
      <c r="B841" s="2" t="str">
        <f>'01_원자료'!B838</f>
        <v>mistral</v>
      </c>
      <c r="C841" s="2" t="str">
        <f>'01_원자료'!C838</f>
        <v>qwen</v>
      </c>
      <c r="E841" s="17">
        <f>'01_원자료'!P838*'03_가중치민감도'!$B$5+'01_원자료'!Q838*'03_가중치민감도'!$C$5+'01_원자료'!R838*'03_가중치민감도'!$D$5</f>
        <v>0.66109256400861671</v>
      </c>
      <c r="F841" s="17">
        <f>'01_원자료'!P838*'03_가중치민감도'!$B$6+'01_원자료'!Q838*'03_가중치민감도'!$C$6+'01_원자료'!R838*'03_가중치민감도'!$D$6</f>
        <v>0.57199798235371757</v>
      </c>
      <c r="G841" s="17">
        <f>'01_원자료'!P838*'03_가중치민감도'!$B$7+'01_원자료'!Q838*'03_가중치민감도'!$C$7+'01_원자료'!R838*'03_가중치민감도'!$D$7</f>
        <v>0.66172740117124662</v>
      </c>
      <c r="H841" s="17">
        <f>'01_원자료'!P838*'03_가중치민감도'!$B$8+'01_원자료'!Q838*'03_가중치민감도'!$C$8+'01_원자료'!R838*'03_가중치민감도'!$D$8</f>
        <v>0.65791837819546717</v>
      </c>
      <c r="I841" s="17">
        <f>'01_원자료'!P838*'03_가중치민감도'!$B$9+'01_원자료'!Q838*'03_가중치민감도'!$C$9+'01_원자료'!R838*'03_가중치민감도'!$D$9</f>
        <v>0.60148456385114013</v>
      </c>
      <c r="J841" s="17">
        <f>'01_원자료'!P838*'03_가중치민감도'!$B$10+'01_원자료'!Q838*'03_가중치민감도'!$C$10+'01_원자료'!R838*'03_가중치민감도'!$D$10</f>
        <v>0.74891747133825604</v>
      </c>
      <c r="K841" s="31">
        <f t="shared" si="78"/>
        <v>678</v>
      </c>
      <c r="L841" s="31">
        <f t="shared" si="79"/>
        <v>703</v>
      </c>
      <c r="M841" s="31">
        <f t="shared" si="80"/>
        <v>676</v>
      </c>
      <c r="N841" s="31">
        <f t="shared" si="81"/>
        <v>660</v>
      </c>
      <c r="O841" s="31">
        <f t="shared" si="82"/>
        <v>695</v>
      </c>
      <c r="P841" s="31">
        <f t="shared" si="83"/>
        <v>652</v>
      </c>
    </row>
    <row r="842" spans="1:16">
      <c r="A842" s="2" t="str">
        <f>'01_원자료'!A839</f>
        <v>RPT-25</v>
      </c>
      <c r="B842" s="2" t="str">
        <f>'01_원자료'!B839</f>
        <v>qwen3_6</v>
      </c>
      <c r="C842" s="2" t="str">
        <f>'01_원자료'!C839</f>
        <v>gemma</v>
      </c>
      <c r="E842" s="17">
        <f>'01_원자료'!P839*'03_가중치민감도'!$B$5+'01_원자료'!Q839*'03_가중치민감도'!$C$5+'01_원자료'!R839*'03_가중치민감도'!$D$5</f>
        <v>0.73741661297504191</v>
      </c>
      <c r="F842" s="17">
        <f>'01_원자료'!P839*'03_가중치민감도'!$B$6+'01_원자료'!Q839*'03_가중치민감도'!$C$6+'01_원자료'!R839*'03_가중치민감도'!$D$6</f>
        <v>0.63312796722603748</v>
      </c>
      <c r="G842" s="17">
        <f>'01_원자료'!P839*'03_가중치민감도'!$B$7+'01_원자료'!Q839*'03_가중치민감도'!$C$7+'01_원자료'!R839*'03_가중치민감도'!$D$7</f>
        <v>0.72913625334811716</v>
      </c>
      <c r="H842" s="17">
        <f>'01_원자료'!P839*'03_가중치민감도'!$B$8+'01_원자료'!Q839*'03_가중치민감도'!$C$8+'01_원자료'!R839*'03_가중치민감도'!$D$8</f>
        <v>0.7788184111096661</v>
      </c>
      <c r="I842" s="17">
        <f>'01_원자료'!P839*'03_가중치민감도'!$B$9+'01_원자료'!Q839*'03_가중치민감도'!$C$9+'01_원자료'!R839*'03_가중치민감도'!$D$9</f>
        <v>0.67065096901801313</v>
      </c>
      <c r="J842" s="17">
        <f>'01_원자료'!P839*'03_가중치민감도'!$B$10+'01_원자료'!Q839*'03_가중치민감도'!$C$10+'01_원자료'!R839*'03_가중치민감도'!$D$10</f>
        <v>0.85826597797789606</v>
      </c>
      <c r="K842" s="31">
        <f t="shared" si="78"/>
        <v>920</v>
      </c>
      <c r="L842" s="31">
        <f t="shared" si="79"/>
        <v>930</v>
      </c>
      <c r="M842" s="31">
        <f t="shared" si="80"/>
        <v>920</v>
      </c>
      <c r="N842" s="31">
        <f t="shared" si="81"/>
        <v>932</v>
      </c>
      <c r="O842" s="31">
        <f t="shared" si="82"/>
        <v>930</v>
      </c>
      <c r="P842" s="31">
        <f t="shared" si="83"/>
        <v>910</v>
      </c>
    </row>
    <row r="843" spans="1:16">
      <c r="A843" s="2" t="str">
        <f>'01_원자료'!A840</f>
        <v>RPT-25</v>
      </c>
      <c r="B843" s="2" t="str">
        <f>'01_원자료'!B840</f>
        <v>qwen3_6</v>
      </c>
      <c r="C843" s="2" t="str">
        <f>'01_원자료'!C840</f>
        <v>ministral</v>
      </c>
      <c r="E843" s="17">
        <f>'01_원자료'!P840*'03_가중치민감도'!$B$5+'01_원자료'!Q840*'03_가중치민감도'!$C$5+'01_원자료'!R840*'03_가중치민감도'!$D$5</f>
        <v>0.65220022867739125</v>
      </c>
      <c r="F843" s="17">
        <f>'01_원자료'!P840*'03_가중치민감도'!$B$6+'01_원자료'!Q840*'03_가중치민감도'!$C$6+'01_원자료'!R840*'03_가중치민감도'!$D$6</f>
        <v>0.56140496755754699</v>
      </c>
      <c r="G843" s="17">
        <f>'01_원자료'!P840*'03_가중치민감도'!$B$7+'01_원자료'!Q840*'03_가중치민감도'!$C$7+'01_원자료'!R840*'03_가중치민감도'!$D$7</f>
        <v>0.65775968188698986</v>
      </c>
      <c r="H843" s="17">
        <f>'01_원자료'!P840*'03_가중치민감도'!$B$8+'01_원자료'!Q840*'03_가중치민감도'!$C$8+'01_원자료'!R840*'03_가중치민감도'!$D$8</f>
        <v>0.62440296262939787</v>
      </c>
      <c r="I843" s="17">
        <f>'01_원자료'!P840*'03_가중치민감도'!$B$9+'01_원자료'!Q840*'03_가중치민감도'!$C$9+'01_원자료'!R840*'03_가중치민감도'!$D$9</f>
        <v>0.58981690352762817</v>
      </c>
      <c r="J843" s="17">
        <f>'01_원자료'!P840*'03_가중치민감도'!$B$10+'01_원자료'!Q840*'03_가중치민감도'!$C$10+'01_원자료'!R840*'03_가중치민감도'!$D$10</f>
        <v>0.73187658337803807</v>
      </c>
      <c r="K843" s="31">
        <f t="shared" si="78"/>
        <v>628</v>
      </c>
      <c r="L843" s="31">
        <f t="shared" si="79"/>
        <v>647</v>
      </c>
      <c r="M843" s="31">
        <f t="shared" si="80"/>
        <v>653</v>
      </c>
      <c r="N843" s="31">
        <f t="shared" si="81"/>
        <v>561</v>
      </c>
      <c r="O843" s="31">
        <f t="shared" si="82"/>
        <v>628</v>
      </c>
      <c r="P843" s="31">
        <f t="shared" si="83"/>
        <v>590</v>
      </c>
    </row>
    <row r="844" spans="1:16">
      <c r="A844" s="2" t="str">
        <f>'01_원자료'!A841</f>
        <v>RPT-25</v>
      </c>
      <c r="B844" s="2" t="str">
        <f>'01_원자료'!B841</f>
        <v>qwen3_6</v>
      </c>
      <c r="C844" s="2" t="str">
        <f>'01_원자료'!C841</f>
        <v>qwen</v>
      </c>
      <c r="E844" s="17">
        <f>'01_원자료'!P841*'03_가중치민감도'!$B$5+'01_원자료'!Q841*'03_가중치민감도'!$C$5+'01_원자료'!R841*'03_가중치민감도'!$D$5</f>
        <v>0.71722282083918576</v>
      </c>
      <c r="F844" s="17">
        <f>'01_원자료'!P841*'03_가중치민감도'!$B$6+'01_원자료'!Q841*'03_가중치민감도'!$C$6+'01_원자료'!R841*'03_가중치민감도'!$D$6</f>
        <v>0.63167193801628341</v>
      </c>
      <c r="G844" s="17">
        <f>'01_원자료'!P841*'03_가중치민감도'!$B$7+'01_원자료'!Q841*'03_가중치민감도'!$C$7+'01_원자료'!R841*'03_가중치민감도'!$D$7</f>
        <v>0.71618790083067863</v>
      </c>
      <c r="H844" s="17">
        <f>'01_원자료'!P841*'03_가중치민감도'!$B$8+'01_원자료'!Q841*'03_가중치민감도'!$C$8+'01_원자료'!R841*'03_가중치민감도'!$D$8</f>
        <v>0.72239742088172076</v>
      </c>
      <c r="I844" s="17">
        <f>'01_원자료'!P841*'03_가중치민감도'!$B$9+'01_원자료'!Q841*'03_가중치민감도'!$C$9+'01_원자료'!R841*'03_가중치민감도'!$D$9</f>
        <v>0.66053387229341909</v>
      </c>
      <c r="J844" s="17">
        <f>'01_원자료'!P841*'03_가중치민감도'!$B$10+'01_원자료'!Q841*'03_가중치민감도'!$C$10+'01_원자료'!R841*'03_가중치민감도'!$D$10</f>
        <v>0.80484354367910194</v>
      </c>
      <c r="K844" s="31">
        <f t="shared" si="78"/>
        <v>867</v>
      </c>
      <c r="L844" s="31">
        <f t="shared" si="79"/>
        <v>928</v>
      </c>
      <c r="M844" s="31">
        <f t="shared" si="80"/>
        <v>891</v>
      </c>
      <c r="N844" s="31">
        <f t="shared" si="81"/>
        <v>829</v>
      </c>
      <c r="O844" s="31">
        <f t="shared" si="82"/>
        <v>908</v>
      </c>
      <c r="P844" s="31">
        <f t="shared" si="83"/>
        <v>823</v>
      </c>
    </row>
    <row r="845" spans="1:16">
      <c r="A845" s="2" t="str">
        <f>'01_원자료'!A842</f>
        <v>RPT-26</v>
      </c>
      <c r="B845" s="2" t="str">
        <f>'01_원자료'!B842</f>
        <v>chatgpt</v>
      </c>
      <c r="C845" s="2" t="str">
        <f>'01_원자료'!C842</f>
        <v>gemma</v>
      </c>
      <c r="E845" s="17">
        <f>'01_원자료'!P842*'03_가중치민감도'!$B$5+'01_원자료'!Q842*'03_가중치민감도'!$C$5+'01_원자료'!R842*'03_가중치민감도'!$D$5</f>
        <v>0.52524844096576817</v>
      </c>
      <c r="F845" s="17">
        <f>'01_원자료'!P842*'03_가중치민감도'!$B$6+'01_원자료'!Q842*'03_가중치민감도'!$C$6+'01_원자료'!R842*'03_가중치민감도'!$D$6</f>
        <v>0.4469291715655398</v>
      </c>
      <c r="G845" s="17">
        <f>'01_원자료'!P842*'03_가중치민감도'!$B$7+'01_원자료'!Q842*'03_가중치민감도'!$C$7+'01_원자료'!R842*'03_가중치민감도'!$D$7</f>
        <v>0.53298711278393229</v>
      </c>
      <c r="H845" s="17">
        <f>'01_원자료'!P842*'03_가중치민감도'!$B$8+'01_원자료'!Q842*'03_가중치민감도'!$C$8+'01_원자료'!R842*'03_가중치민감도'!$D$8</f>
        <v>0.48655508187494734</v>
      </c>
      <c r="I845" s="17">
        <f>'01_원자료'!P842*'03_가중치민감도'!$B$9+'01_원자료'!Q842*'03_가중치민감도'!$C$9+'01_원자료'!R842*'03_가중치민감도'!$D$9</f>
        <v>0.47045603742622738</v>
      </c>
      <c r="J845" s="17">
        <f>'01_원자료'!P842*'03_가중치민감도'!$B$10+'01_원자료'!Q842*'03_가중치민감도'!$C$10+'01_원자료'!R842*'03_가중치민감도'!$D$10</f>
        <v>0.58809036672966819</v>
      </c>
      <c r="K845" s="31">
        <f t="shared" si="78"/>
        <v>118</v>
      </c>
      <c r="L845" s="31">
        <f t="shared" si="79"/>
        <v>126</v>
      </c>
      <c r="M845" s="31">
        <f t="shared" si="80"/>
        <v>82</v>
      </c>
      <c r="N845" s="31">
        <f t="shared" si="81"/>
        <v>190</v>
      </c>
      <c r="O845" s="31">
        <f t="shared" si="82"/>
        <v>135</v>
      </c>
      <c r="P845" s="31">
        <f t="shared" si="83"/>
        <v>151</v>
      </c>
    </row>
    <row r="846" spans="1:16">
      <c r="A846" s="2" t="str">
        <f>'01_원자료'!A843</f>
        <v>RPT-26</v>
      </c>
      <c r="B846" s="2" t="str">
        <f>'01_원자료'!B843</f>
        <v>chatgpt</v>
      </c>
      <c r="C846" s="2" t="str">
        <f>'01_원자료'!C843</f>
        <v>ministral</v>
      </c>
      <c r="E846" s="17">
        <f>'01_원자료'!P843*'03_가중치민감도'!$B$5+'01_원자료'!Q843*'03_가중치민감도'!$C$5+'01_원자료'!R843*'03_가중치민감도'!$D$5</f>
        <v>0.50460979791527383</v>
      </c>
      <c r="F846" s="17">
        <f>'01_원자료'!P843*'03_가중치민감도'!$B$6+'01_원자료'!Q843*'03_가중치민감도'!$C$6+'01_원자료'!R843*'03_가중치민감도'!$D$6</f>
        <v>0.44351356429043193</v>
      </c>
      <c r="G846" s="17">
        <f>'01_원자료'!P843*'03_가중치민감도'!$B$7+'01_원자료'!Q843*'03_가중치민감도'!$C$7+'01_원자료'!R843*'03_가중치민감도'!$D$7</f>
        <v>0.5222367540566264</v>
      </c>
      <c r="H846" s="17">
        <f>'01_원자료'!P843*'03_가중치민감도'!$B$8+'01_원자료'!Q843*'03_가중치민감도'!$C$8+'01_원자료'!R843*'03_가중치민감도'!$D$8</f>
        <v>0.41647501720851099</v>
      </c>
      <c r="I846" s="17">
        <f>'01_원자료'!P843*'03_가중치민감도'!$B$9+'01_원자료'!Q843*'03_가중치민감도'!$C$9+'01_원자료'!R843*'03_가중치민감도'!$D$9</f>
        <v>0.45800332345159456</v>
      </c>
      <c r="J846" s="17">
        <f>'01_원자료'!P843*'03_가중치민감도'!$B$10+'01_원자료'!Q843*'03_가중치민감도'!$C$10+'01_원자료'!R843*'03_가중치민감도'!$D$10</f>
        <v>0.53045211925741065</v>
      </c>
      <c r="K846" s="31">
        <f t="shared" si="78"/>
        <v>52</v>
      </c>
      <c r="L846" s="31">
        <f t="shared" si="79"/>
        <v>110</v>
      </c>
      <c r="M846" s="31">
        <f t="shared" si="80"/>
        <v>53</v>
      </c>
      <c r="N846" s="31">
        <f t="shared" si="81"/>
        <v>78</v>
      </c>
      <c r="O846" s="31">
        <f t="shared" si="82"/>
        <v>89</v>
      </c>
      <c r="P846" s="31">
        <f t="shared" si="83"/>
        <v>31</v>
      </c>
    </row>
    <row r="847" spans="1:16">
      <c r="A847" s="2" t="str">
        <f>'01_원자료'!A844</f>
        <v>RPT-26</v>
      </c>
      <c r="B847" s="2" t="str">
        <f>'01_원자료'!B844</f>
        <v>chatgpt</v>
      </c>
      <c r="C847" s="2" t="str">
        <f>'01_원자료'!C844</f>
        <v>qwen</v>
      </c>
      <c r="E847" s="17">
        <f>'01_원자료'!P844*'03_가중치민감도'!$B$5+'01_원자료'!Q844*'03_가중치민감도'!$C$5+'01_원자료'!R844*'03_가중치민감도'!$D$5</f>
        <v>0.57143758977922876</v>
      </c>
      <c r="F847" s="17">
        <f>'01_원자료'!P844*'03_가중치민감도'!$B$6+'01_원자료'!Q844*'03_가중치민감도'!$C$6+'01_원자료'!R844*'03_가중치민감도'!$D$6</f>
        <v>0.49047245441731219</v>
      </c>
      <c r="G847" s="17">
        <f>'01_원자료'!P844*'03_가중치민감도'!$B$7+'01_원자료'!Q844*'03_가중치민감도'!$C$7+'01_원자료'!R844*'03_가중치민감도'!$D$7</f>
        <v>0.5767762576233384</v>
      </c>
      <c r="H847" s="17">
        <f>'01_원자료'!P844*'03_가중치민감도'!$B$8+'01_원자료'!Q844*'03_가중치민감도'!$C$8+'01_원자료'!R844*'03_가중치민감도'!$D$8</f>
        <v>0.54474425055868103</v>
      </c>
      <c r="I847" s="17">
        <f>'01_원자료'!P844*'03_가중치민감도'!$B$9+'01_원자료'!Q844*'03_가중치민감도'!$C$9+'01_원자료'!R844*'03_가중치민감도'!$D$9</f>
        <v>0.51568127692324728</v>
      </c>
      <c r="J847" s="17">
        <f>'01_원자료'!P844*'03_가중치민감도'!$B$10+'01_원자료'!Q844*'03_가중치민감도'!$C$10+'01_원자료'!R844*'03_가중치민감도'!$D$10</f>
        <v>0.64172538945292623</v>
      </c>
      <c r="K847" s="31">
        <f t="shared" si="78"/>
        <v>291</v>
      </c>
      <c r="L847" s="31">
        <f t="shared" si="79"/>
        <v>315</v>
      </c>
      <c r="M847" s="31">
        <f t="shared" si="80"/>
        <v>279</v>
      </c>
      <c r="N847" s="31">
        <f t="shared" si="81"/>
        <v>319</v>
      </c>
      <c r="O847" s="31">
        <f t="shared" si="82"/>
        <v>312</v>
      </c>
      <c r="P847" s="31">
        <f t="shared" si="83"/>
        <v>291</v>
      </c>
    </row>
    <row r="848" spans="1:16">
      <c r="A848" s="2" t="str">
        <f>'01_원자료'!A845</f>
        <v>RPT-26</v>
      </c>
      <c r="B848" s="2" t="str">
        <f>'01_원자료'!B845</f>
        <v>claude</v>
      </c>
      <c r="C848" s="2" t="str">
        <f>'01_원자료'!C845</f>
        <v>gemma</v>
      </c>
      <c r="E848" s="17">
        <f>'01_원자료'!P845*'03_가중치민감도'!$B$5+'01_원자료'!Q845*'03_가중치민감도'!$C$5+'01_원자료'!R845*'03_가중치민감도'!$D$5</f>
        <v>0.61657856454090754</v>
      </c>
      <c r="F848" s="17">
        <f>'01_원자료'!P845*'03_가중치민감도'!$B$6+'01_원자료'!Q845*'03_가중치민감도'!$C$6+'01_원자료'!R845*'03_가중치민감도'!$D$6</f>
        <v>0.5102724114406485</v>
      </c>
      <c r="G848" s="17">
        <f>'01_원자료'!P845*'03_가중치민감도'!$B$7+'01_원자료'!Q845*'03_가중치민감도'!$C$7+'01_원자료'!R845*'03_가중치민감도'!$D$7</f>
        <v>0.6188092419422162</v>
      </c>
      <c r="H848" s="17">
        <f>'01_원자료'!P845*'03_가중치민감도'!$B$8+'01_원자료'!Q845*'03_가중치민감도'!$C$8+'01_원자료'!R845*'03_가중치민감도'!$D$8</f>
        <v>0.60542517753436431</v>
      </c>
      <c r="I848" s="17">
        <f>'01_원자료'!P845*'03_가중치민감도'!$B$9+'01_원자료'!Q845*'03_가중치민감도'!$C$9+'01_원자료'!R845*'03_가중치민감도'!$D$9</f>
        <v>0.54496423667363147</v>
      </c>
      <c r="J848" s="17">
        <f>'01_원자료'!P845*'03_가중치민감도'!$B$10+'01_원자료'!Q845*'03_가중치민감도'!$C$10+'01_원자료'!R845*'03_가중치민감도'!$D$10</f>
        <v>0.71842336283854924</v>
      </c>
      <c r="K848" s="31">
        <f t="shared" si="78"/>
        <v>470</v>
      </c>
      <c r="L848" s="31">
        <f t="shared" si="79"/>
        <v>415</v>
      </c>
      <c r="M848" s="31">
        <f t="shared" si="80"/>
        <v>461</v>
      </c>
      <c r="N848" s="31">
        <f t="shared" si="81"/>
        <v>506</v>
      </c>
      <c r="O848" s="31">
        <f t="shared" si="82"/>
        <v>435</v>
      </c>
      <c r="P848" s="31">
        <f t="shared" si="83"/>
        <v>531</v>
      </c>
    </row>
    <row r="849" spans="1:16">
      <c r="A849" s="2" t="str">
        <f>'01_원자료'!A846</f>
        <v>RPT-26</v>
      </c>
      <c r="B849" s="2" t="str">
        <f>'01_원자료'!B846</f>
        <v>claude</v>
      </c>
      <c r="C849" s="2" t="str">
        <f>'01_원자료'!C846</f>
        <v>ministral</v>
      </c>
      <c r="E849" s="17">
        <f>'01_원자료'!P846*'03_가중치민감도'!$B$5+'01_원자료'!Q846*'03_가중치민감도'!$C$5+'01_원자료'!R846*'03_가중치민감도'!$D$5</f>
        <v>0.52452051063206606</v>
      </c>
      <c r="F849" s="17">
        <f>'01_원자료'!P846*'03_가중치민감도'!$B$6+'01_원자료'!Q846*'03_가중치민감도'!$C$6+'01_원자료'!R846*'03_가중치민감도'!$D$6</f>
        <v>0.43605667923986285</v>
      </c>
      <c r="G849" s="17">
        <f>'01_원자료'!P846*'03_가중치민감도'!$B$7+'01_원자료'!Q846*'03_가중치민감도'!$C$7+'01_원자료'!R846*'03_가중치민감도'!$D$7</f>
        <v>0.54157537255543442</v>
      </c>
      <c r="H849" s="17">
        <f>'01_원자료'!P846*'03_가중치민감도'!$B$8+'01_원자료'!Q846*'03_가중치민감도'!$C$8+'01_원자료'!R846*'03_가중치민감도'!$D$8</f>
        <v>0.43924620101522388</v>
      </c>
      <c r="I849" s="17">
        <f>'01_원자료'!P846*'03_가중치민감도'!$B$9+'01_원자료'!Q846*'03_가중치민감도'!$C$9+'01_원자료'!R846*'03_가중치민감도'!$D$9</f>
        <v>0.45985966906280729</v>
      </c>
      <c r="J849" s="17">
        <f>'01_원자료'!P846*'03_가중치민감도'!$B$10+'01_원자료'!Q846*'03_가중치민감도'!$C$10+'01_원자료'!R846*'03_가중치민감도'!$D$10</f>
        <v>0.57887461817753239</v>
      </c>
      <c r="K849" s="31">
        <f t="shared" si="78"/>
        <v>114</v>
      </c>
      <c r="L849" s="31">
        <f t="shared" si="79"/>
        <v>85</v>
      </c>
      <c r="M849" s="31">
        <f t="shared" si="80"/>
        <v>115</v>
      </c>
      <c r="N849" s="31">
        <f t="shared" si="81"/>
        <v>121</v>
      </c>
      <c r="O849" s="31">
        <f t="shared" si="82"/>
        <v>95</v>
      </c>
      <c r="P849" s="31">
        <f t="shared" si="83"/>
        <v>128</v>
      </c>
    </row>
    <row r="850" spans="1:16">
      <c r="A850" s="2" t="str">
        <f>'01_원자료'!A847</f>
        <v>RPT-26</v>
      </c>
      <c r="B850" s="2" t="str">
        <f>'01_원자료'!B847</f>
        <v>claude</v>
      </c>
      <c r="C850" s="2" t="str">
        <f>'01_원자료'!C847</f>
        <v>qwen</v>
      </c>
      <c r="E850" s="17">
        <f>'01_원자료'!P847*'03_가중치민감도'!$B$5+'01_원자료'!Q847*'03_가중치민감도'!$C$5+'01_원자료'!R847*'03_가중치민감도'!$D$5</f>
        <v>0.65313870389438322</v>
      </c>
      <c r="F850" s="17">
        <f>'01_원자료'!P847*'03_가중치민감도'!$B$6+'01_원자료'!Q847*'03_가중치민감도'!$C$6+'01_원자료'!R847*'03_가중치민감도'!$D$6</f>
        <v>0.54848732868835914</v>
      </c>
      <c r="G850" s="17">
        <f>'01_원자료'!P847*'03_가중치민감도'!$B$7+'01_원자료'!Q847*'03_가중치민감도'!$C$7+'01_원자료'!R847*'03_가중치민감도'!$D$7</f>
        <v>0.65173216741896489</v>
      </c>
      <c r="H850" s="17">
        <f>'01_원자료'!P847*'03_가중치민감도'!$B$8+'01_원자료'!Q847*'03_가중치민감도'!$C$8+'01_원자료'!R847*'03_가중치민감도'!$D$8</f>
        <v>0.66017138627147476</v>
      </c>
      <c r="I850" s="17">
        <f>'01_원자료'!P847*'03_가중치민감도'!$B$9+'01_원자료'!Q847*'03_가중치민감도'!$C$9+'01_원자료'!R847*'03_가중치민감도'!$D$9</f>
        <v>0.58383996591550602</v>
      </c>
      <c r="J850" s="17">
        <f>'01_원자료'!P847*'03_가중치민감도'!$B$10+'01_원자료'!Q847*'03_가중치민감도'!$C$10+'01_원자료'!R847*'03_가중치민감도'!$D$10</f>
        <v>0.76060315205124396</v>
      </c>
      <c r="K850" s="31">
        <f t="shared" si="78"/>
        <v>632</v>
      </c>
      <c r="L850" s="31">
        <f t="shared" si="79"/>
        <v>581</v>
      </c>
      <c r="M850" s="31">
        <f t="shared" si="80"/>
        <v>624</v>
      </c>
      <c r="N850" s="31">
        <f t="shared" si="81"/>
        <v>668</v>
      </c>
      <c r="O850" s="31">
        <f t="shared" si="82"/>
        <v>599</v>
      </c>
      <c r="P850" s="31">
        <f t="shared" si="83"/>
        <v>695</v>
      </c>
    </row>
    <row r="851" spans="1:16">
      <c r="A851" s="2" t="str">
        <f>'01_원자료'!A848</f>
        <v>RPT-26</v>
      </c>
      <c r="B851" s="2" t="str">
        <f>'01_원자료'!B848</f>
        <v>gemini</v>
      </c>
      <c r="C851" s="2" t="str">
        <f>'01_원자료'!C848</f>
        <v>gemma</v>
      </c>
      <c r="E851" s="17">
        <f>'01_원자료'!P848*'03_가중치민감도'!$B$5+'01_원자료'!Q848*'03_가중치민감도'!$C$5+'01_원자료'!R848*'03_가중치민감도'!$D$5</f>
        <v>0.44037807470532597</v>
      </c>
      <c r="F851" s="17">
        <f>'01_원자료'!P848*'03_가중치민감도'!$B$6+'01_원자료'!Q848*'03_가중치민감도'!$C$6+'01_원자료'!R848*'03_가중치민감도'!$D$6</f>
        <v>0.35697200185830502</v>
      </c>
      <c r="G851" s="17">
        <f>'01_원자료'!P848*'03_가중치민감도'!$B$7+'01_원자료'!Q848*'03_가중치민감도'!$C$7+'01_원자료'!R848*'03_가중치민감도'!$D$7</f>
        <v>0.46845042968048262</v>
      </c>
      <c r="H851" s="17">
        <f>'01_원자료'!P848*'03_가중치민감도'!$B$8+'01_원자료'!Q848*'03_가중치민감도'!$C$8+'01_원자료'!R848*'03_가중치민감도'!$D$8</f>
        <v>0.30001629982954281</v>
      </c>
      <c r="I851" s="17">
        <f>'01_원자료'!P848*'03_가중치민감도'!$B$9+'01_원자료'!Q848*'03_가중치민감도'!$C$9+'01_원자료'!R848*'03_가중치민감도'!$D$9</f>
        <v>0.3754165744822594</v>
      </c>
      <c r="J851" s="17">
        <f>'01_원자료'!P848*'03_가중치민감도'!$B$10+'01_원자료'!Q848*'03_가중치민감도'!$C$10+'01_원자료'!R848*'03_가중치민감도'!$D$10</f>
        <v>0.46763943760203364</v>
      </c>
      <c r="K851" s="31">
        <f t="shared" si="78"/>
        <v>8</v>
      </c>
      <c r="L851" s="31">
        <f t="shared" si="79"/>
        <v>8</v>
      </c>
      <c r="M851" s="31">
        <f t="shared" si="80"/>
        <v>8</v>
      </c>
      <c r="N851" s="31">
        <f t="shared" si="81"/>
        <v>8</v>
      </c>
      <c r="O851" s="31">
        <f t="shared" si="82"/>
        <v>8</v>
      </c>
      <c r="P851" s="31">
        <f t="shared" si="83"/>
        <v>8</v>
      </c>
    </row>
    <row r="852" spans="1:16">
      <c r="A852" s="2" t="str">
        <f>'01_원자료'!A849</f>
        <v>RPT-26</v>
      </c>
      <c r="B852" s="2" t="str">
        <f>'01_원자료'!B849</f>
        <v>gemini</v>
      </c>
      <c r="C852" s="2" t="str">
        <f>'01_원자료'!C849</f>
        <v>ministral</v>
      </c>
      <c r="E852" s="17">
        <f>'01_원자료'!P849*'03_가중치민감도'!$B$5+'01_원자료'!Q849*'03_가중치민감도'!$C$5+'01_원자료'!R849*'03_가중치민감도'!$D$5</f>
        <v>0.40658505917809884</v>
      </c>
      <c r="F852" s="17">
        <f>'01_원자료'!P849*'03_가중치민감도'!$B$6+'01_원자료'!Q849*'03_가중치민감도'!$C$6+'01_원자료'!R849*'03_가중치민감도'!$D$6</f>
        <v>0.32805490242957253</v>
      </c>
      <c r="G852" s="17">
        <f>'01_원자료'!P849*'03_가중치민감도'!$B$7+'01_원자료'!Q849*'03_가중치민감도'!$C$7+'01_원자료'!R849*'03_가중치민감도'!$D$7</f>
        <v>0.44105319512689567</v>
      </c>
      <c r="H852" s="17">
        <f>'01_원자료'!P849*'03_가중치민감도'!$B$8+'01_원자료'!Q849*'03_가중치민감도'!$C$8+'01_원자료'!R849*'03_가중치민감도'!$D$8</f>
        <v>0.2342443794341145</v>
      </c>
      <c r="I852" s="17">
        <f>'01_원자료'!P849*'03_가중치민감도'!$B$9+'01_원자료'!Q849*'03_가중치민감도'!$C$9+'01_원자료'!R849*'03_가중치민감도'!$D$9</f>
        <v>0.34274224269614861</v>
      </c>
      <c r="J852" s="17">
        <f>'01_원자료'!P849*'03_가중치민감도'!$B$10+'01_원자료'!Q849*'03_가중치민감도'!$C$10+'01_원자료'!R849*'03_가중치민감도'!$D$10</f>
        <v>0.41617894402903138</v>
      </c>
      <c r="K852" s="31">
        <f t="shared" si="78"/>
        <v>6</v>
      </c>
      <c r="L852" s="31">
        <f t="shared" si="79"/>
        <v>6</v>
      </c>
      <c r="M852" s="31">
        <f t="shared" si="80"/>
        <v>6</v>
      </c>
      <c r="N852" s="31">
        <f t="shared" si="81"/>
        <v>6</v>
      </c>
      <c r="O852" s="31">
        <f t="shared" si="82"/>
        <v>6</v>
      </c>
      <c r="P852" s="31">
        <f t="shared" si="83"/>
        <v>6</v>
      </c>
    </row>
    <row r="853" spans="1:16">
      <c r="A853" s="2" t="str">
        <f>'01_원자료'!A850</f>
        <v>RPT-26</v>
      </c>
      <c r="B853" s="2" t="str">
        <f>'01_원자료'!B850</f>
        <v>gemini</v>
      </c>
      <c r="C853" s="2" t="str">
        <f>'01_원자료'!C850</f>
        <v>qwen</v>
      </c>
      <c r="E853" s="17">
        <f>'01_원자료'!P850*'03_가중치민감도'!$B$5+'01_원자료'!Q850*'03_가중치민감도'!$C$5+'01_원자료'!R850*'03_가중치민감도'!$D$5</f>
        <v>0.42965510807056168</v>
      </c>
      <c r="F853" s="17">
        <f>'01_원자료'!P850*'03_가중치민감도'!$B$6+'01_원자료'!Q850*'03_가중치민감도'!$C$6+'01_원자료'!R850*'03_가중치민감도'!$D$6</f>
        <v>0.35375218417131882</v>
      </c>
      <c r="G853" s="17">
        <f>'01_원자료'!P850*'03_가중치민감도'!$B$7+'01_원자료'!Q850*'03_가중치민감도'!$C$7+'01_원자료'!R850*'03_가중치민감도'!$D$7</f>
        <v>0.46212310831925313</v>
      </c>
      <c r="H853" s="17">
        <f>'01_원자료'!P850*'03_가중치민감도'!$B$8+'01_원자료'!Q850*'03_가중치민감도'!$C$8+'01_원자료'!R850*'03_가중치민감도'!$D$8</f>
        <v>0.26731510682710452</v>
      </c>
      <c r="I853" s="17">
        <f>'01_원자료'!P850*'03_가중치민감도'!$B$9+'01_원자료'!Q850*'03_가중치민감도'!$C$9+'01_원자료'!R850*'03_가중치민감도'!$D$9</f>
        <v>0.3682304920548356</v>
      </c>
      <c r="J853" s="17">
        <f>'01_원자료'!P850*'03_가중치민감도'!$B$10+'01_원자료'!Q850*'03_가중치민감도'!$C$10+'01_원자료'!R850*'03_가중치민감도'!$D$10</f>
        <v>0.44062203147242168</v>
      </c>
      <c r="K853" s="31">
        <f t="shared" si="78"/>
        <v>7</v>
      </c>
      <c r="L853" s="31">
        <f t="shared" si="79"/>
        <v>7</v>
      </c>
      <c r="M853" s="31">
        <f t="shared" si="80"/>
        <v>7</v>
      </c>
      <c r="N853" s="31">
        <f t="shared" si="81"/>
        <v>7</v>
      </c>
      <c r="O853" s="31">
        <f t="shared" si="82"/>
        <v>7</v>
      </c>
      <c r="P853" s="31">
        <f t="shared" si="83"/>
        <v>7</v>
      </c>
    </row>
    <row r="854" spans="1:16">
      <c r="A854" s="2" t="str">
        <f>'01_원자료'!A851</f>
        <v>RPT-26</v>
      </c>
      <c r="B854" s="2" t="str">
        <f>'01_원자료'!B851</f>
        <v>mistral</v>
      </c>
      <c r="C854" s="2" t="str">
        <f>'01_원자료'!C851</f>
        <v>gemma</v>
      </c>
      <c r="E854" s="17">
        <f>'01_원자료'!P851*'03_가중치민감도'!$B$5+'01_원자료'!Q851*'03_가중치민감도'!$C$5+'01_원자료'!R851*'03_가중치민감도'!$D$5</f>
        <v>0.55562030631106674</v>
      </c>
      <c r="F854" s="17">
        <f>'01_원자료'!P851*'03_가중치민감도'!$B$6+'01_원자료'!Q851*'03_가중치민감도'!$C$6+'01_원자료'!R851*'03_가중치민감도'!$D$6</f>
        <v>0.46227656020525904</v>
      </c>
      <c r="G854" s="17">
        <f>'01_원자료'!P851*'03_가중치민감도'!$B$7+'01_원자료'!Q851*'03_가중치민감도'!$C$7+'01_원자료'!R851*'03_가중치민감도'!$D$7</f>
        <v>0.56414748244799973</v>
      </c>
      <c r="H854" s="17">
        <f>'01_원자료'!P851*'03_가중치민감도'!$B$8+'01_원자료'!Q851*'03_가중치민감도'!$C$8+'01_원자료'!R851*'03_가중치민감도'!$D$8</f>
        <v>0.51298442562640156</v>
      </c>
      <c r="I854" s="17">
        <f>'01_원자료'!P851*'03_가중치민감도'!$B$9+'01_원자료'!Q851*'03_가중치민감도'!$C$9+'01_원자료'!R851*'03_가중치민감도'!$D$9</f>
        <v>0.49054875019488342</v>
      </c>
      <c r="J854" s="17">
        <f>'01_원자료'!P851*'03_가중치민감도'!$B$10+'01_원자료'!Q851*'03_가중치민감도'!$C$10+'01_원자료'!R851*'03_가중치민감도'!$D$10</f>
        <v>0.63190970014300829</v>
      </c>
      <c r="K854" s="31">
        <f t="shared" si="78"/>
        <v>234</v>
      </c>
      <c r="L854" s="31">
        <f t="shared" si="79"/>
        <v>186</v>
      </c>
      <c r="M854" s="31">
        <f t="shared" si="80"/>
        <v>217</v>
      </c>
      <c r="N854" s="31">
        <f t="shared" si="81"/>
        <v>248</v>
      </c>
      <c r="O854" s="31">
        <f t="shared" si="82"/>
        <v>205</v>
      </c>
      <c r="P854" s="31">
        <f t="shared" si="83"/>
        <v>270</v>
      </c>
    </row>
    <row r="855" spans="1:16">
      <c r="A855" s="2" t="str">
        <f>'01_원자료'!A852</f>
        <v>RPT-26</v>
      </c>
      <c r="B855" s="2" t="str">
        <f>'01_원자료'!B852</f>
        <v>mistral</v>
      </c>
      <c r="C855" s="2" t="str">
        <f>'01_원자료'!C852</f>
        <v>ministral</v>
      </c>
      <c r="E855" s="17">
        <f>'01_원자료'!P852*'03_가중치민감도'!$B$5+'01_원자료'!Q852*'03_가중치민감도'!$C$5+'01_원자료'!R852*'03_가중치민감도'!$D$5</f>
        <v>0.56351946255378871</v>
      </c>
      <c r="F855" s="17">
        <f>'01_원자료'!P852*'03_가중치민감도'!$B$6+'01_원자료'!Q852*'03_가중치민감도'!$C$6+'01_원자료'!R852*'03_가중치민감도'!$D$6</f>
        <v>0.49503923123493376</v>
      </c>
      <c r="G855" s="17">
        <f>'01_원자료'!P852*'03_가중치민감도'!$B$7+'01_원자료'!Q852*'03_가중치민감도'!$C$7+'01_원자료'!R852*'03_가중치민감도'!$D$7</f>
        <v>0.577398891534599</v>
      </c>
      <c r="H855" s="17">
        <f>'01_원자료'!P852*'03_가중치민감도'!$B$8+'01_원자료'!Q852*'03_가중치민감도'!$C$8+'01_원자료'!R852*'03_가중치민감도'!$D$8</f>
        <v>0.49412231764973713</v>
      </c>
      <c r="I855" s="17">
        <f>'01_원자료'!P852*'03_가중치민감도'!$B$9+'01_원자료'!Q852*'03_가중치민감도'!$C$9+'01_원자료'!R852*'03_가중치민감도'!$D$9</f>
        <v>0.51323949868094809</v>
      </c>
      <c r="J855" s="17">
        <f>'01_원자료'!P852*'03_가중치민감도'!$B$10+'01_원자료'!Q852*'03_가중치민감도'!$C$10+'01_원자료'!R852*'03_가중치민감도'!$D$10</f>
        <v>0.60424083591102296</v>
      </c>
      <c r="K855" s="31">
        <f t="shared" si="78"/>
        <v>262</v>
      </c>
      <c r="L855" s="31">
        <f t="shared" si="79"/>
        <v>337</v>
      </c>
      <c r="M855" s="31">
        <f t="shared" si="80"/>
        <v>281</v>
      </c>
      <c r="N855" s="31">
        <f t="shared" si="81"/>
        <v>210</v>
      </c>
      <c r="O855" s="31">
        <f t="shared" si="82"/>
        <v>302</v>
      </c>
      <c r="P855" s="31">
        <f t="shared" si="83"/>
        <v>199</v>
      </c>
    </row>
    <row r="856" spans="1:16">
      <c r="A856" s="2" t="str">
        <f>'01_원자료'!A853</f>
        <v>RPT-26</v>
      </c>
      <c r="B856" s="2" t="str">
        <f>'01_원자료'!B853</f>
        <v>mistral</v>
      </c>
      <c r="C856" s="2" t="str">
        <f>'01_원자료'!C853</f>
        <v>qwen</v>
      </c>
      <c r="E856" s="17">
        <f>'01_원자료'!P853*'03_가중치민감도'!$B$5+'01_원자료'!Q853*'03_가중치민감도'!$C$5+'01_원자료'!R853*'03_가중치민감도'!$D$5</f>
        <v>0.62774120453516957</v>
      </c>
      <c r="F856" s="17">
        <f>'01_원자료'!P853*'03_가중치민감도'!$B$6+'01_원자료'!Q853*'03_가중치민감도'!$C$6+'01_원자료'!R853*'03_가중치민감도'!$D$6</f>
        <v>0.53833597661995958</v>
      </c>
      <c r="G856" s="17">
        <f>'01_원자료'!P853*'03_가중치민감도'!$B$7+'01_원자료'!Q853*'03_가중치민감도'!$C$7+'01_원자료'!R853*'03_가중치민감도'!$D$7</f>
        <v>0.6294503703619303</v>
      </c>
      <c r="H856" s="17">
        <f>'01_원자료'!P853*'03_가중치민감도'!$B$8+'01_원자료'!Q853*'03_가중치민감도'!$C$8+'01_원자료'!R853*'03_가중치민감도'!$D$8</f>
        <v>0.61919537540136627</v>
      </c>
      <c r="I856" s="17">
        <f>'01_원자료'!P853*'03_가중치민감도'!$B$9+'01_원자료'!Q853*'03_가중치민감도'!$C$9+'01_원자료'!R853*'03_가중치민감도'!$D$9</f>
        <v>0.56756799731610874</v>
      </c>
      <c r="J856" s="17">
        <f>'01_원자료'!P853*'03_가중치민감도'!$B$10+'01_원자료'!Q853*'03_가중치민감도'!$C$10+'01_원자료'!R853*'03_가중치민감도'!$D$10</f>
        <v>0.71372810079685833</v>
      </c>
      <c r="K856" s="31">
        <f t="shared" si="78"/>
        <v>521</v>
      </c>
      <c r="L856" s="31">
        <f t="shared" si="79"/>
        <v>539</v>
      </c>
      <c r="M856" s="31">
        <f t="shared" si="80"/>
        <v>515</v>
      </c>
      <c r="N856" s="31">
        <f t="shared" si="81"/>
        <v>546</v>
      </c>
      <c r="O856" s="31">
        <f t="shared" si="82"/>
        <v>536</v>
      </c>
      <c r="P856" s="31">
        <f t="shared" si="83"/>
        <v>509</v>
      </c>
    </row>
    <row r="857" spans="1:16">
      <c r="A857" s="2" t="str">
        <f>'01_원자료'!A854</f>
        <v>RPT-26</v>
      </c>
      <c r="B857" s="2" t="str">
        <f>'01_원자료'!B854</f>
        <v>qwen3_6</v>
      </c>
      <c r="C857" s="2" t="str">
        <f>'01_원자료'!C854</f>
        <v>gemma</v>
      </c>
      <c r="E857" s="17">
        <f>'01_원자료'!P854*'03_가중치민감도'!$B$5+'01_원자료'!Q854*'03_가중치민감도'!$C$5+'01_원자료'!R854*'03_가중치민감도'!$D$5</f>
        <v>0.7125971696535025</v>
      </c>
      <c r="F857" s="17">
        <f>'01_원자료'!P854*'03_가중치민감도'!$B$6+'01_원자료'!Q854*'03_가중치민감도'!$C$6+'01_원자료'!R854*'03_가중치민감도'!$D$6</f>
        <v>0.60072664277973087</v>
      </c>
      <c r="G857" s="17">
        <f>'01_원자료'!P854*'03_가중치민감도'!$B$7+'01_원자료'!Q854*'03_가중치민감도'!$C$7+'01_원자료'!R854*'03_가중치민감도'!$D$7</f>
        <v>0.70288034651018005</v>
      </c>
      <c r="H857" s="17">
        <f>'01_원자료'!P854*'03_가중치민감도'!$B$8+'01_원자료'!Q854*'03_가중치민감도'!$C$8+'01_원자료'!R854*'03_가중치민감도'!$D$8</f>
        <v>0.76118128537011509</v>
      </c>
      <c r="I857" s="17">
        <f>'01_원자료'!P854*'03_가중치민감도'!$B$9+'01_원자료'!Q854*'03_가중치민감도'!$C$9+'01_원자료'!R854*'03_가중치민감도'!$D$9</f>
        <v>0.6412557594520949</v>
      </c>
      <c r="J857" s="17">
        <f>'01_원자료'!P854*'03_가중치민감도'!$B$10+'01_원자료'!Q854*'03_가중치민감도'!$C$10+'01_원자료'!R854*'03_가중치민감도'!$D$10</f>
        <v>0.84390134281391926</v>
      </c>
      <c r="K857" s="31">
        <f t="shared" si="78"/>
        <v>854</v>
      </c>
      <c r="L857" s="31">
        <f t="shared" si="79"/>
        <v>815</v>
      </c>
      <c r="M857" s="31">
        <f t="shared" si="80"/>
        <v>844</v>
      </c>
      <c r="N857" s="31">
        <f t="shared" si="81"/>
        <v>871</v>
      </c>
      <c r="O857" s="31">
        <f t="shared" si="82"/>
        <v>842</v>
      </c>
      <c r="P857" s="31">
        <f t="shared" si="83"/>
        <v>869</v>
      </c>
    </row>
    <row r="858" spans="1:16">
      <c r="A858" s="2" t="str">
        <f>'01_원자료'!A855</f>
        <v>RPT-26</v>
      </c>
      <c r="B858" s="2" t="str">
        <f>'01_원자료'!B855</f>
        <v>qwen3_6</v>
      </c>
      <c r="C858" s="2" t="str">
        <f>'01_원자료'!C855</f>
        <v>ministral</v>
      </c>
      <c r="E858" s="17">
        <f>'01_원자료'!P855*'03_가중치민감도'!$B$5+'01_원자료'!Q855*'03_가중치민감도'!$C$5+'01_원자료'!R855*'03_가중치민감도'!$D$5</f>
        <v>0.50507088937269196</v>
      </c>
      <c r="F858" s="17">
        <f>'01_원자료'!P855*'03_가중치민감도'!$B$6+'01_원자료'!Q855*'03_가중치민감도'!$C$6+'01_원자료'!R855*'03_가중치민감도'!$D$6</f>
        <v>0.42125110755840994</v>
      </c>
      <c r="G858" s="17">
        <f>'01_원자료'!P855*'03_가중치민감도'!$B$7+'01_원자료'!Q855*'03_가중치민감도'!$C$7+'01_원자료'!R855*'03_가중치민감도'!$D$7</f>
        <v>0.52512692594541122</v>
      </c>
      <c r="H858" s="17">
        <f>'01_원자료'!P855*'03_가중치민감도'!$B$8+'01_원자료'!Q855*'03_가중치민감도'!$C$8+'01_원자료'!R855*'03_가중치민감도'!$D$8</f>
        <v>0.40479070650909527</v>
      </c>
      <c r="I858" s="17">
        <f>'01_원자료'!P855*'03_가중치민감도'!$B$9+'01_원자료'!Q855*'03_가중치민감도'!$C$9+'01_원자료'!R855*'03_가중치민감도'!$D$9</f>
        <v>0.44250568930559703</v>
      </c>
      <c r="J858" s="17">
        <f>'01_원자료'!P855*'03_가중치민감도'!$B$10+'01_원자료'!Q855*'03_가중치민감도'!$C$10+'01_원자료'!R855*'03_가중치민감도'!$D$10</f>
        <v>0.54877859804153528</v>
      </c>
      <c r="K858" s="31">
        <f t="shared" si="78"/>
        <v>56</v>
      </c>
      <c r="L858" s="31">
        <f t="shared" si="79"/>
        <v>50</v>
      </c>
      <c r="M858" s="31">
        <f t="shared" si="80"/>
        <v>61</v>
      </c>
      <c r="N858" s="31">
        <f t="shared" si="81"/>
        <v>52</v>
      </c>
      <c r="O858" s="31">
        <f t="shared" si="82"/>
        <v>50</v>
      </c>
      <c r="P858" s="31">
        <f t="shared" si="83"/>
        <v>64</v>
      </c>
    </row>
    <row r="859" spans="1:16">
      <c r="A859" s="2" t="str">
        <f>'01_원자료'!A856</f>
        <v>RPT-26</v>
      </c>
      <c r="B859" s="2" t="str">
        <f>'01_원자료'!B856</f>
        <v>qwen3_6</v>
      </c>
      <c r="C859" s="2" t="str">
        <f>'01_원자료'!C856</f>
        <v>qwen</v>
      </c>
      <c r="E859" s="17">
        <f>'01_원자료'!P856*'03_가중치민감도'!$B$5+'01_원자료'!Q856*'03_가중치민감도'!$C$5+'01_원자료'!R856*'03_가중치민감도'!$D$5</f>
        <v>0.64309873353471181</v>
      </c>
      <c r="F859" s="17">
        <f>'01_원자료'!P856*'03_가중치민감도'!$B$6+'01_원자료'!Q856*'03_가중치민감도'!$C$6+'01_원자료'!R856*'03_가중치민감도'!$D$6</f>
        <v>0.54540256249397689</v>
      </c>
      <c r="G859" s="17">
        <f>'01_원자료'!P856*'03_가중치민감도'!$B$7+'01_원자료'!Q856*'03_가중치민감도'!$C$7+'01_원자료'!R856*'03_가중치민감도'!$D$7</f>
        <v>0.64615718958204893</v>
      </c>
      <c r="H859" s="17">
        <f>'01_원자료'!P856*'03_가중치민감도'!$B$8+'01_원자료'!Q856*'03_가중치민감도'!$C$8+'01_원자료'!R856*'03_가중치민감도'!$D$8</f>
        <v>0.62780645329802587</v>
      </c>
      <c r="I859" s="17">
        <f>'01_원자료'!P856*'03_가중치민감도'!$B$9+'01_원자료'!Q856*'03_가중치민감도'!$C$9+'01_원자료'!R856*'03_가중치민감도'!$D$9</f>
        <v>0.57694846749177553</v>
      </c>
      <c r="J859" s="17">
        <f>'01_원자료'!P856*'03_가중치민감도'!$B$10+'01_원자료'!Q856*'03_가중치민감도'!$C$10+'01_원자료'!R856*'03_가중치민감도'!$D$10</f>
        <v>0.73467799248077226</v>
      </c>
      <c r="K859" s="31">
        <f t="shared" si="78"/>
        <v>589</v>
      </c>
      <c r="L859" s="31">
        <f t="shared" si="79"/>
        <v>563</v>
      </c>
      <c r="M859" s="31">
        <f t="shared" si="80"/>
        <v>595</v>
      </c>
      <c r="N859" s="31">
        <f t="shared" si="81"/>
        <v>568</v>
      </c>
      <c r="O859" s="31">
        <f t="shared" si="82"/>
        <v>577</v>
      </c>
      <c r="P859" s="31">
        <f t="shared" si="83"/>
        <v>604</v>
      </c>
    </row>
    <row r="860" spans="1:16">
      <c r="A860" s="2" t="str">
        <f>'01_원자료'!A857</f>
        <v>RPT-27</v>
      </c>
      <c r="B860" s="2" t="str">
        <f>'01_원자료'!B857</f>
        <v>chatgpt</v>
      </c>
      <c r="C860" s="2" t="str">
        <f>'01_원자료'!C857</f>
        <v>gemma</v>
      </c>
      <c r="E860" s="17">
        <f>'01_원자료'!P857*'03_가중치민감도'!$B$5+'01_원자료'!Q857*'03_가중치민감도'!$C$5+'01_원자료'!R857*'03_가중치민감도'!$D$5</f>
        <v>0.55158539693324116</v>
      </c>
      <c r="F860" s="17">
        <f>'01_원자료'!P857*'03_가중치민감도'!$B$6+'01_원자료'!Q857*'03_가중치민감도'!$C$6+'01_원자료'!R857*'03_가중치민감도'!$D$6</f>
        <v>0.47672732362044412</v>
      </c>
      <c r="G860" s="17">
        <f>'01_원자료'!P857*'03_가중치민감도'!$B$7+'01_원자료'!Q857*'03_가중치민감도'!$C$7+'01_원자료'!R857*'03_가중치민감도'!$D$7</f>
        <v>0.55771403742370618</v>
      </c>
      <c r="H860" s="17">
        <f>'01_원자료'!P857*'03_가중치민감도'!$B$8+'01_원자료'!Q857*'03_가중치민감도'!$C$8+'01_원자료'!R857*'03_가중치민감도'!$D$8</f>
        <v>0.52094219448091639</v>
      </c>
      <c r="I860" s="17">
        <f>'01_원자료'!P857*'03_가중치민감도'!$B$9+'01_원자료'!Q857*'03_가중치민감도'!$C$9+'01_원자료'!R857*'03_가중치민감도'!$D$9</f>
        <v>0.49963713456122094</v>
      </c>
      <c r="J860" s="17">
        <f>'01_원자료'!P857*'03_가중치민감도'!$B$10+'01_원자료'!Q857*'03_가중치민감도'!$C$10+'01_원자료'!R857*'03_가중치민감도'!$D$10</f>
        <v>0.61418618926510837</v>
      </c>
      <c r="K860" s="31">
        <f t="shared" si="78"/>
        <v>210</v>
      </c>
      <c r="L860" s="31">
        <f t="shared" si="79"/>
        <v>249</v>
      </c>
      <c r="M860" s="31">
        <f t="shared" si="80"/>
        <v>192</v>
      </c>
      <c r="N860" s="31">
        <f t="shared" si="81"/>
        <v>258</v>
      </c>
      <c r="O860" s="31">
        <f t="shared" si="82"/>
        <v>244</v>
      </c>
      <c r="P860" s="31">
        <f t="shared" si="83"/>
        <v>223</v>
      </c>
    </row>
    <row r="861" spans="1:16">
      <c r="A861" s="2" t="str">
        <f>'01_원자료'!A858</f>
        <v>RPT-27</v>
      </c>
      <c r="B861" s="2" t="str">
        <f>'01_원자료'!B858</f>
        <v>chatgpt</v>
      </c>
      <c r="C861" s="2" t="str">
        <f>'01_원자료'!C858</f>
        <v>ministral</v>
      </c>
      <c r="E861" s="17">
        <f>'01_원자료'!P858*'03_가중치민감도'!$B$5+'01_원자료'!Q858*'03_가중치민감도'!$C$5+'01_원자료'!R858*'03_가중치민감도'!$D$5</f>
        <v>0.54969324592827273</v>
      </c>
      <c r="F861" s="17">
        <f>'01_원자료'!P858*'03_가중치민감도'!$B$6+'01_원자료'!Q858*'03_가중치민감도'!$C$6+'01_원자료'!R858*'03_가중치민감도'!$D$6</f>
        <v>0.45576930090398693</v>
      </c>
      <c r="G861" s="17">
        <f>'01_원자료'!P858*'03_가중치민감도'!$B$7+'01_원자료'!Q858*'03_가중치민감도'!$C$7+'01_원자료'!R858*'03_가중치민감도'!$D$7</f>
        <v>0.56164748363387507</v>
      </c>
      <c r="H861" s="17">
        <f>'01_원자료'!P858*'03_가중치민감도'!$B$8+'01_원자료'!Q858*'03_가중치민감도'!$C$8+'01_원자료'!R858*'03_가중치민감도'!$D$8</f>
        <v>0.48992205740026112</v>
      </c>
      <c r="I861" s="17">
        <f>'01_원자료'!P858*'03_가중치민감도'!$B$9+'01_원자료'!Q858*'03_가중치민감도'!$C$9+'01_원자료'!R858*'03_가중치민감도'!$D$9</f>
        <v>0.4830925366768809</v>
      </c>
      <c r="J861" s="17">
        <f>'01_원자료'!P858*'03_가중치민감도'!$B$10+'01_원자료'!Q858*'03_가중치민감도'!$C$10+'01_원자료'!R858*'03_가중치민감도'!$D$10</f>
        <v>0.61970871554135398</v>
      </c>
      <c r="K861" s="31">
        <f t="shared" si="78"/>
        <v>205</v>
      </c>
      <c r="L861" s="31">
        <f t="shared" si="79"/>
        <v>160</v>
      </c>
      <c r="M861" s="31">
        <f t="shared" si="80"/>
        <v>205</v>
      </c>
      <c r="N861" s="31">
        <f t="shared" si="81"/>
        <v>199</v>
      </c>
      <c r="O861" s="31">
        <f t="shared" si="82"/>
        <v>172</v>
      </c>
      <c r="P861" s="31">
        <f t="shared" si="83"/>
        <v>241</v>
      </c>
    </row>
    <row r="862" spans="1:16">
      <c r="A862" s="2" t="str">
        <f>'01_원자료'!A859</f>
        <v>RPT-27</v>
      </c>
      <c r="B862" s="2" t="str">
        <f>'01_원자료'!B859</f>
        <v>chatgpt</v>
      </c>
      <c r="C862" s="2" t="str">
        <f>'01_원자료'!C859</f>
        <v>qwen</v>
      </c>
      <c r="E862" s="17">
        <f>'01_원자료'!P859*'03_가중치민감도'!$B$5+'01_원자료'!Q859*'03_가중치민감도'!$C$5+'01_원자료'!R859*'03_가중치민감도'!$D$5</f>
        <v>0.54794424539234965</v>
      </c>
      <c r="F862" s="17">
        <f>'01_원자료'!P859*'03_가중치민감도'!$B$6+'01_원자료'!Q859*'03_가중치민감도'!$C$6+'01_원자료'!R859*'03_가중치민감도'!$D$6</f>
        <v>0.47195958994314147</v>
      </c>
      <c r="G862" s="17">
        <f>'01_원자료'!P859*'03_가중치민감도'!$B$7+'01_원자료'!Q859*'03_가중치민감도'!$C$7+'01_원자료'!R859*'03_가중치민감도'!$D$7</f>
        <v>0.55785077837493735</v>
      </c>
      <c r="H862" s="17">
        <f>'01_원자료'!P859*'03_가중치민감도'!$B$8+'01_원자료'!Q859*'03_가중치민감도'!$C$8+'01_원자료'!R859*'03_가중치민감도'!$D$8</f>
        <v>0.49841158047941103</v>
      </c>
      <c r="I862" s="17">
        <f>'01_원자료'!P859*'03_가중치민감도'!$B$9+'01_원자료'!Q859*'03_가중치민감도'!$C$9+'01_원자료'!R859*'03_가중치민감도'!$D$9</f>
        <v>0.49398563076534779</v>
      </c>
      <c r="J862" s="17">
        <f>'01_원자료'!P859*'03_가중치민감도'!$B$10+'01_원자료'!Q859*'03_가중치민감도'!$C$10+'01_원자료'!R859*'03_가중치민감도'!$D$10</f>
        <v>0.60411583487638243</v>
      </c>
      <c r="K862" s="31">
        <f t="shared" si="78"/>
        <v>195</v>
      </c>
      <c r="L862" s="31">
        <f t="shared" si="79"/>
        <v>226</v>
      </c>
      <c r="M862" s="31">
        <f t="shared" si="80"/>
        <v>194</v>
      </c>
      <c r="N862" s="31">
        <f t="shared" si="81"/>
        <v>223</v>
      </c>
      <c r="O862" s="31">
        <f t="shared" si="82"/>
        <v>215</v>
      </c>
      <c r="P862" s="31">
        <f t="shared" si="83"/>
        <v>198</v>
      </c>
    </row>
    <row r="863" spans="1:16">
      <c r="A863" s="2" t="str">
        <f>'01_원자료'!A860</f>
        <v>RPT-27</v>
      </c>
      <c r="B863" s="2" t="str">
        <f>'01_원자료'!B860</f>
        <v>claude</v>
      </c>
      <c r="C863" s="2" t="str">
        <f>'01_원자료'!C860</f>
        <v>gemma</v>
      </c>
      <c r="E863" s="17">
        <f>'01_원자료'!P860*'03_가중치민감도'!$B$5+'01_원자료'!Q860*'03_가중치민감도'!$C$5+'01_원자료'!R860*'03_가중치민감도'!$D$5</f>
        <v>0.6135953064335925</v>
      </c>
      <c r="F863" s="17">
        <f>'01_원자료'!P860*'03_가중치민감도'!$B$6+'01_원자료'!Q860*'03_가중치민감도'!$C$6+'01_원자료'!R860*'03_가중치민감도'!$D$6</f>
        <v>0.51404531703793799</v>
      </c>
      <c r="G863" s="17">
        <f>'01_원자료'!P860*'03_가중치민감도'!$B$7+'01_원자료'!Q860*'03_가중치민감도'!$C$7+'01_원자료'!R860*'03_가중치민감도'!$D$7</f>
        <v>0.61729569216948754</v>
      </c>
      <c r="H863" s="17">
        <f>'01_원자료'!P860*'03_가중치민감도'!$B$8+'01_원자료'!Q860*'03_가중치민감도'!$C$8+'01_원자료'!R860*'03_가중치민감도'!$D$8</f>
        <v>0.59509337775411741</v>
      </c>
      <c r="I863" s="17">
        <f>'01_원자료'!P860*'03_가중치민감도'!$B$9+'01_원자료'!Q860*'03_가중치민감도'!$C$9+'01_원자료'!R860*'03_가중치민감도'!$D$9</f>
        <v>0.54599518492452392</v>
      </c>
      <c r="J863" s="17">
        <f>'01_원자료'!P860*'03_가중치민감도'!$B$10+'01_원자료'!Q860*'03_가중치민감도'!$C$10+'01_원자료'!R860*'03_가중치민감도'!$D$10</f>
        <v>0.70574452435745694</v>
      </c>
      <c r="K863" s="31">
        <f t="shared" si="78"/>
        <v>454</v>
      </c>
      <c r="L863" s="31">
        <f t="shared" si="79"/>
        <v>434</v>
      </c>
      <c r="M863" s="31">
        <f t="shared" si="80"/>
        <v>448</v>
      </c>
      <c r="N863" s="31">
        <f t="shared" si="81"/>
        <v>475</v>
      </c>
      <c r="O863" s="31">
        <f t="shared" si="82"/>
        <v>444</v>
      </c>
      <c r="P863" s="31">
        <f t="shared" si="83"/>
        <v>483</v>
      </c>
    </row>
    <row r="864" spans="1:16">
      <c r="A864" s="2" t="str">
        <f>'01_원자료'!A861</f>
        <v>RPT-27</v>
      </c>
      <c r="B864" s="2" t="str">
        <f>'01_원자료'!B861</f>
        <v>claude</v>
      </c>
      <c r="C864" s="2" t="str">
        <f>'01_원자료'!C861</f>
        <v>ministral</v>
      </c>
      <c r="E864" s="17">
        <f>'01_원자료'!P861*'03_가중치민감도'!$B$5+'01_원자료'!Q861*'03_가중치민감도'!$C$5+'01_원자료'!R861*'03_가중치민감도'!$D$5</f>
        <v>0.61795546819918101</v>
      </c>
      <c r="F864" s="17">
        <f>'01_원자료'!P861*'03_가중치민감도'!$B$6+'01_원자료'!Q861*'03_가중치민감도'!$C$6+'01_원자료'!R861*'03_가중치민감도'!$D$6</f>
        <v>0.51168571127376905</v>
      </c>
      <c r="G864" s="17">
        <f>'01_원자료'!P861*'03_가중치민감도'!$B$7+'01_원자료'!Q861*'03_가중치민감도'!$C$7+'01_원자료'!R861*'03_가중치민감도'!$D$7</f>
        <v>0.6202329607387741</v>
      </c>
      <c r="H864" s="17">
        <f>'01_원자료'!P861*'03_가중치민감도'!$B$8+'01_원자료'!Q861*'03_가중치민감도'!$C$8+'01_원자료'!R861*'03_가중치민감도'!$D$8</f>
        <v>0.60656800550121526</v>
      </c>
      <c r="I864" s="17">
        <f>'01_원자료'!P861*'03_가중치민감도'!$B$9+'01_원자료'!Q861*'03_가중치민감도'!$C$9+'01_원자료'!R861*'03_가중치민감도'!$D$9</f>
        <v>0.54634979940237471</v>
      </c>
      <c r="J864" s="17">
        <f>'01_원자료'!P861*'03_가중치민감도'!$B$10+'01_원자료'!Q861*'03_가중치민감도'!$C$10+'01_원자료'!R861*'03_가중치민감도'!$D$10</f>
        <v>0.7196702400454067</v>
      </c>
      <c r="K864" s="31">
        <f t="shared" si="78"/>
        <v>479</v>
      </c>
      <c r="L864" s="31">
        <f t="shared" si="79"/>
        <v>420</v>
      </c>
      <c r="M864" s="31">
        <f t="shared" si="80"/>
        <v>468</v>
      </c>
      <c r="N864" s="31">
        <f t="shared" si="81"/>
        <v>510</v>
      </c>
      <c r="O864" s="31">
        <f t="shared" si="82"/>
        <v>447</v>
      </c>
      <c r="P864" s="31">
        <f t="shared" si="83"/>
        <v>543</v>
      </c>
    </row>
    <row r="865" spans="1:16">
      <c r="A865" s="2" t="str">
        <f>'01_원자료'!A862</f>
        <v>RPT-27</v>
      </c>
      <c r="B865" s="2" t="str">
        <f>'01_원자료'!B862</f>
        <v>claude</v>
      </c>
      <c r="C865" s="2" t="str">
        <f>'01_원자료'!C862</f>
        <v>qwen</v>
      </c>
      <c r="E865" s="17">
        <f>'01_원자료'!P862*'03_가중치민감도'!$B$5+'01_원자료'!Q862*'03_가중치민감도'!$C$5+'01_원자료'!R862*'03_가중치민감도'!$D$5</f>
        <v>0.69486989983296232</v>
      </c>
      <c r="F865" s="17">
        <f>'01_원자료'!P862*'03_가중치민감도'!$B$6+'01_원자료'!Q862*'03_가중치민감도'!$C$6+'01_원자료'!R862*'03_가중치민감도'!$D$6</f>
        <v>0.59075017723465195</v>
      </c>
      <c r="G865" s="17">
        <f>'01_원자료'!P862*'03_가중치민감도'!$B$7+'01_원자료'!Q862*'03_가중치민감도'!$C$7+'01_원자료'!R862*'03_가중치민감도'!$D$7</f>
        <v>0.68841713801659821</v>
      </c>
      <c r="H865" s="17">
        <f>'01_원자료'!P862*'03_가중치민감도'!$B$8+'01_원자료'!Q862*'03_가중치민감도'!$C$8+'01_원자료'!R862*'03_가중치민감도'!$D$8</f>
        <v>0.72713370891478302</v>
      </c>
      <c r="I865" s="17">
        <f>'01_원자료'!P862*'03_가중치민감도'!$B$9+'01_원자료'!Q862*'03_가중치민감도'!$C$9+'01_원자료'!R862*'03_가중치민감도'!$D$9</f>
        <v>0.62760767203954282</v>
      </c>
      <c r="J865" s="17">
        <f>'01_원자료'!P862*'03_가중치민감도'!$B$10+'01_원자료'!Q862*'03_가중치민감도'!$C$10+'01_원자료'!R862*'03_가중치민감도'!$D$10</f>
        <v>0.81189514606400093</v>
      </c>
      <c r="K865" s="31">
        <f t="shared" si="78"/>
        <v>805</v>
      </c>
      <c r="L865" s="31">
        <f t="shared" si="79"/>
        <v>770</v>
      </c>
      <c r="M865" s="31">
        <f t="shared" si="80"/>
        <v>790</v>
      </c>
      <c r="N865" s="31">
        <f t="shared" si="81"/>
        <v>834</v>
      </c>
      <c r="O865" s="31">
        <f t="shared" si="82"/>
        <v>784</v>
      </c>
      <c r="P865" s="31">
        <f t="shared" si="83"/>
        <v>836</v>
      </c>
    </row>
    <row r="866" spans="1:16">
      <c r="A866" s="2" t="str">
        <f>'01_원자료'!A863</f>
        <v>RPT-27</v>
      </c>
      <c r="B866" s="2" t="str">
        <f>'01_원자료'!B863</f>
        <v>gemini</v>
      </c>
      <c r="C866" s="2" t="str">
        <f>'01_원자료'!C863</f>
        <v>gemma</v>
      </c>
      <c r="E866" s="17">
        <f>'01_원자료'!P863*'03_가중치민감도'!$B$5+'01_원자료'!Q863*'03_가중치민감도'!$C$5+'01_원자료'!R863*'03_가중치민감도'!$D$5</f>
        <v>0.6756073933495379</v>
      </c>
      <c r="F866" s="17">
        <f>'01_원자료'!P863*'03_가중치민감도'!$B$6+'01_원자료'!Q863*'03_가중치민감도'!$C$6+'01_원자료'!R863*'03_가중치민감도'!$D$6</f>
        <v>0.56508465239324535</v>
      </c>
      <c r="G866" s="17">
        <f>'01_원자료'!P863*'03_가중치민감도'!$B$7+'01_원자료'!Q863*'03_가중치민감도'!$C$7+'01_원자료'!R863*'03_가중치민감도'!$D$7</f>
        <v>0.67318550922800946</v>
      </c>
      <c r="H866" s="17">
        <f>'01_원자료'!P863*'03_가중치민감도'!$B$8+'01_원자료'!Q863*'03_가중치민감도'!$C$8+'01_원자료'!R863*'03_가중치민감도'!$D$8</f>
        <v>0.68771681395718032</v>
      </c>
      <c r="I866" s="17">
        <f>'01_원자료'!P863*'03_가중치민감도'!$B$9+'01_원자료'!Q863*'03_가중치민감도'!$C$9+'01_원자료'!R863*'03_가중치민감도'!$D$9</f>
        <v>0.60273286075251842</v>
      </c>
      <c r="J866" s="17">
        <f>'01_원자료'!P863*'03_가중치민감도'!$B$10+'01_원자료'!Q863*'03_가중치민감도'!$C$10+'01_원자료'!R863*'03_가중치민감도'!$D$10</f>
        <v>0.79097390254888744</v>
      </c>
      <c r="K866" s="31">
        <f t="shared" si="78"/>
        <v>739</v>
      </c>
      <c r="L866" s="31">
        <f t="shared" si="79"/>
        <v>665</v>
      </c>
      <c r="M866" s="31">
        <f t="shared" si="80"/>
        <v>734</v>
      </c>
      <c r="N866" s="31">
        <f t="shared" si="81"/>
        <v>735</v>
      </c>
      <c r="O866" s="31">
        <f t="shared" si="82"/>
        <v>701</v>
      </c>
      <c r="P866" s="31">
        <f t="shared" si="83"/>
        <v>785</v>
      </c>
    </row>
    <row r="867" spans="1:16">
      <c r="A867" s="2" t="str">
        <f>'01_원자료'!A864</f>
        <v>RPT-27</v>
      </c>
      <c r="B867" s="2" t="str">
        <f>'01_원자료'!B864</f>
        <v>gemini</v>
      </c>
      <c r="C867" s="2" t="str">
        <f>'01_원자료'!C864</f>
        <v>ministral</v>
      </c>
      <c r="E867" s="17">
        <f>'01_원자료'!P864*'03_가중치민감도'!$B$5+'01_원자료'!Q864*'03_가중치민감도'!$C$5+'01_원자료'!R864*'03_가중치민감도'!$D$5</f>
        <v>0.59857949016696843</v>
      </c>
      <c r="F867" s="17">
        <f>'01_원자료'!P864*'03_가중치민감도'!$B$6+'01_원자료'!Q864*'03_가중치민감도'!$C$6+'01_원자료'!R864*'03_가중치민감도'!$D$6</f>
        <v>0.4857980553751553</v>
      </c>
      <c r="G867" s="17">
        <f>'01_원자료'!P864*'03_가중치민감도'!$B$7+'01_원자료'!Q864*'03_가중치민감도'!$C$7+'01_원자료'!R864*'03_가중치민감도'!$D$7</f>
        <v>0.60889835858048191</v>
      </c>
      <c r="H867" s="17">
        <f>'01_원자료'!P864*'03_가중치민감도'!$B$8+'01_원자료'!Q864*'03_가중치민감도'!$C$8+'01_원자료'!R864*'03_가중치민감도'!$D$8</f>
        <v>0.5469851480994008</v>
      </c>
      <c r="I867" s="17">
        <f>'01_원자료'!P864*'03_가중치민감도'!$B$9+'01_원자료'!Q864*'03_가중치민감도'!$C$9+'01_원자료'!R864*'03_가중치민감도'!$D$9</f>
        <v>0.5199522441679213</v>
      </c>
      <c r="J867" s="17">
        <f>'01_원자료'!P864*'03_가중치민감도'!$B$10+'01_원자료'!Q864*'03_가중치민감도'!$C$10+'01_원자료'!R864*'03_가중치민감도'!$D$10</f>
        <v>0.6907231881317546</v>
      </c>
      <c r="K867" s="31">
        <f t="shared" si="78"/>
        <v>386</v>
      </c>
      <c r="L867" s="31">
        <f t="shared" si="79"/>
        <v>299</v>
      </c>
      <c r="M867" s="31">
        <f t="shared" si="80"/>
        <v>410</v>
      </c>
      <c r="N867" s="31">
        <f t="shared" si="81"/>
        <v>329</v>
      </c>
      <c r="O867" s="31">
        <f t="shared" si="82"/>
        <v>325</v>
      </c>
      <c r="P867" s="31">
        <f t="shared" si="83"/>
        <v>427</v>
      </c>
    </row>
    <row r="868" spans="1:16">
      <c r="A868" s="2" t="str">
        <f>'01_원자료'!A865</f>
        <v>RPT-27</v>
      </c>
      <c r="B868" s="2" t="str">
        <f>'01_원자료'!B865</f>
        <v>gemini</v>
      </c>
      <c r="C868" s="2" t="str">
        <f>'01_원자료'!C865</f>
        <v>qwen</v>
      </c>
      <c r="E868" s="17">
        <f>'01_원자료'!P865*'03_가중치민감도'!$B$5+'01_원자료'!Q865*'03_가중치민감도'!$C$5+'01_원자료'!R865*'03_가중치민감도'!$D$5</f>
        <v>0.6872479998635368</v>
      </c>
      <c r="F868" s="17">
        <f>'01_원자료'!P865*'03_가중치민감도'!$B$6+'01_원자료'!Q865*'03_가중치민감도'!$C$6+'01_원자료'!R865*'03_가중치민감도'!$D$6</f>
        <v>0.58202390366116086</v>
      </c>
      <c r="G868" s="17">
        <f>'01_원자료'!P865*'03_가중치민감도'!$B$7+'01_원자료'!Q865*'03_가중치민감도'!$C$7+'01_원자료'!R865*'03_가중치민감도'!$D$7</f>
        <v>0.68712314963559473</v>
      </c>
      <c r="H868" s="17">
        <f>'01_원자료'!P865*'03_가중치민감도'!$B$8+'01_원자료'!Q865*'03_가중치민감도'!$C$8+'01_원자료'!R865*'03_가중치민감도'!$D$8</f>
        <v>0.68787225100324678</v>
      </c>
      <c r="I868" s="17">
        <f>'01_원자료'!P865*'03_가중치민감도'!$B$9+'01_원자료'!Q865*'03_가중치민감도'!$C$9+'01_원자료'!R865*'03_가중치민감도'!$D$9</f>
        <v>0.61714021913793293</v>
      </c>
      <c r="J868" s="17">
        <f>'01_원자료'!P865*'03_가중치민감도'!$B$10+'01_원자료'!Q865*'03_가중치민감도'!$C$10+'01_원자료'!R865*'03_가중치민감도'!$D$10</f>
        <v>0.79272179652179664</v>
      </c>
      <c r="K868" s="31">
        <f t="shared" si="78"/>
        <v>777</v>
      </c>
      <c r="L868" s="31">
        <f t="shared" si="79"/>
        <v>744</v>
      </c>
      <c r="M868" s="31">
        <f t="shared" si="80"/>
        <v>783</v>
      </c>
      <c r="N868" s="31">
        <f t="shared" si="81"/>
        <v>736</v>
      </c>
      <c r="O868" s="31">
        <f t="shared" si="82"/>
        <v>755</v>
      </c>
      <c r="P868" s="31">
        <f t="shared" si="83"/>
        <v>795</v>
      </c>
    </row>
    <row r="869" spans="1:16">
      <c r="A869" s="2" t="str">
        <f>'01_원자료'!A866</f>
        <v>RPT-27</v>
      </c>
      <c r="B869" s="2" t="str">
        <f>'01_원자료'!B866</f>
        <v>mistral</v>
      </c>
      <c r="C869" s="2" t="str">
        <f>'01_원자료'!C866</f>
        <v>gemma</v>
      </c>
      <c r="E869" s="17">
        <f>'01_원자료'!P866*'03_가중치민감도'!$B$5+'01_원자료'!Q866*'03_가중치민감도'!$C$5+'01_원자료'!R866*'03_가중치민감도'!$D$5</f>
        <v>0.61970102412625216</v>
      </c>
      <c r="F869" s="17">
        <f>'01_원자료'!P866*'03_가중치민감도'!$B$6+'01_원자료'!Q866*'03_가중치민감도'!$C$6+'01_원자료'!R866*'03_가중치민감도'!$D$6</f>
        <v>0.52368605866314899</v>
      </c>
      <c r="G869" s="17">
        <f>'01_원자료'!P866*'03_가중치민감도'!$B$7+'01_원자료'!Q866*'03_가중치민감도'!$C$7+'01_원자료'!R866*'03_가중치민감도'!$D$7</f>
        <v>0.61746326494936865</v>
      </c>
      <c r="H869" s="17">
        <f>'01_원자료'!P866*'03_가중치민감도'!$B$8+'01_원자료'!Q866*'03_가중치민감도'!$C$8+'01_원자료'!R866*'03_가중치민감도'!$D$8</f>
        <v>0.63088982001066951</v>
      </c>
      <c r="I869" s="17">
        <f>'01_원자료'!P866*'03_가중치민감도'!$B$9+'01_원자료'!Q866*'03_가중치민감도'!$C$9+'01_원자료'!R866*'03_가중치민감도'!$D$9</f>
        <v>0.55643696687647726</v>
      </c>
      <c r="J869" s="17">
        <f>'01_원자료'!P866*'03_가중치민감도'!$B$10+'01_원자료'!Q866*'03_가중치민감도'!$C$10+'01_원자료'!R866*'03_가중치민감도'!$D$10</f>
        <v>0.72019150794312226</v>
      </c>
      <c r="K869" s="31">
        <f t="shared" si="78"/>
        <v>488</v>
      </c>
      <c r="L869" s="31">
        <f t="shared" si="79"/>
        <v>469</v>
      </c>
      <c r="M869" s="31">
        <f t="shared" si="80"/>
        <v>450</v>
      </c>
      <c r="N869" s="31">
        <f t="shared" si="81"/>
        <v>577</v>
      </c>
      <c r="O869" s="31">
        <f t="shared" si="82"/>
        <v>485</v>
      </c>
      <c r="P869" s="31">
        <f t="shared" si="83"/>
        <v>549</v>
      </c>
    </row>
    <row r="870" spans="1:16">
      <c r="A870" s="2" t="str">
        <f>'01_원자료'!A867</f>
        <v>RPT-27</v>
      </c>
      <c r="B870" s="2" t="str">
        <f>'01_원자료'!B867</f>
        <v>mistral</v>
      </c>
      <c r="C870" s="2" t="str">
        <f>'01_원자료'!C867</f>
        <v>ministral</v>
      </c>
      <c r="E870" s="17">
        <f>'01_원자료'!P867*'03_가중치민감도'!$B$5+'01_원자료'!Q867*'03_가중치민감도'!$C$5+'01_원자료'!R867*'03_가중치민감도'!$D$5</f>
        <v>0.61802058364586721</v>
      </c>
      <c r="F870" s="17">
        <f>'01_원자료'!P867*'03_가중치민감도'!$B$6+'01_원자료'!Q867*'03_가중치민감도'!$C$6+'01_원자료'!R867*'03_가중치민감도'!$D$6</f>
        <v>0.53793057554034029</v>
      </c>
      <c r="G870" s="17">
        <f>'01_원자료'!P867*'03_가중치민감도'!$B$7+'01_원자료'!Q867*'03_가중치민감도'!$C$7+'01_원자료'!R867*'03_가중치민감도'!$D$7</f>
        <v>0.626560163142175</v>
      </c>
      <c r="H870" s="17">
        <f>'01_원자료'!P867*'03_가중치민감도'!$B$8+'01_원자료'!Q867*'03_가중치민감도'!$C$8+'01_원자료'!R867*'03_가중치민감도'!$D$8</f>
        <v>0.57532268616432813</v>
      </c>
      <c r="I870" s="17">
        <f>'01_원자료'!P867*'03_가중치민감도'!$B$9+'01_원자료'!Q867*'03_가중치민감도'!$C$9+'01_원자료'!R867*'03_가중치민감도'!$D$9</f>
        <v>0.56178071841007937</v>
      </c>
      <c r="J870" s="17">
        <f>'01_원자료'!P867*'03_가중치민감도'!$B$10+'01_원자료'!Q867*'03_가중치민감도'!$C$10+'01_원자료'!R867*'03_가중치민감도'!$D$10</f>
        <v>0.68103143275877853</v>
      </c>
      <c r="K870" s="31">
        <f t="shared" si="78"/>
        <v>480</v>
      </c>
      <c r="L870" s="31">
        <f t="shared" si="79"/>
        <v>538</v>
      </c>
      <c r="M870" s="31">
        <f t="shared" si="80"/>
        <v>497</v>
      </c>
      <c r="N870" s="31">
        <f t="shared" si="81"/>
        <v>416</v>
      </c>
      <c r="O870" s="31">
        <f t="shared" si="82"/>
        <v>510</v>
      </c>
      <c r="P870" s="31">
        <f t="shared" si="83"/>
        <v>394</v>
      </c>
    </row>
    <row r="871" spans="1:16">
      <c r="A871" s="2" t="str">
        <f>'01_원자료'!A868</f>
        <v>RPT-27</v>
      </c>
      <c r="B871" s="2" t="str">
        <f>'01_원자료'!B868</f>
        <v>mistral</v>
      </c>
      <c r="C871" s="2" t="str">
        <f>'01_원자료'!C868</f>
        <v>qwen</v>
      </c>
      <c r="E871" s="17">
        <f>'01_원자료'!P868*'03_가중치민감도'!$B$5+'01_원자료'!Q868*'03_가중치민감도'!$C$5+'01_원자료'!R868*'03_가중치민감도'!$D$5</f>
        <v>0.6169931748602222</v>
      </c>
      <c r="F871" s="17">
        <f>'01_원자료'!P868*'03_가중치민감도'!$B$6+'01_원자료'!Q868*'03_가중치민감도'!$C$6+'01_원자료'!R868*'03_가중치민감도'!$D$6</f>
        <v>0.53040415684246578</v>
      </c>
      <c r="G871" s="17">
        <f>'01_원자료'!P868*'03_가중치민감도'!$B$7+'01_원자료'!Q868*'03_가중치민감도'!$C$7+'01_원자료'!R868*'03_가중치민감도'!$D$7</f>
        <v>0.62034530815769662</v>
      </c>
      <c r="H871" s="17">
        <f>'01_원자료'!P868*'03_가중치민감도'!$B$8+'01_원자료'!Q868*'03_가중치민감도'!$C$8+'01_원자료'!R868*'03_가중치민감도'!$D$8</f>
        <v>0.60023250837284958</v>
      </c>
      <c r="I871" s="17">
        <f>'01_원자료'!P868*'03_가중치민감도'!$B$9+'01_원자료'!Q868*'03_가중치민감도'!$C$9+'01_원자료'!R868*'03_가중치민감도'!$D$9</f>
        <v>0.55814978508255919</v>
      </c>
      <c r="J871" s="17">
        <f>'01_원자료'!P868*'03_가중치민감도'!$B$10+'01_원자료'!Q868*'03_가중치민감도'!$C$10+'01_원자료'!R868*'03_가중치민감도'!$D$10</f>
        <v>0.69687792628302947</v>
      </c>
      <c r="K871" s="31">
        <f t="shared" si="78"/>
        <v>474</v>
      </c>
      <c r="L871" s="31">
        <f t="shared" si="79"/>
        <v>500</v>
      </c>
      <c r="M871" s="31">
        <f t="shared" si="80"/>
        <v>469</v>
      </c>
      <c r="N871" s="31">
        <f t="shared" si="81"/>
        <v>487</v>
      </c>
      <c r="O871" s="31">
        <f t="shared" si="82"/>
        <v>493</v>
      </c>
      <c r="P871" s="31">
        <f t="shared" si="83"/>
        <v>448</v>
      </c>
    </row>
    <row r="872" spans="1:16">
      <c r="A872" s="2" t="str">
        <f>'01_원자료'!A869</f>
        <v>RPT-27</v>
      </c>
      <c r="B872" s="2" t="str">
        <f>'01_원자료'!B869</f>
        <v>qwen3_6</v>
      </c>
      <c r="C872" s="2" t="str">
        <f>'01_원자료'!C869</f>
        <v>gemma</v>
      </c>
      <c r="E872" s="17">
        <f>'01_원자료'!P869*'03_가중치민감도'!$B$5+'01_원자료'!Q869*'03_가중치민감도'!$C$5+'01_원자료'!R869*'03_가중치민감도'!$D$5</f>
        <v>0.67130374029732942</v>
      </c>
      <c r="F872" s="17">
        <f>'01_원자료'!P869*'03_가중치민감도'!$B$6+'01_원자료'!Q869*'03_가중치민감도'!$C$6+'01_원자료'!R869*'03_가중치민감도'!$D$6</f>
        <v>0.56797494972650264</v>
      </c>
      <c r="G872" s="17">
        <f>'01_원자료'!P869*'03_가중치민감도'!$B$7+'01_원자료'!Q869*'03_가중치민감도'!$C$7+'01_원자료'!R869*'03_가중치민감도'!$D$7</f>
        <v>0.66792372255599475</v>
      </c>
      <c r="H872" s="17">
        <f>'01_원자료'!P869*'03_가중치민감도'!$B$8+'01_원자료'!Q869*'03_가중치민감도'!$C$8+'01_원자료'!R869*'03_가중치민감도'!$D$8</f>
        <v>0.68820382900400279</v>
      </c>
      <c r="I872" s="17">
        <f>'01_원자료'!P869*'03_가중치민감도'!$B$9+'01_원자료'!Q869*'03_가중치민감도'!$C$9+'01_원자료'!R869*'03_가중치민감도'!$D$9</f>
        <v>0.6035445524972225</v>
      </c>
      <c r="J872" s="17">
        <f>'01_원자료'!P869*'03_가중치민감도'!$B$10+'01_원자료'!Q869*'03_가중치민감도'!$C$10+'01_원자료'!R869*'03_가중치민감도'!$D$10</f>
        <v>0.78139256635082543</v>
      </c>
      <c r="K872" s="31">
        <f t="shared" si="78"/>
        <v>723</v>
      </c>
      <c r="L872" s="31">
        <f t="shared" si="79"/>
        <v>681</v>
      </c>
      <c r="M872" s="31">
        <f t="shared" si="80"/>
        <v>710</v>
      </c>
      <c r="N872" s="31">
        <f t="shared" si="81"/>
        <v>742</v>
      </c>
      <c r="O872" s="31">
        <f t="shared" si="82"/>
        <v>705</v>
      </c>
      <c r="P872" s="31">
        <f t="shared" si="83"/>
        <v>762</v>
      </c>
    </row>
    <row r="873" spans="1:16">
      <c r="A873" s="2" t="str">
        <f>'01_원자료'!A870</f>
        <v>RPT-27</v>
      </c>
      <c r="B873" s="2" t="str">
        <f>'01_원자료'!B870</f>
        <v>qwen3_6</v>
      </c>
      <c r="C873" s="2" t="str">
        <f>'01_원자료'!C870</f>
        <v>ministral</v>
      </c>
      <c r="E873" s="17">
        <f>'01_원자료'!P870*'03_가중치민감도'!$B$5+'01_원자료'!Q870*'03_가중치민감도'!$C$5+'01_원자료'!R870*'03_가중치민감도'!$D$5</f>
        <v>0.58180876221378175</v>
      </c>
      <c r="F873" s="17">
        <f>'01_원자료'!P870*'03_가중치민감도'!$B$6+'01_원자료'!Q870*'03_가중치민감도'!$C$6+'01_원자료'!R870*'03_가중치민감도'!$D$6</f>
        <v>0.47675804392349008</v>
      </c>
      <c r="G873" s="17">
        <f>'01_원자료'!P870*'03_가중치민감도'!$B$7+'01_원자료'!Q870*'03_가중치민감도'!$C$7+'01_원자료'!R870*'03_가중치민감도'!$D$7</f>
        <v>0.59008584358940297</v>
      </c>
      <c r="H873" s="17">
        <f>'01_원자료'!P870*'03_가중치민감도'!$B$8+'01_원자료'!Q870*'03_가중치민감도'!$C$8+'01_원자료'!R870*'03_가중치민감도'!$D$8</f>
        <v>0.54042335533567587</v>
      </c>
      <c r="I873" s="17">
        <f>'01_원자료'!P870*'03_가중치민감도'!$B$9+'01_원자료'!Q870*'03_가중치민감도'!$C$9+'01_원자료'!R870*'03_가중치민감도'!$D$9</f>
        <v>0.50901592289504649</v>
      </c>
      <c r="J873" s="17">
        <f>'01_원자료'!P870*'03_가중치민감도'!$B$10+'01_원자료'!Q870*'03_가중치민감도'!$C$10+'01_원자료'!R870*'03_가중치민감도'!$D$10</f>
        <v>0.67030531775283109</v>
      </c>
      <c r="K873" s="31">
        <f t="shared" si="78"/>
        <v>326</v>
      </c>
      <c r="L873" s="31">
        <f t="shared" si="79"/>
        <v>250</v>
      </c>
      <c r="M873" s="31">
        <f t="shared" si="80"/>
        <v>325</v>
      </c>
      <c r="N873" s="31">
        <f t="shared" si="81"/>
        <v>305</v>
      </c>
      <c r="O873" s="31">
        <f t="shared" si="82"/>
        <v>283</v>
      </c>
      <c r="P873" s="31">
        <f t="shared" si="83"/>
        <v>355</v>
      </c>
    </row>
    <row r="874" spans="1:16">
      <c r="A874" s="2" t="str">
        <f>'01_원자료'!A871</f>
        <v>RPT-27</v>
      </c>
      <c r="B874" s="2" t="str">
        <f>'01_원자료'!B871</f>
        <v>qwen3_6</v>
      </c>
      <c r="C874" s="2" t="str">
        <f>'01_원자료'!C871</f>
        <v>qwen</v>
      </c>
      <c r="E874" s="17">
        <f>'01_원자료'!P871*'03_가중치민감도'!$B$5+'01_원자료'!Q871*'03_가중치민감도'!$C$5+'01_원자료'!R871*'03_가중치민감도'!$D$5</f>
        <v>0.6890034127410043</v>
      </c>
      <c r="F874" s="17">
        <f>'01_원자료'!P871*'03_가중치민감도'!$B$6+'01_원자료'!Q871*'03_가중치민감도'!$C$6+'01_원자료'!R871*'03_가중치민감도'!$D$6</f>
        <v>0.60133201057197538</v>
      </c>
      <c r="G874" s="17">
        <f>'01_원자료'!P871*'03_가중치민감도'!$B$7+'01_원자료'!Q871*'03_가중치민감도'!$C$7+'01_원자료'!R871*'03_가중치민감도'!$D$7</f>
        <v>0.68756212241673909</v>
      </c>
      <c r="H874" s="17">
        <f>'01_원자료'!P871*'03_가중치민감도'!$B$8+'01_원자료'!Q871*'03_가중치민감도'!$C$8+'01_원자료'!R871*'03_가중치민감도'!$D$8</f>
        <v>0.69620986436233068</v>
      </c>
      <c r="I874" s="17">
        <f>'01_원자료'!P871*'03_가중치민감도'!$B$9+'01_원자료'!Q871*'03_가중치민감도'!$C$9+'01_원자료'!R871*'03_가중치민감도'!$D$9</f>
        <v>0.6310362414030728</v>
      </c>
      <c r="J874" s="17">
        <f>'01_원자료'!P871*'03_가중치민감도'!$B$10+'01_원자료'!Q871*'03_가중치민감도'!$C$10+'01_원자료'!R871*'03_가중치민감도'!$D$10</f>
        <v>0.77955739555856374</v>
      </c>
      <c r="K874" s="31">
        <f t="shared" si="78"/>
        <v>783</v>
      </c>
      <c r="L874" s="31">
        <f t="shared" si="79"/>
        <v>818</v>
      </c>
      <c r="M874" s="31">
        <f t="shared" si="80"/>
        <v>785</v>
      </c>
      <c r="N874" s="31">
        <f t="shared" si="81"/>
        <v>775</v>
      </c>
      <c r="O874" s="31">
        <f t="shared" si="82"/>
        <v>798</v>
      </c>
      <c r="P874" s="31">
        <f t="shared" si="83"/>
        <v>755</v>
      </c>
    </row>
    <row r="875" spans="1:16">
      <c r="A875" s="2" t="str">
        <f>'01_원자료'!A872</f>
        <v>RPT-28</v>
      </c>
      <c r="B875" s="2" t="str">
        <f>'01_원자료'!B872</f>
        <v>chatgpt</v>
      </c>
      <c r="C875" s="2" t="str">
        <f>'01_원자료'!C872</f>
        <v>gemma</v>
      </c>
      <c r="E875" s="17">
        <f>'01_원자료'!P872*'03_가중치민감도'!$B$5+'01_원자료'!Q872*'03_가중치민감도'!$C$5+'01_원자료'!R872*'03_가중치민감도'!$D$5</f>
        <v>0.53831622332286722</v>
      </c>
      <c r="F875" s="17">
        <f>'01_원자료'!P872*'03_가중치민감도'!$B$6+'01_원자료'!Q872*'03_가중치민감도'!$C$6+'01_원자료'!R872*'03_가중치민감도'!$D$6</f>
        <v>0.45853588652433985</v>
      </c>
      <c r="G875" s="17">
        <f>'01_원자료'!P872*'03_가중치민감도'!$B$7+'01_원자료'!Q872*'03_가중치민감도'!$C$7+'01_원자료'!R872*'03_가중치민감도'!$D$7</f>
        <v>0.54180664052134642</v>
      </c>
      <c r="H875" s="17">
        <f>'01_원자료'!P872*'03_가중치민감도'!$B$8+'01_원자료'!Q872*'03_가중치민감도'!$C$8+'01_원자료'!R872*'03_가중치민감도'!$D$8</f>
        <v>0.52086413733047099</v>
      </c>
      <c r="I875" s="17">
        <f>'01_원자료'!P872*'03_가중치민감도'!$B$9+'01_원자료'!Q872*'03_가중치민감도'!$C$9+'01_원자료'!R872*'03_가중치민감도'!$D$9</f>
        <v>0.48396585972435535</v>
      </c>
      <c r="J875" s="17">
        <f>'01_원자료'!P872*'03_가중치민감도'!$B$10+'01_원자료'!Q872*'03_가중치민감도'!$C$10+'01_원자료'!R872*'03_가중치민감도'!$D$10</f>
        <v>0.61111572572443595</v>
      </c>
      <c r="K875" s="31">
        <f t="shared" si="78"/>
        <v>162</v>
      </c>
      <c r="L875" s="31">
        <f t="shared" si="79"/>
        <v>171</v>
      </c>
      <c r="M875" s="31">
        <f t="shared" si="80"/>
        <v>116</v>
      </c>
      <c r="N875" s="31">
        <f t="shared" si="81"/>
        <v>257</v>
      </c>
      <c r="O875" s="31">
        <f t="shared" si="82"/>
        <v>176</v>
      </c>
      <c r="P875" s="31">
        <f t="shared" si="83"/>
        <v>216</v>
      </c>
    </row>
    <row r="876" spans="1:16">
      <c r="A876" s="2" t="str">
        <f>'01_원자료'!A873</f>
        <v>RPT-28</v>
      </c>
      <c r="B876" s="2" t="str">
        <f>'01_원자료'!B873</f>
        <v>chatgpt</v>
      </c>
      <c r="C876" s="2" t="str">
        <f>'01_원자료'!C873</f>
        <v>ministral</v>
      </c>
      <c r="E876" s="17">
        <f>'01_원자료'!P873*'03_가중치민감도'!$B$5+'01_원자료'!Q873*'03_가중치민감도'!$C$5+'01_원자료'!R873*'03_가중치민감도'!$D$5</f>
        <v>0.52574103137213646</v>
      </c>
      <c r="F876" s="17">
        <f>'01_원자료'!P873*'03_가중치민감도'!$B$6+'01_원자료'!Q873*'03_가중치민감도'!$C$6+'01_원자료'!R873*'03_가중치민감도'!$D$6</f>
        <v>0.43937243022707517</v>
      </c>
      <c r="G876" s="17">
        <f>'01_원자료'!P873*'03_가중치민감도'!$B$7+'01_원자료'!Q873*'03_가중치민감도'!$C$7+'01_원자료'!R873*'03_가중치민감도'!$D$7</f>
        <v>0.53636442594253819</v>
      </c>
      <c r="H876" s="17">
        <f>'01_원자료'!P873*'03_가중치민감도'!$B$8+'01_원자료'!Q873*'03_가중치민감도'!$C$8+'01_원자료'!R873*'03_가중치민감도'!$D$8</f>
        <v>0.4726240585201274</v>
      </c>
      <c r="I876" s="17">
        <f>'01_원자료'!P873*'03_가중치민감도'!$B$9+'01_원자료'!Q873*'03_가중치민감도'!$C$9+'01_원자료'!R873*'03_가중치민감도'!$D$9</f>
        <v>0.46462083241862778</v>
      </c>
      <c r="J876" s="17">
        <f>'01_원자료'!P873*'03_가중치민감도'!$B$10+'01_원자료'!Q873*'03_가중치민감도'!$C$10+'01_원자료'!R873*'03_가중치민감도'!$D$10</f>
        <v>0.59086284337639405</v>
      </c>
      <c r="K876" s="31">
        <f t="shared" si="78"/>
        <v>119</v>
      </c>
      <c r="L876" s="31">
        <f t="shared" si="79"/>
        <v>94</v>
      </c>
      <c r="M876" s="31">
        <f t="shared" si="80"/>
        <v>92</v>
      </c>
      <c r="N876" s="31">
        <f t="shared" si="81"/>
        <v>160</v>
      </c>
      <c r="O876" s="31">
        <f t="shared" si="82"/>
        <v>110</v>
      </c>
      <c r="P876" s="31">
        <f t="shared" si="83"/>
        <v>159</v>
      </c>
    </row>
    <row r="877" spans="1:16">
      <c r="A877" s="2" t="str">
        <f>'01_원자료'!A874</f>
        <v>RPT-28</v>
      </c>
      <c r="B877" s="2" t="str">
        <f>'01_원자료'!B874</f>
        <v>chatgpt</v>
      </c>
      <c r="C877" s="2" t="str">
        <f>'01_원자료'!C874</f>
        <v>qwen</v>
      </c>
      <c r="E877" s="17">
        <f>'01_원자료'!P874*'03_가중치민감도'!$B$5+'01_원자료'!Q874*'03_가중치민감도'!$C$5+'01_원자료'!R874*'03_가중치민감도'!$D$5</f>
        <v>0.55580900015076984</v>
      </c>
      <c r="F877" s="17">
        <f>'01_원자료'!P874*'03_가중치민감도'!$B$6+'01_원자료'!Q874*'03_가중치민감도'!$C$6+'01_원자료'!R874*'03_가중치민감도'!$D$6</f>
        <v>0.48247421279157454</v>
      </c>
      <c r="G877" s="17">
        <f>'01_원자료'!P874*'03_가중치민감도'!$B$7+'01_원자료'!Q874*'03_가중치민감도'!$C$7+'01_원자료'!R874*'03_가중치민감도'!$D$7</f>
        <v>0.56615010702239155</v>
      </c>
      <c r="H877" s="17">
        <f>'01_원자료'!P874*'03_가중치민감도'!$B$8+'01_원자료'!Q874*'03_가중치민감도'!$C$8+'01_원자료'!R874*'03_가중치민감도'!$D$8</f>
        <v>0.50410346579266152</v>
      </c>
      <c r="I877" s="17">
        <f>'01_원자료'!P874*'03_가중치민감도'!$B$9+'01_원자료'!Q874*'03_가중치민감도'!$C$9+'01_원자료'!R874*'03_가중치민감도'!$D$9</f>
        <v>0.50347210628743189</v>
      </c>
      <c r="J877" s="17">
        <f>'01_원자료'!P874*'03_가중치민감도'!$B$10+'01_원자료'!Q874*'03_가중치민감도'!$C$10+'01_원자료'!R874*'03_가중치민감도'!$D$10</f>
        <v>0.60846157376672183</v>
      </c>
      <c r="K877" s="31">
        <f t="shared" si="78"/>
        <v>235</v>
      </c>
      <c r="L877" s="31">
        <f t="shared" si="79"/>
        <v>283</v>
      </c>
      <c r="M877" s="31">
        <f t="shared" si="80"/>
        <v>230</v>
      </c>
      <c r="N877" s="31">
        <f t="shared" si="81"/>
        <v>235</v>
      </c>
      <c r="O877" s="31">
        <f t="shared" si="82"/>
        <v>261</v>
      </c>
      <c r="P877" s="31">
        <f t="shared" si="83"/>
        <v>207</v>
      </c>
    </row>
    <row r="878" spans="1:16">
      <c r="A878" s="2" t="str">
        <f>'01_원자료'!A875</f>
        <v>RPT-28</v>
      </c>
      <c r="B878" s="2" t="str">
        <f>'01_원자료'!B875</f>
        <v>claude</v>
      </c>
      <c r="C878" s="2" t="str">
        <f>'01_원자료'!C875</f>
        <v>gemma</v>
      </c>
      <c r="E878" s="17">
        <f>'01_원자료'!P875*'03_가중치민감도'!$B$5+'01_원자료'!Q875*'03_가중치민감도'!$C$5+'01_원자료'!R875*'03_가중치민감도'!$D$5</f>
        <v>0.68074919566680303</v>
      </c>
      <c r="F878" s="17">
        <f>'01_원자료'!P875*'03_가중치민감도'!$B$6+'01_원자료'!Q875*'03_가중치민감도'!$C$6+'01_원자료'!R875*'03_가중치민감도'!$D$6</f>
        <v>0.57493416774349582</v>
      </c>
      <c r="G878" s="17">
        <f>'01_원자료'!P875*'03_가중치민감도'!$B$7+'01_원자료'!Q875*'03_가중치민감도'!$C$7+'01_원자료'!R875*'03_가중치민감도'!$D$7</f>
        <v>0.67529376023234211</v>
      </c>
      <c r="H878" s="17">
        <f>'01_원자료'!P875*'03_가중치민감도'!$B$8+'01_원자료'!Q875*'03_가중치민감도'!$C$8+'01_원자료'!R875*'03_가중치민감도'!$D$8</f>
        <v>0.70802637283910808</v>
      </c>
      <c r="I878" s="17">
        <f>'01_원자료'!P875*'03_가중치민감도'!$B$9+'01_원자료'!Q875*'03_가중치민감도'!$C$9+'01_원자료'!R875*'03_가중치민감도'!$D$9</f>
        <v>0.6120243221960846</v>
      </c>
      <c r="J878" s="17">
        <f>'01_원자료'!P875*'03_가중치민감도'!$B$10+'01_원자료'!Q875*'03_가중치민감도'!$C$10+'01_원자료'!R875*'03_가중치민감도'!$D$10</f>
        <v>0.79747509445903231</v>
      </c>
      <c r="K878" s="31">
        <f t="shared" si="78"/>
        <v>761</v>
      </c>
      <c r="L878" s="31">
        <f t="shared" si="79"/>
        <v>721</v>
      </c>
      <c r="M878" s="31">
        <f t="shared" si="80"/>
        <v>743</v>
      </c>
      <c r="N878" s="31">
        <f t="shared" si="81"/>
        <v>808</v>
      </c>
      <c r="O878" s="31">
        <f t="shared" si="82"/>
        <v>732</v>
      </c>
      <c r="P878" s="31">
        <f t="shared" si="83"/>
        <v>804</v>
      </c>
    </row>
    <row r="879" spans="1:16">
      <c r="A879" s="2" t="str">
        <f>'01_원자료'!A876</f>
        <v>RPT-28</v>
      </c>
      <c r="B879" s="2" t="str">
        <f>'01_원자료'!B876</f>
        <v>claude</v>
      </c>
      <c r="C879" s="2" t="str">
        <f>'01_원자료'!C876</f>
        <v>ministral</v>
      </c>
      <c r="E879" s="17">
        <f>'01_원자료'!P876*'03_가중치민감도'!$B$5+'01_원자료'!Q876*'03_가중치민감도'!$C$5+'01_원자료'!R876*'03_가중치민감도'!$D$5</f>
        <v>0.60130070785625622</v>
      </c>
      <c r="F879" s="17">
        <f>'01_원자료'!P876*'03_가중치민감도'!$B$6+'01_원자료'!Q876*'03_가중치민감도'!$C$6+'01_원자료'!R876*'03_가중치민감도'!$D$6</f>
        <v>0.50313671213633815</v>
      </c>
      <c r="G879" s="17">
        <f>'01_원자료'!P876*'03_가중치민감도'!$B$7+'01_원자료'!Q876*'03_가중치민감도'!$C$7+'01_원자료'!R876*'03_가중치민감도'!$D$7</f>
        <v>0.60818773501344214</v>
      </c>
      <c r="H879" s="17">
        <f>'01_원자료'!P876*'03_가중치민감도'!$B$8+'01_원자료'!Q876*'03_가중치민감도'!$C$8+'01_원자료'!R876*'03_가중치민감도'!$D$8</f>
        <v>0.56686557207032651</v>
      </c>
      <c r="I879" s="17">
        <f>'01_원자료'!P876*'03_가중치민감도'!$B$9+'01_원자료'!Q876*'03_가중치민감도'!$C$9+'01_원자료'!R876*'03_가중치민감도'!$D$9</f>
        <v>0.53356236832391502</v>
      </c>
      <c r="J879" s="17">
        <f>'01_원자료'!P876*'03_가중치민감도'!$B$10+'01_원자료'!Q876*'03_가중치민감도'!$C$10+'01_원자료'!R876*'03_가중치민감도'!$D$10</f>
        <v>0.68569064926180245</v>
      </c>
      <c r="K879" s="31">
        <f t="shared" si="78"/>
        <v>396</v>
      </c>
      <c r="L879" s="31">
        <f t="shared" si="79"/>
        <v>377</v>
      </c>
      <c r="M879" s="31">
        <f t="shared" si="80"/>
        <v>408</v>
      </c>
      <c r="N879" s="31">
        <f t="shared" si="81"/>
        <v>390</v>
      </c>
      <c r="O879" s="31">
        <f t="shared" si="82"/>
        <v>386</v>
      </c>
      <c r="P879" s="31">
        <f t="shared" si="83"/>
        <v>414</v>
      </c>
    </row>
    <row r="880" spans="1:16">
      <c r="A880" s="2" t="str">
        <f>'01_원자료'!A877</f>
        <v>RPT-28</v>
      </c>
      <c r="B880" s="2" t="str">
        <f>'01_원자료'!B877</f>
        <v>claude</v>
      </c>
      <c r="C880" s="2" t="str">
        <f>'01_원자료'!C877</f>
        <v>qwen</v>
      </c>
      <c r="E880" s="17">
        <f>'01_원자료'!P877*'03_가중치민감도'!$B$5+'01_원자료'!Q877*'03_가중치민감도'!$C$5+'01_원자료'!R877*'03_가중치민감도'!$D$5</f>
        <v>0.66367731648138628</v>
      </c>
      <c r="F880" s="17">
        <f>'01_원자료'!P877*'03_가중치민감도'!$B$6+'01_원자료'!Q877*'03_가중치민감도'!$C$6+'01_원자료'!R877*'03_가중치민감도'!$D$6</f>
        <v>0.57465803075215249</v>
      </c>
      <c r="G880" s="17">
        <f>'01_원자료'!P877*'03_가중치민감도'!$B$7+'01_원자료'!Q877*'03_가중치민감도'!$C$7+'01_원자료'!R877*'03_가중치민감도'!$D$7</f>
        <v>0.66378647896953491</v>
      </c>
      <c r="H880" s="17">
        <f>'01_원자료'!P877*'03_가중치민감도'!$B$8+'01_원자료'!Q877*'03_가중치민감도'!$C$8+'01_원자료'!R877*'03_가중치민감도'!$D$8</f>
        <v>0.66313150404064292</v>
      </c>
      <c r="I880" s="17">
        <f>'01_원자료'!P877*'03_가중치민감도'!$B$9+'01_원자료'!Q877*'03_가중치민감도'!$C$9+'01_원자료'!R877*'03_가중치민감도'!$D$9</f>
        <v>0.60429473849918014</v>
      </c>
      <c r="J880" s="17">
        <f>'01_원자료'!P877*'03_가중치민감도'!$B$10+'01_원자료'!Q877*'03_가중치민감도'!$C$10+'01_원자료'!R877*'03_가중치민감도'!$D$10</f>
        <v>0.75247827723432259</v>
      </c>
      <c r="K880" s="31">
        <f t="shared" si="78"/>
        <v>689</v>
      </c>
      <c r="L880" s="31">
        <f t="shared" si="79"/>
        <v>719</v>
      </c>
      <c r="M880" s="31">
        <f t="shared" si="80"/>
        <v>687</v>
      </c>
      <c r="N880" s="31">
        <f t="shared" si="81"/>
        <v>679</v>
      </c>
      <c r="O880" s="31">
        <f t="shared" si="82"/>
        <v>706</v>
      </c>
      <c r="P880" s="31">
        <f t="shared" si="83"/>
        <v>664</v>
      </c>
    </row>
    <row r="881" spans="1:16">
      <c r="A881" s="2" t="str">
        <f>'01_원자료'!A878</f>
        <v>RPT-28</v>
      </c>
      <c r="B881" s="2" t="str">
        <f>'01_원자료'!B878</f>
        <v>gemini</v>
      </c>
      <c r="C881" s="2" t="str">
        <f>'01_원자료'!C878</f>
        <v>gemma</v>
      </c>
      <c r="E881" s="17">
        <f>'01_원자료'!P878*'03_가중치민감도'!$B$5+'01_원자료'!Q878*'03_가중치민감도'!$C$5+'01_원자료'!R878*'03_가중치민감도'!$D$5</f>
        <v>0.71619706916510517</v>
      </c>
      <c r="F881" s="17">
        <f>'01_원자료'!P878*'03_가중치민감도'!$B$6+'01_원자료'!Q878*'03_가중치민감도'!$C$6+'01_원자료'!R878*'03_가중치민감도'!$D$6</f>
        <v>0.6043035164015429</v>
      </c>
      <c r="G881" s="17">
        <f>'01_원자료'!P878*'03_가중치민감도'!$B$7+'01_원자료'!Q878*'03_가중치민감도'!$C$7+'01_원자료'!R878*'03_가중치민감도'!$D$7</f>
        <v>0.70678215647189879</v>
      </c>
      <c r="H881" s="17">
        <f>'01_원자료'!P878*'03_가중치민감도'!$B$8+'01_원자료'!Q878*'03_가중치민감도'!$C$8+'01_원자료'!R878*'03_가중치민감도'!$D$8</f>
        <v>0.76327163263113718</v>
      </c>
      <c r="I881" s="17">
        <f>'01_원자료'!P878*'03_가중치민감도'!$B$9+'01_원자료'!Q878*'03_가중치민감도'!$C$9+'01_원자료'!R878*'03_가중치민감도'!$D$9</f>
        <v>0.64473967155379852</v>
      </c>
      <c r="J881" s="17">
        <f>'01_원자료'!P878*'03_가중치민감도'!$B$10+'01_원자료'!Q878*'03_가중치민감도'!$C$10+'01_원자료'!R878*'03_가중치민감도'!$D$10</f>
        <v>0.84692044731508032</v>
      </c>
      <c r="K881" s="31">
        <f t="shared" si="78"/>
        <v>863</v>
      </c>
      <c r="L881" s="31">
        <f t="shared" si="79"/>
        <v>833</v>
      </c>
      <c r="M881" s="31">
        <f t="shared" si="80"/>
        <v>855</v>
      </c>
      <c r="N881" s="31">
        <f t="shared" si="81"/>
        <v>875</v>
      </c>
      <c r="O881" s="31">
        <f t="shared" si="82"/>
        <v>850</v>
      </c>
      <c r="P881" s="31">
        <f t="shared" si="83"/>
        <v>882</v>
      </c>
    </row>
    <row r="882" spans="1:16">
      <c r="A882" s="2" t="str">
        <f>'01_원자료'!A879</f>
        <v>RPT-28</v>
      </c>
      <c r="B882" s="2" t="str">
        <f>'01_원자료'!B879</f>
        <v>gemini</v>
      </c>
      <c r="C882" s="2" t="str">
        <f>'01_원자료'!C879</f>
        <v>ministral</v>
      </c>
      <c r="E882" s="17">
        <f>'01_원자료'!P879*'03_가중치민감도'!$B$5+'01_원자료'!Q879*'03_가중치민감도'!$C$5+'01_원자료'!R879*'03_가중치민감도'!$D$5</f>
        <v>0.60506401570105484</v>
      </c>
      <c r="F882" s="17">
        <f>'01_원자료'!P879*'03_가중치민감도'!$B$6+'01_원자료'!Q879*'03_가중치민감도'!$C$6+'01_원자료'!R879*'03_가중치민감도'!$D$6</f>
        <v>0.49862725991931633</v>
      </c>
      <c r="G882" s="17">
        <f>'01_원자료'!P879*'03_가중치민감도'!$B$7+'01_원자료'!Q879*'03_가중치민감도'!$C$7+'01_원자료'!R879*'03_가중치민감도'!$D$7</f>
        <v>0.6148571373767362</v>
      </c>
      <c r="H882" s="17">
        <f>'01_원자료'!P879*'03_가중치민감도'!$B$8+'01_원자료'!Q879*'03_가중치민감도'!$C$8+'01_원자료'!R879*'03_가중치민감도'!$D$8</f>
        <v>0.55609840732264748</v>
      </c>
      <c r="I882" s="17">
        <f>'01_원자료'!P879*'03_가중치민감도'!$B$9+'01_원자료'!Q879*'03_가중치민감도'!$C$9+'01_원자료'!R879*'03_가중치민감도'!$D$9</f>
        <v>0.53084180462133479</v>
      </c>
      <c r="J882" s="17">
        <f>'01_원자료'!P879*'03_가중치민감도'!$B$10+'01_원자료'!Q879*'03_가중치민감도'!$C$10+'01_원자료'!R879*'03_가중치민감도'!$D$10</f>
        <v>0.69191452813143028</v>
      </c>
      <c r="K882" s="31">
        <f t="shared" si="78"/>
        <v>412</v>
      </c>
      <c r="L882" s="31">
        <f t="shared" si="79"/>
        <v>356</v>
      </c>
      <c r="M882" s="31">
        <f t="shared" si="80"/>
        <v>434</v>
      </c>
      <c r="N882" s="31">
        <f t="shared" si="81"/>
        <v>359</v>
      </c>
      <c r="O882" s="31">
        <f t="shared" si="82"/>
        <v>377</v>
      </c>
      <c r="P882" s="31">
        <f t="shared" si="83"/>
        <v>429</v>
      </c>
    </row>
    <row r="883" spans="1:16">
      <c r="A883" s="2" t="str">
        <f>'01_원자료'!A880</f>
        <v>RPT-28</v>
      </c>
      <c r="B883" s="2" t="str">
        <f>'01_원자료'!B880</f>
        <v>gemini</v>
      </c>
      <c r="C883" s="2" t="str">
        <f>'01_원자료'!C880</f>
        <v>qwen</v>
      </c>
      <c r="E883" s="17">
        <f>'01_원자료'!P880*'03_가중치민감도'!$B$5+'01_원자료'!Q880*'03_가중치민감도'!$C$5+'01_원자료'!R880*'03_가중치민감도'!$D$5</f>
        <v>0.70288076172602554</v>
      </c>
      <c r="F883" s="17">
        <f>'01_원자료'!P880*'03_가중치민감도'!$B$6+'01_원자료'!Q880*'03_가중치민감도'!$C$6+'01_원자료'!R880*'03_가중치민감도'!$D$6</f>
        <v>0.60665254016997205</v>
      </c>
      <c r="G883" s="17">
        <f>'01_원자료'!P880*'03_가중치민감도'!$B$7+'01_원자료'!Q880*'03_가중치민감도'!$C$7+'01_원자료'!R880*'03_가중치민감도'!$D$7</f>
        <v>0.7033089854327641</v>
      </c>
      <c r="H883" s="17">
        <f>'01_원자료'!P880*'03_가중치민감도'!$B$8+'01_원자료'!Q880*'03_가중치민감도'!$C$8+'01_원자료'!R880*'03_가중치민감도'!$D$8</f>
        <v>0.70073964319233284</v>
      </c>
      <c r="I883" s="17">
        <f>'01_원자료'!P880*'03_가중치민감도'!$B$9+'01_원자료'!Q880*'03_가중치민감도'!$C$9+'01_원자료'!R880*'03_가중치민감도'!$D$9</f>
        <v>0.63858587278640977</v>
      </c>
      <c r="J883" s="17">
        <f>'01_원자료'!P880*'03_가중치민감도'!$B$10+'01_원자료'!Q880*'03_가중치민감도'!$C$10+'01_원자료'!R880*'03_가중치민감도'!$D$10</f>
        <v>0.7982525358686019</v>
      </c>
      <c r="K883" s="31">
        <f t="shared" si="78"/>
        <v>830</v>
      </c>
      <c r="L883" s="31">
        <f t="shared" si="79"/>
        <v>842</v>
      </c>
      <c r="M883" s="31">
        <f t="shared" si="80"/>
        <v>845</v>
      </c>
      <c r="N883" s="31">
        <f t="shared" si="81"/>
        <v>791</v>
      </c>
      <c r="O883" s="31">
        <f t="shared" si="82"/>
        <v>829</v>
      </c>
      <c r="P883" s="31">
        <f t="shared" si="83"/>
        <v>808</v>
      </c>
    </row>
    <row r="884" spans="1:16">
      <c r="A884" s="2" t="str">
        <f>'01_원자료'!A881</f>
        <v>RPT-28</v>
      </c>
      <c r="B884" s="2" t="str">
        <f>'01_원자료'!B881</f>
        <v>mistral</v>
      </c>
      <c r="C884" s="2" t="str">
        <f>'01_원자료'!C881</f>
        <v>gemma</v>
      </c>
      <c r="E884" s="17">
        <f>'01_원자료'!P881*'03_가중치민감도'!$B$5+'01_원자료'!Q881*'03_가중치민감도'!$C$5+'01_원자료'!R881*'03_가중치민감도'!$D$5</f>
        <v>0.66495355392699795</v>
      </c>
      <c r="F884" s="17">
        <f>'01_원자료'!P881*'03_가중치민감도'!$B$6+'01_원자료'!Q881*'03_가중치민감도'!$C$6+'01_원자료'!R881*'03_가중치민감도'!$D$6</f>
        <v>0.55531720901432502</v>
      </c>
      <c r="G884" s="17">
        <f>'01_원자료'!P881*'03_가중치민감도'!$B$7+'01_원자료'!Q881*'03_가중치민감도'!$C$7+'01_원자료'!R881*'03_가중치민감도'!$D$7</f>
        <v>0.6603270621056343</v>
      </c>
      <c r="H884" s="17">
        <f>'01_원자료'!P881*'03_가중치민감도'!$B$8+'01_원자료'!Q881*'03_가중치민감도'!$C$8+'01_원자료'!R881*'03_가중치민감도'!$D$8</f>
        <v>0.68808601303381667</v>
      </c>
      <c r="I884" s="17">
        <f>'01_원자료'!P881*'03_가중치민감도'!$B$9+'01_원자료'!Q881*'03_가중치민감도'!$C$9+'01_원자료'!R881*'03_가중치민감도'!$D$9</f>
        <v>0.59340482125900329</v>
      </c>
      <c r="J884" s="17">
        <f>'01_원자료'!P881*'03_가중치민감도'!$B$10+'01_원자료'!Q881*'03_가중치민감도'!$C$10+'01_원자료'!R881*'03_가중치민감도'!$D$10</f>
        <v>0.78384288248239853</v>
      </c>
      <c r="K884" s="31">
        <f t="shared" si="78"/>
        <v>691</v>
      </c>
      <c r="L884" s="31">
        <f t="shared" si="79"/>
        <v>615</v>
      </c>
      <c r="M884" s="31">
        <f t="shared" si="80"/>
        <v>670</v>
      </c>
      <c r="N884" s="31">
        <f t="shared" si="81"/>
        <v>740</v>
      </c>
      <c r="O884" s="31">
        <f t="shared" si="82"/>
        <v>656</v>
      </c>
      <c r="P884" s="31">
        <f t="shared" si="83"/>
        <v>768</v>
      </c>
    </row>
    <row r="885" spans="1:16">
      <c r="A885" s="2" t="str">
        <f>'01_원자료'!A882</f>
        <v>RPT-28</v>
      </c>
      <c r="B885" s="2" t="str">
        <f>'01_원자료'!B882</f>
        <v>mistral</v>
      </c>
      <c r="C885" s="2" t="str">
        <f>'01_원자료'!C882</f>
        <v>ministral</v>
      </c>
      <c r="E885" s="17">
        <f>'01_원자료'!P882*'03_가중치민감도'!$B$5+'01_원자료'!Q882*'03_가중치민감도'!$C$5+'01_원자료'!R882*'03_가중치민감도'!$D$5</f>
        <v>0.59499006122139564</v>
      </c>
      <c r="F885" s="17">
        <f>'01_원자료'!P882*'03_가중치민감도'!$B$6+'01_원자료'!Q882*'03_가중치민감도'!$C$6+'01_원자료'!R882*'03_가중치민감도'!$D$6</f>
        <v>0.49864379157933392</v>
      </c>
      <c r="G885" s="17">
        <f>'01_원자료'!P882*'03_가중치민감도'!$B$7+'01_원자료'!Q882*'03_가중치민감도'!$C$7+'01_원자료'!R882*'03_가중치민감도'!$D$7</f>
        <v>0.60363348185439569</v>
      </c>
      <c r="H885" s="17">
        <f>'01_원자료'!P882*'03_가중치민감도'!$B$8+'01_원자료'!Q882*'03_가중치민감도'!$C$8+'01_원자료'!R882*'03_가중치민감도'!$D$8</f>
        <v>0.5517729580563957</v>
      </c>
      <c r="I885" s="17">
        <f>'01_원자료'!P882*'03_가중치민감도'!$B$9+'01_원자료'!Q882*'03_가중치민감도'!$C$9+'01_원자료'!R882*'03_가중치민감도'!$D$9</f>
        <v>0.52787807458235403</v>
      </c>
      <c r="J885" s="17">
        <f>'01_원자료'!P882*'03_가중치민감도'!$B$10+'01_원자료'!Q882*'03_가중치민감도'!$C$10+'01_원자료'!R882*'03_가중치민감도'!$D$10</f>
        <v>0.67404948959745736</v>
      </c>
      <c r="K885" s="31">
        <f t="shared" si="78"/>
        <v>368</v>
      </c>
      <c r="L885" s="31">
        <f t="shared" si="79"/>
        <v>357</v>
      </c>
      <c r="M885" s="31">
        <f t="shared" si="80"/>
        <v>377</v>
      </c>
      <c r="N885" s="31">
        <f t="shared" si="81"/>
        <v>342</v>
      </c>
      <c r="O885" s="31">
        <f t="shared" si="82"/>
        <v>359</v>
      </c>
      <c r="P885" s="31">
        <f t="shared" si="83"/>
        <v>366</v>
      </c>
    </row>
    <row r="886" spans="1:16">
      <c r="A886" s="2" t="str">
        <f>'01_원자료'!A883</f>
        <v>RPT-28</v>
      </c>
      <c r="B886" s="2" t="str">
        <f>'01_원자료'!B883</f>
        <v>mistral</v>
      </c>
      <c r="C886" s="2" t="str">
        <f>'01_원자료'!C883</f>
        <v>qwen</v>
      </c>
      <c r="E886" s="17">
        <f>'01_원자료'!P883*'03_가중치민감도'!$B$5+'01_원자료'!Q883*'03_가중치민감도'!$C$5+'01_원자료'!R883*'03_가중치민감도'!$D$5</f>
        <v>0.64697198603521877</v>
      </c>
      <c r="F886" s="17">
        <f>'01_원자료'!P883*'03_가중치민감도'!$B$6+'01_원자료'!Q883*'03_가중치민감도'!$C$6+'01_원자료'!R883*'03_가중치민감도'!$D$6</f>
        <v>0.55435854756791147</v>
      </c>
      <c r="G886" s="17">
        <f>'01_원자료'!P883*'03_가중치민감도'!$B$7+'01_원자료'!Q883*'03_가중치민감도'!$C$7+'01_원자료'!R883*'03_가중치민감도'!$D$7</f>
        <v>0.65017832792024022</v>
      </c>
      <c r="H886" s="17">
        <f>'01_원자료'!P883*'03_가중치민감도'!$B$8+'01_원자료'!Q883*'03_가중치민감도'!$C$8+'01_원자료'!R883*'03_가중치민감도'!$D$8</f>
        <v>0.63094027661011154</v>
      </c>
      <c r="I886" s="17">
        <f>'01_원자료'!P883*'03_가중치민감도'!$B$9+'01_원자료'!Q883*'03_가중치민감도'!$C$9+'01_원자료'!R883*'03_가중치민감도'!$D$9</f>
        <v>0.58416091309533946</v>
      </c>
      <c r="J886" s="17">
        <f>'01_원자료'!P883*'03_가중치민감도'!$B$10+'01_원자료'!Q883*'03_가중치민감도'!$C$10+'01_원자료'!R883*'03_가중치민감도'!$D$10</f>
        <v>0.73317274073248317</v>
      </c>
      <c r="K886" s="31">
        <f t="shared" si="78"/>
        <v>605</v>
      </c>
      <c r="L886" s="31">
        <f t="shared" si="79"/>
        <v>609</v>
      </c>
      <c r="M886" s="31">
        <f t="shared" si="80"/>
        <v>617</v>
      </c>
      <c r="N886" s="31">
        <f t="shared" si="81"/>
        <v>578</v>
      </c>
      <c r="O886" s="31">
        <f t="shared" si="82"/>
        <v>600</v>
      </c>
      <c r="P886" s="31">
        <f t="shared" si="83"/>
        <v>596</v>
      </c>
    </row>
    <row r="887" spans="1:16">
      <c r="A887" s="2" t="str">
        <f>'01_원자료'!A884</f>
        <v>RPT-28</v>
      </c>
      <c r="B887" s="2" t="str">
        <f>'01_원자료'!B884</f>
        <v>qwen3_6</v>
      </c>
      <c r="C887" s="2" t="str">
        <f>'01_원자료'!C884</f>
        <v>gemma</v>
      </c>
      <c r="E887" s="17">
        <f>'01_원자료'!P884*'03_가중치민감도'!$B$5+'01_원자료'!Q884*'03_가중치민감도'!$C$5+'01_원자료'!R884*'03_가중치민감도'!$D$5</f>
        <v>0.71776240364584232</v>
      </c>
      <c r="F887" s="17">
        <f>'01_원자료'!P884*'03_가중치민감도'!$B$6+'01_원자료'!Q884*'03_가중치민감도'!$C$6+'01_원자료'!R884*'03_가중치민감도'!$D$6</f>
        <v>0.60529153164440452</v>
      </c>
      <c r="G887" s="17">
        <f>'01_원자료'!P884*'03_가중치민감도'!$B$7+'01_원자료'!Q884*'03_가중치민감도'!$C$7+'01_원자료'!R884*'03_가중치민감도'!$D$7</f>
        <v>0.70852604542918707</v>
      </c>
      <c r="H887" s="17">
        <f>'01_원자료'!P884*'03_가중치민감도'!$B$8+'01_원자료'!Q884*'03_가중치민감도'!$C$8+'01_원자료'!R884*'03_가중치민감도'!$D$8</f>
        <v>0.76394419472911901</v>
      </c>
      <c r="I887" s="17">
        <f>'01_원자료'!P884*'03_가중치민감도'!$B$9+'01_원자료'!Q884*'03_가중치민감도'!$C$9+'01_원자료'!R884*'03_가중치민감도'!$D$9</f>
        <v>0.64586060838376835</v>
      </c>
      <c r="J887" s="17">
        <f>'01_원자료'!P884*'03_가중치민감도'!$B$10+'01_원자료'!Q884*'03_가중치민감도'!$C$10+'01_원자료'!R884*'03_가중치민감도'!$D$10</f>
        <v>0.84870599208059083</v>
      </c>
      <c r="K887" s="31">
        <f t="shared" si="78"/>
        <v>869</v>
      </c>
      <c r="L887" s="31">
        <f t="shared" si="79"/>
        <v>837</v>
      </c>
      <c r="M887" s="31">
        <f t="shared" si="80"/>
        <v>863</v>
      </c>
      <c r="N887" s="31">
        <f t="shared" si="81"/>
        <v>878</v>
      </c>
      <c r="O887" s="31">
        <f t="shared" si="82"/>
        <v>854</v>
      </c>
      <c r="P887" s="31">
        <f t="shared" si="83"/>
        <v>890</v>
      </c>
    </row>
    <row r="888" spans="1:16">
      <c r="A888" s="2" t="str">
        <f>'01_원자료'!A885</f>
        <v>RPT-28</v>
      </c>
      <c r="B888" s="2" t="str">
        <f>'01_원자료'!B885</f>
        <v>qwen3_6</v>
      </c>
      <c r="C888" s="2" t="str">
        <f>'01_원자료'!C885</f>
        <v>ministral</v>
      </c>
      <c r="E888" s="17">
        <f>'01_원자료'!P885*'03_가중치민감도'!$B$5+'01_원자료'!Q885*'03_가중치민감도'!$C$5+'01_원자료'!R885*'03_가중치민감도'!$D$5</f>
        <v>0.59566890980870657</v>
      </c>
      <c r="F888" s="17">
        <f>'01_원자료'!P885*'03_가중치민감도'!$B$6+'01_원자료'!Q885*'03_가중치민감도'!$C$6+'01_원자료'!R885*'03_가중치민감도'!$D$6</f>
        <v>0.49724210825990039</v>
      </c>
      <c r="G888" s="17">
        <f>'01_원자료'!P885*'03_가중치민감도'!$B$7+'01_원자료'!Q885*'03_가중치민감도'!$C$7+'01_원자료'!R885*'03_가중치민감도'!$D$7</f>
        <v>0.60401160980728119</v>
      </c>
      <c r="H888" s="17">
        <f>'01_원자료'!P885*'03_가중치민감도'!$B$8+'01_원자료'!Q885*'03_가중치민감도'!$C$8+'01_원자료'!R885*'03_가중치민감도'!$D$8</f>
        <v>0.5539554098158328</v>
      </c>
      <c r="I888" s="17">
        <f>'01_원자료'!P885*'03_가중치민감도'!$B$9+'01_원자료'!Q885*'03_가중치민감도'!$C$9+'01_원자료'!R885*'03_가중치민감도'!$D$9</f>
        <v>0.52727014210997702</v>
      </c>
      <c r="J888" s="17">
        <f>'01_원자료'!P885*'03_가중치민감도'!$B$10+'01_원자료'!Q885*'03_가중치민감도'!$C$10+'01_원자료'!R885*'03_가중치민감도'!$D$10</f>
        <v>0.67741031136036312</v>
      </c>
      <c r="K888" s="31">
        <f t="shared" si="78"/>
        <v>371</v>
      </c>
      <c r="L888" s="31">
        <f t="shared" si="79"/>
        <v>348</v>
      </c>
      <c r="M888" s="31">
        <f t="shared" si="80"/>
        <v>381</v>
      </c>
      <c r="N888" s="31">
        <f t="shared" si="81"/>
        <v>353</v>
      </c>
      <c r="O888" s="31">
        <f t="shared" si="82"/>
        <v>354</v>
      </c>
      <c r="P888" s="31">
        <f t="shared" si="83"/>
        <v>381</v>
      </c>
    </row>
    <row r="889" spans="1:16">
      <c r="A889" s="2" t="str">
        <f>'01_원자료'!A886</f>
        <v>RPT-28</v>
      </c>
      <c r="B889" s="2" t="str">
        <f>'01_원자료'!B886</f>
        <v>qwen3_6</v>
      </c>
      <c r="C889" s="2" t="str">
        <f>'01_원자료'!C886</f>
        <v>qwen</v>
      </c>
      <c r="E889" s="17">
        <f>'01_원자료'!P886*'03_가중치민감도'!$B$5+'01_원자료'!Q886*'03_가중치민감도'!$C$5+'01_원자료'!R886*'03_가중치민감도'!$D$5</f>
        <v>0.70214233672112336</v>
      </c>
      <c r="F889" s="17">
        <f>'01_원자료'!P886*'03_가중치민감도'!$B$6+'01_원자료'!Q886*'03_가중치민감도'!$C$6+'01_원자료'!R886*'03_가중치민감도'!$D$6</f>
        <v>0.61781549222020249</v>
      </c>
      <c r="G889" s="17">
        <f>'01_원자료'!P886*'03_가중치민감도'!$B$7+'01_원자료'!Q886*'03_가중치민감도'!$C$7+'01_원자료'!R886*'03_가중치민감도'!$D$7</f>
        <v>0.70151724358952572</v>
      </c>
      <c r="H889" s="17">
        <f>'01_원자료'!P886*'03_가중치민감도'!$B$8+'01_원자료'!Q886*'03_가중치민감도'!$C$8+'01_원자료'!R886*'03_가중치민감도'!$D$8</f>
        <v>0.70526780237911191</v>
      </c>
      <c r="I889" s="17">
        <f>'01_원자료'!P886*'03_가중치민감도'!$B$9+'01_원자료'!Q886*'03_가중치민감도'!$C$9+'01_원자료'!R886*'03_가중치민감도'!$D$9</f>
        <v>0.64613280476437462</v>
      </c>
      <c r="J889" s="17">
        <f>'01_원자료'!P886*'03_가중치민감도'!$B$10+'01_원자료'!Q886*'03_가중치민감도'!$C$10+'01_원자료'!R886*'03_가중치민감도'!$D$10</f>
        <v>0.78771936748523963</v>
      </c>
      <c r="K889" s="31">
        <f t="shared" si="78"/>
        <v>827</v>
      </c>
      <c r="L889" s="31">
        <f t="shared" si="79"/>
        <v>884</v>
      </c>
      <c r="M889" s="31">
        <f t="shared" si="80"/>
        <v>836</v>
      </c>
      <c r="N889" s="31">
        <f t="shared" si="81"/>
        <v>801</v>
      </c>
      <c r="O889" s="31">
        <f t="shared" si="82"/>
        <v>855</v>
      </c>
      <c r="P889" s="31">
        <f t="shared" si="83"/>
        <v>778</v>
      </c>
    </row>
    <row r="890" spans="1:16">
      <c r="A890" s="2" t="str">
        <f>'01_원자료'!A887</f>
        <v>RPT-29</v>
      </c>
      <c r="B890" s="2" t="str">
        <f>'01_원자료'!B887</f>
        <v>chatgpt</v>
      </c>
      <c r="C890" s="2" t="str">
        <f>'01_원자료'!C887</f>
        <v>gemma</v>
      </c>
      <c r="E890" s="17">
        <f>'01_원자료'!P887*'03_가중치민감도'!$B$5+'01_원자료'!Q887*'03_가중치민감도'!$C$5+'01_원자료'!R887*'03_가중치민감도'!$D$5</f>
        <v>0.53245993955222659</v>
      </c>
      <c r="F890" s="17">
        <f>'01_원자료'!P887*'03_가중치민감도'!$B$6+'01_원자료'!Q887*'03_가중치민감도'!$C$6+'01_원자료'!R887*'03_가중치민감도'!$D$6</f>
        <v>0.44890303719555891</v>
      </c>
      <c r="G890" s="17">
        <f>'01_원자료'!P887*'03_가중치민감도'!$B$7+'01_원자료'!Q887*'03_가중치민감도'!$C$7+'01_원자료'!R887*'03_가중치민감도'!$D$7</f>
        <v>0.54123603899896555</v>
      </c>
      <c r="H890" s="17">
        <f>'01_원자료'!P887*'03_가중치민감도'!$B$8+'01_원자료'!Q887*'03_가중치민감도'!$C$8+'01_원자료'!R887*'03_가중치민감도'!$D$8</f>
        <v>0.48857944231853173</v>
      </c>
      <c r="I890" s="17">
        <f>'01_원자료'!P887*'03_가중치민감도'!$B$9+'01_원자료'!Q887*'03_가중치민감도'!$C$9+'01_원자료'!R887*'03_가중치민감도'!$D$9</f>
        <v>0.47382997149886796</v>
      </c>
      <c r="J890" s="17">
        <f>'01_원자료'!P887*'03_가중치민감도'!$B$10+'01_원자료'!Q887*'03_가중치민감도'!$C$10+'01_원자료'!R887*'03_가중치민감도'!$D$10</f>
        <v>0.59846464301541635</v>
      </c>
      <c r="K890" s="31">
        <f t="shared" si="78"/>
        <v>140</v>
      </c>
      <c r="L890" s="31">
        <f t="shared" si="79"/>
        <v>135</v>
      </c>
      <c r="M890" s="31">
        <f t="shared" si="80"/>
        <v>112</v>
      </c>
      <c r="N890" s="31">
        <f t="shared" si="81"/>
        <v>193</v>
      </c>
      <c r="O890" s="31">
        <f t="shared" si="82"/>
        <v>147</v>
      </c>
      <c r="P890" s="31">
        <f t="shared" si="83"/>
        <v>184</v>
      </c>
    </row>
    <row r="891" spans="1:16">
      <c r="A891" s="2" t="str">
        <f>'01_원자료'!A888</f>
        <v>RPT-29</v>
      </c>
      <c r="B891" s="2" t="str">
        <f>'01_원자료'!B888</f>
        <v>chatgpt</v>
      </c>
      <c r="C891" s="2" t="str">
        <f>'01_원자료'!C888</f>
        <v>ministral</v>
      </c>
      <c r="E891" s="17">
        <f>'01_원자료'!P888*'03_가중치민감도'!$B$5+'01_원자료'!Q888*'03_가중치민감도'!$C$5+'01_원자료'!R888*'03_가중치민감도'!$D$5</f>
        <v>0.59879509105529782</v>
      </c>
      <c r="F891" s="17">
        <f>'01_원자료'!P888*'03_가중치민감도'!$B$6+'01_원자료'!Q888*'03_가중치민감도'!$C$6+'01_원자료'!R888*'03_가중치민감도'!$D$6</f>
        <v>0.50024771183999961</v>
      </c>
      <c r="G891" s="17">
        <f>'01_원자료'!P888*'03_가중치민감도'!$B$7+'01_원자료'!Q888*'03_가중치민감도'!$C$7+'01_원자료'!R888*'03_가중치민감도'!$D$7</f>
        <v>0.60443298253243793</v>
      </c>
      <c r="H891" s="17">
        <f>'01_원자료'!P888*'03_가중치민감도'!$B$8+'01_원자료'!Q888*'03_가중치민감도'!$C$8+'01_원자료'!R888*'03_가중치민감도'!$D$8</f>
        <v>0.5706056336695976</v>
      </c>
      <c r="I891" s="17">
        <f>'01_원자료'!P888*'03_가중치민감도'!$B$9+'01_원자료'!Q888*'03_가중치민감도'!$C$9+'01_원자료'!R888*'03_가중치민감도'!$D$9</f>
        <v>0.53121754108605179</v>
      </c>
      <c r="J891" s="17">
        <f>'01_원자료'!P888*'03_가중치민감도'!$B$10+'01_원자료'!Q888*'03_가중치민감도'!$C$10+'01_원자료'!R888*'03_가중치민감도'!$D$10</f>
        <v>0.68606668731631593</v>
      </c>
      <c r="K891" s="31">
        <f t="shared" si="78"/>
        <v>388</v>
      </c>
      <c r="L891" s="31">
        <f t="shared" si="79"/>
        <v>362</v>
      </c>
      <c r="M891" s="31">
        <f t="shared" si="80"/>
        <v>385</v>
      </c>
      <c r="N891" s="31">
        <f t="shared" si="81"/>
        <v>403</v>
      </c>
      <c r="O891" s="31">
        <f t="shared" si="82"/>
        <v>379</v>
      </c>
      <c r="P891" s="31">
        <f t="shared" si="83"/>
        <v>416</v>
      </c>
    </row>
    <row r="892" spans="1:16">
      <c r="A892" s="2" t="str">
        <f>'01_원자료'!A889</f>
        <v>RPT-29</v>
      </c>
      <c r="B892" s="2" t="str">
        <f>'01_원자료'!B889</f>
        <v>chatgpt</v>
      </c>
      <c r="C892" s="2" t="str">
        <f>'01_원자료'!C889</f>
        <v>qwen</v>
      </c>
      <c r="E892" s="17">
        <f>'01_원자료'!P889*'03_가중치민감도'!$B$5+'01_원자료'!Q889*'03_가중치민감도'!$C$5+'01_원자료'!R889*'03_가중치민감도'!$D$5</f>
        <v>0.6109167448830034</v>
      </c>
      <c r="F892" s="17">
        <f>'01_원자료'!P889*'03_가중치민감도'!$B$6+'01_원자료'!Q889*'03_가중치민감도'!$C$6+'01_원자료'!R889*'03_가중치민감도'!$D$6</f>
        <v>0.52490845493454452</v>
      </c>
      <c r="G892" s="17">
        <f>'01_원자료'!P889*'03_가중치민감도'!$B$7+'01_원자료'!Q889*'03_가중치민감도'!$C$7+'01_원자료'!R889*'03_가중치민감도'!$D$7</f>
        <v>0.61301081906744315</v>
      </c>
      <c r="H892" s="17">
        <f>'01_원자료'!P889*'03_가중치민감도'!$B$8+'01_원자료'!Q889*'03_가중치민감도'!$C$8+'01_원자료'!R889*'03_가중치민감도'!$D$8</f>
        <v>0.60044637396080436</v>
      </c>
      <c r="I892" s="17">
        <f>'01_원자료'!P889*'03_가중치민감도'!$B$9+'01_원자료'!Q889*'03_가중치민감도'!$C$9+'01_원자료'!R889*'03_가중치민감도'!$D$9</f>
        <v>0.55287986018921698</v>
      </c>
      <c r="J892" s="17">
        <f>'01_원자료'!P889*'03_가중치민감도'!$B$10+'01_원자료'!Q889*'03_가중치민감도'!$C$10+'01_원자료'!R889*'03_가중치민감도'!$D$10</f>
        <v>0.69273688646258269</v>
      </c>
      <c r="K892" s="31">
        <f t="shared" si="78"/>
        <v>434</v>
      </c>
      <c r="L892" s="31">
        <f t="shared" si="79"/>
        <v>474</v>
      </c>
      <c r="M892" s="31">
        <f t="shared" si="80"/>
        <v>423</v>
      </c>
      <c r="N892" s="31">
        <f t="shared" si="81"/>
        <v>488</v>
      </c>
      <c r="O892" s="31">
        <f t="shared" si="82"/>
        <v>465</v>
      </c>
      <c r="P892" s="31">
        <f t="shared" si="83"/>
        <v>433</v>
      </c>
    </row>
    <row r="893" spans="1:16">
      <c r="A893" s="2" t="str">
        <f>'01_원자료'!A890</f>
        <v>RPT-29</v>
      </c>
      <c r="B893" s="2" t="str">
        <f>'01_원자료'!B890</f>
        <v>claude</v>
      </c>
      <c r="C893" s="2" t="str">
        <f>'01_원자료'!C890</f>
        <v>gemma</v>
      </c>
      <c r="E893" s="17">
        <f>'01_원자료'!P890*'03_가중치민감도'!$B$5+'01_원자료'!Q890*'03_가중치민감도'!$C$5+'01_원자료'!R890*'03_가중치민감도'!$D$5</f>
        <v>0.57695795533313499</v>
      </c>
      <c r="F893" s="17">
        <f>'01_원자료'!P890*'03_가중치민감도'!$B$6+'01_원자료'!Q890*'03_가중치민감도'!$C$6+'01_원자료'!R890*'03_가중치민감도'!$D$6</f>
        <v>0.47983971049088914</v>
      </c>
      <c r="G893" s="17">
        <f>'01_원자료'!P890*'03_가중치민감도'!$B$7+'01_원자료'!Q890*'03_가중치민감도'!$C$7+'01_원자료'!R890*'03_가중치민감도'!$D$7</f>
        <v>0.58205715401647828</v>
      </c>
      <c r="H893" s="17">
        <f>'01_원자료'!P890*'03_가중치민감도'!$B$8+'01_원자료'!Q890*'03_가중치민감도'!$C$8+'01_원자료'!R890*'03_가중치민감도'!$D$8</f>
        <v>0.55146196191641839</v>
      </c>
      <c r="I893" s="17">
        <f>'01_원자료'!P890*'03_가중치민감도'!$B$9+'01_원자료'!Q890*'03_가중치민감도'!$C$9+'01_원자료'!R890*'03_가중치민감도'!$D$9</f>
        <v>0.51051272587718943</v>
      </c>
      <c r="J893" s="17">
        <f>'01_원자료'!P890*'03_가중치민감도'!$B$10+'01_원자료'!Q890*'03_가중치민감도'!$C$10+'01_원자료'!R890*'03_가중치민감도'!$D$10</f>
        <v>0.66387780280869424</v>
      </c>
      <c r="K893" s="31">
        <f t="shared" si="78"/>
        <v>311</v>
      </c>
      <c r="L893" s="31">
        <f t="shared" si="79"/>
        <v>265</v>
      </c>
      <c r="M893" s="31">
        <f t="shared" si="80"/>
        <v>301</v>
      </c>
      <c r="N893" s="31">
        <f t="shared" si="81"/>
        <v>340</v>
      </c>
      <c r="O893" s="31">
        <f t="shared" si="82"/>
        <v>290</v>
      </c>
      <c r="P893" s="31">
        <f t="shared" si="83"/>
        <v>340</v>
      </c>
    </row>
    <row r="894" spans="1:16">
      <c r="A894" s="2" t="str">
        <f>'01_원자료'!A891</f>
        <v>RPT-29</v>
      </c>
      <c r="B894" s="2" t="str">
        <f>'01_원자료'!B891</f>
        <v>claude</v>
      </c>
      <c r="C894" s="2" t="str">
        <f>'01_원자료'!C891</f>
        <v>ministral</v>
      </c>
      <c r="E894" s="17">
        <f>'01_원자료'!P891*'03_가중치민감도'!$B$5+'01_원자료'!Q891*'03_가중치민감도'!$C$5+'01_원자료'!R891*'03_가중치민감도'!$D$5</f>
        <v>0.6232639399875628</v>
      </c>
      <c r="F894" s="17">
        <f>'01_원자료'!P891*'03_가중치민감도'!$B$6+'01_원자료'!Q891*'03_가중치민감도'!$C$6+'01_원자료'!R891*'03_가중치민감도'!$D$6</f>
        <v>0.51800627873123595</v>
      </c>
      <c r="G894" s="17">
        <f>'01_원자료'!P891*'03_가중치민감도'!$B$7+'01_원자료'!Q891*'03_가중치민감도'!$C$7+'01_원자료'!R891*'03_가중치민감도'!$D$7</f>
        <v>0.62225536884870614</v>
      </c>
      <c r="H894" s="17">
        <f>'01_원자료'!P891*'03_가중치민감도'!$B$8+'01_원자료'!Q891*'03_가중치민감도'!$C$8+'01_원자료'!R891*'03_가중치민감도'!$D$8</f>
        <v>0.628306795681846</v>
      </c>
      <c r="I894" s="17">
        <f>'01_원자료'!P891*'03_가중치민감도'!$B$9+'01_원자료'!Q891*'03_가중치민감도'!$C$9+'01_원자료'!R891*'03_가중치민감도'!$D$9</f>
        <v>0.55342835619629649</v>
      </c>
      <c r="J894" s="17">
        <f>'01_원자료'!P891*'03_가중치민감도'!$B$10+'01_원자료'!Q891*'03_가중치민감도'!$C$10+'01_원자료'!R891*'03_가중치민감도'!$D$10</f>
        <v>0.73053874352160286</v>
      </c>
      <c r="K894" s="31">
        <f t="shared" si="78"/>
        <v>504</v>
      </c>
      <c r="L894" s="31">
        <f t="shared" si="79"/>
        <v>451</v>
      </c>
      <c r="M894" s="31">
        <f t="shared" si="80"/>
        <v>475</v>
      </c>
      <c r="N894" s="31">
        <f t="shared" si="81"/>
        <v>571</v>
      </c>
      <c r="O894" s="31">
        <f t="shared" si="82"/>
        <v>466</v>
      </c>
      <c r="P894" s="31">
        <f t="shared" si="83"/>
        <v>583</v>
      </c>
    </row>
    <row r="895" spans="1:16">
      <c r="A895" s="2" t="str">
        <f>'01_원자료'!A892</f>
        <v>RPT-29</v>
      </c>
      <c r="B895" s="2" t="str">
        <f>'01_원자료'!B892</f>
        <v>claude</v>
      </c>
      <c r="C895" s="2" t="str">
        <f>'01_원자료'!C892</f>
        <v>qwen</v>
      </c>
      <c r="E895" s="17">
        <f>'01_원자료'!P892*'03_가중치민감도'!$B$5+'01_원자료'!Q892*'03_가중치민감도'!$C$5+'01_원자료'!R892*'03_가중치민감도'!$D$5</f>
        <v>0.67813383996925258</v>
      </c>
      <c r="F895" s="17">
        <f>'01_원자료'!P892*'03_가중치민감도'!$B$6+'01_원자료'!Q892*'03_가중치민감도'!$C$6+'01_원자료'!R892*'03_가중치민감도'!$D$6</f>
        <v>0.59490547473693467</v>
      </c>
      <c r="G895" s="17">
        <f>'01_원자료'!P892*'03_가중치민감도'!$B$7+'01_원자료'!Q892*'03_가중치민감도'!$C$7+'01_원자료'!R892*'03_가중치민감도'!$D$7</f>
        <v>0.6744559786669575</v>
      </c>
      <c r="H895" s="17">
        <f>'01_원자료'!P892*'03_가중치민감도'!$B$8+'01_원자료'!Q892*'03_가중치민감도'!$C$8+'01_원자료'!R892*'03_가중치민감도'!$D$8</f>
        <v>0.69652314648072788</v>
      </c>
      <c r="I895" s="17">
        <f>'01_원자료'!P892*'03_가중치민감도'!$B$9+'01_원자료'!Q892*'03_가중치민감도'!$C$9+'01_원자료'!R892*'03_가중치민감도'!$D$9</f>
        <v>0.62387421691513834</v>
      </c>
      <c r="J895" s="17">
        <f>'01_원자료'!P892*'03_가중치민감도'!$B$10+'01_원자료'!Q892*'03_가중치민감도'!$C$10+'01_원자료'!R892*'03_가중치민감도'!$D$10</f>
        <v>0.76871792780616066</v>
      </c>
      <c r="K895" s="31">
        <f t="shared" si="78"/>
        <v>750</v>
      </c>
      <c r="L895" s="31">
        <f t="shared" si="79"/>
        <v>785</v>
      </c>
      <c r="M895" s="31">
        <f t="shared" si="80"/>
        <v>739</v>
      </c>
      <c r="N895" s="31">
        <f t="shared" si="81"/>
        <v>776</v>
      </c>
      <c r="O895" s="31">
        <f t="shared" si="82"/>
        <v>774</v>
      </c>
      <c r="P895" s="31">
        <f t="shared" si="83"/>
        <v>715</v>
      </c>
    </row>
    <row r="896" spans="1:16">
      <c r="A896" s="2" t="str">
        <f>'01_원자료'!A893</f>
        <v>RPT-29</v>
      </c>
      <c r="B896" s="2" t="str">
        <f>'01_원자료'!B893</f>
        <v>gemini</v>
      </c>
      <c r="C896" s="2" t="str">
        <f>'01_원자료'!C893</f>
        <v>gemma</v>
      </c>
      <c r="E896" s="17">
        <f>'01_원자료'!P893*'03_가중치민감도'!$B$5+'01_원자료'!Q893*'03_가중치민감도'!$C$5+'01_원자료'!R893*'03_가중치민감도'!$D$5</f>
        <v>0.67272314279633372</v>
      </c>
      <c r="F896" s="17">
        <f>'01_원자료'!P893*'03_가중치민감도'!$B$6+'01_원자료'!Q893*'03_가중치민감도'!$C$6+'01_원자료'!R893*'03_가중치민감도'!$D$6</f>
        <v>0.55476579568115925</v>
      </c>
      <c r="G896" s="17">
        <f>'01_원자료'!P893*'03_가중치민감도'!$B$7+'01_원자료'!Q893*'03_가중치민감도'!$C$7+'01_원자료'!R893*'03_가중치민감도'!$D$7</f>
        <v>0.67330296894902075</v>
      </c>
      <c r="H896" s="17">
        <f>'01_원자료'!P893*'03_가중치민감도'!$B$8+'01_원자료'!Q893*'03_가중치민감도'!$C$8+'01_원자료'!R893*'03_가중치민감도'!$D$8</f>
        <v>0.66982401203289865</v>
      </c>
      <c r="I896" s="17">
        <f>'01_원자료'!P893*'03_가중치민감도'!$B$9+'01_원자료'!Q893*'03_가중치민감도'!$C$9+'01_원자료'!R893*'03_가중치민감도'!$D$9</f>
        <v>0.59389163600198791</v>
      </c>
      <c r="J896" s="17">
        <f>'01_원자료'!P893*'03_가중치민감도'!$B$10+'01_원자료'!Q893*'03_가중치민감도'!$C$10+'01_원자료'!R893*'03_가중치민감도'!$D$10</f>
        <v>0.78952083760613412</v>
      </c>
      <c r="K896" s="31">
        <f t="shared" si="78"/>
        <v>728</v>
      </c>
      <c r="L896" s="31">
        <f t="shared" si="79"/>
        <v>611</v>
      </c>
      <c r="M896" s="31">
        <f t="shared" si="80"/>
        <v>735</v>
      </c>
      <c r="N896" s="31">
        <f t="shared" si="81"/>
        <v>700</v>
      </c>
      <c r="O896" s="31">
        <f t="shared" si="82"/>
        <v>657</v>
      </c>
      <c r="P896" s="31">
        <f t="shared" si="83"/>
        <v>782</v>
      </c>
    </row>
    <row r="897" spans="1:16">
      <c r="A897" s="2" t="str">
        <f>'01_원자료'!A894</f>
        <v>RPT-29</v>
      </c>
      <c r="B897" s="2" t="str">
        <f>'01_원자료'!B894</f>
        <v>gemini</v>
      </c>
      <c r="C897" s="2" t="str">
        <f>'01_원자료'!C894</f>
        <v>ministral</v>
      </c>
      <c r="E897" s="17">
        <f>'01_원자료'!P894*'03_가중치민감도'!$B$5+'01_원자료'!Q894*'03_가중치민감도'!$C$5+'01_원자료'!R894*'03_가중치민감도'!$D$5</f>
        <v>0.58249612164417752</v>
      </c>
      <c r="F897" s="17">
        <f>'01_원자료'!P894*'03_가중치민감도'!$B$6+'01_원자료'!Q894*'03_가중치민감도'!$C$6+'01_원자료'!R894*'03_가중치민감도'!$D$6</f>
        <v>0.46485828499458209</v>
      </c>
      <c r="G897" s="17">
        <f>'01_원자료'!P894*'03_가중치민감도'!$B$7+'01_원자료'!Q894*'03_가중치민감도'!$C$7+'01_원자료'!R894*'03_가중치민감도'!$D$7</f>
        <v>0.59280003441378915</v>
      </c>
      <c r="H897" s="17">
        <f>'01_원자료'!P894*'03_가중치민감도'!$B$8+'01_원자료'!Q894*'03_가중치민감도'!$C$8+'01_원자료'!R894*'03_가중치민감도'!$D$8</f>
        <v>0.53097655779611952</v>
      </c>
      <c r="I897" s="17">
        <f>'01_원자료'!P894*'03_가중치민감도'!$B$9+'01_원자료'!Q894*'03_가중치민감도'!$C$9+'01_원자료'!R894*'03_가중치민감도'!$D$9</f>
        <v>0.50063625962124281</v>
      </c>
      <c r="J897" s="17">
        <f>'01_원자료'!P894*'03_가중치민감도'!$B$10+'01_원자료'!Q894*'03_가중치민감도'!$C$10+'01_원자료'!R894*'03_가중치민감도'!$D$10</f>
        <v>0.67952613275454965</v>
      </c>
      <c r="K897" s="31">
        <f t="shared" si="78"/>
        <v>329</v>
      </c>
      <c r="L897" s="31">
        <f t="shared" si="79"/>
        <v>200</v>
      </c>
      <c r="M897" s="31">
        <f t="shared" si="80"/>
        <v>334</v>
      </c>
      <c r="N897" s="31">
        <f t="shared" si="81"/>
        <v>281</v>
      </c>
      <c r="O897" s="31">
        <f t="shared" si="82"/>
        <v>248</v>
      </c>
      <c r="P897" s="31">
        <f t="shared" si="83"/>
        <v>386</v>
      </c>
    </row>
    <row r="898" spans="1:16">
      <c r="A898" s="2" t="str">
        <f>'01_원자료'!A895</f>
        <v>RPT-29</v>
      </c>
      <c r="B898" s="2" t="str">
        <f>'01_원자료'!B895</f>
        <v>gemini</v>
      </c>
      <c r="C898" s="2" t="str">
        <f>'01_원자료'!C895</f>
        <v>qwen</v>
      </c>
      <c r="E898" s="17">
        <f>'01_원자료'!P895*'03_가중치민감도'!$B$5+'01_원자료'!Q895*'03_가중치민감도'!$C$5+'01_원자료'!R895*'03_가중치민감도'!$D$5</f>
        <v>0.63996148420496679</v>
      </c>
      <c r="F898" s="17">
        <f>'01_원자료'!P895*'03_가중치민감도'!$B$6+'01_원자료'!Q895*'03_가중치민감도'!$C$6+'01_원자료'!R895*'03_가중치민감도'!$D$6</f>
        <v>0.53184548808908083</v>
      </c>
      <c r="G898" s="17">
        <f>'01_원자료'!P895*'03_가중치민감도'!$B$7+'01_원자료'!Q895*'03_가중치민감도'!$C$7+'01_원자료'!R895*'03_가중치민감도'!$D$7</f>
        <v>0.64823346024483675</v>
      </c>
      <c r="H898" s="17">
        <f>'01_원자료'!P895*'03_가중치민감도'!$B$8+'01_원자료'!Q895*'03_가중치민감도'!$C$8+'01_원자료'!R895*'03_가중치민감도'!$D$8</f>
        <v>0.59860160400561713</v>
      </c>
      <c r="I898" s="17">
        <f>'01_원자료'!P895*'03_가중치민감도'!$B$9+'01_원자료'!Q895*'03_가중치민감도'!$C$9+'01_원자료'!R895*'03_가중치민감도'!$D$9</f>
        <v>0.56512682811441894</v>
      </c>
      <c r="J898" s="17">
        <f>'01_원자료'!P895*'03_가중치민감도'!$B$10+'01_원자료'!Q895*'03_가중치민감도'!$C$10+'01_원자료'!R895*'03_가중치민감도'!$D$10</f>
        <v>0.73153352824111306</v>
      </c>
      <c r="K898" s="31">
        <f t="shared" si="78"/>
        <v>573</v>
      </c>
      <c r="L898" s="31">
        <f t="shared" si="79"/>
        <v>510</v>
      </c>
      <c r="M898" s="31">
        <f t="shared" si="80"/>
        <v>608</v>
      </c>
      <c r="N898" s="31">
        <f t="shared" si="81"/>
        <v>484</v>
      </c>
      <c r="O898" s="31">
        <f t="shared" si="82"/>
        <v>524</v>
      </c>
      <c r="P898" s="31">
        <f t="shared" si="83"/>
        <v>588</v>
      </c>
    </row>
    <row r="899" spans="1:16">
      <c r="A899" s="2" t="str">
        <f>'01_원자료'!A896</f>
        <v>RPT-29</v>
      </c>
      <c r="B899" s="2" t="str">
        <f>'01_원자료'!B896</f>
        <v>mistral</v>
      </c>
      <c r="C899" s="2" t="str">
        <f>'01_원자료'!C896</f>
        <v>gemma</v>
      </c>
      <c r="E899" s="17">
        <f>'01_원자료'!P896*'03_가중치민감도'!$B$5+'01_원자료'!Q896*'03_가중치민감도'!$C$5+'01_원자료'!R896*'03_가중치민감도'!$D$5</f>
        <v>0.5721804769110409</v>
      </c>
      <c r="F899" s="17">
        <f>'01_원자료'!P896*'03_가중치민감도'!$B$6+'01_원자료'!Q896*'03_가중치민감도'!$C$6+'01_원자료'!R896*'03_가중치민감도'!$D$6</f>
        <v>0.48563545159981392</v>
      </c>
      <c r="G899" s="17">
        <f>'01_원자료'!P896*'03_가중치민감도'!$B$7+'01_원자료'!Q896*'03_가중치민감도'!$C$7+'01_원자료'!R896*'03_가중치민감도'!$D$7</f>
        <v>0.57642942331031011</v>
      </c>
      <c r="H899" s="17">
        <f>'01_원자료'!P896*'03_가중치민감도'!$B$8+'01_원자료'!Q896*'03_가중치민감도'!$C$8+'01_원자료'!R896*'03_가중치민감도'!$D$8</f>
        <v>0.55093574491469477</v>
      </c>
      <c r="I899" s="17">
        <f>'01_원자료'!P896*'03_가중치민감도'!$B$9+'01_원자료'!Q896*'03_가중치민감도'!$C$9+'01_원자료'!R896*'03_가중치민감도'!$D$9</f>
        <v>0.51306747790379936</v>
      </c>
      <c r="J899" s="17">
        <f>'01_원자료'!P896*'03_가중치민감도'!$B$10+'01_원자료'!Q896*'03_가중치민감도'!$C$10+'01_원자료'!R896*'03_가중치민감도'!$D$10</f>
        <v>0.65022760942372937</v>
      </c>
      <c r="K899" s="31">
        <f t="shared" si="78"/>
        <v>297</v>
      </c>
      <c r="L899" s="31">
        <f t="shared" si="79"/>
        <v>297</v>
      </c>
      <c r="M899" s="31">
        <f t="shared" si="80"/>
        <v>276</v>
      </c>
      <c r="N899" s="31">
        <f t="shared" si="81"/>
        <v>336</v>
      </c>
      <c r="O899" s="31">
        <f t="shared" si="82"/>
        <v>301</v>
      </c>
      <c r="P899" s="31">
        <f t="shared" si="83"/>
        <v>304</v>
      </c>
    </row>
    <row r="900" spans="1:16">
      <c r="A900" s="2" t="str">
        <f>'01_원자료'!A897</f>
        <v>RPT-29</v>
      </c>
      <c r="B900" s="2" t="str">
        <f>'01_원자료'!B897</f>
        <v>mistral</v>
      </c>
      <c r="C900" s="2" t="str">
        <f>'01_원자료'!C897</f>
        <v>ministral</v>
      </c>
      <c r="E900" s="17">
        <f>'01_원자료'!P897*'03_가중치민감도'!$B$5+'01_원자료'!Q897*'03_가중치민감도'!$C$5+'01_원자료'!R897*'03_가중치민감도'!$D$5</f>
        <v>0.64645305225760308</v>
      </c>
      <c r="F900" s="17">
        <f>'01_원자료'!P897*'03_가중치민감도'!$B$6+'01_원자료'!Q897*'03_가중치민감도'!$C$6+'01_원자료'!R897*'03_가중치민감도'!$D$6</f>
        <v>0.55100777551365843</v>
      </c>
      <c r="G900" s="17">
        <f>'01_원자료'!P897*'03_가중치민감도'!$B$7+'01_원자료'!Q897*'03_가중치민감도'!$C$7+'01_원자료'!R897*'03_가중치민감도'!$D$7</f>
        <v>0.64674817290656339</v>
      </c>
      <c r="H900" s="17">
        <f>'01_원자료'!P897*'03_가중치민감도'!$B$8+'01_원자료'!Q897*'03_가중치민감도'!$C$8+'01_원자료'!R897*'03_가중치민감도'!$D$8</f>
        <v>0.64497744901280152</v>
      </c>
      <c r="I900" s="17">
        <f>'01_원자료'!P897*'03_가중치민감도'!$B$9+'01_원자료'!Q897*'03_가중치민감도'!$C$9+'01_원자료'!R897*'03_가중치민감도'!$D$9</f>
        <v>0.58272449421198602</v>
      </c>
      <c r="J900" s="17">
        <f>'01_원자료'!P897*'03_가중치민감도'!$B$10+'01_원자료'!Q897*'03_가중치민감도'!$C$10+'01_원자료'!R897*'03_가중치민감도'!$D$10</f>
        <v>0.74130808770362711</v>
      </c>
      <c r="K900" s="31">
        <f t="shared" si="78"/>
        <v>601</v>
      </c>
      <c r="L900" s="31">
        <f t="shared" si="79"/>
        <v>592</v>
      </c>
      <c r="M900" s="31">
        <f t="shared" si="80"/>
        <v>598</v>
      </c>
      <c r="N900" s="31">
        <f t="shared" si="81"/>
        <v>627</v>
      </c>
      <c r="O900" s="31">
        <f t="shared" si="82"/>
        <v>592</v>
      </c>
      <c r="P900" s="31">
        <f t="shared" si="83"/>
        <v>630</v>
      </c>
    </row>
    <row r="901" spans="1:16">
      <c r="A901" s="2" t="str">
        <f>'01_원자료'!A898</f>
        <v>RPT-29</v>
      </c>
      <c r="B901" s="2" t="str">
        <f>'01_원자료'!B898</f>
        <v>mistral</v>
      </c>
      <c r="C901" s="2" t="str">
        <f>'01_원자료'!C898</f>
        <v>qwen</v>
      </c>
      <c r="E901" s="17">
        <f>'01_원자료'!P898*'03_가중치민감도'!$B$5+'01_원자료'!Q898*'03_가중치민감도'!$C$5+'01_원자료'!R898*'03_가중치민감도'!$D$5</f>
        <v>0.67348026581387521</v>
      </c>
      <c r="F901" s="17">
        <f>'01_원자료'!P898*'03_가중치민감도'!$B$6+'01_원자료'!Q898*'03_가중치민감도'!$C$6+'01_원자료'!R898*'03_가중치민감도'!$D$6</f>
        <v>0.59517439804579486</v>
      </c>
      <c r="G901" s="17">
        <f>'01_원자료'!P898*'03_가중치민감도'!$B$7+'01_원자료'!Q898*'03_가중치민감도'!$C$7+'01_원자료'!R898*'03_가중치민감도'!$D$7</f>
        <v>0.66932097754191511</v>
      </c>
      <c r="H901" s="17">
        <f>'01_원자료'!P898*'03_가중치민감도'!$B$8+'01_원자료'!Q898*'03_가중치민감도'!$C$8+'01_원자료'!R898*'03_가중치민감도'!$D$8</f>
        <v>0.6942767071736754</v>
      </c>
      <c r="I901" s="17">
        <f>'01_원자료'!P898*'03_가중치민감도'!$B$9+'01_원자료'!Q898*'03_가중치민감도'!$C$9+'01_원자료'!R898*'03_가중치민감도'!$D$9</f>
        <v>0.62266278339247438</v>
      </c>
      <c r="J901" s="17">
        <f>'01_원자료'!P898*'03_가중치민감도'!$B$10+'01_원자료'!Q898*'03_가중치민감도'!$C$10+'01_원자료'!R898*'03_가중치민감도'!$D$10</f>
        <v>0.76010471012587577</v>
      </c>
      <c r="K901" s="31">
        <f t="shared" ref="K901:K964" si="84">COUNTIF($E$5:$E$979,"&lt;"&amp;E901)+(COUNTIF($E$5:$E$979,"="&amp;E901)+1)/2</f>
        <v>731</v>
      </c>
      <c r="L901" s="31">
        <f t="shared" ref="L901:L964" si="85">COUNTIF($F$5:$F$979,"&lt;"&amp;F901)+(COUNTIF($F$5:$F$979,"="&amp;F901)+1)/2</f>
        <v>787</v>
      </c>
      <c r="M901" s="31">
        <f t="shared" ref="M901:M964" si="86">COUNTIF($G$5:$G$979,"&lt;"&amp;G901)+(COUNTIF($G$5:$G$979,"="&amp;G901)+1)/2</f>
        <v>715</v>
      </c>
      <c r="N901" s="31">
        <f t="shared" ref="N901:N964" si="87">COUNTIF($H$5:$H$979,"&lt;"&amp;H901)+(COUNTIF($H$5:$H$979,"="&amp;H901)+1)/2</f>
        <v>766</v>
      </c>
      <c r="O901" s="31">
        <f t="shared" ref="O901:O964" si="88">COUNTIF($I$5:$I$979,"&lt;"&amp;I901)+(COUNTIF($I$5:$I$979,"="&amp;I901)+1)/2</f>
        <v>771</v>
      </c>
      <c r="P901" s="31">
        <f t="shared" ref="P901:P964" si="89">COUNTIF($J$5:$J$979,"&lt;"&amp;J901)+(COUNTIF($J$5:$J$979,"="&amp;J901)+1)/2</f>
        <v>694</v>
      </c>
    </row>
    <row r="902" spans="1:16">
      <c r="A902" s="2" t="str">
        <f>'01_원자료'!A899</f>
        <v>RPT-29</v>
      </c>
      <c r="B902" s="2" t="str">
        <f>'01_원자료'!B899</f>
        <v>qwen3_6</v>
      </c>
      <c r="C902" s="2" t="str">
        <f>'01_원자료'!C899</f>
        <v>gemma</v>
      </c>
      <c r="E902" s="17">
        <f>'01_원자료'!P899*'03_가중치민감도'!$B$5+'01_원자료'!Q899*'03_가중치민감도'!$C$5+'01_원자료'!R899*'03_가중치민감도'!$D$5</f>
        <v>0.66551510157888816</v>
      </c>
      <c r="F902" s="17">
        <f>'01_원자료'!P899*'03_가중치민감도'!$B$6+'01_원자료'!Q899*'03_가중치민감도'!$C$6+'01_원자료'!R899*'03_가중치민감도'!$D$6</f>
        <v>0.56103842582412866</v>
      </c>
      <c r="G902" s="17">
        <f>'01_원자료'!P899*'03_가중치민감도'!$B$7+'01_원자료'!Q899*'03_가중치민감도'!$C$7+'01_원자료'!R899*'03_가중치민감도'!$D$7</f>
        <v>0.66437086835008685</v>
      </c>
      <c r="H902" s="17">
        <f>'01_원자료'!P899*'03_가중치민감도'!$B$8+'01_원자료'!Q899*'03_가중치민감도'!$C$8+'01_원자료'!R899*'03_가중치민감도'!$D$8</f>
        <v>0.67123626772289491</v>
      </c>
      <c r="I902" s="17">
        <f>'01_원자료'!P899*'03_가중치민감도'!$B$9+'01_원자료'!Q899*'03_가중치민감도'!$C$9+'01_원자료'!R899*'03_가중치민감도'!$D$9</f>
        <v>0.59624539548531508</v>
      </c>
      <c r="J902" s="17">
        <f>'01_원자료'!P899*'03_가중치민감도'!$B$10+'01_원자료'!Q899*'03_가중치민감도'!$C$10+'01_원자료'!R899*'03_가중치민감도'!$D$10</f>
        <v>0.77228024379125038</v>
      </c>
      <c r="K902" s="31">
        <f t="shared" si="84"/>
        <v>696</v>
      </c>
      <c r="L902" s="31">
        <f t="shared" si="85"/>
        <v>644</v>
      </c>
      <c r="M902" s="31">
        <f t="shared" si="86"/>
        <v>690</v>
      </c>
      <c r="N902" s="31">
        <f t="shared" si="87"/>
        <v>703</v>
      </c>
      <c r="O902" s="31">
        <f t="shared" si="88"/>
        <v>664</v>
      </c>
      <c r="P902" s="31">
        <f t="shared" si="89"/>
        <v>730</v>
      </c>
    </row>
    <row r="903" spans="1:16">
      <c r="A903" s="2" t="str">
        <f>'01_원자료'!A900</f>
        <v>RPT-29</v>
      </c>
      <c r="B903" s="2" t="str">
        <f>'01_원자료'!B900</f>
        <v>qwen3_6</v>
      </c>
      <c r="C903" s="2" t="str">
        <f>'01_원자료'!C900</f>
        <v>ministral</v>
      </c>
      <c r="E903" s="17">
        <f>'01_원자료'!P900*'03_가중치민감도'!$B$5+'01_원자료'!Q900*'03_가중치민감도'!$C$5+'01_원자료'!R900*'03_가중치민감도'!$D$5</f>
        <v>0.57280712532659739</v>
      </c>
      <c r="F903" s="17">
        <f>'01_원자료'!P900*'03_가중치민감도'!$B$6+'01_원자료'!Q900*'03_가중치민감도'!$C$6+'01_원자료'!R900*'03_가중치민감도'!$D$6</f>
        <v>0.46306397953863015</v>
      </c>
      <c r="G903" s="17">
        <f>'01_원자료'!P900*'03_가중치민감도'!$B$7+'01_원자료'!Q900*'03_가중치민감도'!$C$7+'01_원자료'!R900*'03_가중치민감도'!$D$7</f>
        <v>0.58164573083127491</v>
      </c>
      <c r="H903" s="17">
        <f>'01_원자료'!P900*'03_가중치민감도'!$B$8+'01_원자료'!Q900*'03_가중치민감도'!$C$8+'01_원자료'!R900*'03_가중치민감도'!$D$8</f>
        <v>0.52861409780320945</v>
      </c>
      <c r="I903" s="17">
        <f>'01_원자료'!P900*'03_가중치민감도'!$B$9+'01_원자료'!Q900*'03_가중치민감도'!$C$9+'01_원자료'!R900*'03_가중치민감도'!$D$9</f>
        <v>0.49669882629972617</v>
      </c>
      <c r="J903" s="17">
        <f>'01_원자료'!P900*'03_가중치민감도'!$B$10+'01_원자료'!Q900*'03_가중치민감도'!$C$10+'01_원자료'!R900*'03_가중치민감도'!$D$10</f>
        <v>0.6648730601052093</v>
      </c>
      <c r="K903" s="31">
        <f t="shared" si="84"/>
        <v>299</v>
      </c>
      <c r="L903" s="31">
        <f t="shared" si="85"/>
        <v>190</v>
      </c>
      <c r="M903" s="31">
        <f t="shared" si="86"/>
        <v>299</v>
      </c>
      <c r="N903" s="31">
        <f t="shared" si="87"/>
        <v>275</v>
      </c>
      <c r="O903" s="31">
        <f t="shared" si="88"/>
        <v>230</v>
      </c>
      <c r="P903" s="31">
        <f t="shared" si="89"/>
        <v>344</v>
      </c>
    </row>
    <row r="904" spans="1:16">
      <c r="A904" s="2" t="str">
        <f>'01_원자료'!A901</f>
        <v>RPT-29</v>
      </c>
      <c r="B904" s="2" t="str">
        <f>'01_원자료'!B901</f>
        <v>qwen3_6</v>
      </c>
      <c r="C904" s="2" t="str">
        <f>'01_원자료'!C901</f>
        <v>qwen</v>
      </c>
      <c r="E904" s="17">
        <f>'01_원자료'!P901*'03_가중치민감도'!$B$5+'01_원자료'!Q901*'03_가중치민감도'!$C$5+'01_원자료'!R901*'03_가중치민감도'!$D$5</f>
        <v>0.63585503162531942</v>
      </c>
      <c r="F904" s="17">
        <f>'01_원자료'!P901*'03_가중치민감도'!$B$6+'01_원자료'!Q901*'03_가중치민감도'!$C$6+'01_원자료'!R901*'03_가중치민감도'!$D$6</f>
        <v>0.55581791496282373</v>
      </c>
      <c r="G904" s="17">
        <f>'01_원자료'!P901*'03_가중치민감도'!$B$7+'01_원자료'!Q901*'03_가중치민감도'!$C$7+'01_원자료'!R901*'03_가중치민감도'!$D$7</f>
        <v>0.6414448966624362</v>
      </c>
      <c r="H904" s="17">
        <f>'01_원자료'!P901*'03_가중치민감도'!$B$8+'01_원자료'!Q901*'03_가중치민감도'!$C$8+'01_원자료'!R901*'03_가중치민감도'!$D$8</f>
        <v>0.60790570643973552</v>
      </c>
      <c r="I904" s="17">
        <f>'01_원자료'!P901*'03_가중치민감도'!$B$9+'01_원자료'!Q901*'03_가중치민감도'!$C$9+'01_원자료'!R901*'03_가중치민감도'!$D$9</f>
        <v>0.58063366550461615</v>
      </c>
      <c r="J904" s="17">
        <f>'01_원자료'!P901*'03_가중치민감도'!$B$10+'01_원자료'!Q901*'03_가중치민감도'!$C$10+'01_원자료'!R901*'03_가중치민감도'!$D$10</f>
        <v>0.70471241821358155</v>
      </c>
      <c r="K904" s="31">
        <f t="shared" si="84"/>
        <v>564</v>
      </c>
      <c r="L904" s="31">
        <f t="shared" si="85"/>
        <v>618</v>
      </c>
      <c r="M904" s="31">
        <f t="shared" si="86"/>
        <v>570</v>
      </c>
      <c r="N904" s="31">
        <f t="shared" si="87"/>
        <v>514</v>
      </c>
      <c r="O904" s="31">
        <f t="shared" si="88"/>
        <v>583</v>
      </c>
      <c r="P904" s="31">
        <f t="shared" si="89"/>
        <v>478</v>
      </c>
    </row>
    <row r="905" spans="1:16">
      <c r="A905" s="2" t="str">
        <f>'01_원자료'!A902</f>
        <v>RPT-30</v>
      </c>
      <c r="B905" s="2" t="str">
        <f>'01_원자료'!B902</f>
        <v>chatgpt</v>
      </c>
      <c r="C905" s="2" t="str">
        <f>'01_원자료'!C902</f>
        <v>gemma</v>
      </c>
      <c r="E905" s="17">
        <f>'01_원자료'!P902*'03_가중치민감도'!$B$5+'01_원자료'!Q902*'03_가중치민감도'!$C$5+'01_원자료'!R902*'03_가중치민감도'!$D$5</f>
        <v>0.55531443173227757</v>
      </c>
      <c r="F905" s="17">
        <f>'01_원자료'!P902*'03_가중치민감도'!$B$6+'01_원자료'!Q902*'03_가중치민감도'!$C$6+'01_원자료'!R902*'03_가중치민감도'!$D$6</f>
        <v>0.46333191006288976</v>
      </c>
      <c r="G905" s="17">
        <f>'01_원자료'!P902*'03_가중치민감도'!$B$7+'01_원자료'!Q902*'03_가중치민감도'!$C$7+'01_원자료'!R902*'03_가중치민감도'!$D$7</f>
        <v>0.56123821503744598</v>
      </c>
      <c r="H905" s="17">
        <f>'01_원자료'!P902*'03_가중치민감도'!$B$8+'01_원자료'!Q902*'03_가중치민감도'!$C$8+'01_원자료'!R902*'03_가중치민감도'!$D$8</f>
        <v>0.5256955152064352</v>
      </c>
      <c r="I905" s="17">
        <f>'01_원자료'!P902*'03_가중치민감도'!$B$9+'01_원자료'!Q902*'03_가중치민감도'!$C$9+'01_원자료'!R902*'03_가중치민감도'!$D$9</f>
        <v>0.49201815618429567</v>
      </c>
      <c r="J905" s="17">
        <f>'01_원자료'!P902*'03_가중치민감도'!$B$10+'01_원자료'!Q902*'03_가중치민감도'!$C$10+'01_원자료'!R902*'03_가중치민감도'!$D$10</f>
        <v>0.63544938679132845</v>
      </c>
      <c r="K905" s="31">
        <f t="shared" si="84"/>
        <v>232</v>
      </c>
      <c r="L905" s="31">
        <f t="shared" si="85"/>
        <v>193</v>
      </c>
      <c r="M905" s="31">
        <f t="shared" si="86"/>
        <v>202</v>
      </c>
      <c r="N905" s="31">
        <f t="shared" si="87"/>
        <v>271</v>
      </c>
      <c r="O905" s="31">
        <f t="shared" si="88"/>
        <v>209</v>
      </c>
      <c r="P905" s="31">
        <f t="shared" si="89"/>
        <v>277</v>
      </c>
    </row>
    <row r="906" spans="1:16">
      <c r="A906" s="2" t="str">
        <f>'01_원자료'!A903</f>
        <v>RPT-30</v>
      </c>
      <c r="B906" s="2" t="str">
        <f>'01_원자료'!B903</f>
        <v>chatgpt</v>
      </c>
      <c r="C906" s="2" t="str">
        <f>'01_원자료'!C903</f>
        <v>ministral</v>
      </c>
      <c r="E906" s="17">
        <f>'01_원자료'!P903*'03_가중치민감도'!$B$5+'01_원자료'!Q903*'03_가중치민감도'!$C$5+'01_원자료'!R903*'03_가중치민감도'!$D$5</f>
        <v>0.48785991351637209</v>
      </c>
      <c r="F906" s="17">
        <f>'01_원자료'!P903*'03_가중치민감도'!$B$6+'01_원자료'!Q903*'03_가중치민감도'!$C$6+'01_원자료'!R903*'03_가중치민감도'!$D$6</f>
        <v>0.41105677893207121</v>
      </c>
      <c r="G906" s="17">
        <f>'01_원자료'!P903*'03_가중치민감도'!$B$7+'01_원자료'!Q903*'03_가중치민감도'!$C$7+'01_원자료'!R903*'03_가중치민감도'!$D$7</f>
        <v>0.50949716241809806</v>
      </c>
      <c r="H906" s="17">
        <f>'01_원자료'!P903*'03_가중치민감도'!$B$8+'01_원자료'!Q903*'03_가중치민감도'!$C$8+'01_원자료'!R903*'03_가중치민감도'!$D$8</f>
        <v>0.3796736690077418</v>
      </c>
      <c r="I906" s="17">
        <f>'01_원자료'!P903*'03_가중치민감도'!$B$9+'01_원자료'!Q903*'03_가중치민감도'!$C$9+'01_원자료'!R903*'03_가중치민감도'!$D$9</f>
        <v>0.42944540749292903</v>
      </c>
      <c r="J906" s="17">
        <f>'01_원자료'!P903*'03_가중치민감도'!$B$10+'01_원자료'!Q903*'03_가중치민감도'!$C$10+'01_원자료'!R903*'03_가중치민감도'!$D$10</f>
        <v>0.52138855029722087</v>
      </c>
      <c r="K906" s="31">
        <f t="shared" si="84"/>
        <v>25</v>
      </c>
      <c r="L906" s="31">
        <f t="shared" si="85"/>
        <v>33</v>
      </c>
      <c r="M906" s="31">
        <f t="shared" si="86"/>
        <v>30</v>
      </c>
      <c r="N906" s="31">
        <f t="shared" si="87"/>
        <v>18</v>
      </c>
      <c r="O906" s="31">
        <f t="shared" si="88"/>
        <v>31</v>
      </c>
      <c r="P906" s="31">
        <f t="shared" si="89"/>
        <v>20</v>
      </c>
    </row>
    <row r="907" spans="1:16">
      <c r="A907" s="2" t="str">
        <f>'01_원자료'!A904</f>
        <v>RPT-30</v>
      </c>
      <c r="B907" s="2" t="str">
        <f>'01_원자료'!B904</f>
        <v>chatgpt</v>
      </c>
      <c r="C907" s="2" t="str">
        <f>'01_원자료'!C904</f>
        <v>qwen</v>
      </c>
      <c r="E907" s="17">
        <f>'01_원자료'!P904*'03_가중치민감도'!$B$5+'01_원자료'!Q904*'03_가중치민감도'!$C$5+'01_원자료'!R904*'03_가중치민감도'!$D$5</f>
        <v>0.5458952451438529</v>
      </c>
      <c r="F907" s="17">
        <f>'01_원자료'!P904*'03_가중치민감도'!$B$6+'01_원자료'!Q904*'03_가중치민감도'!$C$6+'01_원자료'!R904*'03_가중치민감도'!$D$6</f>
        <v>0.47442214581610248</v>
      </c>
      <c r="G907" s="17">
        <f>'01_원자료'!P904*'03_가중치민감도'!$B$7+'01_원자료'!Q904*'03_가중치민감도'!$C$7+'01_원자료'!R904*'03_가중치민감도'!$D$7</f>
        <v>0.55862206846261442</v>
      </c>
      <c r="H907" s="17">
        <f>'01_원자료'!P904*'03_가중치민감도'!$B$8+'01_원자료'!Q904*'03_가중치민감도'!$C$8+'01_원자료'!R904*'03_가중치민감도'!$D$8</f>
        <v>0.48226112855004516</v>
      </c>
      <c r="I907" s="17">
        <f>'01_원자료'!P904*'03_가중치민감도'!$B$9+'01_원자료'!Q904*'03_가중치민감도'!$C$9+'01_원자료'!R904*'03_가중치민감도'!$D$9</f>
        <v>0.4940042378190983</v>
      </c>
      <c r="J907" s="17">
        <f>'01_원자료'!P904*'03_가중치민감도'!$B$10+'01_원자료'!Q904*'03_가중치민감도'!$C$10+'01_원자료'!R904*'03_가중치민감도'!$D$10</f>
        <v>0.59191469783408024</v>
      </c>
      <c r="K907" s="31">
        <f t="shared" si="84"/>
        <v>188</v>
      </c>
      <c r="L907" s="31">
        <f t="shared" si="85"/>
        <v>237</v>
      </c>
      <c r="M907" s="31">
        <f t="shared" si="86"/>
        <v>196</v>
      </c>
      <c r="N907" s="31">
        <f t="shared" si="87"/>
        <v>179</v>
      </c>
      <c r="O907" s="31">
        <f t="shared" si="88"/>
        <v>216</v>
      </c>
      <c r="P907" s="31">
        <f t="shared" si="89"/>
        <v>161</v>
      </c>
    </row>
    <row r="908" spans="1:16">
      <c r="A908" s="2" t="str">
        <f>'01_원자료'!A905</f>
        <v>RPT-30</v>
      </c>
      <c r="B908" s="2" t="str">
        <f>'01_원자료'!B905</f>
        <v>claude</v>
      </c>
      <c r="C908" s="2" t="str">
        <f>'01_원자료'!C905</f>
        <v>gemma</v>
      </c>
      <c r="E908" s="17">
        <f>'01_원자료'!P905*'03_가중치민감도'!$B$5+'01_원자료'!Q905*'03_가중치민감도'!$C$5+'01_원자료'!R905*'03_가중치민감도'!$D$5</f>
        <v>0.59675424628620377</v>
      </c>
      <c r="F908" s="17">
        <f>'01_원자료'!P905*'03_가중치민감도'!$B$6+'01_원자료'!Q905*'03_가중치민감도'!$C$6+'01_원자료'!R905*'03_가중치민감도'!$D$6</f>
        <v>0.49898612367899164</v>
      </c>
      <c r="G908" s="17">
        <f>'01_원자료'!P905*'03_가중치민감도'!$B$7+'01_원자료'!Q905*'03_가중치민감도'!$C$7+'01_원자료'!R905*'03_가중치민감도'!$D$7</f>
        <v>0.59822310994812977</v>
      </c>
      <c r="H908" s="17">
        <f>'01_원자료'!P905*'03_가중치민감도'!$B$8+'01_원자료'!Q905*'03_가중치민감도'!$C$8+'01_원자료'!R905*'03_가중치민감도'!$D$8</f>
        <v>0.58940992797657377</v>
      </c>
      <c r="I908" s="17">
        <f>'01_원자료'!P905*'03_가중치민감도'!$B$9+'01_원자료'!Q905*'03_가중치민감도'!$C$9+'01_원자료'!R905*'03_가중치민감도'!$D$9</f>
        <v>0.53108587666075313</v>
      </c>
      <c r="J908" s="17">
        <f>'01_원자료'!P905*'03_가중치민감도'!$B$10+'01_원자료'!Q905*'03_가중치민감도'!$C$10+'01_원자료'!R905*'03_가중치민감도'!$D$10</f>
        <v>0.6915846415695639</v>
      </c>
      <c r="K908" s="31">
        <f t="shared" si="84"/>
        <v>380</v>
      </c>
      <c r="L908" s="31">
        <f t="shared" si="85"/>
        <v>360</v>
      </c>
      <c r="M908" s="31">
        <f t="shared" si="86"/>
        <v>356</v>
      </c>
      <c r="N908" s="31">
        <f t="shared" si="87"/>
        <v>458</v>
      </c>
      <c r="O908" s="31">
        <f t="shared" si="88"/>
        <v>378</v>
      </c>
      <c r="P908" s="31">
        <f t="shared" si="89"/>
        <v>428</v>
      </c>
    </row>
    <row r="909" spans="1:16">
      <c r="A909" s="2" t="str">
        <f>'01_원자료'!A906</f>
        <v>RPT-30</v>
      </c>
      <c r="B909" s="2" t="str">
        <f>'01_원자료'!B906</f>
        <v>claude</v>
      </c>
      <c r="C909" s="2" t="str">
        <f>'01_원자료'!C906</f>
        <v>ministral</v>
      </c>
      <c r="E909" s="17">
        <f>'01_원자료'!P906*'03_가중치민감도'!$B$5+'01_원자료'!Q906*'03_가중치민감도'!$C$5+'01_원자료'!R906*'03_가중치민감도'!$D$5</f>
        <v>0.52574423351246224</v>
      </c>
      <c r="F909" s="17">
        <f>'01_원자료'!P906*'03_가중치민감도'!$B$6+'01_원자료'!Q906*'03_가중치민감도'!$C$6+'01_원자료'!R906*'03_가중치민감도'!$D$6</f>
        <v>0.44686527475507365</v>
      </c>
      <c r="G909" s="17">
        <f>'01_원자료'!P906*'03_가중치민감도'!$B$7+'01_원자료'!Q906*'03_가중치민감도'!$C$7+'01_원자료'!R906*'03_가중치민감도'!$D$7</f>
        <v>0.53921553454198445</v>
      </c>
      <c r="H909" s="17">
        <f>'01_원자료'!P906*'03_가중치민감도'!$B$8+'01_원자료'!Q906*'03_가중치민감도'!$C$8+'01_원자료'!R906*'03_가중치민감도'!$D$8</f>
        <v>0.45838772836485087</v>
      </c>
      <c r="I909" s="17">
        <f>'01_원자료'!P906*'03_가중치민감도'!$B$9+'01_원자료'!Q906*'03_가중치민감도'!$C$9+'01_원자료'!R906*'03_가중치민감도'!$D$9</f>
        <v>0.46866782733102863</v>
      </c>
      <c r="J909" s="17">
        <f>'01_원자료'!P906*'03_가중치민감도'!$B$10+'01_원자료'!Q906*'03_가중치민감도'!$C$10+'01_원자료'!R906*'03_가중치민감도'!$D$10</f>
        <v>0.57768059021080631</v>
      </c>
      <c r="K909" s="31">
        <f t="shared" si="84"/>
        <v>120</v>
      </c>
      <c r="L909" s="31">
        <f t="shared" si="85"/>
        <v>123</v>
      </c>
      <c r="M909" s="31">
        <f t="shared" si="86"/>
        <v>104</v>
      </c>
      <c r="N909" s="31">
        <f t="shared" si="87"/>
        <v>143</v>
      </c>
      <c r="O909" s="31">
        <f t="shared" si="88"/>
        <v>125</v>
      </c>
      <c r="P909" s="31">
        <f t="shared" si="89"/>
        <v>125</v>
      </c>
    </row>
    <row r="910" spans="1:16">
      <c r="A910" s="2" t="str">
        <f>'01_원자료'!A907</f>
        <v>RPT-30</v>
      </c>
      <c r="B910" s="2" t="str">
        <f>'01_원자료'!B907</f>
        <v>claude</v>
      </c>
      <c r="C910" s="2" t="str">
        <f>'01_원자료'!C907</f>
        <v>qwen</v>
      </c>
      <c r="E910" s="17">
        <f>'01_원자료'!P907*'03_가중치민감도'!$B$5+'01_원자료'!Q907*'03_가중치민감도'!$C$5+'01_원자료'!R907*'03_가중치민감도'!$D$5</f>
        <v>0.71037226628350036</v>
      </c>
      <c r="F910" s="17">
        <f>'01_원자료'!P907*'03_가중치민감도'!$B$6+'01_원자료'!Q907*'03_가중치민감도'!$C$6+'01_원자료'!R907*'03_가중치민감도'!$D$6</f>
        <v>0.61612858314679975</v>
      </c>
      <c r="G910" s="17">
        <f>'01_원자료'!P907*'03_가중치민감도'!$B$7+'01_원자료'!Q907*'03_가중치민감도'!$C$7+'01_원자료'!R907*'03_가중치민감도'!$D$7</f>
        <v>0.70190407135291477</v>
      </c>
      <c r="H910" s="17">
        <f>'01_원자료'!P907*'03_가중치민감도'!$B$8+'01_원자료'!Q907*'03_가중치민감도'!$C$8+'01_원자료'!R907*'03_가중치민감도'!$D$8</f>
        <v>0.752713240936429</v>
      </c>
      <c r="I910" s="17">
        <f>'01_원자료'!P907*'03_가중치민감도'!$B$9+'01_원자료'!Q907*'03_가중치민감도'!$C$9+'01_원자료'!R907*'03_가중치민감도'!$D$9</f>
        <v>0.65036587583589445</v>
      </c>
      <c r="J910" s="17">
        <f>'01_원자료'!P907*'03_가중치민감도'!$B$10+'01_원자료'!Q907*'03_가중치민감도'!$C$10+'01_원자료'!R907*'03_가중치민감도'!$D$10</f>
        <v>0.82155233928137261</v>
      </c>
      <c r="K910" s="31">
        <f t="shared" si="84"/>
        <v>846</v>
      </c>
      <c r="L910" s="31">
        <f t="shared" si="85"/>
        <v>879</v>
      </c>
      <c r="M910" s="31">
        <f t="shared" si="86"/>
        <v>840</v>
      </c>
      <c r="N910" s="31">
        <f t="shared" si="87"/>
        <v>851</v>
      </c>
      <c r="O910" s="31">
        <f t="shared" si="88"/>
        <v>868</v>
      </c>
      <c r="P910" s="31">
        <f t="shared" si="89"/>
        <v>843</v>
      </c>
    </row>
    <row r="911" spans="1:16">
      <c r="A911" s="2" t="str">
        <f>'01_원자료'!A908</f>
        <v>RPT-30</v>
      </c>
      <c r="B911" s="2" t="str">
        <f>'01_원자료'!B908</f>
        <v>gemini</v>
      </c>
      <c r="C911" s="2" t="str">
        <f>'01_원자료'!C908</f>
        <v>gemma</v>
      </c>
      <c r="E911" s="17">
        <f>'01_원자료'!P908*'03_가중치민감도'!$B$5+'01_원자료'!Q908*'03_가중치민감도'!$C$5+'01_원자료'!R908*'03_가중치민감도'!$D$5</f>
        <v>0.71668924644195409</v>
      </c>
      <c r="F911" s="17">
        <f>'01_원자료'!P908*'03_가중치민감도'!$B$6+'01_원자료'!Q908*'03_가중치민감도'!$C$6+'01_원자료'!R908*'03_가중치민감도'!$D$6</f>
        <v>0.5922026503722746</v>
      </c>
      <c r="G911" s="17">
        <f>'01_원자료'!P908*'03_가중치민감도'!$B$7+'01_원자료'!Q908*'03_가중치민감도'!$C$7+'01_원자료'!R908*'03_가중치민감도'!$D$7</f>
        <v>0.70836476879732813</v>
      </c>
      <c r="H911" s="17">
        <f>'01_원자료'!P908*'03_가중치민감도'!$B$8+'01_원자료'!Q908*'03_가중치민감도'!$C$8+'01_원자료'!R908*'03_가중치민감도'!$D$8</f>
        <v>0.75831163466508356</v>
      </c>
      <c r="I911" s="17">
        <f>'01_원자료'!P908*'03_가중치민감도'!$B$9+'01_원자료'!Q908*'03_가중치민감도'!$C$9+'01_원자료'!R908*'03_가중치민감도'!$D$9</f>
        <v>0.63647300827704245</v>
      </c>
      <c r="J911" s="17">
        <f>'01_원자료'!P908*'03_가중치민감도'!$B$10+'01_원자료'!Q908*'03_가중치민감도'!$C$10+'01_원자료'!R908*'03_가중치민감도'!$D$10</f>
        <v>0.85782479780088527</v>
      </c>
      <c r="K911" s="31">
        <f t="shared" si="84"/>
        <v>865</v>
      </c>
      <c r="L911" s="31">
        <f t="shared" si="85"/>
        <v>778</v>
      </c>
      <c r="M911" s="31">
        <f t="shared" si="86"/>
        <v>861</v>
      </c>
      <c r="N911" s="31">
        <f t="shared" si="87"/>
        <v>860</v>
      </c>
      <c r="O911" s="31">
        <f t="shared" si="88"/>
        <v>821</v>
      </c>
      <c r="P911" s="31">
        <f t="shared" si="89"/>
        <v>908</v>
      </c>
    </row>
    <row r="912" spans="1:16">
      <c r="A912" s="2" t="str">
        <f>'01_원자료'!A909</f>
        <v>RPT-30</v>
      </c>
      <c r="B912" s="2" t="str">
        <f>'01_원자료'!B909</f>
        <v>gemini</v>
      </c>
      <c r="C912" s="2" t="str">
        <f>'01_원자료'!C909</f>
        <v>ministral</v>
      </c>
      <c r="E912" s="17">
        <f>'01_원자료'!P909*'03_가중치민감도'!$B$5+'01_원자료'!Q909*'03_가중치민감도'!$C$5+'01_원자료'!R909*'03_가중치민감도'!$D$5</f>
        <v>0.51399402796328619</v>
      </c>
      <c r="F912" s="17">
        <f>'01_원자료'!P909*'03_가중치민감도'!$B$6+'01_원자료'!Q909*'03_가중치민감도'!$C$6+'01_원자료'!R909*'03_가중치민감도'!$D$6</f>
        <v>0.42159696935131147</v>
      </c>
      <c r="G912" s="17">
        <f>'01_원자료'!P909*'03_가중치민감도'!$B$7+'01_원자료'!Q909*'03_가중치민감도'!$C$7+'01_원자료'!R909*'03_가중치민감도'!$D$7</f>
        <v>0.53532506555662718</v>
      </c>
      <c r="H912" s="17">
        <f>'01_원자료'!P909*'03_가중치민감도'!$B$8+'01_원자료'!Q909*'03_가중치민감도'!$C$8+'01_원자료'!R909*'03_가중치민감도'!$D$8</f>
        <v>0.40733883999658183</v>
      </c>
      <c r="I912" s="17">
        <f>'01_원자료'!P909*'03_가중치민감도'!$B$9+'01_원자료'!Q909*'03_가중치민감도'!$C$9+'01_원자료'!R909*'03_가중치민감도'!$D$9</f>
        <v>0.44528564302418905</v>
      </c>
      <c r="J912" s="17">
        <f>'01_원자료'!P909*'03_가중치민감도'!$B$10+'01_원자료'!Q909*'03_가중치민감도'!$C$10+'01_원자료'!R909*'03_가중치민감도'!$D$10</f>
        <v>0.56372901138857923</v>
      </c>
      <c r="K912" s="31">
        <f t="shared" si="84"/>
        <v>78</v>
      </c>
      <c r="L912" s="31">
        <f t="shared" si="85"/>
        <v>51</v>
      </c>
      <c r="M912" s="31">
        <f t="shared" si="86"/>
        <v>88</v>
      </c>
      <c r="N912" s="31">
        <f t="shared" si="87"/>
        <v>57</v>
      </c>
      <c r="O912" s="31">
        <f t="shared" si="88"/>
        <v>53</v>
      </c>
      <c r="P912" s="31">
        <f t="shared" si="89"/>
        <v>99</v>
      </c>
    </row>
    <row r="913" spans="1:16">
      <c r="A913" s="2" t="str">
        <f>'01_원자료'!A910</f>
        <v>RPT-30</v>
      </c>
      <c r="B913" s="2" t="str">
        <f>'01_원자료'!B910</f>
        <v>gemini</v>
      </c>
      <c r="C913" s="2" t="str">
        <f>'01_원자료'!C910</f>
        <v>qwen</v>
      </c>
      <c r="E913" s="17">
        <f>'01_원자료'!P910*'03_가중치민감도'!$B$5+'01_원자료'!Q910*'03_가중치민감도'!$C$5+'01_원자료'!R910*'03_가중치민감도'!$D$5</f>
        <v>0.66822036725978617</v>
      </c>
      <c r="F913" s="17">
        <f>'01_원자료'!P910*'03_가중치민감도'!$B$6+'01_원자료'!Q910*'03_가중치민감도'!$C$6+'01_원자료'!R910*'03_가중치민감도'!$D$6</f>
        <v>0.56975321384147892</v>
      </c>
      <c r="G913" s="17">
        <f>'01_원자료'!P910*'03_가중치민감도'!$B$7+'01_원자료'!Q910*'03_가중치민감도'!$C$7+'01_원자료'!R910*'03_가중치민감도'!$D$7</f>
        <v>0.67272547209743871</v>
      </c>
      <c r="H913" s="17">
        <f>'01_원자료'!P910*'03_가중치민감도'!$B$8+'01_원자료'!Q910*'03_가중치민감도'!$C$8+'01_원자료'!R910*'03_가중치민감도'!$D$8</f>
        <v>0.64569484307152347</v>
      </c>
      <c r="I913" s="17">
        <f>'01_원자료'!P910*'03_가중치민감도'!$B$9+'01_원자료'!Q910*'03_가중치민감도'!$C$9+'01_원자료'!R910*'03_가중치민감도'!$D$9</f>
        <v>0.60107389670169664</v>
      </c>
      <c r="J913" s="17">
        <f>'01_원자료'!P910*'03_가중치민감도'!$B$10+'01_원자료'!Q910*'03_가중치민감도'!$C$10+'01_원자료'!R910*'03_가중치민감도'!$D$10</f>
        <v>0.75767731100278812</v>
      </c>
      <c r="K913" s="31">
        <f t="shared" si="84"/>
        <v>708</v>
      </c>
      <c r="L913" s="31">
        <f t="shared" si="85"/>
        <v>692</v>
      </c>
      <c r="M913" s="31">
        <f t="shared" si="86"/>
        <v>730</v>
      </c>
      <c r="N913" s="31">
        <f t="shared" si="87"/>
        <v>633</v>
      </c>
      <c r="O913" s="31">
        <f t="shared" si="88"/>
        <v>693</v>
      </c>
      <c r="P913" s="31">
        <f t="shared" si="89"/>
        <v>687</v>
      </c>
    </row>
    <row r="914" spans="1:16">
      <c r="A914" s="2" t="str">
        <f>'01_원자료'!A911</f>
        <v>RPT-30</v>
      </c>
      <c r="B914" s="2" t="str">
        <f>'01_원자료'!B911</f>
        <v>mistral</v>
      </c>
      <c r="C914" s="2" t="str">
        <f>'01_원자료'!C911</f>
        <v>gemma</v>
      </c>
      <c r="E914" s="17">
        <f>'01_원자료'!P911*'03_가중치민감도'!$B$5+'01_원자료'!Q911*'03_가중치민감도'!$C$5+'01_원자료'!R911*'03_가중치민감도'!$D$5</f>
        <v>0.64047067199658902</v>
      </c>
      <c r="F914" s="17">
        <f>'01_원자료'!P911*'03_가중치민감도'!$B$6+'01_원자료'!Q911*'03_가중치민감도'!$C$6+'01_원자료'!R911*'03_가중치민감도'!$D$6</f>
        <v>0.53678059740255679</v>
      </c>
      <c r="G914" s="17">
        <f>'01_원자료'!P911*'03_가중치민감도'!$B$7+'01_원자료'!Q911*'03_가중치민감도'!$C$7+'01_원자료'!R911*'03_가중치민감도'!$D$7</f>
        <v>0.63800013917299025</v>
      </c>
      <c r="H914" s="17">
        <f>'01_원자료'!P911*'03_가중치민감도'!$B$8+'01_원자료'!Q911*'03_가중치민감도'!$C$8+'01_원자료'!R911*'03_가중치민감도'!$D$8</f>
        <v>0.6528233361145831</v>
      </c>
      <c r="I914" s="17">
        <f>'01_원자료'!P911*'03_가중치민감도'!$B$9+'01_원자료'!Q911*'03_가중치민감도'!$C$9+'01_원자료'!R911*'03_가중치민감도'!$D$9</f>
        <v>0.57216746654176653</v>
      </c>
      <c r="J914" s="17">
        <f>'01_원자료'!P911*'03_가중치민감도'!$B$10+'01_원자료'!Q911*'03_가중치민감도'!$C$10+'01_원자료'!R911*'03_가중치민감도'!$D$10</f>
        <v>0.74910181223781902</v>
      </c>
      <c r="K914" s="31">
        <f t="shared" si="84"/>
        <v>579</v>
      </c>
      <c r="L914" s="31">
        <f t="shared" si="85"/>
        <v>532</v>
      </c>
      <c r="M914" s="31">
        <f t="shared" si="86"/>
        <v>557</v>
      </c>
      <c r="N914" s="31">
        <f t="shared" si="87"/>
        <v>650</v>
      </c>
      <c r="O914" s="31">
        <f t="shared" si="88"/>
        <v>550</v>
      </c>
      <c r="P914" s="31">
        <f t="shared" si="89"/>
        <v>653</v>
      </c>
    </row>
    <row r="915" spans="1:16">
      <c r="A915" s="2" t="str">
        <f>'01_원자료'!A912</f>
        <v>RPT-30</v>
      </c>
      <c r="B915" s="2" t="str">
        <f>'01_원자료'!B912</f>
        <v>mistral</v>
      </c>
      <c r="C915" s="2" t="str">
        <f>'01_원자료'!C912</f>
        <v>ministral</v>
      </c>
      <c r="E915" s="17">
        <f>'01_원자료'!P912*'03_가중치민감도'!$B$5+'01_원자료'!Q912*'03_가중치민감도'!$C$5+'01_원자료'!R912*'03_가중치민감도'!$D$5</f>
        <v>0.49873195043188595</v>
      </c>
      <c r="F915" s="17">
        <f>'01_원자료'!P912*'03_가중치민감도'!$B$6+'01_원자료'!Q912*'03_가중치민감도'!$C$6+'01_원자료'!R912*'03_가중치민감도'!$D$6</f>
        <v>0.41295331139369779</v>
      </c>
      <c r="G915" s="17">
        <f>'01_원자료'!P912*'03_가중치민감도'!$B$7+'01_원자료'!Q912*'03_가중치민감도'!$C$7+'01_원자료'!R912*'03_가중치민감도'!$D$7</f>
        <v>0.51645908885012193</v>
      </c>
      <c r="H915" s="17">
        <f>'01_원자료'!P912*'03_가중치민감도'!$B$8+'01_원자료'!Q912*'03_가중치민감도'!$C$8+'01_원자료'!R912*'03_가중치민감도'!$D$8</f>
        <v>0.41009625834070595</v>
      </c>
      <c r="I915" s="17">
        <f>'01_원자료'!P912*'03_가중치민감도'!$B$9+'01_원자료'!Q912*'03_가중치민감도'!$C$9+'01_원자료'!R912*'03_가중치민감도'!$D$9</f>
        <v>0.43563714493368139</v>
      </c>
      <c r="J915" s="17">
        <f>'01_원자료'!P912*'03_가중치민감도'!$B$10+'01_원자료'!Q912*'03_가중치민감도'!$C$10+'01_원자료'!R912*'03_가중치민감도'!$D$10</f>
        <v>0.54905631263360211</v>
      </c>
      <c r="K915" s="31">
        <f t="shared" si="84"/>
        <v>44</v>
      </c>
      <c r="L915" s="31">
        <f t="shared" si="85"/>
        <v>37</v>
      </c>
      <c r="M915" s="31">
        <f t="shared" si="86"/>
        <v>41</v>
      </c>
      <c r="N915" s="31">
        <f t="shared" si="87"/>
        <v>66</v>
      </c>
      <c r="O915" s="31">
        <f t="shared" si="88"/>
        <v>41</v>
      </c>
      <c r="P915" s="31">
        <f t="shared" si="89"/>
        <v>66</v>
      </c>
    </row>
    <row r="916" spans="1:16">
      <c r="A916" s="2" t="str">
        <f>'01_원자료'!A913</f>
        <v>RPT-30</v>
      </c>
      <c r="B916" s="2" t="str">
        <f>'01_원자료'!B913</f>
        <v>mistral</v>
      </c>
      <c r="C916" s="2" t="str">
        <f>'01_원자료'!C913</f>
        <v>qwen</v>
      </c>
      <c r="E916" s="17">
        <f>'01_원자료'!P913*'03_가중치민감도'!$B$5+'01_원자료'!Q913*'03_가중치민감도'!$C$5+'01_원자료'!R913*'03_가중치민감도'!$D$5</f>
        <v>0.60000679595567974</v>
      </c>
      <c r="F916" s="17">
        <f>'01_원자료'!P913*'03_가중치민감도'!$B$6+'01_원자료'!Q913*'03_가중치민감도'!$C$6+'01_원자료'!R913*'03_가중치민감도'!$D$6</f>
        <v>0.51588629309670986</v>
      </c>
      <c r="G916" s="17">
        <f>'01_원자료'!P913*'03_가중치민감도'!$B$7+'01_원자료'!Q913*'03_가중치민감도'!$C$7+'01_원자료'!R913*'03_가중치민감도'!$D$7</f>
        <v>0.60621774089057057</v>
      </c>
      <c r="H916" s="17">
        <f>'01_원자료'!P913*'03_가중치민감도'!$B$8+'01_원자료'!Q913*'03_가중치민감도'!$C$8+'01_원자료'!R913*'03_가중치민감도'!$D$8</f>
        <v>0.5689520712812256</v>
      </c>
      <c r="I916" s="17">
        <f>'01_원자료'!P913*'03_가중치민감도'!$B$9+'01_원자료'!Q913*'03_가중치민감도'!$C$9+'01_원자료'!R913*'03_가중치민감도'!$D$9</f>
        <v>0.54185614573806906</v>
      </c>
      <c r="J916" s="17">
        <f>'01_원자료'!P913*'03_가중치민감도'!$B$10+'01_원자료'!Q913*'03_가중치민감도'!$C$10+'01_원자료'!R913*'03_가중치민감도'!$D$10</f>
        <v>0.67170540894486797</v>
      </c>
      <c r="K916" s="31">
        <f t="shared" si="84"/>
        <v>390</v>
      </c>
      <c r="L916" s="31">
        <f t="shared" si="85"/>
        <v>444</v>
      </c>
      <c r="M916" s="31">
        <f t="shared" si="86"/>
        <v>394</v>
      </c>
      <c r="N916" s="31">
        <f t="shared" si="87"/>
        <v>396</v>
      </c>
      <c r="O916" s="31">
        <f t="shared" si="88"/>
        <v>425</v>
      </c>
      <c r="P916" s="31">
        <f t="shared" si="89"/>
        <v>359</v>
      </c>
    </row>
    <row r="917" spans="1:16">
      <c r="A917" s="2" t="str">
        <f>'01_원자료'!A914</f>
        <v>RPT-30</v>
      </c>
      <c r="B917" s="2" t="str">
        <f>'01_원자료'!B914</f>
        <v>qwen3_6</v>
      </c>
      <c r="C917" s="2" t="str">
        <f>'01_원자료'!C914</f>
        <v>gemma</v>
      </c>
      <c r="E917" s="17">
        <f>'01_원자료'!P914*'03_가중치민감도'!$B$5+'01_원자료'!Q914*'03_가중치민감도'!$C$5+'01_원자료'!R914*'03_가중치민감도'!$D$5</f>
        <v>0.72945987287604996</v>
      </c>
      <c r="F917" s="17">
        <f>'01_원자료'!P914*'03_가중치민감도'!$B$6+'01_원자료'!Q914*'03_가중치민감도'!$C$6+'01_원자료'!R914*'03_가중치민감도'!$D$6</f>
        <v>0.620148513877541</v>
      </c>
      <c r="G917" s="17">
        <f>'01_원자료'!P914*'03_가중치민감도'!$B$7+'01_원자료'!Q914*'03_가중치민감도'!$C$7+'01_원자료'!R914*'03_가중치민감도'!$D$7</f>
        <v>0.7209350110116679</v>
      </c>
      <c r="H917" s="17">
        <f>'01_원자료'!P914*'03_가중치민감도'!$B$8+'01_원자료'!Q914*'03_가중치민감도'!$C$8+'01_원자료'!R914*'03_가중치민감도'!$D$8</f>
        <v>0.77208418219796049</v>
      </c>
      <c r="I917" s="17">
        <f>'01_원자료'!P914*'03_가중치민감도'!$B$9+'01_원자료'!Q914*'03_가중치민감도'!$C$9+'01_원자료'!R914*'03_가중치민감도'!$D$9</f>
        <v>0.65942725416517067</v>
      </c>
      <c r="J917" s="17">
        <f>'01_원자료'!P914*'03_가중치민감도'!$B$10+'01_원자료'!Q914*'03_가중치민감도'!$C$10+'01_원자료'!R914*'03_가중치민감도'!$D$10</f>
        <v>0.85582095560332327</v>
      </c>
      <c r="K917" s="31">
        <f t="shared" si="84"/>
        <v>902</v>
      </c>
      <c r="L917" s="31">
        <f t="shared" si="85"/>
        <v>894</v>
      </c>
      <c r="M917" s="31">
        <f t="shared" si="86"/>
        <v>899</v>
      </c>
      <c r="N917" s="31">
        <f t="shared" si="87"/>
        <v>907</v>
      </c>
      <c r="O917" s="31">
        <f t="shared" si="88"/>
        <v>901</v>
      </c>
      <c r="P917" s="31">
        <f t="shared" si="89"/>
        <v>903</v>
      </c>
    </row>
    <row r="918" spans="1:16">
      <c r="A918" s="2" t="str">
        <f>'01_원자료'!A915</f>
        <v>RPT-30</v>
      </c>
      <c r="B918" s="2" t="str">
        <f>'01_원자료'!B915</f>
        <v>qwen3_6</v>
      </c>
      <c r="C918" s="2" t="str">
        <f>'01_원자료'!C915</f>
        <v>ministral</v>
      </c>
      <c r="E918" s="17">
        <f>'01_원자료'!P915*'03_가중치민감도'!$B$5+'01_원자료'!Q915*'03_가중치민감도'!$C$5+'01_원자료'!R915*'03_가중치민감도'!$D$5</f>
        <v>0.50114096637216443</v>
      </c>
      <c r="F918" s="17">
        <f>'01_원자료'!P915*'03_가중치민감도'!$B$6+'01_원자료'!Q915*'03_가중치민감도'!$C$6+'01_원자료'!R915*'03_가중치민감도'!$D$6</f>
        <v>0.41888029821360445</v>
      </c>
      <c r="G918" s="17">
        <f>'01_원자료'!P915*'03_가중치민감도'!$B$7+'01_원자료'!Q915*'03_가중치민감도'!$C$7+'01_원자료'!R915*'03_가중치민감도'!$D$7</f>
        <v>0.52055621629512727</v>
      </c>
      <c r="H918" s="17">
        <f>'01_원자료'!P915*'03_가중치민감도'!$B$8+'01_원자료'!Q915*'03_가중치민감도'!$C$8+'01_원자료'!R915*'03_가중치민감도'!$D$8</f>
        <v>0.40406471675735023</v>
      </c>
      <c r="I918" s="17">
        <f>'01_원자료'!P915*'03_가중치민감도'!$B$9+'01_원자료'!Q915*'03_가중치민감도'!$C$9+'01_원자료'!R915*'03_가중치민감도'!$D$9</f>
        <v>0.43982877095880302</v>
      </c>
      <c r="J918" s="17">
        <f>'01_원자료'!P915*'03_가중치민감도'!$B$10+'01_원자료'!Q915*'03_가중치민감도'!$C$10+'01_원자료'!R915*'03_가중치민감도'!$D$10</f>
        <v>0.54457113468479867</v>
      </c>
      <c r="K918" s="31">
        <f t="shared" si="84"/>
        <v>46</v>
      </c>
      <c r="L918" s="31">
        <f t="shared" si="85"/>
        <v>47</v>
      </c>
      <c r="M918" s="31">
        <f t="shared" si="86"/>
        <v>49</v>
      </c>
      <c r="N918" s="31">
        <f t="shared" si="87"/>
        <v>49</v>
      </c>
      <c r="O918" s="31">
        <f t="shared" si="88"/>
        <v>47</v>
      </c>
      <c r="P918" s="31">
        <f t="shared" si="89"/>
        <v>58</v>
      </c>
    </row>
    <row r="919" spans="1:16">
      <c r="A919" s="2" t="str">
        <f>'01_원자료'!A916</f>
        <v>RPT-30</v>
      </c>
      <c r="B919" s="2" t="str">
        <f>'01_원자료'!B916</f>
        <v>qwen3_6</v>
      </c>
      <c r="C919" s="2" t="str">
        <f>'01_원자료'!C916</f>
        <v>qwen</v>
      </c>
      <c r="E919" s="17">
        <f>'01_원자료'!P916*'03_가중치민감도'!$B$5+'01_원자료'!Q916*'03_가중치민감도'!$C$5+'01_원자료'!R916*'03_가중치민감도'!$D$5</f>
        <v>0.6562420056769851</v>
      </c>
      <c r="F919" s="17">
        <f>'01_원자료'!P916*'03_가중치민감도'!$B$6+'01_원자료'!Q916*'03_가중치민감도'!$C$6+'01_원자료'!R916*'03_가중치민감도'!$D$6</f>
        <v>0.5691183855258739</v>
      </c>
      <c r="G919" s="17">
        <f>'01_원자료'!P916*'03_가중치민감도'!$B$7+'01_원자료'!Q916*'03_가중치민감도'!$C$7+'01_원자료'!R916*'03_가중치민감도'!$D$7</f>
        <v>0.65880361927713782</v>
      </c>
      <c r="H919" s="17">
        <f>'01_원자료'!P916*'03_가중치민감도'!$B$8+'01_원자료'!Q916*'03_가중치민감도'!$C$8+'01_원자료'!R916*'03_가중치민감도'!$D$8</f>
        <v>0.64343393767622115</v>
      </c>
      <c r="I919" s="17">
        <f>'01_원자료'!P916*'03_가중치민감도'!$B$9+'01_원자료'!Q916*'03_가중치민감도'!$C$9+'01_원자료'!R916*'03_가중치민감도'!$D$9</f>
        <v>0.59730572104285939</v>
      </c>
      <c r="J919" s="17">
        <f>'01_원자료'!P916*'03_가중치민감도'!$B$10+'01_원자료'!Q916*'03_가중치민감도'!$C$10+'01_원자료'!R916*'03_가중치민감도'!$D$10</f>
        <v>0.73824239862779062</v>
      </c>
      <c r="K919" s="31">
        <f t="shared" si="84"/>
        <v>649</v>
      </c>
      <c r="L919" s="31">
        <f t="shared" si="85"/>
        <v>689</v>
      </c>
      <c r="M919" s="31">
        <f t="shared" si="86"/>
        <v>659</v>
      </c>
      <c r="N919" s="31">
        <f t="shared" si="87"/>
        <v>620</v>
      </c>
      <c r="O919" s="31">
        <f t="shared" si="88"/>
        <v>670</v>
      </c>
      <c r="P919" s="31">
        <f t="shared" si="89"/>
        <v>617</v>
      </c>
    </row>
    <row r="920" spans="1:16">
      <c r="A920" s="2" t="str">
        <f>'01_원자료'!A917</f>
        <v>RPT-31</v>
      </c>
      <c r="B920" s="2" t="str">
        <f>'01_원자료'!B917</f>
        <v>chatgpt</v>
      </c>
      <c r="C920" s="2" t="str">
        <f>'01_원자료'!C917</f>
        <v>gemma</v>
      </c>
      <c r="E920" s="17">
        <f>'01_원자료'!P917*'03_가중치민감도'!$B$5+'01_원자료'!Q917*'03_가중치민감도'!$C$5+'01_원자료'!R917*'03_가중치민감도'!$D$5</f>
        <v>0.57126372210552101</v>
      </c>
      <c r="F920" s="17">
        <f>'01_원자료'!P917*'03_가중치민감도'!$B$6+'01_원자료'!Q917*'03_가중치민감도'!$C$6+'01_원자료'!R917*'03_가중치민감도'!$D$6</f>
        <v>0.47711426215517716</v>
      </c>
      <c r="G920" s="17">
        <f>'01_원자료'!P917*'03_가중치민감도'!$B$7+'01_원자료'!Q917*'03_가중치민감도'!$C$7+'01_원자료'!R917*'03_가중치민감도'!$D$7</f>
        <v>0.57869719113187279</v>
      </c>
      <c r="H920" s="17">
        <f>'01_원자료'!P917*'03_가중치민감도'!$B$8+'01_원자료'!Q917*'03_가중치민감도'!$C$8+'01_원자료'!R917*'03_가중치민감도'!$D$8</f>
        <v>0.53409637697376211</v>
      </c>
      <c r="I920" s="17">
        <f>'01_원자료'!P917*'03_가중치민감도'!$B$9+'01_원자료'!Q917*'03_가중치민감도'!$C$9+'01_원자료'!R917*'03_가중치민감도'!$D$9</f>
        <v>0.50601959246317396</v>
      </c>
      <c r="J920" s="17">
        <f>'01_원자료'!P917*'03_가중치민감도'!$B$10+'01_원자료'!Q917*'03_가중치민감도'!$C$10+'01_원자료'!R917*'03_가중치민감도'!$D$10</f>
        <v>0.6505462440031613</v>
      </c>
      <c r="K920" s="31">
        <f t="shared" si="84"/>
        <v>289</v>
      </c>
      <c r="L920" s="31">
        <f t="shared" si="85"/>
        <v>254</v>
      </c>
      <c r="M920" s="31">
        <f t="shared" si="86"/>
        <v>288</v>
      </c>
      <c r="N920" s="31">
        <f t="shared" si="87"/>
        <v>291</v>
      </c>
      <c r="O920" s="31">
        <f t="shared" si="88"/>
        <v>267</v>
      </c>
      <c r="P920" s="31">
        <f t="shared" si="89"/>
        <v>307</v>
      </c>
    </row>
    <row r="921" spans="1:16">
      <c r="A921" s="2" t="str">
        <f>'01_원자료'!A918</f>
        <v>RPT-31</v>
      </c>
      <c r="B921" s="2" t="str">
        <f>'01_원자료'!B918</f>
        <v>chatgpt</v>
      </c>
      <c r="C921" s="2" t="str">
        <f>'01_원자료'!C918</f>
        <v>ministral</v>
      </c>
      <c r="E921" s="17">
        <f>'01_원자료'!P918*'03_가중치민감도'!$B$5+'01_원자료'!Q918*'03_가중치민감도'!$C$5+'01_원자료'!R918*'03_가중치민감도'!$D$5</f>
        <v>0.5799147050374428</v>
      </c>
      <c r="F921" s="17">
        <f>'01_원자료'!P918*'03_가중치민감도'!$B$6+'01_원자료'!Q918*'03_가중치민감도'!$C$6+'01_원자료'!R918*'03_가중치민감도'!$D$6</f>
        <v>0.51058026042724802</v>
      </c>
      <c r="G921" s="17">
        <f>'01_원자료'!P918*'03_가중치민감도'!$B$7+'01_원자료'!Q918*'03_가중치민감도'!$C$7+'01_원자료'!R918*'03_가중치민감도'!$D$7</f>
        <v>0.59451262800190641</v>
      </c>
      <c r="H921" s="17">
        <f>'01_원자료'!P918*'03_가중치민감도'!$B$8+'01_원자료'!Q918*'03_가중치민감도'!$C$8+'01_원자료'!R918*'03_가중치민감도'!$D$8</f>
        <v>0.50692509021512466</v>
      </c>
      <c r="I921" s="17">
        <f>'01_원자료'!P918*'03_가중치민감도'!$B$9+'01_원자료'!Q918*'03_가중치민감도'!$C$9+'01_원자료'!R918*'03_가중치민감도'!$D$9</f>
        <v>0.52882576764249123</v>
      </c>
      <c r="J921" s="17">
        <f>'01_원자료'!P918*'03_가중치민감도'!$B$10+'01_원자료'!Q918*'03_가중치민감도'!$C$10+'01_원자료'!R918*'03_가중치민감도'!$D$10</f>
        <v>0.62005330371871037</v>
      </c>
      <c r="K921" s="31">
        <f t="shared" si="84"/>
        <v>321</v>
      </c>
      <c r="L921" s="31">
        <f t="shared" si="85"/>
        <v>416</v>
      </c>
      <c r="M921" s="31">
        <f t="shared" si="86"/>
        <v>341</v>
      </c>
      <c r="N921" s="31">
        <f t="shared" si="87"/>
        <v>240</v>
      </c>
      <c r="O921" s="31">
        <f t="shared" si="88"/>
        <v>367</v>
      </c>
      <c r="P921" s="31">
        <f t="shared" si="89"/>
        <v>242</v>
      </c>
    </row>
    <row r="922" spans="1:16">
      <c r="A922" s="2" t="str">
        <f>'01_원자료'!A919</f>
        <v>RPT-31</v>
      </c>
      <c r="B922" s="2" t="str">
        <f>'01_원자료'!B919</f>
        <v>chatgpt</v>
      </c>
      <c r="C922" s="2" t="str">
        <f>'01_원자료'!C919</f>
        <v>qwen</v>
      </c>
      <c r="E922" s="17">
        <f>'01_원자료'!P919*'03_가중치민감도'!$B$5+'01_원자료'!Q919*'03_가중치민감도'!$C$5+'01_원자료'!R919*'03_가중치민감도'!$D$5</f>
        <v>0.55453767864882331</v>
      </c>
      <c r="F922" s="17">
        <f>'01_원자료'!P919*'03_가중치민감도'!$B$6+'01_원자료'!Q919*'03_가중치민감도'!$C$6+'01_원자료'!R919*'03_가중치민감도'!$D$6</f>
        <v>0.47396587691981518</v>
      </c>
      <c r="G922" s="17">
        <f>'01_원자료'!P919*'03_가중치민감도'!$B$7+'01_원자료'!Q919*'03_가중치민감도'!$C$7+'01_원자료'!R919*'03_가중치민감도'!$D$7</f>
        <v>0.56537592659276703</v>
      </c>
      <c r="H922" s="17">
        <f>'01_원자료'!P919*'03_가중치민감도'!$B$8+'01_원자료'!Q919*'03_가중치민감도'!$C$8+'01_원자료'!R919*'03_가중치민감도'!$D$8</f>
        <v>0.50034643892910402</v>
      </c>
      <c r="I922" s="17">
        <f>'01_원자료'!P919*'03_가중치민감도'!$B$9+'01_원자료'!Q919*'03_가중치민감도'!$C$9+'01_원자료'!R919*'03_가중치민감도'!$D$9</f>
        <v>0.49721039484816948</v>
      </c>
      <c r="J922" s="17">
        <f>'01_원자료'!P919*'03_가중치민감도'!$B$10+'01_원자료'!Q919*'03_가중치민감도'!$C$10+'01_원자료'!R919*'03_가중치민감도'!$D$10</f>
        <v>0.61343298448994354</v>
      </c>
      <c r="K922" s="31">
        <f t="shared" si="84"/>
        <v>226</v>
      </c>
      <c r="L922" s="31">
        <f t="shared" si="85"/>
        <v>235</v>
      </c>
      <c r="M922" s="31">
        <f t="shared" si="86"/>
        <v>223</v>
      </c>
      <c r="N922" s="31">
        <f t="shared" si="87"/>
        <v>226</v>
      </c>
      <c r="O922" s="31">
        <f t="shared" si="88"/>
        <v>233</v>
      </c>
      <c r="P922" s="31">
        <f t="shared" si="89"/>
        <v>220</v>
      </c>
    </row>
    <row r="923" spans="1:16">
      <c r="A923" s="2" t="str">
        <f>'01_원자료'!A920</f>
        <v>RPT-31</v>
      </c>
      <c r="B923" s="2" t="str">
        <f>'01_원자료'!B920</f>
        <v>claude</v>
      </c>
      <c r="C923" s="2" t="str">
        <f>'01_원자료'!C920</f>
        <v>gemma</v>
      </c>
      <c r="E923" s="17">
        <f>'01_원자료'!P920*'03_가중치민감도'!$B$5+'01_원자료'!Q920*'03_가중치민감도'!$C$5+'01_원자료'!R920*'03_가중치민감도'!$D$5</f>
        <v>0.62471906293303792</v>
      </c>
      <c r="F923" s="17">
        <f>'01_원자료'!P920*'03_가중치민감도'!$B$6+'01_원자료'!Q920*'03_가중치민감도'!$C$6+'01_원자료'!R920*'03_가중치민감도'!$D$6</f>
        <v>0.53205196031999324</v>
      </c>
      <c r="G923" s="17">
        <f>'01_원자료'!P920*'03_가중치민감도'!$B$7+'01_원자료'!Q920*'03_가중치민감도'!$C$7+'01_원자료'!R920*'03_가중치민감도'!$D$7</f>
        <v>0.62649152765975635</v>
      </c>
      <c r="H923" s="17">
        <f>'01_원자료'!P920*'03_가중치민감도'!$B$8+'01_원자료'!Q920*'03_가중치민감도'!$C$8+'01_원자료'!R920*'03_가중치민감도'!$D$8</f>
        <v>0.61585673929944629</v>
      </c>
      <c r="I923" s="17">
        <f>'01_원자료'!P920*'03_가중치민감도'!$B$9+'01_원자료'!Q920*'03_가중치민감도'!$C$9+'01_원자료'!R920*'03_가중치민감도'!$D$9</f>
        <v>0.5623501729487681</v>
      </c>
      <c r="J923" s="17">
        <f>'01_원자료'!P920*'03_가중치민감도'!$B$10+'01_원자료'!Q920*'03_가중치민감도'!$C$10+'01_원자료'!R920*'03_가중치민감도'!$D$10</f>
        <v>0.71384123609264605</v>
      </c>
      <c r="K923" s="31">
        <f t="shared" si="84"/>
        <v>508</v>
      </c>
      <c r="L923" s="31">
        <f t="shared" si="85"/>
        <v>511</v>
      </c>
      <c r="M923" s="31">
        <f t="shared" si="86"/>
        <v>496</v>
      </c>
      <c r="N923" s="31">
        <f t="shared" si="87"/>
        <v>536</v>
      </c>
      <c r="O923" s="31">
        <f t="shared" si="88"/>
        <v>516</v>
      </c>
      <c r="P923" s="31">
        <f t="shared" si="89"/>
        <v>512</v>
      </c>
    </row>
    <row r="924" spans="1:16">
      <c r="A924" s="2" t="str">
        <f>'01_원자료'!A921</f>
        <v>RPT-31</v>
      </c>
      <c r="B924" s="2" t="str">
        <f>'01_원자료'!B921</f>
        <v>claude</v>
      </c>
      <c r="C924" s="2" t="str">
        <f>'01_원자료'!C921</f>
        <v>ministral</v>
      </c>
      <c r="E924" s="17">
        <f>'01_원자료'!P921*'03_가중치민감도'!$B$5+'01_원자료'!Q921*'03_가중치민감도'!$C$5+'01_원자료'!R921*'03_가중치민감도'!$D$5</f>
        <v>0.62717934069209746</v>
      </c>
      <c r="F924" s="17">
        <f>'01_원자료'!P921*'03_가중치민감도'!$B$6+'01_원자료'!Q921*'03_가중치민감도'!$C$6+'01_원자료'!R921*'03_가중치민감도'!$D$6</f>
        <v>0.53790351247271573</v>
      </c>
      <c r="G924" s="17">
        <f>'01_원자료'!P921*'03_가중치민감도'!$B$7+'01_원자료'!Q921*'03_가중치민감도'!$C$7+'01_원자료'!R921*'03_가중치민감도'!$D$7</f>
        <v>0.63039123327534918</v>
      </c>
      <c r="H924" s="17">
        <f>'01_원자료'!P921*'03_가중치민감도'!$B$8+'01_원자료'!Q921*'03_가중치민감도'!$C$8+'01_원자료'!R921*'03_가중치민감도'!$D$8</f>
        <v>0.61111987777583865</v>
      </c>
      <c r="I924" s="17">
        <f>'01_원자료'!P921*'03_가중치민감도'!$B$9+'01_원자료'!Q921*'03_가중치민감도'!$C$9+'01_원자료'!R921*'03_가중치민감도'!$D$9</f>
        <v>0.56659149101809181</v>
      </c>
      <c r="J924" s="17">
        <f>'01_원자료'!P921*'03_가중치민감도'!$B$10+'01_원자료'!Q921*'03_가중치민감도'!$C$10+'01_원자료'!R921*'03_가중치민감도'!$D$10</f>
        <v>0.71003138374497565</v>
      </c>
      <c r="K924" s="31">
        <f t="shared" si="84"/>
        <v>516</v>
      </c>
      <c r="L924" s="31">
        <f t="shared" si="85"/>
        <v>537</v>
      </c>
      <c r="M924" s="31">
        <f t="shared" si="86"/>
        <v>517</v>
      </c>
      <c r="N924" s="31">
        <f t="shared" si="87"/>
        <v>525</v>
      </c>
      <c r="O924" s="31">
        <f t="shared" si="88"/>
        <v>534</v>
      </c>
      <c r="P924" s="31">
        <f t="shared" si="89"/>
        <v>498</v>
      </c>
    </row>
    <row r="925" spans="1:16">
      <c r="A925" s="2" t="str">
        <f>'01_원자료'!A922</f>
        <v>RPT-31</v>
      </c>
      <c r="B925" s="2" t="str">
        <f>'01_원자료'!B922</f>
        <v>claude</v>
      </c>
      <c r="C925" s="2" t="str">
        <f>'01_원자료'!C922</f>
        <v>qwen</v>
      </c>
      <c r="E925" s="17">
        <f>'01_원자료'!P922*'03_가중치민감도'!$B$5+'01_원자료'!Q922*'03_가중치민감도'!$C$5+'01_원자료'!R922*'03_가중치민감도'!$D$5</f>
        <v>0.68829276342970069</v>
      </c>
      <c r="F925" s="17">
        <f>'01_원자료'!P922*'03_가중치민감도'!$B$6+'01_원자료'!Q922*'03_가중치민감도'!$C$6+'01_원자료'!R922*'03_가중치민감도'!$D$6</f>
        <v>0.61062390677985001</v>
      </c>
      <c r="G925" s="17">
        <f>'01_원자료'!P922*'03_가중치민감도'!$B$7+'01_원자료'!Q922*'03_가중치민감도'!$C$7+'01_원자료'!R922*'03_가중치민감도'!$D$7</f>
        <v>0.68464610664713543</v>
      </c>
      <c r="H925" s="17">
        <f>'01_원자료'!P922*'03_가중치민감도'!$B$8+'01_원자료'!Q922*'03_가중치민감도'!$C$8+'01_원자료'!R922*'03_가중치민감도'!$D$8</f>
        <v>0.70652604734252666</v>
      </c>
      <c r="I925" s="17">
        <f>'01_원자료'!P922*'03_가중치민감도'!$B$9+'01_원자료'!Q922*'03_가중치민감도'!$C$9+'01_원자료'!R922*'03_가중치민감도'!$D$9</f>
        <v>0.63772907792398792</v>
      </c>
      <c r="J925" s="17">
        <f>'01_원자료'!P922*'03_가중치민감도'!$B$10+'01_원자료'!Q922*'03_가중치민감도'!$C$10+'01_원자료'!R922*'03_가중치민감도'!$D$10</f>
        <v>0.77325493364468156</v>
      </c>
      <c r="K925" s="31">
        <f t="shared" si="84"/>
        <v>780</v>
      </c>
      <c r="L925" s="31">
        <f t="shared" si="85"/>
        <v>861</v>
      </c>
      <c r="M925" s="31">
        <f t="shared" si="86"/>
        <v>778</v>
      </c>
      <c r="N925" s="31">
        <f t="shared" si="87"/>
        <v>803</v>
      </c>
      <c r="O925" s="31">
        <f t="shared" si="88"/>
        <v>825</v>
      </c>
      <c r="P925" s="31">
        <f t="shared" si="89"/>
        <v>734</v>
      </c>
    </row>
    <row r="926" spans="1:16">
      <c r="A926" s="2" t="str">
        <f>'01_원자료'!A923</f>
        <v>RPT-31</v>
      </c>
      <c r="B926" s="2" t="str">
        <f>'01_원자료'!B923</f>
        <v>gemini</v>
      </c>
      <c r="C926" s="2" t="str">
        <f>'01_원자료'!C923</f>
        <v>gemma</v>
      </c>
      <c r="E926" s="17">
        <f>'01_원자료'!P923*'03_가중치민감도'!$B$5+'01_원자료'!Q923*'03_가중치민감도'!$C$5+'01_원자료'!R923*'03_가중치민감도'!$D$5</f>
        <v>0.73416155821091167</v>
      </c>
      <c r="F926" s="17">
        <f>'01_원자료'!P923*'03_가중치민감도'!$B$6+'01_원자료'!Q923*'03_가중치민감도'!$C$6+'01_원자료'!R923*'03_가중치민감도'!$D$6</f>
        <v>0.62121718795291825</v>
      </c>
      <c r="G926" s="17">
        <f>'01_원자료'!P923*'03_가중치민감도'!$B$7+'01_원자료'!Q923*'03_가중치민감도'!$C$7+'01_원자료'!R923*'03_가중치민감도'!$D$7</f>
        <v>0.72633125439605839</v>
      </c>
      <c r="H926" s="17">
        <f>'01_원자료'!P923*'03_가중치민감도'!$B$8+'01_원자료'!Q923*'03_가중치민감도'!$C$8+'01_원자료'!R923*'03_가중치민감도'!$D$8</f>
        <v>0.77331307728517795</v>
      </c>
      <c r="I926" s="17">
        <f>'01_원자료'!P923*'03_가중치민감도'!$B$9+'01_원자료'!Q923*'03_가중치민감도'!$C$9+'01_원자료'!R923*'03_가중치민감도'!$D$9</f>
        <v>0.66147541264386644</v>
      </c>
      <c r="J926" s="17">
        <f>'01_원자료'!P923*'03_가중치민감도'!$B$10+'01_원자료'!Q923*'03_가중치민감도'!$C$10+'01_원자료'!R923*'03_가중치민감도'!$D$10</f>
        <v>0.86276653609861165</v>
      </c>
      <c r="K926" s="31">
        <f t="shared" si="84"/>
        <v>913</v>
      </c>
      <c r="L926" s="31">
        <f t="shared" si="85"/>
        <v>899</v>
      </c>
      <c r="M926" s="31">
        <f t="shared" si="86"/>
        <v>912</v>
      </c>
      <c r="N926" s="31">
        <f t="shared" si="87"/>
        <v>915</v>
      </c>
      <c r="O926" s="31">
        <f t="shared" si="88"/>
        <v>910</v>
      </c>
      <c r="P926" s="31">
        <f t="shared" si="89"/>
        <v>925</v>
      </c>
    </row>
    <row r="927" spans="1:16">
      <c r="A927" s="2" t="str">
        <f>'01_원자료'!A924</f>
        <v>RPT-31</v>
      </c>
      <c r="B927" s="2" t="str">
        <f>'01_원자료'!B924</f>
        <v>gemini</v>
      </c>
      <c r="C927" s="2" t="str">
        <f>'01_원자료'!C924</f>
        <v>ministral</v>
      </c>
      <c r="E927" s="17">
        <f>'01_원자료'!P924*'03_가중치민감도'!$B$5+'01_원자료'!Q924*'03_가중치민감도'!$C$5+'01_원자료'!R924*'03_가중치민감도'!$D$5</f>
        <v>0.63805913338925047</v>
      </c>
      <c r="F927" s="17">
        <f>'01_원자료'!P924*'03_가중치민감도'!$B$6+'01_원자료'!Q924*'03_가중치민감도'!$C$6+'01_원자료'!R924*'03_가중치민감도'!$D$6</f>
        <v>0.54472122639415077</v>
      </c>
      <c r="G927" s="17">
        <f>'01_원자료'!P924*'03_가중치민감도'!$B$7+'01_원자료'!Q924*'03_가중치민감도'!$C$7+'01_원자료'!R924*'03_가중치민감도'!$D$7</f>
        <v>0.64536691144597103</v>
      </c>
      <c r="H927" s="17">
        <f>'01_원자료'!P924*'03_가중치민감도'!$B$8+'01_원자료'!Q924*'03_가중치민감도'!$C$8+'01_원자료'!R924*'03_가중치민감도'!$D$8</f>
        <v>0.60152024310564778</v>
      </c>
      <c r="I927" s="17">
        <f>'01_원자료'!P924*'03_가중치민감도'!$B$9+'01_원자료'!Q924*'03_가중치민감도'!$C$9+'01_원자료'!R924*'03_가중치민감도'!$D$9</f>
        <v>0.57339793604027656</v>
      </c>
      <c r="J927" s="17">
        <f>'01_원자료'!P924*'03_가중치민감도'!$B$10+'01_원자료'!Q924*'03_가중치민감도'!$C$10+'01_원자료'!R924*'03_가중치민감도'!$D$10</f>
        <v>0.71678148427090904</v>
      </c>
      <c r="K927" s="31">
        <f t="shared" si="84"/>
        <v>570</v>
      </c>
      <c r="L927" s="31">
        <f t="shared" si="85"/>
        <v>559</v>
      </c>
      <c r="M927" s="31">
        <f t="shared" si="86"/>
        <v>593</v>
      </c>
      <c r="N927" s="31">
        <f t="shared" si="87"/>
        <v>495</v>
      </c>
      <c r="O927" s="31">
        <f t="shared" si="88"/>
        <v>554</v>
      </c>
      <c r="P927" s="31">
        <f t="shared" si="89"/>
        <v>528</v>
      </c>
    </row>
    <row r="928" spans="1:16">
      <c r="A928" s="2" t="str">
        <f>'01_원자료'!A925</f>
        <v>RPT-31</v>
      </c>
      <c r="B928" s="2" t="str">
        <f>'01_원자료'!B925</f>
        <v>gemini</v>
      </c>
      <c r="C928" s="2" t="str">
        <f>'01_원자료'!C925</f>
        <v>qwen</v>
      </c>
      <c r="E928" s="17">
        <f>'01_원자료'!P925*'03_가중치민감도'!$B$5+'01_원자료'!Q925*'03_가중치민감도'!$C$5+'01_원자료'!R925*'03_가중치민감도'!$D$5</f>
        <v>0.69402442045696011</v>
      </c>
      <c r="F928" s="17">
        <f>'01_원자료'!P925*'03_가중치민감도'!$B$6+'01_원자료'!Q925*'03_가중치민감도'!$C$6+'01_원자료'!R925*'03_가중치민감도'!$D$6</f>
        <v>0.59794531664102135</v>
      </c>
      <c r="G928" s="17">
        <f>'01_원자료'!P925*'03_가중치민감도'!$B$7+'01_원자료'!Q925*'03_가중치민감도'!$C$7+'01_원자료'!R925*'03_가중치민감도'!$D$7</f>
        <v>0.69317928930976702</v>
      </c>
      <c r="H928" s="17">
        <f>'01_원자료'!P925*'03_가중치민감도'!$B$8+'01_원자료'!Q925*'03_가중치민감도'!$C$8+'01_원자료'!R925*'03_가중치민감도'!$D$8</f>
        <v>0.69825007619292545</v>
      </c>
      <c r="I928" s="17">
        <f>'01_원자료'!P925*'03_가중치민감도'!$B$9+'01_원자료'!Q925*'03_가중치민감도'!$C$9+'01_원자료'!R925*'03_가중치민감도'!$D$9</f>
        <v>0.63025339496206478</v>
      </c>
      <c r="J928" s="17">
        <f>'01_원자료'!P925*'03_가중치민감도'!$B$10+'01_원자료'!Q925*'03_가중치민감도'!$C$10+'01_원자료'!R925*'03_가중치민감도'!$D$10</f>
        <v>0.79179378656728505</v>
      </c>
      <c r="K928" s="31">
        <f t="shared" si="84"/>
        <v>800</v>
      </c>
      <c r="L928" s="31">
        <f t="shared" si="85"/>
        <v>803</v>
      </c>
      <c r="M928" s="31">
        <f t="shared" si="86"/>
        <v>808</v>
      </c>
      <c r="N928" s="31">
        <f t="shared" si="87"/>
        <v>783</v>
      </c>
      <c r="O928" s="31">
        <f t="shared" si="88"/>
        <v>796</v>
      </c>
      <c r="P928" s="31">
        <f t="shared" si="89"/>
        <v>789</v>
      </c>
    </row>
    <row r="929" spans="1:16">
      <c r="A929" s="2" t="str">
        <f>'01_원자료'!A926</f>
        <v>RPT-31</v>
      </c>
      <c r="B929" s="2" t="str">
        <f>'01_원자료'!B926</f>
        <v>mistral</v>
      </c>
      <c r="C929" s="2" t="str">
        <f>'01_원자료'!C926</f>
        <v>gemma</v>
      </c>
      <c r="E929" s="17">
        <f>'01_원자료'!P926*'03_가중치민감도'!$B$5+'01_원자료'!Q926*'03_가중치민감도'!$C$5+'01_원자료'!R926*'03_가중치민감도'!$D$5</f>
        <v>0.5813232932965674</v>
      </c>
      <c r="F929" s="17">
        <f>'01_원자료'!P926*'03_가중치민감도'!$B$6+'01_원자료'!Q926*'03_가중치민감도'!$C$6+'01_원자료'!R926*'03_가중치민감도'!$D$6</f>
        <v>0.49585444928125189</v>
      </c>
      <c r="G929" s="17">
        <f>'01_원자료'!P926*'03_가중치민감도'!$B$7+'01_원자료'!Q926*'03_가중치민감도'!$C$7+'01_원자료'!R926*'03_가중치민감도'!$D$7</f>
        <v>0.58277382562374513</v>
      </c>
      <c r="H929" s="17">
        <f>'01_원자료'!P926*'03_가중치민감도'!$B$8+'01_원자료'!Q926*'03_가중치민감도'!$C$8+'01_원자료'!R926*'03_가중치민감도'!$D$8</f>
        <v>0.5740706316606784</v>
      </c>
      <c r="I929" s="17">
        <f>'01_원자료'!P926*'03_가중치민감도'!$B$9+'01_원자료'!Q926*'03_가중치민감도'!$C$9+'01_원자료'!R926*'03_가중치민감도'!$D$9</f>
        <v>0.52386055317729729</v>
      </c>
      <c r="J929" s="17">
        <f>'01_원자료'!P926*'03_가중치민감도'!$B$10+'01_원자료'!Q926*'03_가중치민감도'!$C$10+'01_원자료'!R926*'03_가중치민감도'!$D$10</f>
        <v>0.66389107265752734</v>
      </c>
      <c r="K929" s="31">
        <f t="shared" si="84"/>
        <v>324</v>
      </c>
      <c r="L929" s="31">
        <f t="shared" si="85"/>
        <v>339</v>
      </c>
      <c r="M929" s="31">
        <f t="shared" si="86"/>
        <v>303</v>
      </c>
      <c r="N929" s="31">
        <f t="shared" si="87"/>
        <v>411</v>
      </c>
      <c r="O929" s="31">
        <f t="shared" si="88"/>
        <v>337</v>
      </c>
      <c r="P929" s="31">
        <f t="shared" si="89"/>
        <v>341</v>
      </c>
    </row>
    <row r="930" spans="1:16">
      <c r="A930" s="2" t="str">
        <f>'01_원자료'!A927</f>
        <v>RPT-31</v>
      </c>
      <c r="B930" s="2" t="str">
        <f>'01_원자료'!B927</f>
        <v>mistral</v>
      </c>
      <c r="C930" s="2" t="str">
        <f>'01_원자료'!C927</f>
        <v>ministral</v>
      </c>
      <c r="E930" s="17">
        <f>'01_원자료'!P927*'03_가중치민감도'!$B$5+'01_원자료'!Q927*'03_가중치민감도'!$C$5+'01_원자료'!R927*'03_가중치민감도'!$D$5</f>
        <v>0.67768424742957056</v>
      </c>
      <c r="F930" s="17">
        <f>'01_원자료'!P927*'03_가중치민감도'!$B$6+'01_원자료'!Q927*'03_가중치민감도'!$C$6+'01_원자료'!R927*'03_가중치민감도'!$D$6</f>
        <v>0.60258001030748409</v>
      </c>
      <c r="G930" s="17">
        <f>'01_원자료'!P927*'03_가중치민감도'!$B$7+'01_원자료'!Q927*'03_가중치민감도'!$C$7+'01_원자료'!R927*'03_가중치민감도'!$D$7</f>
        <v>0.67427745166970576</v>
      </c>
      <c r="H930" s="17">
        <f>'01_원자료'!P927*'03_가중치민감도'!$B$8+'01_원자료'!Q927*'03_가중치민감도'!$C$8+'01_원자료'!R927*'03_가중치민감도'!$D$8</f>
        <v>0.69471822622889423</v>
      </c>
      <c r="I930" s="17">
        <f>'01_원자료'!P927*'03_가중치민감도'!$B$9+'01_원자료'!Q927*'03_가중치민감도'!$C$9+'01_원자료'!R927*'03_가중치민감도'!$D$9</f>
        <v>0.62875035460146722</v>
      </c>
      <c r="J930" s="17">
        <f>'01_원자료'!P927*'03_가중치민감도'!$B$10+'01_원자료'!Q927*'03_가중치민감도'!$C$10+'01_원자료'!R927*'03_가중치민감도'!$D$10</f>
        <v>0.75960207607138641</v>
      </c>
      <c r="K930" s="31">
        <f t="shared" si="84"/>
        <v>748</v>
      </c>
      <c r="L930" s="31">
        <f t="shared" si="85"/>
        <v>822</v>
      </c>
      <c r="M930" s="31">
        <f t="shared" si="86"/>
        <v>737</v>
      </c>
      <c r="N930" s="31">
        <f t="shared" si="87"/>
        <v>768</v>
      </c>
      <c r="O930" s="31">
        <f t="shared" si="88"/>
        <v>789</v>
      </c>
      <c r="P930" s="31">
        <f t="shared" si="89"/>
        <v>693</v>
      </c>
    </row>
    <row r="931" spans="1:16">
      <c r="A931" s="2" t="str">
        <f>'01_원자료'!A928</f>
        <v>RPT-31</v>
      </c>
      <c r="B931" s="2" t="str">
        <f>'01_원자료'!B928</f>
        <v>mistral</v>
      </c>
      <c r="C931" s="2" t="str">
        <f>'01_원자료'!C928</f>
        <v>qwen</v>
      </c>
      <c r="E931" s="17">
        <f>'01_원자료'!P928*'03_가중치민감도'!$B$5+'01_원자료'!Q928*'03_가중치민감도'!$C$5+'01_원자료'!R928*'03_가중치민감도'!$D$5</f>
        <v>0.63566853815495739</v>
      </c>
      <c r="F931" s="17">
        <f>'01_원자료'!P928*'03_가중치민감도'!$B$6+'01_원자료'!Q928*'03_가중치민감도'!$C$6+'01_원자료'!R928*'03_가중치민감도'!$D$6</f>
        <v>0.55975440444462643</v>
      </c>
      <c r="G931" s="17">
        <f>'01_원자료'!P928*'03_가중치민감도'!$B$7+'01_원자료'!Q928*'03_가중치민감도'!$C$7+'01_원자료'!R928*'03_가중치민감도'!$D$7</f>
        <v>0.63144675562339292</v>
      </c>
      <c r="H931" s="17">
        <f>'01_원자료'!P928*'03_가중치민감도'!$B$8+'01_원자료'!Q928*'03_가중치민감도'!$C$8+'01_원자료'!R928*'03_가중치민감도'!$D$8</f>
        <v>0.65677745081277972</v>
      </c>
      <c r="I931" s="17">
        <f>'01_원자료'!P928*'03_가중치민감도'!$B$9+'01_원자료'!Q928*'03_가중치민감도'!$C$9+'01_원자료'!R928*'03_가중치민감도'!$D$9</f>
        <v>0.58646637652525768</v>
      </c>
      <c r="J931" s="17">
        <f>'01_원자료'!P928*'03_가중치민감도'!$B$10+'01_원자료'!Q928*'03_가중치민감도'!$C$10+'01_원자료'!R928*'03_가중치민감도'!$D$10</f>
        <v>0.72002623692841727</v>
      </c>
      <c r="K931" s="31">
        <f t="shared" si="84"/>
        <v>563</v>
      </c>
      <c r="L931" s="31">
        <f t="shared" si="85"/>
        <v>636</v>
      </c>
      <c r="M931" s="31">
        <f t="shared" si="86"/>
        <v>524</v>
      </c>
      <c r="N931" s="31">
        <f t="shared" si="87"/>
        <v>656</v>
      </c>
      <c r="O931" s="31">
        <f t="shared" si="88"/>
        <v>615</v>
      </c>
      <c r="P931" s="31">
        <f t="shared" si="89"/>
        <v>547</v>
      </c>
    </row>
    <row r="932" spans="1:16">
      <c r="A932" s="2" t="str">
        <f>'01_원자료'!A929</f>
        <v>RPT-31</v>
      </c>
      <c r="B932" s="2" t="str">
        <f>'01_원자료'!B929</f>
        <v>qwen3_6</v>
      </c>
      <c r="C932" s="2" t="str">
        <f>'01_원자료'!C929</f>
        <v>gemma</v>
      </c>
      <c r="E932" s="17">
        <f>'01_원자료'!P929*'03_가중치민감도'!$B$5+'01_원자료'!Q929*'03_가중치민감도'!$C$5+'01_원자료'!R929*'03_가중치민감도'!$D$5</f>
        <v>0.72433461011595512</v>
      </c>
      <c r="F932" s="17">
        <f>'01_원자료'!P929*'03_가중치민감도'!$B$6+'01_원자료'!Q929*'03_가중치민감도'!$C$6+'01_원자료'!R929*'03_가중치민감도'!$D$6</f>
        <v>0.62234289059675163</v>
      </c>
      <c r="G932" s="17">
        <f>'01_원자료'!P929*'03_가중치민감도'!$B$7+'01_원자료'!Q929*'03_가중치민감도'!$C$7+'01_원자료'!R929*'03_가중치민감도'!$D$7</f>
        <v>0.7147726730649564</v>
      </c>
      <c r="H932" s="17">
        <f>'01_원자료'!P929*'03_가중치민감도'!$B$8+'01_원자료'!Q929*'03_가중치민감도'!$C$8+'01_원자료'!R929*'03_가중치민감도'!$D$8</f>
        <v>0.7721442953709492</v>
      </c>
      <c r="I932" s="17">
        <f>'01_원자료'!P929*'03_가중치민감도'!$B$9+'01_원자료'!Q929*'03_가중치민감도'!$C$9+'01_원자료'!R929*'03_가중치민감도'!$D$9</f>
        <v>0.65952744278681852</v>
      </c>
      <c r="J932" s="17">
        <f>'01_원자료'!P929*'03_가중치민감도'!$B$10+'01_원자료'!Q929*'03_가중치민감도'!$C$10+'01_원자료'!R929*'03_가중치민감도'!$D$10</f>
        <v>0.84545020373715629</v>
      </c>
      <c r="K932" s="31">
        <f t="shared" si="84"/>
        <v>893</v>
      </c>
      <c r="L932" s="31">
        <f t="shared" si="85"/>
        <v>905</v>
      </c>
      <c r="M932" s="31">
        <f t="shared" si="86"/>
        <v>887</v>
      </c>
      <c r="N932" s="31">
        <f t="shared" si="87"/>
        <v>909</v>
      </c>
      <c r="O932" s="31">
        <f t="shared" si="88"/>
        <v>903</v>
      </c>
      <c r="P932" s="31">
        <f t="shared" si="89"/>
        <v>876</v>
      </c>
    </row>
    <row r="933" spans="1:16">
      <c r="A933" s="2" t="str">
        <f>'01_원자료'!A930</f>
        <v>RPT-31</v>
      </c>
      <c r="B933" s="2" t="str">
        <f>'01_원자료'!B930</f>
        <v>qwen3_6</v>
      </c>
      <c r="C933" s="2" t="str">
        <f>'01_원자료'!C930</f>
        <v>ministral</v>
      </c>
      <c r="E933" s="17">
        <f>'01_원자료'!P930*'03_가중치민감도'!$B$5+'01_원자료'!Q930*'03_가중치민감도'!$C$5+'01_원자료'!R930*'03_가중치민감도'!$D$5</f>
        <v>0.62971278389434038</v>
      </c>
      <c r="F933" s="17">
        <f>'01_원자료'!P930*'03_가중치민감도'!$B$6+'01_원자료'!Q930*'03_가중치민감도'!$C$6+'01_원자료'!R930*'03_가중치민감도'!$D$6</f>
        <v>0.54565522348252293</v>
      </c>
      <c r="G933" s="17">
        <f>'01_원자료'!P930*'03_가중치민감도'!$B$7+'01_원자료'!Q930*'03_가중치민감도'!$C$7+'01_원자료'!R930*'03_가중치민감도'!$D$7</f>
        <v>0.63555167061121165</v>
      </c>
      <c r="H933" s="17">
        <f>'01_원자료'!P930*'03_가중치민감도'!$B$8+'01_원자료'!Q930*'03_가중치민감도'!$C$8+'01_원자료'!R930*'03_가중치민감도'!$D$8</f>
        <v>0.60051835030998446</v>
      </c>
      <c r="I933" s="17">
        <f>'01_원자료'!P930*'03_가중치민감도'!$B$9+'01_원자료'!Q930*'03_가중치민감도'!$C$9+'01_원자료'!R930*'03_가중치민감도'!$D$9</f>
        <v>0.57172811471417118</v>
      </c>
      <c r="J933" s="17">
        <f>'01_원자료'!P930*'03_가중치민감도'!$B$10+'01_원자료'!Q930*'03_가중치민감도'!$C$10+'01_원자료'!R930*'03_가중치민감도'!$D$10</f>
        <v>0.7020925708724155</v>
      </c>
      <c r="K933" s="31">
        <f t="shared" si="84"/>
        <v>526</v>
      </c>
      <c r="L933" s="31">
        <f t="shared" si="85"/>
        <v>565</v>
      </c>
      <c r="M933" s="31">
        <f t="shared" si="86"/>
        <v>539</v>
      </c>
      <c r="N933" s="31">
        <f t="shared" si="87"/>
        <v>489</v>
      </c>
      <c r="O933" s="31">
        <f t="shared" si="88"/>
        <v>549</v>
      </c>
      <c r="P933" s="31">
        <f t="shared" si="89"/>
        <v>467</v>
      </c>
    </row>
    <row r="934" spans="1:16">
      <c r="A934" s="2" t="str">
        <f>'01_원자료'!A931</f>
        <v>RPT-31</v>
      </c>
      <c r="B934" s="2" t="str">
        <f>'01_원자료'!B931</f>
        <v>qwen3_6</v>
      </c>
      <c r="C934" s="2" t="str">
        <f>'01_원자료'!C931</f>
        <v>qwen</v>
      </c>
      <c r="E934" s="17">
        <f>'01_원자료'!P931*'03_가중치민감도'!$B$5+'01_원자료'!Q931*'03_가중치민감도'!$C$5+'01_원자료'!R931*'03_가중치민감도'!$D$5</f>
        <v>0.69991561232513888</v>
      </c>
      <c r="F934" s="17">
        <f>'01_원자료'!P931*'03_가중치민감도'!$B$6+'01_원자료'!Q931*'03_가중치민감도'!$C$6+'01_원자료'!R931*'03_가중치민감도'!$D$6</f>
        <v>0.62060295284238531</v>
      </c>
      <c r="G934" s="17">
        <f>'01_원자료'!P931*'03_가중치민감도'!$B$7+'01_원자료'!Q931*'03_가중치민감도'!$C$7+'01_원자료'!R931*'03_가중치민감도'!$D$7</f>
        <v>0.69816421013919538</v>
      </c>
      <c r="H934" s="17">
        <f>'01_원자료'!P931*'03_가중치민감도'!$B$8+'01_원자료'!Q931*'03_가중치민감도'!$C$8+'01_원자료'!R931*'03_가중치민감도'!$D$8</f>
        <v>0.70867262325485691</v>
      </c>
      <c r="I934" s="17">
        <f>'01_원자료'!P931*'03_가중치민감도'!$B$9+'01_원자료'!Q931*'03_가중치민감도'!$C$9+'01_원자료'!R931*'03_가중치민감도'!$D$9</f>
        <v>0.64762430673195037</v>
      </c>
      <c r="J934" s="17">
        <f>'01_원자료'!P931*'03_가중치민감도'!$B$10+'01_원자료'!Q931*'03_가중치민감도'!$C$10+'01_원자료'!R931*'03_가중치민감도'!$D$10</f>
        <v>0.78273107617977966</v>
      </c>
      <c r="K934" s="31">
        <f t="shared" si="84"/>
        <v>822</v>
      </c>
      <c r="L934" s="31">
        <f t="shared" si="85"/>
        <v>897</v>
      </c>
      <c r="M934" s="31">
        <f t="shared" si="86"/>
        <v>827</v>
      </c>
      <c r="N934" s="31">
        <f t="shared" si="87"/>
        <v>809</v>
      </c>
      <c r="O934" s="31">
        <f t="shared" si="88"/>
        <v>857</v>
      </c>
      <c r="P934" s="31">
        <f t="shared" si="89"/>
        <v>765</v>
      </c>
    </row>
    <row r="935" spans="1:16">
      <c r="A935" s="2" t="str">
        <f>'01_원자료'!A932</f>
        <v>RPT-32</v>
      </c>
      <c r="B935" s="2" t="str">
        <f>'01_원자료'!B932</f>
        <v>chatgpt</v>
      </c>
      <c r="C935" s="2" t="str">
        <f>'01_원자료'!C932</f>
        <v>gemma</v>
      </c>
      <c r="E935" s="17">
        <f>'01_원자료'!P932*'03_가중치민감도'!$B$5+'01_원자료'!Q932*'03_가중치민감도'!$C$5+'01_원자료'!R932*'03_가중치민감도'!$D$5</f>
        <v>0.57253544288277025</v>
      </c>
      <c r="F935" s="17">
        <f>'01_원자료'!P932*'03_가중치민감도'!$B$6+'01_원자료'!Q932*'03_가중치민감도'!$C$6+'01_원자료'!R932*'03_가중치민감도'!$D$6</f>
        <v>0.49388935895078068</v>
      </c>
      <c r="G935" s="17">
        <f>'01_원자료'!P932*'03_가중치민감도'!$B$7+'01_원자료'!Q932*'03_가중치민감도'!$C$7+'01_원자료'!R932*'03_가중치민감도'!$D$7</f>
        <v>0.5787829406390298</v>
      </c>
      <c r="H935" s="17">
        <f>'01_원자료'!P932*'03_가중치민감도'!$B$8+'01_원자료'!Q932*'03_가중치민감도'!$C$8+'01_원자료'!R932*'03_가중치민감도'!$D$8</f>
        <v>0.54129795410147186</v>
      </c>
      <c r="I935" s="17">
        <f>'01_원자료'!P932*'03_가중치민감도'!$B$9+'01_원자료'!Q932*'03_가중치민감도'!$C$9+'01_원자료'!R932*'03_가중치민감도'!$D$9</f>
        <v>0.5180222210093568</v>
      </c>
      <c r="J935" s="17">
        <f>'01_원자료'!P932*'03_가중치민감도'!$B$10+'01_원자료'!Q932*'03_가중치민감도'!$C$10+'01_원자료'!R932*'03_가중치민감도'!$D$10</f>
        <v>0.63868653130224029</v>
      </c>
      <c r="K935" s="31">
        <f t="shared" si="84"/>
        <v>298</v>
      </c>
      <c r="L935" s="31">
        <f t="shared" si="85"/>
        <v>333</v>
      </c>
      <c r="M935" s="31">
        <f t="shared" si="86"/>
        <v>289</v>
      </c>
      <c r="N935" s="31">
        <f t="shared" si="87"/>
        <v>307</v>
      </c>
      <c r="O935" s="31">
        <f t="shared" si="88"/>
        <v>318</v>
      </c>
      <c r="P935" s="31">
        <f t="shared" si="89"/>
        <v>283</v>
      </c>
    </row>
    <row r="936" spans="1:16">
      <c r="A936" s="2" t="str">
        <f>'01_원자료'!A933</f>
        <v>RPT-32</v>
      </c>
      <c r="B936" s="2" t="str">
        <f>'01_원자료'!B933</f>
        <v>chatgpt</v>
      </c>
      <c r="C936" s="2" t="str">
        <f>'01_원자료'!C933</f>
        <v>ministral</v>
      </c>
      <c r="E936" s="17">
        <f>'01_원자료'!P933*'03_가중치민감도'!$B$5+'01_원자료'!Q933*'03_가중치민감도'!$C$5+'01_원자료'!R933*'03_가중치민감도'!$D$5</f>
        <v>0.55525373083915386</v>
      </c>
      <c r="F936" s="17">
        <f>'01_원자료'!P933*'03_가중치민감도'!$B$6+'01_원자료'!Q933*'03_가중치민감도'!$C$6+'01_원자료'!R933*'03_가중치민감도'!$D$6</f>
        <v>0.47549062322606356</v>
      </c>
      <c r="G936" s="17">
        <f>'01_원자료'!P933*'03_가중치민감도'!$B$7+'01_원자료'!Q933*'03_가중치민감도'!$C$7+'01_원자료'!R933*'03_가중치민감도'!$D$7</f>
        <v>0.5667181913105066</v>
      </c>
      <c r="H936" s="17">
        <f>'01_원자료'!P933*'03_가중치민감도'!$B$8+'01_원자료'!Q933*'03_가중치민감도'!$C$8+'01_원자료'!R933*'03_가중치민감도'!$D$8</f>
        <v>0.49793142848238964</v>
      </c>
      <c r="I936" s="17">
        <f>'01_원자료'!P933*'03_가중치민감도'!$B$9+'01_원자료'!Q933*'03_가중치민감도'!$C$9+'01_원자료'!R933*'03_가중치민감도'!$D$9</f>
        <v>0.49825683893997552</v>
      </c>
      <c r="J936" s="17">
        <f>'01_원자료'!P933*'03_가중치민감도'!$B$10+'01_원자료'!Q933*'03_가중치민감도'!$C$10+'01_원자료'!R933*'03_가중치민감도'!$D$10</f>
        <v>0.61208791750953839</v>
      </c>
      <c r="K936" s="31">
        <f t="shared" si="84"/>
        <v>229</v>
      </c>
      <c r="L936" s="31">
        <f t="shared" si="85"/>
        <v>243</v>
      </c>
      <c r="M936" s="31">
        <f t="shared" si="86"/>
        <v>232</v>
      </c>
      <c r="N936" s="31">
        <f t="shared" si="87"/>
        <v>221</v>
      </c>
      <c r="O936" s="31">
        <f t="shared" si="88"/>
        <v>237</v>
      </c>
      <c r="P936" s="31">
        <f t="shared" si="89"/>
        <v>218</v>
      </c>
    </row>
    <row r="937" spans="1:16">
      <c r="A937" s="2" t="str">
        <f>'01_원자료'!A934</f>
        <v>RPT-32</v>
      </c>
      <c r="B937" s="2" t="str">
        <f>'01_원자료'!B934</f>
        <v>chatgpt</v>
      </c>
      <c r="C937" s="2" t="str">
        <f>'01_원자료'!C934</f>
        <v>qwen</v>
      </c>
      <c r="E937" s="17">
        <f>'01_원자료'!P934*'03_가중치민감도'!$B$5+'01_원자료'!Q934*'03_가중치민감도'!$C$5+'01_원자료'!R934*'03_가중치민감도'!$D$5</f>
        <v>0.57489344274438992</v>
      </c>
      <c r="F937" s="17">
        <f>'01_원자료'!P934*'03_가중치민감도'!$B$6+'01_원자료'!Q934*'03_가중치민감도'!$C$6+'01_원자료'!R934*'03_가중치민감도'!$D$6</f>
        <v>0.50249164281603742</v>
      </c>
      <c r="G937" s="17">
        <f>'01_원자료'!P934*'03_가중치민감도'!$B$7+'01_원자료'!Q934*'03_가중치민감도'!$C$7+'01_원자료'!R934*'03_가중치민감도'!$D$7</f>
        <v>0.58331017924033746</v>
      </c>
      <c r="H937" s="17">
        <f>'01_원자료'!P934*'03_가중치민감도'!$B$8+'01_원자료'!Q934*'03_가중치민감도'!$C$8+'01_원자료'!R934*'03_가중치민감도'!$D$8</f>
        <v>0.53280976026465177</v>
      </c>
      <c r="I937" s="17">
        <f>'01_원자료'!P934*'03_가중치민감도'!$B$9+'01_원자료'!Q934*'03_가중치민감도'!$C$9+'01_원자료'!R934*'03_가중치민감도'!$D$9</f>
        <v>0.52381999729350515</v>
      </c>
      <c r="J937" s="17">
        <f>'01_원자료'!P934*'03_가중치민감도'!$B$10+'01_원자료'!Q934*'03_가중치민감도'!$C$10+'01_원자료'!R934*'03_가중치민감도'!$D$10</f>
        <v>0.63046176968084722</v>
      </c>
      <c r="K937" s="31">
        <f t="shared" si="84"/>
        <v>305</v>
      </c>
      <c r="L937" s="31">
        <f t="shared" si="85"/>
        <v>372</v>
      </c>
      <c r="M937" s="31">
        <f t="shared" si="86"/>
        <v>305</v>
      </c>
      <c r="N937" s="31">
        <f t="shared" si="87"/>
        <v>287</v>
      </c>
      <c r="O937" s="31">
        <f t="shared" si="88"/>
        <v>336</v>
      </c>
      <c r="P937" s="31">
        <f t="shared" si="89"/>
        <v>267</v>
      </c>
    </row>
    <row r="938" spans="1:16">
      <c r="A938" s="2" t="str">
        <f>'01_원자료'!A935</f>
        <v>RPT-32</v>
      </c>
      <c r="B938" s="2" t="str">
        <f>'01_원자료'!B935</f>
        <v>claude</v>
      </c>
      <c r="C938" s="2" t="str">
        <f>'01_원자료'!C935</f>
        <v>gemma</v>
      </c>
      <c r="E938" s="17">
        <f>'01_원자료'!P935*'03_가중치민감도'!$B$5+'01_원자료'!Q935*'03_가중치민감도'!$C$5+'01_원자료'!R935*'03_가중치민감도'!$D$5</f>
        <v>0.59377502569050944</v>
      </c>
      <c r="F938" s="17">
        <f>'01_원자료'!P935*'03_가중치민감도'!$B$6+'01_원자료'!Q935*'03_가중치민감도'!$C$6+'01_원자료'!R935*'03_가중치민감도'!$D$6</f>
        <v>0.49624335120734203</v>
      </c>
      <c r="G938" s="17">
        <f>'01_원자료'!P935*'03_가중치민감도'!$B$7+'01_원자료'!Q935*'03_가중치민감도'!$C$7+'01_원자료'!R935*'03_가중치민감도'!$D$7</f>
        <v>0.5950107992169219</v>
      </c>
      <c r="H938" s="17">
        <f>'01_원자료'!P935*'03_가중치민감도'!$B$8+'01_원자료'!Q935*'03_가중치민감도'!$C$8+'01_원자료'!R935*'03_가중치민감도'!$D$8</f>
        <v>0.58759615805844767</v>
      </c>
      <c r="I938" s="17">
        <f>'01_원자료'!P935*'03_가중치민감도'!$B$9+'01_원자료'!Q935*'03_가중치민감도'!$C$9+'01_원자료'!R935*'03_가중치민감도'!$D$9</f>
        <v>0.52834198485959316</v>
      </c>
      <c r="J938" s="17">
        <f>'01_원자료'!P935*'03_가중치민감도'!$B$10+'01_원자료'!Q935*'03_가중치민감도'!$C$10+'01_원자료'!R935*'03_가중치민감도'!$D$10</f>
        <v>0.68883515312085231</v>
      </c>
      <c r="K938" s="31">
        <f t="shared" si="84"/>
        <v>358</v>
      </c>
      <c r="L938" s="31">
        <f t="shared" si="85"/>
        <v>343</v>
      </c>
      <c r="M938" s="31">
        <f t="shared" si="86"/>
        <v>343</v>
      </c>
      <c r="N938" s="31">
        <f t="shared" si="87"/>
        <v>453</v>
      </c>
      <c r="O938" s="31">
        <f t="shared" si="88"/>
        <v>361</v>
      </c>
      <c r="P938" s="31">
        <f t="shared" si="89"/>
        <v>422</v>
      </c>
    </row>
    <row r="939" spans="1:16">
      <c r="A939" s="2" t="str">
        <f>'01_원자료'!A936</f>
        <v>RPT-32</v>
      </c>
      <c r="B939" s="2" t="str">
        <f>'01_원자료'!B936</f>
        <v>claude</v>
      </c>
      <c r="C939" s="2" t="str">
        <f>'01_원자료'!C936</f>
        <v>ministral</v>
      </c>
      <c r="E939" s="17">
        <f>'01_원자료'!P936*'03_가중치민감도'!$B$5+'01_원자료'!Q936*'03_가중치민감도'!$C$5+'01_원자료'!R936*'03_가중치민감도'!$D$5</f>
        <v>0.62661740646367692</v>
      </c>
      <c r="F939" s="17">
        <f>'01_원자료'!P936*'03_가중치민감도'!$B$6+'01_원자료'!Q936*'03_가중치민감도'!$C$6+'01_원자료'!R936*'03_가중치민감도'!$D$6</f>
        <v>0.53537014731809129</v>
      </c>
      <c r="G939" s="17">
        <f>'01_원자료'!P936*'03_가중치민감도'!$B$7+'01_원자료'!Q936*'03_가중치민감도'!$C$7+'01_원자료'!R936*'03_가중치민감도'!$D$7</f>
        <v>0.62823029557879573</v>
      </c>
      <c r="H939" s="17">
        <f>'01_원자료'!P936*'03_가중치민감도'!$B$8+'01_원자료'!Q936*'03_가중치민감도'!$C$8+'01_원자료'!R936*'03_가중치민감도'!$D$8</f>
        <v>0.61855296088808354</v>
      </c>
      <c r="I939" s="17">
        <f>'01_원자료'!P936*'03_가중치민감도'!$B$9+'01_원자료'!Q936*'03_가중치민감도'!$C$9+'01_원자료'!R936*'03_가중치민감도'!$D$9</f>
        <v>0.56524827066157968</v>
      </c>
      <c r="J939" s="17">
        <f>'01_원자료'!P936*'03_가중치민감도'!$B$10+'01_원자료'!Q936*'03_가중치민감도'!$C$10+'01_원자료'!R936*'03_가중치민감도'!$D$10</f>
        <v>0.71463888737902537</v>
      </c>
      <c r="K939" s="31">
        <f t="shared" si="84"/>
        <v>515</v>
      </c>
      <c r="L939" s="31">
        <f t="shared" si="85"/>
        <v>525</v>
      </c>
      <c r="M939" s="31">
        <f t="shared" si="86"/>
        <v>506</v>
      </c>
      <c r="N939" s="31">
        <f t="shared" si="87"/>
        <v>545</v>
      </c>
      <c r="O939" s="31">
        <f t="shared" si="88"/>
        <v>527</v>
      </c>
      <c r="P939" s="31">
        <f t="shared" si="89"/>
        <v>518</v>
      </c>
    </row>
    <row r="940" spans="1:16">
      <c r="A940" s="2" t="str">
        <f>'01_원자료'!A937</f>
        <v>RPT-32</v>
      </c>
      <c r="B940" s="2" t="str">
        <f>'01_원자료'!B937</f>
        <v>claude</v>
      </c>
      <c r="C940" s="2" t="str">
        <f>'01_원자료'!C937</f>
        <v>qwen</v>
      </c>
      <c r="E940" s="17">
        <f>'01_원자료'!P937*'03_가중치민감도'!$B$5+'01_원자료'!Q937*'03_가중치민감도'!$C$5+'01_원자료'!R937*'03_가중치민감도'!$D$5</f>
        <v>0.59273689791232032</v>
      </c>
      <c r="F940" s="17">
        <f>'01_원자료'!P937*'03_가중치민감도'!$B$6+'01_원자료'!Q937*'03_가중치민감도'!$C$6+'01_원자료'!R937*'03_가중치민감도'!$D$6</f>
        <v>0.49793400234820012</v>
      </c>
      <c r="G940" s="17">
        <f>'01_원자료'!P937*'03_가중치민감도'!$B$7+'01_원자료'!Q937*'03_가중치민감도'!$C$7+'01_원자료'!R937*'03_가중치민감도'!$D$7</f>
        <v>0.59722894715196384</v>
      </c>
      <c r="H940" s="17">
        <f>'01_원자료'!P937*'03_가중치민감도'!$B$8+'01_원자료'!Q937*'03_가중치민감도'!$C$8+'01_원자료'!R937*'03_가중치민감도'!$D$8</f>
        <v>0.57027665171410336</v>
      </c>
      <c r="I940" s="17">
        <f>'01_원자료'!P937*'03_가중치민감도'!$B$9+'01_원자료'!Q937*'03_가중치민감도'!$C$9+'01_원자료'!R937*'03_가중치민감도'!$D$9</f>
        <v>0.52803761778969183</v>
      </c>
      <c r="J940" s="17">
        <f>'01_원자료'!P937*'03_가중치민감도'!$B$10+'01_원자료'!Q937*'03_가중치민감도'!$C$10+'01_원자료'!R937*'03_가중치민감도'!$D$10</f>
        <v>0.67855569499715385</v>
      </c>
      <c r="K940" s="31">
        <f t="shared" si="84"/>
        <v>355</v>
      </c>
      <c r="L940" s="31">
        <f t="shared" si="85"/>
        <v>354</v>
      </c>
      <c r="M940" s="31">
        <f t="shared" si="86"/>
        <v>352</v>
      </c>
      <c r="N940" s="31">
        <f t="shared" si="87"/>
        <v>400</v>
      </c>
      <c r="O940" s="31">
        <f t="shared" si="88"/>
        <v>360</v>
      </c>
      <c r="P940" s="31">
        <f t="shared" si="89"/>
        <v>385</v>
      </c>
    </row>
    <row r="941" spans="1:16">
      <c r="A941" s="2" t="str">
        <f>'01_원자료'!A938</f>
        <v>RPT-32</v>
      </c>
      <c r="B941" s="2" t="str">
        <f>'01_원자료'!B938</f>
        <v>gemini</v>
      </c>
      <c r="C941" s="2" t="str">
        <f>'01_원자료'!C938</f>
        <v>gemma</v>
      </c>
      <c r="E941" s="17">
        <f>'01_원자료'!P938*'03_가중치민감도'!$B$5+'01_원자료'!Q938*'03_가중치민감도'!$C$5+'01_원자료'!R938*'03_가중치민감도'!$D$5</f>
        <v>0.71901228477874179</v>
      </c>
      <c r="F941" s="17">
        <f>'01_원자료'!P938*'03_가중치민감도'!$B$6+'01_원자료'!Q938*'03_가중치민감도'!$C$6+'01_원자료'!R938*'03_가중치민감도'!$D$6</f>
        <v>0.60676440203858284</v>
      </c>
      <c r="G941" s="17">
        <f>'01_원자료'!P938*'03_가중치민감도'!$B$7+'01_원자료'!Q938*'03_가중치민감도'!$C$7+'01_원자료'!R938*'03_가중치민감도'!$D$7</f>
        <v>0.71074097648467716</v>
      </c>
      <c r="H941" s="17">
        <f>'01_원자료'!P938*'03_가중치민감도'!$B$8+'01_원자료'!Q938*'03_가중치민감도'!$C$8+'01_원자료'!R938*'03_가중치민감도'!$D$8</f>
        <v>0.76036882624906499</v>
      </c>
      <c r="I941" s="17">
        <f>'01_원자료'!P938*'03_가중치민감도'!$B$9+'01_원자료'!Q938*'03_가중치민감도'!$C$9+'01_원자료'!R938*'03_가중치민감도'!$D$9</f>
        <v>0.64693746571665667</v>
      </c>
      <c r="J941" s="17">
        <f>'01_원자료'!P938*'03_가중치민감도'!$B$10+'01_원자료'!Q938*'03_가중치민감도'!$C$10+'01_원자료'!R938*'03_가중치민감도'!$D$10</f>
        <v>0.84780278410703003</v>
      </c>
      <c r="K941" s="31">
        <f t="shared" si="84"/>
        <v>873</v>
      </c>
      <c r="L941" s="31">
        <f t="shared" si="85"/>
        <v>844</v>
      </c>
      <c r="M941" s="31">
        <f t="shared" si="86"/>
        <v>871</v>
      </c>
      <c r="N941" s="31">
        <f t="shared" si="87"/>
        <v>867</v>
      </c>
      <c r="O941" s="31">
        <f t="shared" si="88"/>
        <v>856</v>
      </c>
      <c r="P941" s="31">
        <f t="shared" si="89"/>
        <v>885</v>
      </c>
    </row>
    <row r="942" spans="1:16">
      <c r="A942" s="2" t="str">
        <f>'01_원자료'!A939</f>
        <v>RPT-32</v>
      </c>
      <c r="B942" s="2" t="str">
        <f>'01_원자료'!B939</f>
        <v>gemini</v>
      </c>
      <c r="C942" s="2" t="str">
        <f>'01_원자료'!C939</f>
        <v>ministral</v>
      </c>
      <c r="E942" s="17">
        <f>'01_원자료'!P939*'03_가중치민감도'!$B$5+'01_원자료'!Q939*'03_가중치민감도'!$C$5+'01_원자료'!R939*'03_가중치민감도'!$D$5</f>
        <v>0.61893803321866248</v>
      </c>
      <c r="F942" s="17">
        <f>'01_원자료'!P939*'03_가중치민감도'!$B$6+'01_원자료'!Q939*'03_가중치민감도'!$C$6+'01_원자료'!R939*'03_가중치민감도'!$D$6</f>
        <v>0.51226377891952812</v>
      </c>
      <c r="G942" s="17">
        <f>'01_원자료'!P939*'03_가중치민감도'!$B$7+'01_원자료'!Q939*'03_가중치민감도'!$C$7+'01_원자료'!R939*'03_가중치민감도'!$D$7</f>
        <v>0.62887360458895991</v>
      </c>
      <c r="H942" s="17">
        <f>'01_원자료'!P939*'03_가중치민감도'!$B$8+'01_원자료'!Q939*'03_가중치민감도'!$C$8+'01_원자료'!R939*'03_가중치민감도'!$D$8</f>
        <v>0.56926017636717541</v>
      </c>
      <c r="I942" s="17">
        <f>'01_원자료'!P939*'03_가중치민감도'!$B$9+'01_원자료'!Q939*'03_가중치민감도'!$C$9+'01_원자료'!R939*'03_가중치민감도'!$D$9</f>
        <v>0.54451000656247317</v>
      </c>
      <c r="J942" s="17">
        <f>'01_원자료'!P939*'03_가중치민감도'!$B$10+'01_원자료'!Q939*'03_가중치민감도'!$C$10+'01_원자료'!R939*'03_가중치민감도'!$D$10</f>
        <v>0.70574114477720207</v>
      </c>
      <c r="K942" s="31">
        <f t="shared" si="84"/>
        <v>484</v>
      </c>
      <c r="L942" s="31">
        <f t="shared" si="85"/>
        <v>424</v>
      </c>
      <c r="M942" s="31">
        <f t="shared" si="86"/>
        <v>513</v>
      </c>
      <c r="N942" s="31">
        <f t="shared" si="87"/>
        <v>397</v>
      </c>
      <c r="O942" s="31">
        <f t="shared" si="88"/>
        <v>432</v>
      </c>
      <c r="P942" s="31">
        <f t="shared" si="89"/>
        <v>482</v>
      </c>
    </row>
    <row r="943" spans="1:16">
      <c r="A943" s="2" t="str">
        <f>'01_원자료'!A940</f>
        <v>RPT-32</v>
      </c>
      <c r="B943" s="2" t="str">
        <f>'01_원자료'!B940</f>
        <v>gemini</v>
      </c>
      <c r="C943" s="2" t="str">
        <f>'01_원자료'!C940</f>
        <v>qwen</v>
      </c>
      <c r="E943" s="17">
        <f>'01_원자료'!P940*'03_가중치민감도'!$B$5+'01_원자료'!Q940*'03_가중치민감도'!$C$5+'01_원자료'!R940*'03_가중치민감도'!$D$5</f>
        <v>0.69319233000066238</v>
      </c>
      <c r="F943" s="17">
        <f>'01_원자료'!P940*'03_가중치민감도'!$B$6+'01_원자료'!Q940*'03_가중치민감도'!$C$6+'01_원자료'!R940*'03_가중치민감도'!$D$6</f>
        <v>0.58844299830313651</v>
      </c>
      <c r="G943" s="17">
        <f>'01_원자료'!P940*'03_가중치민감도'!$B$7+'01_원자료'!Q940*'03_가중치민감도'!$C$7+'01_원자료'!R940*'03_가중치민감도'!$D$7</f>
        <v>0.69320976628352338</v>
      </c>
      <c r="H943" s="17">
        <f>'01_원자료'!P940*'03_가중치민감도'!$B$8+'01_원자료'!Q940*'03_가중치민감도'!$C$8+'01_원자료'!R940*'03_가중치민감도'!$D$8</f>
        <v>0.69310514858635663</v>
      </c>
      <c r="I943" s="17">
        <f>'01_원자료'!P940*'03_가중치민감도'!$B$9+'01_원자료'!Q940*'03_가중치민감도'!$C$9+'01_원자료'!R940*'03_가중치민감도'!$D$9</f>
        <v>0.62335363010802403</v>
      </c>
      <c r="J943" s="17">
        <f>'01_원자료'!P940*'03_가중치민감도'!$B$10+'01_원자료'!Q940*'03_가중치민감도'!$C$10+'01_원자료'!R940*'03_가중치민감도'!$D$10</f>
        <v>0.79790678913246582</v>
      </c>
      <c r="K943" s="31">
        <f t="shared" si="84"/>
        <v>797</v>
      </c>
      <c r="L943" s="31">
        <f t="shared" si="85"/>
        <v>764</v>
      </c>
      <c r="M943" s="31">
        <f t="shared" si="86"/>
        <v>809</v>
      </c>
      <c r="N943" s="31">
        <f t="shared" si="87"/>
        <v>760</v>
      </c>
      <c r="O943" s="31">
        <f t="shared" si="88"/>
        <v>773</v>
      </c>
      <c r="P943" s="31">
        <f t="shared" si="89"/>
        <v>807</v>
      </c>
    </row>
    <row r="944" spans="1:16">
      <c r="A944" s="2" t="str">
        <f>'01_원자료'!A941</f>
        <v>RPT-32</v>
      </c>
      <c r="B944" s="2" t="str">
        <f>'01_원자료'!B941</f>
        <v>mistral</v>
      </c>
      <c r="C944" s="2" t="str">
        <f>'01_원자료'!C941</f>
        <v>gemma</v>
      </c>
      <c r="E944" s="17">
        <f>'01_원자료'!P941*'03_가중치민감도'!$B$5+'01_원자료'!Q941*'03_가중치민감도'!$C$5+'01_원자료'!R941*'03_가중치민감도'!$D$5</f>
        <v>0.54153021567561488</v>
      </c>
      <c r="F944" s="17">
        <f>'01_원자료'!P941*'03_가중치민감도'!$B$6+'01_원자료'!Q941*'03_가중치민감도'!$C$6+'01_원자료'!R941*'03_가중치민감도'!$D$6</f>
        <v>0.46882334176584345</v>
      </c>
      <c r="G944" s="17">
        <f>'01_원자료'!P941*'03_가중치민감도'!$B$7+'01_원자료'!Q941*'03_가중치민감도'!$C$7+'01_원자료'!R941*'03_가중치민감도'!$D$7</f>
        <v>0.54986717917841399</v>
      </c>
      <c r="H944" s="17">
        <f>'01_원자료'!P941*'03_가중치민감도'!$B$8+'01_원자료'!Q941*'03_가중치민감도'!$C$8+'01_원자료'!R941*'03_가중치민감도'!$D$8</f>
        <v>0.49984539816161921</v>
      </c>
      <c r="I944" s="17">
        <f>'01_원자료'!P941*'03_가중치민감도'!$B$9+'01_원자료'!Q941*'03_가중치민감도'!$C$9+'01_원자료'!R941*'03_가중치민감도'!$D$9</f>
        <v>0.49027997856816707</v>
      </c>
      <c r="J944" s="17">
        <f>'01_원자료'!P941*'03_가중치민감도'!$B$10+'01_원자료'!Q941*'03_가중치민감도'!$C$10+'01_원자료'!R941*'03_가중치민감도'!$D$10</f>
        <v>0.59756316257978792</v>
      </c>
      <c r="K944" s="31">
        <f t="shared" si="84"/>
        <v>176</v>
      </c>
      <c r="L944" s="31">
        <f t="shared" si="85"/>
        <v>211</v>
      </c>
      <c r="M944" s="31">
        <f t="shared" si="86"/>
        <v>157</v>
      </c>
      <c r="N944" s="31">
        <f t="shared" si="87"/>
        <v>224</v>
      </c>
      <c r="O944" s="31">
        <f t="shared" si="88"/>
        <v>202</v>
      </c>
      <c r="P944" s="31">
        <f t="shared" si="89"/>
        <v>178</v>
      </c>
    </row>
    <row r="945" spans="1:16">
      <c r="A945" s="2" t="str">
        <f>'01_원자료'!A942</f>
        <v>RPT-32</v>
      </c>
      <c r="B945" s="2" t="str">
        <f>'01_원자료'!B942</f>
        <v>mistral</v>
      </c>
      <c r="C945" s="2" t="str">
        <f>'01_원자료'!C942</f>
        <v>ministral</v>
      </c>
      <c r="E945" s="17">
        <f>'01_원자료'!P942*'03_가중치민감도'!$B$5+'01_원자료'!Q942*'03_가중치민감도'!$C$5+'01_원자료'!R942*'03_가중치민감도'!$D$5</f>
        <v>0.55979938616648672</v>
      </c>
      <c r="F945" s="17">
        <f>'01_원자료'!P942*'03_가중치민감도'!$B$6+'01_원자료'!Q942*'03_가중치민감도'!$C$6+'01_원자료'!R942*'03_가중치민감도'!$D$6</f>
        <v>0.48365319869026646</v>
      </c>
      <c r="G945" s="17">
        <f>'01_원자료'!P942*'03_가중치민감도'!$B$7+'01_원자료'!Q942*'03_가중치민감도'!$C$7+'01_원자료'!R942*'03_가중치민감도'!$D$7</f>
        <v>0.56841335827258188</v>
      </c>
      <c r="H945" s="17">
        <f>'01_원자료'!P942*'03_가중치민감도'!$B$8+'01_원자료'!Q942*'03_가중치민감도'!$C$8+'01_원자료'!R942*'03_가중치민감도'!$D$8</f>
        <v>0.51672952563601138</v>
      </c>
      <c r="I945" s="17">
        <f>'01_원자료'!P942*'03_가중치민감도'!$B$9+'01_원자료'!Q942*'03_가중치민감도'!$C$9+'01_원자료'!R942*'03_가중치민감도'!$D$9</f>
        <v>0.50616393714697439</v>
      </c>
      <c r="J945" s="17">
        <f>'01_원자료'!P942*'03_가중치민감도'!$B$10+'01_원자료'!Q942*'03_가중치민감도'!$C$10+'01_원자료'!R942*'03_가중치민감도'!$D$10</f>
        <v>0.61871762943051689</v>
      </c>
      <c r="K945" s="31">
        <f t="shared" si="84"/>
        <v>248</v>
      </c>
      <c r="L945" s="31">
        <f t="shared" si="85"/>
        <v>288</v>
      </c>
      <c r="M945" s="31">
        <f t="shared" si="86"/>
        <v>240</v>
      </c>
      <c r="N945" s="31">
        <f t="shared" si="87"/>
        <v>253</v>
      </c>
      <c r="O945" s="31">
        <f t="shared" si="88"/>
        <v>268</v>
      </c>
      <c r="P945" s="31">
        <f t="shared" si="89"/>
        <v>238</v>
      </c>
    </row>
    <row r="946" spans="1:16">
      <c r="A946" s="2" t="str">
        <f>'01_원자료'!A943</f>
        <v>RPT-32</v>
      </c>
      <c r="B946" s="2" t="str">
        <f>'01_원자료'!B943</f>
        <v>mistral</v>
      </c>
      <c r="C946" s="2" t="str">
        <f>'01_원자료'!C943</f>
        <v>qwen</v>
      </c>
      <c r="E946" s="17">
        <f>'01_원자료'!P943*'03_가중치민감도'!$B$5+'01_원자료'!Q943*'03_가중치민감도'!$C$5+'01_원자료'!R943*'03_가중치민감도'!$D$5</f>
        <v>0.58743090084143545</v>
      </c>
      <c r="F946" s="17">
        <f>'01_원자료'!P943*'03_가중치민감도'!$B$6+'01_원자료'!Q943*'03_가중치민감도'!$C$6+'01_원자료'!R943*'03_가중치민감도'!$D$6</f>
        <v>0.51220015458606527</v>
      </c>
      <c r="G946" s="17">
        <f>'01_원자료'!P943*'03_가중치민감도'!$B$7+'01_원자료'!Q943*'03_가중치민감도'!$C$7+'01_원자료'!R943*'03_가중치민감도'!$D$7</f>
        <v>0.59287235776434211</v>
      </c>
      <c r="H946" s="17">
        <f>'01_원자료'!P943*'03_가중치민감도'!$B$8+'01_원자료'!Q943*'03_가중치민감도'!$C$8+'01_원자료'!R943*'03_가중치민감도'!$D$8</f>
        <v>0.56022361622690209</v>
      </c>
      <c r="I946" s="17">
        <f>'01_원자료'!P943*'03_가중치민감도'!$B$9+'01_원자료'!Q943*'03_가중치민감도'!$C$9+'01_원자료'!R943*'03_가중치민감도'!$D$9</f>
        <v>0.53546325103021919</v>
      </c>
      <c r="J946" s="17">
        <f>'01_원자료'!P943*'03_가중치민감도'!$B$10+'01_원자료'!Q943*'03_가중치민감도'!$C$10+'01_원자료'!R943*'03_가중치민감도'!$D$10</f>
        <v>0.65177873325099234</v>
      </c>
      <c r="K946" s="31">
        <f t="shared" si="84"/>
        <v>342</v>
      </c>
      <c r="L946" s="31">
        <f t="shared" si="85"/>
        <v>423</v>
      </c>
      <c r="M946" s="31">
        <f t="shared" si="86"/>
        <v>335</v>
      </c>
      <c r="N946" s="31">
        <f t="shared" si="87"/>
        <v>373</v>
      </c>
      <c r="O946" s="31">
        <f t="shared" si="88"/>
        <v>392</v>
      </c>
      <c r="P946" s="31">
        <f t="shared" si="89"/>
        <v>310</v>
      </c>
    </row>
    <row r="947" spans="1:16">
      <c r="A947" s="2" t="str">
        <f>'01_원자료'!A944</f>
        <v>RPT-32</v>
      </c>
      <c r="B947" s="2" t="str">
        <f>'01_원자료'!B944</f>
        <v>qwen3_6</v>
      </c>
      <c r="C947" s="2" t="str">
        <f>'01_원자료'!C944</f>
        <v>gemma</v>
      </c>
      <c r="E947" s="17">
        <f>'01_원자료'!P944*'03_가중치민감도'!$B$5+'01_원자료'!Q944*'03_가중치민감도'!$C$5+'01_원자료'!R944*'03_가중치민감도'!$D$5</f>
        <v>0.70820087652156216</v>
      </c>
      <c r="F947" s="17">
        <f>'01_원자료'!P944*'03_가중치민감도'!$B$6+'01_원자료'!Q944*'03_가중치민감도'!$C$6+'01_원자료'!R944*'03_가중치민감도'!$D$6</f>
        <v>0.59916115749826537</v>
      </c>
      <c r="G947" s="17">
        <f>'01_원자료'!P944*'03_가중치민감도'!$B$7+'01_원자료'!Q944*'03_가중치민감도'!$C$7+'01_원자료'!R944*'03_가중치민감도'!$D$7</f>
        <v>0.69876127056299409</v>
      </c>
      <c r="H947" s="17">
        <f>'01_원자료'!P944*'03_가중치민감도'!$B$8+'01_원자료'!Q944*'03_가중치민감도'!$C$8+'01_원자료'!R944*'03_가중치민감도'!$D$8</f>
        <v>0.75539890631440276</v>
      </c>
      <c r="I947" s="17">
        <f>'01_원자료'!P944*'03_가중치민감도'!$B$9+'01_원자료'!Q944*'03_가중치민감도'!$C$9+'01_원자료'!R944*'03_가중치민감도'!$D$9</f>
        <v>0.63865426582555296</v>
      </c>
      <c r="J947" s="17">
        <f>'01_원자료'!P944*'03_가중치민감도'!$B$10+'01_원자료'!Q944*'03_가중치민감도'!$C$10+'01_원자료'!R944*'03_가중치민감도'!$D$10</f>
        <v>0.83611980746199532</v>
      </c>
      <c r="K947" s="31">
        <f t="shared" si="84"/>
        <v>840</v>
      </c>
      <c r="L947" s="31">
        <f t="shared" si="85"/>
        <v>804</v>
      </c>
      <c r="M947" s="31">
        <f t="shared" si="86"/>
        <v>831</v>
      </c>
      <c r="N947" s="31">
        <f t="shared" si="87"/>
        <v>856</v>
      </c>
      <c r="O947" s="31">
        <f t="shared" si="88"/>
        <v>830</v>
      </c>
      <c r="P947" s="31">
        <f t="shared" si="89"/>
        <v>854</v>
      </c>
    </row>
    <row r="948" spans="1:16">
      <c r="A948" s="2" t="str">
        <f>'01_원자료'!A945</f>
        <v>RPT-32</v>
      </c>
      <c r="B948" s="2" t="str">
        <f>'01_원자료'!B945</f>
        <v>qwen3_6</v>
      </c>
      <c r="C948" s="2" t="str">
        <f>'01_원자료'!C945</f>
        <v>ministral</v>
      </c>
      <c r="E948" s="17">
        <f>'01_원자료'!P945*'03_가중치민감도'!$B$5+'01_원자료'!Q945*'03_가중치민감도'!$C$5+'01_원자료'!R945*'03_가중치민감도'!$D$5</f>
        <v>0.6024094125435554</v>
      </c>
      <c r="F948" s="17">
        <f>'01_원자료'!P945*'03_가중치민감도'!$B$6+'01_원자료'!Q945*'03_가중치민감도'!$C$6+'01_원자료'!R945*'03_가중치민감도'!$D$6</f>
        <v>0.50780066668454116</v>
      </c>
      <c r="G948" s="17">
        <f>'01_원자료'!P945*'03_가중치민감도'!$B$7+'01_원자료'!Q945*'03_가중치민감도'!$C$7+'01_원자료'!R945*'03_가중치민감도'!$D$7</f>
        <v>0.60996213982091718</v>
      </c>
      <c r="H948" s="17">
        <f>'01_원자료'!P945*'03_가중치민감도'!$B$8+'01_원자료'!Q945*'03_가중치민감도'!$C$8+'01_원자료'!R945*'03_가중치민감도'!$D$8</f>
        <v>0.56464577615674627</v>
      </c>
      <c r="I948" s="17">
        <f>'01_원자료'!P945*'03_가중치민감도'!$B$9+'01_원자료'!Q945*'03_가중치민감도'!$C$9+'01_원자료'!R945*'03_가중치민감도'!$D$9</f>
        <v>0.53681933954509131</v>
      </c>
      <c r="J948" s="17">
        <f>'01_원자료'!P945*'03_가중치민감도'!$B$10+'01_원자료'!Q945*'03_가중치민감도'!$C$10+'01_원자료'!R945*'03_가중치민감도'!$D$10</f>
        <v>0.68191270384784597</v>
      </c>
      <c r="K948" s="31">
        <f t="shared" si="84"/>
        <v>400</v>
      </c>
      <c r="L948" s="31">
        <f t="shared" si="85"/>
        <v>407</v>
      </c>
      <c r="M948" s="31">
        <f t="shared" si="86"/>
        <v>413</v>
      </c>
      <c r="N948" s="31">
        <f t="shared" si="87"/>
        <v>382</v>
      </c>
      <c r="O948" s="31">
        <f t="shared" si="88"/>
        <v>400</v>
      </c>
      <c r="P948" s="31">
        <f t="shared" si="89"/>
        <v>397</v>
      </c>
    </row>
    <row r="949" spans="1:16">
      <c r="A949" s="2" t="str">
        <f>'01_원자료'!A946</f>
        <v>RPT-32</v>
      </c>
      <c r="B949" s="2" t="str">
        <f>'01_원자료'!B946</f>
        <v>qwen3_6</v>
      </c>
      <c r="C949" s="2" t="str">
        <f>'01_원자료'!C946</f>
        <v>qwen</v>
      </c>
      <c r="E949" s="17">
        <f>'01_원자료'!P946*'03_가중치민감도'!$B$5+'01_원자료'!Q946*'03_가중치민감도'!$C$5+'01_원자료'!R946*'03_가중치민감도'!$D$5</f>
        <v>0.67979384848559676</v>
      </c>
      <c r="F949" s="17">
        <f>'01_원자료'!P946*'03_가중치민감도'!$B$6+'01_원자료'!Q946*'03_가중치민감도'!$C$6+'01_원자료'!R946*'03_가중치민감도'!$D$6</f>
        <v>0.58294166253077884</v>
      </c>
      <c r="G949" s="17">
        <f>'01_원자료'!P946*'03_가중치민감도'!$B$7+'01_원자료'!Q946*'03_가중치민감도'!$C$7+'01_원자료'!R946*'03_가중치민감도'!$D$7</f>
        <v>0.67803664916364348</v>
      </c>
      <c r="H949" s="17">
        <f>'01_원자료'!P946*'03_가중치민감도'!$B$8+'01_원자료'!Q946*'03_가중치민감도'!$C$8+'01_원자료'!R946*'03_가중치민감도'!$D$8</f>
        <v>0.68857984509536341</v>
      </c>
      <c r="I949" s="17">
        <f>'01_원자료'!P946*'03_가중치민감도'!$B$9+'01_원자료'!Q946*'03_가중치민감도'!$C$9+'01_원자료'!R946*'03_가중치민감도'!$D$9</f>
        <v>0.61581145762303535</v>
      </c>
      <c r="J949" s="17">
        <f>'01_원자료'!P946*'03_가중치민감도'!$B$10+'01_원자료'!Q946*'03_가중치민감도'!$C$10+'01_원자료'!R946*'03_가중치민감도'!$D$10</f>
        <v>0.78016043308432137</v>
      </c>
      <c r="K949" s="31">
        <f t="shared" si="84"/>
        <v>757</v>
      </c>
      <c r="L949" s="31">
        <f t="shared" si="85"/>
        <v>750</v>
      </c>
      <c r="M949" s="31">
        <f t="shared" si="86"/>
        <v>756</v>
      </c>
      <c r="N949" s="31">
        <f t="shared" si="87"/>
        <v>744</v>
      </c>
      <c r="O949" s="31">
        <f t="shared" si="88"/>
        <v>752</v>
      </c>
      <c r="P949" s="31">
        <f t="shared" si="89"/>
        <v>758</v>
      </c>
    </row>
    <row r="950" spans="1:16">
      <c r="A950" s="2" t="str">
        <f>'01_원자료'!A947</f>
        <v>RPT-33</v>
      </c>
      <c r="B950" s="2" t="str">
        <f>'01_원자료'!B947</f>
        <v>chatgpt</v>
      </c>
      <c r="C950" s="2" t="str">
        <f>'01_원자료'!C947</f>
        <v>gemma</v>
      </c>
      <c r="E950" s="17">
        <f>'01_원자료'!P947*'03_가중치민감도'!$B$5+'01_원자료'!Q947*'03_가중치민감도'!$C$5+'01_원자료'!R947*'03_가중치민감도'!$D$5</f>
        <v>0.55794462215293328</v>
      </c>
      <c r="F950" s="17">
        <f>'01_원자료'!P947*'03_가중치민감도'!$B$6+'01_원자료'!Q947*'03_가중치민감도'!$C$6+'01_원자료'!R947*'03_가중치민감도'!$D$6</f>
        <v>0.46976533632482387</v>
      </c>
      <c r="G950" s="17">
        <f>'01_원자료'!P947*'03_가중치민감도'!$B$7+'01_원자료'!Q947*'03_가중치민감도'!$C$7+'01_원자료'!R947*'03_가중치민감도'!$D$7</f>
        <v>0.56571329912131529</v>
      </c>
      <c r="H950" s="17">
        <f>'01_원자료'!P947*'03_가중치민감도'!$B$8+'01_원자료'!Q947*'03_가중치민감도'!$C$8+'01_원자료'!R947*'03_가중치민감도'!$D$8</f>
        <v>0.51910123731102331</v>
      </c>
      <c r="I950" s="17">
        <f>'01_원자료'!P947*'03_가중치민감도'!$B$9+'01_원자료'!Q947*'03_가중치민감도'!$C$9+'01_원자료'!R947*'03_가중치민감도'!$D$9</f>
        <v>0.49656887261139915</v>
      </c>
      <c r="J950" s="17">
        <f>'01_원자료'!P947*'03_가중치민감도'!$B$10+'01_원자료'!Q947*'03_가중치민감도'!$C$10+'01_원자료'!R947*'03_가중치민감도'!$D$10</f>
        <v>0.63058655404427877</v>
      </c>
      <c r="K950" s="31">
        <f t="shared" si="84"/>
        <v>243</v>
      </c>
      <c r="L950" s="31">
        <f t="shared" si="85"/>
        <v>216</v>
      </c>
      <c r="M950" s="31">
        <f t="shared" si="86"/>
        <v>226</v>
      </c>
      <c r="N950" s="31">
        <f t="shared" si="87"/>
        <v>256</v>
      </c>
      <c r="O950" s="31">
        <f t="shared" si="88"/>
        <v>229</v>
      </c>
      <c r="P950" s="31">
        <f t="shared" si="89"/>
        <v>268</v>
      </c>
    </row>
    <row r="951" spans="1:16">
      <c r="A951" s="2" t="str">
        <f>'01_원자료'!A948</f>
        <v>RPT-33</v>
      </c>
      <c r="B951" s="2" t="str">
        <f>'01_원자료'!B948</f>
        <v>chatgpt</v>
      </c>
      <c r="C951" s="2" t="str">
        <f>'01_원자료'!C948</f>
        <v>ministral</v>
      </c>
      <c r="E951" s="17">
        <f>'01_원자료'!P948*'03_가중치민감도'!$B$5+'01_원자료'!Q948*'03_가중치민감도'!$C$5+'01_원자료'!R948*'03_가중치민감도'!$D$5</f>
        <v>0.50491275266180169</v>
      </c>
      <c r="F951" s="17">
        <f>'01_원자료'!P948*'03_가중치민감도'!$B$6+'01_원자료'!Q948*'03_가중치민감도'!$C$6+'01_원자료'!R948*'03_가중치민감도'!$D$6</f>
        <v>0.44982444793964549</v>
      </c>
      <c r="G951" s="17">
        <f>'01_원자료'!P948*'03_가중치민감도'!$B$7+'01_원자료'!Q948*'03_가중치민감도'!$C$7+'01_원자료'!R948*'03_가중치민감도'!$D$7</f>
        <v>0.52294045932846034</v>
      </c>
      <c r="H951" s="17">
        <f>'01_원자료'!P948*'03_가중치민감도'!$B$8+'01_원자료'!Q948*'03_가중치민감도'!$C$8+'01_원자료'!R948*'03_가중치민감도'!$D$8</f>
        <v>0.41477421932850855</v>
      </c>
      <c r="I951" s="17">
        <f>'01_원자료'!P948*'03_가중치민감도'!$B$9+'01_원자료'!Q948*'03_가중치민감도'!$C$9+'01_원자료'!R948*'03_가중치민감도'!$D$9</f>
        <v>0.46217798062481086</v>
      </c>
      <c r="J951" s="17">
        <f>'01_원자료'!P948*'03_가중치민감도'!$B$10+'01_원자료'!Q948*'03_가중치민감도'!$C$10+'01_원자료'!R948*'03_가중치민감도'!$D$10</f>
        <v>0.52394564405064059</v>
      </c>
      <c r="K951" s="31">
        <f t="shared" si="84"/>
        <v>53</v>
      </c>
      <c r="L951" s="31">
        <f t="shared" si="85"/>
        <v>141</v>
      </c>
      <c r="M951" s="31">
        <f t="shared" si="86"/>
        <v>55</v>
      </c>
      <c r="N951" s="31">
        <f t="shared" si="87"/>
        <v>75</v>
      </c>
      <c r="O951" s="31">
        <f t="shared" si="88"/>
        <v>100</v>
      </c>
      <c r="P951" s="31">
        <f t="shared" si="89"/>
        <v>23</v>
      </c>
    </row>
    <row r="952" spans="1:16">
      <c r="A952" s="2" t="str">
        <f>'01_원자료'!A949</f>
        <v>RPT-33</v>
      </c>
      <c r="B952" s="2" t="str">
        <f>'01_원자료'!B949</f>
        <v>chatgpt</v>
      </c>
      <c r="C952" s="2" t="str">
        <f>'01_원자료'!C949</f>
        <v>qwen</v>
      </c>
      <c r="E952" s="17">
        <f>'01_원자료'!P949*'03_가중치민감도'!$B$5+'01_원자료'!Q949*'03_가중치민감도'!$C$5+'01_원자료'!R949*'03_가중치민감도'!$D$5</f>
        <v>0.5641720973411658</v>
      </c>
      <c r="F952" s="17">
        <f>'01_원자료'!P949*'03_가중치민감도'!$B$6+'01_원자료'!Q949*'03_가중치민감도'!$C$6+'01_원자료'!R949*'03_가중치민감도'!$D$6</f>
        <v>0.50115023546089343</v>
      </c>
      <c r="G952" s="17">
        <f>'01_원자료'!P949*'03_가중치민감도'!$B$7+'01_원자료'!Q949*'03_가중치민감도'!$C$7+'01_원자료'!R949*'03_가중치민감도'!$D$7</f>
        <v>0.57435071852207675</v>
      </c>
      <c r="H952" s="17">
        <f>'01_원자료'!P949*'03_가중치민감도'!$B$8+'01_원자료'!Q949*'03_가중치민감도'!$C$8+'01_원자료'!R949*'03_가중치민감도'!$D$8</f>
        <v>0.51327899143661038</v>
      </c>
      <c r="I952" s="17">
        <f>'01_원자료'!P949*'03_가중치민감도'!$B$9+'01_원자료'!Q949*'03_가중치민감도'!$C$9+'01_원자료'!R949*'03_가중치민감도'!$D$9</f>
        <v>0.51876464902734676</v>
      </c>
      <c r="J952" s="17">
        <f>'01_원자료'!P949*'03_가중치민감도'!$B$10+'01_원자료'!Q949*'03_가중치민감도'!$C$10+'01_원자료'!R949*'03_가중치민감도'!$D$10</f>
        <v>0.60683671685961582</v>
      </c>
      <c r="K952" s="31">
        <f t="shared" si="84"/>
        <v>265</v>
      </c>
      <c r="L952" s="31">
        <f t="shared" si="85"/>
        <v>364</v>
      </c>
      <c r="M952" s="31">
        <f t="shared" si="86"/>
        <v>265</v>
      </c>
      <c r="N952" s="31">
        <f t="shared" si="87"/>
        <v>249</v>
      </c>
      <c r="O952" s="31">
        <f t="shared" si="88"/>
        <v>320</v>
      </c>
      <c r="P952" s="31">
        <f t="shared" si="89"/>
        <v>204</v>
      </c>
    </row>
    <row r="953" spans="1:16">
      <c r="A953" s="2" t="str">
        <f>'01_원자료'!A950</f>
        <v>RPT-33</v>
      </c>
      <c r="B953" s="2" t="str">
        <f>'01_원자료'!B950</f>
        <v>claude</v>
      </c>
      <c r="C953" s="2" t="str">
        <f>'01_원자료'!C950</f>
        <v>gemma</v>
      </c>
      <c r="E953" s="17">
        <f>'01_원자료'!P950*'03_가중치민감도'!$B$5+'01_원자료'!Q950*'03_가중치민감도'!$C$5+'01_원자료'!R950*'03_가중치민감도'!$D$5</f>
        <v>0.6037844430603051</v>
      </c>
      <c r="F953" s="17">
        <f>'01_원자료'!P950*'03_가중치민감도'!$B$6+'01_원자료'!Q950*'03_가중치민감도'!$C$6+'01_원자료'!R950*'03_가중치민감도'!$D$6</f>
        <v>0.50638276775600832</v>
      </c>
      <c r="G953" s="17">
        <f>'01_원자료'!P950*'03_가중치민감도'!$B$7+'01_원자료'!Q950*'03_가중치민감도'!$C$7+'01_원자료'!R950*'03_가중치민감도'!$D$7</f>
        <v>0.60648823067414637</v>
      </c>
      <c r="H953" s="17">
        <f>'01_원자료'!P950*'03_가중치민감도'!$B$8+'01_원자료'!Q950*'03_가중치민감도'!$C$8+'01_원자료'!R950*'03_가중치민감도'!$D$8</f>
        <v>0.59026550499109887</v>
      </c>
      <c r="I953" s="17">
        <f>'01_원자료'!P950*'03_가중치민감도'!$B$9+'01_원자료'!Q950*'03_가중치민감도'!$C$9+'01_원자료'!R950*'03_가중치민감도'!$D$9</f>
        <v>0.53794873031949297</v>
      </c>
      <c r="J953" s="17">
        <f>'01_원자료'!P950*'03_가중치민감도'!$B$10+'01_원자료'!Q950*'03_가중치민감도'!$C$10+'01_원자료'!R950*'03_가중치민감도'!$D$10</f>
        <v>0.69577854313691945</v>
      </c>
      <c r="K953" s="31">
        <f t="shared" si="84"/>
        <v>405</v>
      </c>
      <c r="L953" s="31">
        <f t="shared" si="85"/>
        <v>398</v>
      </c>
      <c r="M953" s="31">
        <f t="shared" si="86"/>
        <v>400</v>
      </c>
      <c r="N953" s="31">
        <f t="shared" si="87"/>
        <v>461</v>
      </c>
      <c r="O953" s="31">
        <f t="shared" si="88"/>
        <v>405</v>
      </c>
      <c r="P953" s="31">
        <f t="shared" si="89"/>
        <v>444</v>
      </c>
    </row>
    <row r="954" spans="1:16">
      <c r="A954" s="2" t="str">
        <f>'01_원자료'!A951</f>
        <v>RPT-33</v>
      </c>
      <c r="B954" s="2" t="str">
        <f>'01_원자료'!B951</f>
        <v>claude</v>
      </c>
      <c r="C954" s="2" t="str">
        <f>'01_원자료'!C951</f>
        <v>ministral</v>
      </c>
      <c r="E954" s="17">
        <f>'01_원자료'!P951*'03_가중치민감도'!$B$5+'01_원자료'!Q951*'03_가중치민감도'!$C$5+'01_원자료'!R951*'03_가중치민감도'!$D$5</f>
        <v>0.57076945092192743</v>
      </c>
      <c r="F954" s="17">
        <f>'01_원자료'!P951*'03_가중치민감도'!$B$6+'01_원자료'!Q951*'03_가중치민감도'!$C$6+'01_원자료'!R951*'03_가중치민감도'!$D$6</f>
        <v>0.50811722444334795</v>
      </c>
      <c r="G954" s="17">
        <f>'01_원자료'!P951*'03_가중치민감도'!$B$7+'01_원자료'!Q951*'03_가중치민감도'!$C$7+'01_원자료'!R951*'03_가중치민감도'!$D$7</f>
        <v>0.58307682527130666</v>
      </c>
      <c r="H954" s="17">
        <f>'01_원자료'!P951*'03_가중치민감도'!$B$8+'01_원자료'!Q951*'03_가중치민감도'!$C$8+'01_원자료'!R951*'03_가중치민감도'!$D$8</f>
        <v>0.5092325791750314</v>
      </c>
      <c r="I954" s="17">
        <f>'01_원자료'!P951*'03_가중치민감도'!$B$9+'01_원자료'!Q951*'03_가중치민감도'!$C$9+'01_원자료'!R951*'03_가중치민감도'!$D$9</f>
        <v>0.52489884181974755</v>
      </c>
      <c r="J954" s="17">
        <f>'01_원자료'!P951*'03_가중치민감도'!$B$10+'01_원자료'!Q951*'03_가중치민감도'!$C$10+'01_원자료'!R951*'03_가중치민감도'!$D$10</f>
        <v>0.60880692870174857</v>
      </c>
      <c r="K954" s="31">
        <f t="shared" si="84"/>
        <v>285</v>
      </c>
      <c r="L954" s="31">
        <f t="shared" si="85"/>
        <v>408</v>
      </c>
      <c r="M954" s="31">
        <f t="shared" si="86"/>
        <v>304</v>
      </c>
      <c r="N954" s="31">
        <f t="shared" si="87"/>
        <v>243</v>
      </c>
      <c r="O954" s="31">
        <f t="shared" si="88"/>
        <v>347</v>
      </c>
      <c r="P954" s="31">
        <f t="shared" si="89"/>
        <v>208</v>
      </c>
    </row>
    <row r="955" spans="1:16">
      <c r="A955" s="2" t="str">
        <f>'01_원자료'!A952</f>
        <v>RPT-33</v>
      </c>
      <c r="B955" s="2" t="str">
        <f>'01_원자료'!B952</f>
        <v>claude</v>
      </c>
      <c r="C955" s="2" t="str">
        <f>'01_원자료'!C952</f>
        <v>qwen</v>
      </c>
      <c r="E955" s="17">
        <f>'01_원자료'!P952*'03_가중치민감도'!$B$5+'01_원자료'!Q952*'03_가중치민감도'!$C$5+'01_원자료'!R952*'03_가중치민감도'!$D$5</f>
        <v>0.69184967115596452</v>
      </c>
      <c r="F955" s="17">
        <f>'01_원자료'!P952*'03_가중치민감도'!$B$6+'01_원자료'!Q952*'03_가중치민감도'!$C$6+'01_원자료'!R952*'03_가중치민감도'!$D$6</f>
        <v>0.60088336425380839</v>
      </c>
      <c r="G955" s="17">
        <f>'01_원자료'!P952*'03_가중치민감도'!$B$7+'01_원자료'!Q952*'03_가중치민감도'!$C$7+'01_원자료'!R952*'03_가중치민감도'!$D$7</f>
        <v>0.68404910564183763</v>
      </c>
      <c r="H955" s="17">
        <f>'01_원자료'!P952*'03_가중치민감도'!$B$8+'01_원자료'!Q952*'03_가중치민감도'!$C$8+'01_원자료'!R952*'03_가중치민감도'!$D$8</f>
        <v>0.73085249872659852</v>
      </c>
      <c r="I955" s="17">
        <f>'01_원자료'!P952*'03_가중치민감도'!$B$9+'01_원자료'!Q952*'03_가중치민감도'!$C$9+'01_원자료'!R952*'03_가중치민감도'!$D$9</f>
        <v>0.63380565505923536</v>
      </c>
      <c r="J955" s="17">
        <f>'01_원자료'!P952*'03_가중치민감도'!$B$10+'01_원자료'!Q952*'03_가중치민감도'!$C$10+'01_원자료'!R952*'03_가중치민감도'!$D$10</f>
        <v>0.79841710908637409</v>
      </c>
      <c r="K955" s="31">
        <f t="shared" si="84"/>
        <v>792</v>
      </c>
      <c r="L955" s="31">
        <f t="shared" si="85"/>
        <v>816</v>
      </c>
      <c r="M955" s="31">
        <f t="shared" si="86"/>
        <v>775</v>
      </c>
      <c r="N955" s="31">
        <f t="shared" si="87"/>
        <v>836</v>
      </c>
      <c r="O955" s="31">
        <f t="shared" si="88"/>
        <v>811</v>
      </c>
      <c r="P955" s="31">
        <f t="shared" si="89"/>
        <v>810</v>
      </c>
    </row>
    <row r="956" spans="1:16">
      <c r="A956" s="2" t="str">
        <f>'01_원자료'!A953</f>
        <v>RPT-33</v>
      </c>
      <c r="B956" s="2" t="str">
        <f>'01_원자료'!B953</f>
        <v>gemini</v>
      </c>
      <c r="C956" s="2" t="str">
        <f>'01_원자료'!C953</f>
        <v>gemma</v>
      </c>
      <c r="E956" s="17">
        <f>'01_원자료'!P953*'03_가중치민감도'!$B$5+'01_원자료'!Q953*'03_가중치민감도'!$C$5+'01_원자료'!R953*'03_가중치민감도'!$D$5</f>
        <v>0.6906905906636589</v>
      </c>
      <c r="F956" s="17">
        <f>'01_원자료'!P953*'03_가중치민감도'!$B$6+'01_원자료'!Q953*'03_가중치민감도'!$C$6+'01_원자료'!R953*'03_가중치민감도'!$D$6</f>
        <v>0.576137860699939</v>
      </c>
      <c r="G956" s="17">
        <f>'01_원자료'!P953*'03_가중치민감도'!$B$7+'01_원자료'!Q953*'03_가중치민감도'!$C$7+'01_원자료'!R953*'03_가중치민감도'!$D$7</f>
        <v>0.68986147206892601</v>
      </c>
      <c r="H956" s="17">
        <f>'01_원자료'!P953*'03_가중치민감도'!$B$8+'01_원자료'!Q953*'03_가중치민감도'!$C$8+'01_원자료'!R953*'03_가중치민감도'!$D$8</f>
        <v>0.69483618363732291</v>
      </c>
      <c r="I956" s="17">
        <f>'01_원자료'!P953*'03_가중치민감도'!$B$9+'01_원자료'!Q953*'03_가중치민감도'!$C$9+'01_원자료'!R953*'03_가중치민감도'!$D$9</f>
        <v>0.61459847688608926</v>
      </c>
      <c r="J956" s="17">
        <f>'01_원자료'!P953*'03_가중치민감도'!$B$10+'01_원자료'!Q953*'03_가중치민감도'!$C$10+'01_원자료'!R953*'03_가중치민감도'!$D$10</f>
        <v>0.80690155781684425</v>
      </c>
      <c r="K956" s="31">
        <f t="shared" si="84"/>
        <v>789</v>
      </c>
      <c r="L956" s="31">
        <f t="shared" si="85"/>
        <v>723</v>
      </c>
      <c r="M956" s="31">
        <f t="shared" si="86"/>
        <v>795</v>
      </c>
      <c r="N956" s="31">
        <f t="shared" si="87"/>
        <v>769</v>
      </c>
      <c r="O956" s="31">
        <f t="shared" si="88"/>
        <v>750</v>
      </c>
      <c r="P956" s="31">
        <f t="shared" si="89"/>
        <v>828</v>
      </c>
    </row>
    <row r="957" spans="1:16">
      <c r="A957" s="2" t="str">
        <f>'01_원자료'!A954</f>
        <v>RPT-33</v>
      </c>
      <c r="B957" s="2" t="str">
        <f>'01_원자료'!B954</f>
        <v>gemini</v>
      </c>
      <c r="C957" s="2" t="str">
        <f>'01_원자료'!C954</f>
        <v>ministral</v>
      </c>
      <c r="E957" s="17">
        <f>'01_원자료'!P954*'03_가중치민감도'!$B$5+'01_원자료'!Q954*'03_가중치민감도'!$C$5+'01_원자료'!R954*'03_가중치민감도'!$D$5</f>
        <v>0.55877988825834723</v>
      </c>
      <c r="F957" s="17">
        <f>'01_원자료'!P954*'03_가중치민감도'!$B$6+'01_원자료'!Q954*'03_가중치민감도'!$C$6+'01_원자료'!R954*'03_가중치민감도'!$D$6</f>
        <v>0.47039738706410272</v>
      </c>
      <c r="G957" s="17">
        <f>'01_원자료'!P954*'03_가중치민감도'!$B$7+'01_원자료'!Q954*'03_가중치민감도'!$C$7+'01_원자료'!R954*'03_가중치민감도'!$D$7</f>
        <v>0.57841154046046128</v>
      </c>
      <c r="H957" s="17">
        <f>'01_원자료'!P954*'03_가중치민감도'!$B$8+'01_원자료'!Q954*'03_가중치민감도'!$C$8+'01_원자료'!R954*'03_가중치민감도'!$D$8</f>
        <v>0.46062162724777694</v>
      </c>
      <c r="I957" s="17">
        <f>'01_원자료'!P954*'03_가중치민감도'!$B$9+'01_원자료'!Q954*'03_가중치민감도'!$C$9+'01_원자료'!R954*'03_가중치민감도'!$D$9</f>
        <v>0.49331433672814573</v>
      </c>
      <c r="J957" s="17">
        <f>'01_원자료'!P954*'03_가중치민감도'!$B$10+'01_원자료'!Q954*'03_가중치민감도'!$C$10+'01_원자료'!R954*'03_가중치민감도'!$D$10</f>
        <v>0.60789908504836365</v>
      </c>
      <c r="K957" s="31">
        <f t="shared" si="84"/>
        <v>246</v>
      </c>
      <c r="L957" s="31">
        <f t="shared" si="85"/>
        <v>221</v>
      </c>
      <c r="M957" s="31">
        <f t="shared" si="86"/>
        <v>285</v>
      </c>
      <c r="N957" s="31">
        <f t="shared" si="87"/>
        <v>148</v>
      </c>
      <c r="O957" s="31">
        <f t="shared" si="88"/>
        <v>211</v>
      </c>
      <c r="P957" s="31">
        <f t="shared" si="89"/>
        <v>206</v>
      </c>
    </row>
    <row r="958" spans="1:16">
      <c r="A958" s="2" t="str">
        <f>'01_원자료'!A955</f>
        <v>RPT-33</v>
      </c>
      <c r="B958" s="2" t="str">
        <f>'01_원자료'!B955</f>
        <v>gemini</v>
      </c>
      <c r="C958" s="2" t="str">
        <f>'01_원자료'!C955</f>
        <v>qwen</v>
      </c>
      <c r="E958" s="17">
        <f>'01_원자료'!P955*'03_가중치민감도'!$B$5+'01_원자료'!Q955*'03_가중치민감도'!$C$5+'01_원자료'!R955*'03_가중치민감도'!$D$5</f>
        <v>0.70050797999249759</v>
      </c>
      <c r="F958" s="17">
        <f>'01_원자료'!P955*'03_가중치민감도'!$B$6+'01_원자료'!Q955*'03_가중치민감도'!$C$6+'01_원자료'!R955*'03_가중치민감도'!$D$6</f>
        <v>0.60911492267702616</v>
      </c>
      <c r="G958" s="17">
        <f>'01_원자료'!P955*'03_가중치민감도'!$B$7+'01_원자료'!Q955*'03_가중치민감도'!$C$7+'01_원자료'!R955*'03_가중치민감도'!$D$7</f>
        <v>0.7003355415347271</v>
      </c>
      <c r="H958" s="17">
        <f>'01_원자료'!P955*'03_가중치민감도'!$B$8+'01_원자료'!Q955*'03_가중치민감도'!$C$8+'01_원자료'!R955*'03_가중치민감도'!$D$8</f>
        <v>0.70137017228135079</v>
      </c>
      <c r="I958" s="17">
        <f>'01_원자료'!P955*'03_가중치민감도'!$B$9+'01_원자료'!Q955*'03_가중치민감도'!$C$9+'01_원자료'!R955*'03_가중치민감도'!$D$9</f>
        <v>0.63963675460143954</v>
      </c>
      <c r="J958" s="17">
        <f>'01_원자료'!P955*'03_가중치민감도'!$B$10+'01_원자료'!Q955*'03_가중치민감도'!$C$10+'01_원자료'!R955*'03_가중치민감도'!$D$10</f>
        <v>0.79224591422351043</v>
      </c>
      <c r="K958" s="31">
        <f t="shared" si="84"/>
        <v>824</v>
      </c>
      <c r="L958" s="31">
        <f t="shared" si="85"/>
        <v>851</v>
      </c>
      <c r="M958" s="31">
        <f t="shared" si="86"/>
        <v>834</v>
      </c>
      <c r="N958" s="31">
        <f t="shared" si="87"/>
        <v>793</v>
      </c>
      <c r="O958" s="31">
        <f t="shared" si="88"/>
        <v>836</v>
      </c>
      <c r="P958" s="31">
        <f t="shared" si="89"/>
        <v>793</v>
      </c>
    </row>
    <row r="959" spans="1:16">
      <c r="A959" s="2" t="str">
        <f>'01_원자료'!A956</f>
        <v>RPT-33</v>
      </c>
      <c r="B959" s="2" t="str">
        <f>'01_원자료'!B956</f>
        <v>mistral</v>
      </c>
      <c r="C959" s="2" t="str">
        <f>'01_원자료'!C956</f>
        <v>gemma</v>
      </c>
      <c r="E959" s="17">
        <f>'01_원자료'!P956*'03_가중치민감도'!$B$5+'01_원자료'!Q956*'03_가중치민감도'!$C$5+'01_원자료'!R956*'03_가중치민감도'!$D$5</f>
        <v>0.64899150532167971</v>
      </c>
      <c r="F959" s="17">
        <f>'01_원자료'!P956*'03_가중치민감도'!$B$6+'01_원자료'!Q956*'03_가중치민감도'!$C$6+'01_원자료'!R956*'03_가중치민감도'!$D$6</f>
        <v>0.54628464003543376</v>
      </c>
      <c r="G959" s="17">
        <f>'01_원자료'!P956*'03_가중치민감도'!$B$7+'01_원자료'!Q956*'03_가중치민감도'!$C$7+'01_원자료'!R956*'03_가중치민감도'!$D$7</f>
        <v>0.64331887978448776</v>
      </c>
      <c r="H959" s="17">
        <f>'01_원자료'!P956*'03_가중치민감도'!$B$8+'01_원자료'!Q956*'03_가중치민감도'!$C$8+'01_원자료'!R956*'03_가중치민감도'!$D$8</f>
        <v>0.67735463300763954</v>
      </c>
      <c r="I959" s="17">
        <f>'01_원자료'!P956*'03_가중치민감도'!$B$9+'01_원자료'!Q956*'03_가중치민감도'!$C$9+'01_원자료'!R956*'03_가중치민감도'!$D$9</f>
        <v>0.58241113697657909</v>
      </c>
      <c r="J959" s="17">
        <f>'01_원자료'!P956*'03_가중치민감도'!$B$10+'01_원자료'!Q956*'03_가중치민감도'!$C$10+'01_원자료'!R956*'03_가중치민감도'!$D$10</f>
        <v>0.76304362168230966</v>
      </c>
      <c r="K959" s="31">
        <f t="shared" si="84"/>
        <v>613</v>
      </c>
      <c r="L959" s="31">
        <f t="shared" si="85"/>
        <v>567</v>
      </c>
      <c r="M959" s="31">
        <f t="shared" si="86"/>
        <v>578</v>
      </c>
      <c r="N959" s="31">
        <f t="shared" si="87"/>
        <v>715</v>
      </c>
      <c r="O959" s="31">
        <f t="shared" si="88"/>
        <v>587</v>
      </c>
      <c r="P959" s="31">
        <f t="shared" si="89"/>
        <v>702</v>
      </c>
    </row>
    <row r="960" spans="1:16">
      <c r="A960" s="2" t="str">
        <f>'01_원자료'!A957</f>
        <v>RPT-33</v>
      </c>
      <c r="B960" s="2" t="str">
        <f>'01_원자료'!B957</f>
        <v>mistral</v>
      </c>
      <c r="C960" s="2" t="str">
        <f>'01_원자료'!C957</f>
        <v>ministral</v>
      </c>
      <c r="E960" s="17">
        <f>'01_원자료'!P957*'03_가중치민감도'!$B$5+'01_원자료'!Q957*'03_가중치민감도'!$C$5+'01_원자료'!R957*'03_가중치민감도'!$D$5</f>
        <v>0.55858778264833286</v>
      </c>
      <c r="F960" s="17">
        <f>'01_원자료'!P957*'03_가중치민감도'!$B$6+'01_원자료'!Q957*'03_가중치민감도'!$C$6+'01_원자료'!R957*'03_가중치민감도'!$D$6</f>
        <v>0.5013672189705316</v>
      </c>
      <c r="G960" s="17">
        <f>'01_원자료'!P957*'03_가중치민감도'!$B$7+'01_원자료'!Q957*'03_가중치민감도'!$C$7+'01_원자료'!R957*'03_가중치민감도'!$D$7</f>
        <v>0.57008230448670427</v>
      </c>
      <c r="H960" s="17">
        <f>'01_원자료'!P957*'03_가중치민감도'!$B$8+'01_원자료'!Q957*'03_가중치민감도'!$C$8+'01_원자료'!R957*'03_가중치민감도'!$D$8</f>
        <v>0.50111517345647605</v>
      </c>
      <c r="I960" s="17">
        <f>'01_원자료'!P957*'03_가중치민감도'!$B$9+'01_원자료'!Q957*'03_가중치민감도'!$C$9+'01_원자료'!R957*'03_가중치민감도'!$D$9</f>
        <v>0.51660923291700778</v>
      </c>
      <c r="J960" s="17">
        <f>'01_원자료'!P957*'03_가중치민감도'!$B$10+'01_원자료'!Q957*'03_가중치민감도'!$C$10+'01_원자료'!R957*'03_가중치민감도'!$D$10</f>
        <v>0.59281930264939142</v>
      </c>
      <c r="K960" s="31">
        <f t="shared" si="84"/>
        <v>245</v>
      </c>
      <c r="L960" s="31">
        <f t="shared" si="85"/>
        <v>366</v>
      </c>
      <c r="M960" s="31">
        <f t="shared" si="86"/>
        <v>247</v>
      </c>
      <c r="N960" s="31">
        <f t="shared" si="87"/>
        <v>228</v>
      </c>
      <c r="O960" s="31">
        <f t="shared" si="88"/>
        <v>315</v>
      </c>
      <c r="P960" s="31">
        <f t="shared" si="89"/>
        <v>163</v>
      </c>
    </row>
    <row r="961" spans="1:16">
      <c r="A961" s="2" t="str">
        <f>'01_원자료'!A958</f>
        <v>RPT-33</v>
      </c>
      <c r="B961" s="2" t="str">
        <f>'01_원자료'!B958</f>
        <v>mistral</v>
      </c>
      <c r="C961" s="2" t="str">
        <f>'01_원자료'!C958</f>
        <v>qwen</v>
      </c>
      <c r="E961" s="17">
        <f>'01_원자료'!P958*'03_가중치민감도'!$B$5+'01_원자료'!Q958*'03_가중치민감도'!$C$5+'01_원자료'!R958*'03_가중치민감도'!$D$5</f>
        <v>0.59345156910398655</v>
      </c>
      <c r="F961" s="17">
        <f>'01_원자료'!P958*'03_가중치민감도'!$B$6+'01_원자료'!Q958*'03_가중치민감도'!$C$6+'01_원자료'!R958*'03_가중치민감도'!$D$6</f>
        <v>0.5164819252545273</v>
      </c>
      <c r="G961" s="17">
        <f>'01_원자료'!P958*'03_가중치민감도'!$B$7+'01_원자료'!Q958*'03_가중치민감도'!$C$7+'01_원자료'!R958*'03_가중치민감도'!$D$7</f>
        <v>0.59836772815766848</v>
      </c>
      <c r="H961" s="17">
        <f>'01_원자료'!P958*'03_가중치민감도'!$B$8+'01_원자료'!Q958*'03_가중치민감도'!$C$8+'01_원자료'!R958*'03_가중치민감도'!$D$8</f>
        <v>0.56887077383557627</v>
      </c>
      <c r="I961" s="17">
        <f>'01_원자료'!P958*'03_가중치민감도'!$B$9+'01_원자료'!Q958*'03_가중치민감도'!$C$9+'01_원자료'!R958*'03_가중치민감도'!$D$9</f>
        <v>0.54049975351978574</v>
      </c>
      <c r="J961" s="17">
        <f>'01_원자료'!P958*'03_가중치민감도'!$B$10+'01_원자료'!Q958*'03_가중치민감도'!$C$10+'01_원자료'!R958*'03_가중치민감도'!$D$10</f>
        <v>0.66058889484608163</v>
      </c>
      <c r="K961" s="31">
        <f t="shared" si="84"/>
        <v>357</v>
      </c>
      <c r="L961" s="31">
        <f t="shared" si="85"/>
        <v>447</v>
      </c>
      <c r="M961" s="31">
        <f t="shared" si="86"/>
        <v>358</v>
      </c>
      <c r="N961" s="31">
        <f t="shared" si="87"/>
        <v>395</v>
      </c>
      <c r="O961" s="31">
        <f t="shared" si="88"/>
        <v>419</v>
      </c>
      <c r="P961" s="31">
        <f t="shared" si="89"/>
        <v>332</v>
      </c>
    </row>
    <row r="962" spans="1:16">
      <c r="A962" s="2" t="str">
        <f>'01_원자료'!A959</f>
        <v>RPT-33</v>
      </c>
      <c r="B962" s="2" t="str">
        <f>'01_원자료'!B959</f>
        <v>qwen3_6</v>
      </c>
      <c r="C962" s="2" t="str">
        <f>'01_원자료'!C959</f>
        <v>gemma</v>
      </c>
      <c r="E962" s="17">
        <f>'01_원자료'!P959*'03_가중치민감도'!$B$5+'01_원자료'!Q959*'03_가중치민감도'!$C$5+'01_원자료'!R959*'03_가중치민감도'!$D$5</f>
        <v>0.67528952570280398</v>
      </c>
      <c r="F962" s="17">
        <f>'01_원자료'!P959*'03_가중치민감도'!$B$6+'01_원자료'!Q959*'03_가중치민감도'!$C$6+'01_원자료'!R959*'03_가중치민감도'!$D$6</f>
        <v>0.56608230960493222</v>
      </c>
      <c r="G962" s="17">
        <f>'01_원자료'!P959*'03_가중치민감도'!$B$7+'01_원자료'!Q959*'03_가중치민감도'!$C$7+'01_원자료'!R959*'03_가중치민감도'!$D$7</f>
        <v>0.67273152553917925</v>
      </c>
      <c r="H962" s="17">
        <f>'01_원자료'!P959*'03_가중치민감도'!$B$8+'01_원자료'!Q959*'03_가중치민감도'!$C$8+'01_원자료'!R959*'03_가중치민감도'!$D$8</f>
        <v>0.68807952652092752</v>
      </c>
      <c r="I962" s="17">
        <f>'01_원자료'!P959*'03_가중치민감도'!$B$9+'01_원자료'!Q959*'03_가중치민감도'!$C$9+'01_원자료'!R959*'03_가중치민감도'!$D$9</f>
        <v>0.60333738169209705</v>
      </c>
      <c r="J962" s="17">
        <f>'01_원자료'!P959*'03_가중치민감도'!$B$10+'01_원자료'!Q959*'03_가중치민감도'!$C$10+'01_원자료'!R959*'03_가중치민감도'!$D$10</f>
        <v>0.78961274212792509</v>
      </c>
      <c r="K962" s="31">
        <f t="shared" si="84"/>
        <v>738</v>
      </c>
      <c r="L962" s="31">
        <f t="shared" si="85"/>
        <v>671</v>
      </c>
      <c r="M962" s="31">
        <f t="shared" si="86"/>
        <v>731</v>
      </c>
      <c r="N962" s="31">
        <f t="shared" si="87"/>
        <v>738</v>
      </c>
      <c r="O962" s="31">
        <f t="shared" si="88"/>
        <v>704</v>
      </c>
      <c r="P962" s="31">
        <f t="shared" si="89"/>
        <v>783</v>
      </c>
    </row>
    <row r="963" spans="1:16">
      <c r="A963" s="2" t="str">
        <f>'01_원자료'!A960</f>
        <v>RPT-33</v>
      </c>
      <c r="B963" s="2" t="str">
        <f>'01_원자료'!B960</f>
        <v>qwen3_6</v>
      </c>
      <c r="C963" s="2" t="str">
        <f>'01_원자료'!C960</f>
        <v>ministral</v>
      </c>
      <c r="E963" s="17">
        <f>'01_원자료'!P960*'03_가중치민감도'!$B$5+'01_원자료'!Q960*'03_가중치민감도'!$C$5+'01_원자료'!R960*'03_가중치민감도'!$D$5</f>
        <v>0.52807465816258392</v>
      </c>
      <c r="F963" s="17">
        <f>'01_원자료'!P960*'03_가중치민감도'!$B$6+'01_원자료'!Q960*'03_가중치민감도'!$C$6+'01_원자료'!R960*'03_가중치민감도'!$D$6</f>
        <v>0.44944737794939771</v>
      </c>
      <c r="G963" s="17">
        <f>'01_원자료'!P960*'03_가중치민감도'!$B$7+'01_원자료'!Q960*'03_가중치민감도'!$C$7+'01_원자료'!R960*'03_가중치민감도'!$D$7</f>
        <v>0.54433460610829631</v>
      </c>
      <c r="H963" s="17">
        <f>'01_원자료'!P960*'03_가중치민감도'!$B$8+'01_원자료'!Q960*'03_가중치민감도'!$C$8+'01_원자료'!R960*'03_가중치민감도'!$D$8</f>
        <v>0.44677491843402262</v>
      </c>
      <c r="I963" s="17">
        <f>'01_원자료'!P960*'03_가중치민감도'!$B$9+'01_원자료'!Q960*'03_가중치민감도'!$C$9+'01_원자료'!R960*'03_가중치민감도'!$D$9</f>
        <v>0.47023648870522194</v>
      </c>
      <c r="J963" s="17">
        <f>'01_원자료'!P960*'03_가중치민감도'!$B$10+'01_원자료'!Q960*'03_가중치민감도'!$C$10+'01_원자료'!R960*'03_가중치민감도'!$D$10</f>
        <v>0.57418204248434568</v>
      </c>
      <c r="K963" s="31">
        <f t="shared" si="84"/>
        <v>125</v>
      </c>
      <c r="L963" s="31">
        <f t="shared" si="85"/>
        <v>137</v>
      </c>
      <c r="M963" s="31">
        <f t="shared" si="86"/>
        <v>127</v>
      </c>
      <c r="N963" s="31">
        <f t="shared" si="87"/>
        <v>133</v>
      </c>
      <c r="O963" s="31">
        <f t="shared" si="88"/>
        <v>133</v>
      </c>
      <c r="P963" s="31">
        <f t="shared" si="89"/>
        <v>116</v>
      </c>
    </row>
    <row r="964" spans="1:16">
      <c r="A964" s="2" t="str">
        <f>'01_원자료'!A961</f>
        <v>RPT-33</v>
      </c>
      <c r="B964" s="2" t="str">
        <f>'01_원자료'!B961</f>
        <v>qwen3_6</v>
      </c>
      <c r="C964" s="2" t="str">
        <f>'01_원자료'!C961</f>
        <v>qwen</v>
      </c>
      <c r="E964" s="17">
        <f>'01_원자료'!P961*'03_가중치민감도'!$B$5+'01_원자료'!Q961*'03_가중치민감도'!$C$5+'01_원자료'!R961*'03_가중치민감도'!$D$5</f>
        <v>0.68562979732422735</v>
      </c>
      <c r="F964" s="17">
        <f>'01_원자료'!P961*'03_가중치민감도'!$B$6+'01_원자료'!Q961*'03_가중치민감도'!$C$6+'01_원자료'!R961*'03_가중치민감도'!$D$6</f>
        <v>0.60412350207808541</v>
      </c>
      <c r="G964" s="17">
        <f>'01_원자료'!P961*'03_가중치민감도'!$B$7+'01_원자료'!Q961*'03_가중치민감도'!$C$7+'01_원자료'!R961*'03_가중치민감도'!$D$7</f>
        <v>0.68339361347165684</v>
      </c>
      <c r="H964" s="17">
        <f>'01_원자료'!P961*'03_가중치민감도'!$B$8+'01_원자료'!Q961*'03_가중치민감도'!$C$8+'01_원자료'!R961*'03_가중치민감도'!$D$8</f>
        <v>0.69681071658708038</v>
      </c>
      <c r="I964" s="17">
        <f>'01_원자료'!P961*'03_가중치민감도'!$B$9+'01_원자료'!Q961*'03_가중치민감도'!$C$9+'01_원자료'!R961*'03_가중치민감도'!$D$9</f>
        <v>0.63203766177765552</v>
      </c>
      <c r="J964" s="17">
        <f>'01_원자료'!P961*'03_가중치민감도'!$B$10+'01_원자료'!Q961*'03_가중치민감도'!$C$10+'01_원자료'!R961*'03_가중치민감도'!$D$10</f>
        <v>0.77160846027551067</v>
      </c>
      <c r="K964" s="31">
        <f t="shared" si="84"/>
        <v>772</v>
      </c>
      <c r="L964" s="31">
        <f t="shared" si="85"/>
        <v>831</v>
      </c>
      <c r="M964" s="31">
        <f t="shared" si="86"/>
        <v>773</v>
      </c>
      <c r="N964" s="31">
        <f t="shared" si="87"/>
        <v>778</v>
      </c>
      <c r="O964" s="31">
        <f t="shared" si="88"/>
        <v>800</v>
      </c>
      <c r="P964" s="31">
        <f t="shared" si="89"/>
        <v>723</v>
      </c>
    </row>
    <row r="965" spans="1:16">
      <c r="A965" s="2" t="str">
        <f>'01_원자료'!A962</f>
        <v>RPT-34</v>
      </c>
      <c r="B965" s="2" t="str">
        <f>'01_원자료'!B962</f>
        <v>chatgpt</v>
      </c>
      <c r="C965" s="2" t="str">
        <f>'01_원자료'!C962</f>
        <v>gemma</v>
      </c>
      <c r="E965" s="17">
        <f>'01_원자료'!P962*'03_가중치민감도'!$B$5+'01_원자료'!Q962*'03_가중치민감도'!$C$5+'01_원자료'!R962*'03_가중치민감도'!$D$5</f>
        <v>0.56171485711666413</v>
      </c>
      <c r="F965" s="17">
        <f>'01_원자료'!P962*'03_가중치민감도'!$B$6+'01_원자료'!Q962*'03_가중치민감도'!$C$6+'01_원자료'!R962*'03_가중치민감도'!$D$6</f>
        <v>0.48269240692377247</v>
      </c>
      <c r="G965" s="17">
        <f>'01_원자료'!P962*'03_가중치민감도'!$B$7+'01_원자료'!Q962*'03_가중치민감도'!$C$7+'01_원자료'!R962*'03_가중치민감도'!$D$7</f>
        <v>0.5670920032474901</v>
      </c>
      <c r="H965" s="17">
        <f>'01_원자료'!P962*'03_가중치민감도'!$B$8+'01_원자료'!Q962*'03_가중치민감도'!$C$8+'01_원자료'!R962*'03_가중치민감도'!$D$8</f>
        <v>0.534829126462534</v>
      </c>
      <c r="I965" s="17">
        <f>'01_원자료'!P962*'03_가중치민감도'!$B$9+'01_원자료'!Q962*'03_가중치민감도'!$C$9+'01_원자료'!R962*'03_가중치민감도'!$D$9</f>
        <v>0.50724084161112715</v>
      </c>
      <c r="J965" s="17">
        <f>'01_원자료'!P962*'03_가중치민감도'!$B$10+'01_원자료'!Q962*'03_가중치민감도'!$C$10+'01_원자료'!R962*'03_가중치민감도'!$D$10</f>
        <v>0.62998301504790377</v>
      </c>
      <c r="K965" s="31">
        <f t="shared" ref="K965:K979" si="90">COUNTIF($E$5:$E$979,"&lt;"&amp;E965)+(COUNTIF($E$5:$E$979,"="&amp;E965)+1)/2</f>
        <v>256</v>
      </c>
      <c r="L965" s="31">
        <f t="shared" ref="L965:L979" si="91">COUNTIF($F$5:$F$979,"&lt;"&amp;F965)+(COUNTIF($F$5:$F$979,"="&amp;F965)+1)/2</f>
        <v>284</v>
      </c>
      <c r="M965" s="31">
        <f t="shared" ref="M965:M979" si="92">COUNTIF($G$5:$G$979,"&lt;"&amp;G965)+(COUNTIF($G$5:$G$979,"="&amp;G965)+1)/2</f>
        <v>235</v>
      </c>
      <c r="N965" s="31">
        <f t="shared" ref="N965:N979" si="93">COUNTIF($H$5:$H$979,"&lt;"&amp;H965)+(COUNTIF($H$5:$H$979,"="&amp;H965)+1)/2</f>
        <v>292</v>
      </c>
      <c r="O965" s="31">
        <f t="shared" ref="O965:O979" si="94">COUNTIF($I$5:$I$979,"&lt;"&amp;I965)+(COUNTIF($I$5:$I$979,"="&amp;I965)+1)/2</f>
        <v>273</v>
      </c>
      <c r="P965" s="31">
        <f t="shared" ref="P965:P979" si="95">COUNTIF($J$5:$J$979,"&lt;"&amp;J965)+(COUNTIF($J$5:$J$979,"="&amp;J965)+1)/2</f>
        <v>264</v>
      </c>
    </row>
    <row r="966" spans="1:16">
      <c r="A966" s="2" t="str">
        <f>'01_원자료'!A963</f>
        <v>RPT-34</v>
      </c>
      <c r="B966" s="2" t="str">
        <f>'01_원자료'!B963</f>
        <v>chatgpt</v>
      </c>
      <c r="C966" s="2" t="str">
        <f>'01_원자료'!C963</f>
        <v>ministral</v>
      </c>
      <c r="E966" s="17">
        <f>'01_원자료'!P963*'03_가중치민감도'!$B$5+'01_원자료'!Q963*'03_가중치민감도'!$C$5+'01_원자료'!R963*'03_가중치민감도'!$D$5</f>
        <v>0.48834812050893517</v>
      </c>
      <c r="F966" s="17">
        <f>'01_원자료'!P963*'03_가중치민감도'!$B$6+'01_원자료'!Q963*'03_가중치민감도'!$C$6+'01_원자료'!R963*'03_가중치민감도'!$D$6</f>
        <v>0.41799542201241408</v>
      </c>
      <c r="G966" s="17">
        <f>'01_원자료'!P963*'03_가중치민감도'!$B$7+'01_원자료'!Q963*'03_가중치민감도'!$C$7+'01_원자료'!R963*'03_가중치민감도'!$D$7</f>
        <v>0.50890369647618439</v>
      </c>
      <c r="H966" s="17">
        <f>'01_원자료'!P963*'03_가중치민감도'!$B$8+'01_원자료'!Q963*'03_가중치민감도'!$C$8+'01_원자료'!R963*'03_가중치민감도'!$D$8</f>
        <v>0.38557024067268908</v>
      </c>
      <c r="I966" s="17">
        <f>'01_원자료'!P963*'03_가중치민감도'!$B$9+'01_원자료'!Q963*'03_가중치민감도'!$C$9+'01_원자료'!R963*'03_가중치민감도'!$D$9</f>
        <v>0.43459446285550424</v>
      </c>
      <c r="J966" s="17">
        <f>'01_원자료'!P963*'03_가중치민감도'!$B$10+'01_원자료'!Q963*'03_가중치민감도'!$C$10+'01_원자료'!R963*'03_가중치민감도'!$D$10</f>
        <v>0.51758966707095788</v>
      </c>
      <c r="K966" s="31">
        <f t="shared" si="90"/>
        <v>28</v>
      </c>
      <c r="L966" s="31">
        <f t="shared" si="91"/>
        <v>45</v>
      </c>
      <c r="M966" s="31">
        <f t="shared" si="92"/>
        <v>27</v>
      </c>
      <c r="N966" s="31">
        <f t="shared" si="93"/>
        <v>22</v>
      </c>
      <c r="O966" s="31">
        <f t="shared" si="94"/>
        <v>40</v>
      </c>
      <c r="P966" s="31">
        <f t="shared" si="95"/>
        <v>18</v>
      </c>
    </row>
    <row r="967" spans="1:16">
      <c r="A967" s="2" t="str">
        <f>'01_원자료'!A964</f>
        <v>RPT-34</v>
      </c>
      <c r="B967" s="2" t="str">
        <f>'01_원자료'!B964</f>
        <v>chatgpt</v>
      </c>
      <c r="C967" s="2" t="str">
        <f>'01_원자료'!C964</f>
        <v>qwen</v>
      </c>
      <c r="E967" s="17">
        <f>'01_원자료'!P964*'03_가중치민감도'!$B$5+'01_원자료'!Q964*'03_가중치민감도'!$C$5+'01_원자료'!R964*'03_가중치민감도'!$D$5</f>
        <v>0.54762137695642832</v>
      </c>
      <c r="F967" s="17">
        <f>'01_원자료'!P964*'03_가중치민감도'!$B$6+'01_원자료'!Q964*'03_가중치민감도'!$C$6+'01_원자료'!R964*'03_가중치민감도'!$D$6</f>
        <v>0.46538136055534363</v>
      </c>
      <c r="G967" s="17">
        <f>'01_원자료'!P964*'03_가중치민감도'!$B$7+'01_원자료'!Q964*'03_가중치민감도'!$C$7+'01_원자료'!R964*'03_가중치민감도'!$D$7</f>
        <v>0.552092196924584</v>
      </c>
      <c r="H967" s="17">
        <f>'01_원자료'!P964*'03_가중치민감도'!$B$8+'01_원자료'!Q964*'03_가중치민감도'!$C$8+'01_원자료'!R964*'03_가중치민감도'!$D$8</f>
        <v>0.52526727711564947</v>
      </c>
      <c r="I967" s="17">
        <f>'01_원자료'!P964*'03_가중치민감도'!$B$9+'01_원자료'!Q964*'03_가중치민감도'!$C$9+'01_원자료'!R964*'03_가중치민감도'!$D$9</f>
        <v>0.49130442603298607</v>
      </c>
      <c r="J967" s="17">
        <f>'01_원자료'!P964*'03_가중치민감도'!$B$10+'01_원자료'!Q964*'03_가중치민감도'!$C$10+'01_원자료'!R964*'03_가중치민감도'!$D$10</f>
        <v>0.62091975342120143</v>
      </c>
      <c r="K967" s="31">
        <f t="shared" si="90"/>
        <v>193</v>
      </c>
      <c r="L967" s="31">
        <f t="shared" si="91"/>
        <v>202</v>
      </c>
      <c r="M967" s="31">
        <f t="shared" si="92"/>
        <v>169</v>
      </c>
      <c r="N967" s="31">
        <f t="shared" si="93"/>
        <v>270</v>
      </c>
      <c r="O967" s="31">
        <f t="shared" si="94"/>
        <v>207</v>
      </c>
      <c r="P967" s="31">
        <f t="shared" si="95"/>
        <v>245</v>
      </c>
    </row>
    <row r="968" spans="1:16">
      <c r="A968" s="2" t="str">
        <f>'01_원자료'!A965</f>
        <v>RPT-34</v>
      </c>
      <c r="B968" s="2" t="str">
        <f>'01_원자료'!B965</f>
        <v>claude</v>
      </c>
      <c r="C968" s="2" t="str">
        <f>'01_원자료'!C965</f>
        <v>gemma</v>
      </c>
      <c r="E968" s="17">
        <f>'01_원자료'!P965*'03_가중치민감도'!$B$5+'01_원자료'!Q965*'03_가중치민감도'!$C$5+'01_원자료'!R965*'03_가중치민감도'!$D$5</f>
        <v>0.62804896005712108</v>
      </c>
      <c r="F968" s="17">
        <f>'01_원자료'!P965*'03_가중치민감도'!$B$6+'01_원자료'!Q965*'03_가중치민감도'!$C$6+'01_원자료'!R965*'03_가중치민감도'!$D$6</f>
        <v>0.5371167249823976</v>
      </c>
      <c r="G968" s="17">
        <f>'01_원자료'!P965*'03_가중치민감도'!$B$7+'01_원자료'!Q965*'03_가중치민감도'!$C$7+'01_원자료'!R965*'03_가중치민감도'!$D$7</f>
        <v>0.62604276335514508</v>
      </c>
      <c r="H968" s="17">
        <f>'01_원자료'!P965*'03_가중치민감도'!$B$8+'01_원자료'!Q965*'03_가중치민감도'!$C$8+'01_원자료'!R965*'03_가중치민감도'!$D$8</f>
        <v>0.6380799435670006</v>
      </c>
      <c r="I968" s="17">
        <f>'01_원자료'!P965*'03_가중치민감도'!$B$9+'01_원자료'!Q965*'03_가중치민감도'!$C$9+'01_원자료'!R965*'03_가중치민감도'!$D$9</f>
        <v>0.56809620224129675</v>
      </c>
      <c r="J968" s="17">
        <f>'01_원자료'!P965*'03_가중치민감도'!$B$10+'01_원자료'!Q965*'03_가중치민감도'!$C$10+'01_원자료'!R965*'03_가중치민감도'!$D$10</f>
        <v>0.72299358853579632</v>
      </c>
      <c r="K968" s="31">
        <f t="shared" si="90"/>
        <v>522</v>
      </c>
      <c r="L968" s="31">
        <f t="shared" si="91"/>
        <v>534</v>
      </c>
      <c r="M968" s="31">
        <f t="shared" si="92"/>
        <v>493</v>
      </c>
      <c r="N968" s="31">
        <f t="shared" si="93"/>
        <v>600</v>
      </c>
      <c r="O968" s="31">
        <f t="shared" si="94"/>
        <v>540</v>
      </c>
      <c r="P968" s="31">
        <f t="shared" si="95"/>
        <v>560</v>
      </c>
    </row>
    <row r="969" spans="1:16">
      <c r="A969" s="2" t="str">
        <f>'01_원자료'!A966</f>
        <v>RPT-34</v>
      </c>
      <c r="B969" s="2" t="str">
        <f>'01_원자료'!B966</f>
        <v>claude</v>
      </c>
      <c r="C969" s="2" t="str">
        <f>'01_원자료'!C966</f>
        <v>ministral</v>
      </c>
      <c r="E969" s="17">
        <f>'01_원자료'!P966*'03_가중치민감도'!$B$5+'01_원자료'!Q966*'03_가중치민감도'!$C$5+'01_원자료'!R966*'03_가중치민감도'!$D$5</f>
        <v>0.5151123345483325</v>
      </c>
      <c r="F969" s="17">
        <f>'01_원자료'!P966*'03_가중치민감도'!$B$6+'01_원자료'!Q966*'03_가중치민감도'!$C$6+'01_원자료'!R966*'03_가중치민감도'!$D$6</f>
        <v>0.43724810257860325</v>
      </c>
      <c r="G969" s="17">
        <f>'01_원자료'!P966*'03_가중치민감도'!$B$7+'01_원자료'!Q966*'03_가중치민감도'!$C$7+'01_원자료'!R966*'03_가중치민감도'!$D$7</f>
        <v>0.5310878873903121</v>
      </c>
      <c r="H969" s="17">
        <f>'01_원자료'!P966*'03_가중치민감도'!$B$8+'01_원자료'!Q966*'03_가중치민감도'!$C$8+'01_원자료'!R966*'03_가중치민감도'!$D$8</f>
        <v>0.43523457033843471</v>
      </c>
      <c r="I969" s="17">
        <f>'01_원자료'!P966*'03_가중치민감도'!$B$9+'01_원자료'!Q966*'03_가중치민감도'!$C$9+'01_원자료'!R966*'03_가중치민감도'!$D$9</f>
        <v>0.45787766228785265</v>
      </c>
      <c r="J969" s="17">
        <f>'01_원자료'!P966*'03_가중치민감도'!$B$10+'01_원자료'!Q966*'03_가중치민감도'!$C$10+'01_원자료'!R966*'03_가중치민감도'!$D$10</f>
        <v>0.56102546083410265</v>
      </c>
      <c r="K969" s="31">
        <f t="shared" si="90"/>
        <v>79</v>
      </c>
      <c r="L969" s="31">
        <f t="shared" si="91"/>
        <v>89</v>
      </c>
      <c r="M969" s="31">
        <f t="shared" si="92"/>
        <v>75</v>
      </c>
      <c r="N969" s="31">
        <f t="shared" si="93"/>
        <v>113</v>
      </c>
      <c r="O969" s="31">
        <f t="shared" si="94"/>
        <v>88</v>
      </c>
      <c r="P969" s="31">
        <f t="shared" si="95"/>
        <v>90</v>
      </c>
    </row>
    <row r="970" spans="1:16">
      <c r="A970" s="2" t="str">
        <f>'01_원자료'!A967</f>
        <v>RPT-34</v>
      </c>
      <c r="B970" s="2" t="str">
        <f>'01_원자료'!B967</f>
        <v>claude</v>
      </c>
      <c r="C970" s="2" t="str">
        <f>'01_원자료'!C967</f>
        <v>qwen</v>
      </c>
      <c r="E970" s="17">
        <f>'01_원자료'!P967*'03_가중치민감도'!$B$5+'01_원자료'!Q967*'03_가중치민감도'!$C$5+'01_원자료'!R967*'03_가중치민감도'!$D$5</f>
        <v>0.62073998471722536</v>
      </c>
      <c r="F970" s="17">
        <f>'01_원자료'!P967*'03_가중치민감도'!$B$6+'01_원자료'!Q967*'03_가중치민감도'!$C$6+'01_원자료'!R967*'03_가중치민감도'!$D$6</f>
        <v>0.52733754754121942</v>
      </c>
      <c r="G970" s="17">
        <f>'01_원자료'!P967*'03_가중치민감도'!$B$7+'01_원자료'!Q967*'03_가중치민감도'!$C$7+'01_원자료'!R967*'03_가중치민감도'!$D$7</f>
        <v>0.61833055691203165</v>
      </c>
      <c r="H970" s="17">
        <f>'01_원자료'!P967*'03_가중치민감도'!$B$8+'01_원자료'!Q967*'03_가중치민감도'!$C$8+'01_원자료'!R967*'03_가중치민감도'!$D$8</f>
        <v>0.63278712374319368</v>
      </c>
      <c r="I970" s="17">
        <f>'01_원자료'!P967*'03_가중치민감도'!$B$9+'01_원자료'!Q967*'03_가중치민감도'!$C$9+'01_원자료'!R967*'03_가중치민감도'!$D$9</f>
        <v>0.55927483586828541</v>
      </c>
      <c r="J970" s="17">
        <f>'01_원자료'!P967*'03_가중치민감도'!$B$10+'01_원자료'!Q967*'03_가중치민감도'!$C$10+'01_원자료'!R967*'03_가중치민감도'!$D$10</f>
        <v>0.71896127750361871</v>
      </c>
      <c r="K970" s="31">
        <f t="shared" si="90"/>
        <v>492</v>
      </c>
      <c r="L970" s="31">
        <f t="shared" si="91"/>
        <v>486</v>
      </c>
      <c r="M970" s="31">
        <f t="shared" si="92"/>
        <v>455</v>
      </c>
      <c r="N970" s="31">
        <f t="shared" si="93"/>
        <v>584</v>
      </c>
      <c r="O970" s="31">
        <f t="shared" si="94"/>
        <v>497</v>
      </c>
      <c r="P970" s="31">
        <f t="shared" si="95"/>
        <v>535</v>
      </c>
    </row>
    <row r="971" spans="1:16">
      <c r="A971" s="2" t="str">
        <f>'01_원자료'!A968</f>
        <v>RPT-34</v>
      </c>
      <c r="B971" s="2" t="str">
        <f>'01_원자료'!B968</f>
        <v>gemini</v>
      </c>
      <c r="C971" s="2" t="str">
        <f>'01_원자료'!C968</f>
        <v>gemma</v>
      </c>
      <c r="E971" s="17">
        <f>'01_원자료'!P968*'03_가중치민감도'!$B$5+'01_원자료'!Q968*'03_가중치민감도'!$C$5+'01_원자료'!R968*'03_가중치민감도'!$D$5</f>
        <v>0.73127468609059521</v>
      </c>
      <c r="F971" s="17">
        <f>'01_원자료'!P968*'03_가중치민감도'!$B$6+'01_원자료'!Q968*'03_가중치민감도'!$C$6+'01_원자료'!R968*'03_가중치민감도'!$D$6</f>
        <v>0.62054652209331906</v>
      </c>
      <c r="G971" s="17">
        <f>'01_원자료'!P968*'03_가중치민감도'!$B$7+'01_원자료'!Q968*'03_가중치민감도'!$C$7+'01_원자료'!R968*'03_가중치민감도'!$D$7</f>
        <v>0.72301912574398919</v>
      </c>
      <c r="H971" s="17">
        <f>'01_원자료'!P968*'03_가중치민감도'!$B$8+'01_원자료'!Q968*'03_가중치민감도'!$C$8+'01_원자료'!R968*'03_가중치민감도'!$D$8</f>
        <v>0.77255248782362562</v>
      </c>
      <c r="I971" s="17">
        <f>'01_원자료'!P968*'03_가중치민감도'!$B$9+'01_원자료'!Q968*'03_가중치민감도'!$C$9+'01_원자료'!R968*'03_가중치민감도'!$D$9</f>
        <v>0.66020776354127908</v>
      </c>
      <c r="J971" s="17">
        <f>'01_원자료'!P968*'03_가중치민감도'!$B$10+'01_원자료'!Q968*'03_가중치민감도'!$C$10+'01_원자료'!R968*'03_가중치민감도'!$D$10</f>
        <v>0.8585139707810836</v>
      </c>
      <c r="K971" s="31">
        <f t="shared" si="90"/>
        <v>904</v>
      </c>
      <c r="L971" s="31">
        <f t="shared" si="91"/>
        <v>896</v>
      </c>
      <c r="M971" s="31">
        <f t="shared" si="92"/>
        <v>903</v>
      </c>
      <c r="N971" s="31">
        <f t="shared" si="93"/>
        <v>913</v>
      </c>
      <c r="O971" s="31">
        <f t="shared" si="94"/>
        <v>907</v>
      </c>
      <c r="P971" s="31">
        <f t="shared" si="95"/>
        <v>911</v>
      </c>
    </row>
    <row r="972" spans="1:16">
      <c r="A972" s="2" t="str">
        <f>'01_원자료'!A969</f>
        <v>RPT-34</v>
      </c>
      <c r="B972" s="2" t="str">
        <f>'01_원자료'!B969</f>
        <v>gemini</v>
      </c>
      <c r="C972" s="2" t="str">
        <f>'01_원자료'!C969</f>
        <v>ministral</v>
      </c>
      <c r="E972" s="17">
        <f>'01_원자료'!P969*'03_가중치민감도'!$B$5+'01_원자료'!Q969*'03_가중치민감도'!$C$5+'01_원자료'!R969*'03_가중치민감도'!$D$5</f>
        <v>0.51631369848452502</v>
      </c>
      <c r="F972" s="17">
        <f>'01_원자료'!P969*'03_가중치민감도'!$B$6+'01_원자료'!Q969*'03_가중치민감도'!$C$6+'01_원자료'!R969*'03_가중치민감도'!$D$6</f>
        <v>0.42409873283411981</v>
      </c>
      <c r="G972" s="17">
        <f>'01_원자료'!P969*'03_가중치민감도'!$B$7+'01_원자료'!Q969*'03_가중치민감도'!$C$7+'01_원자료'!R969*'03_가중치민감도'!$D$7</f>
        <v>0.53722020174297491</v>
      </c>
      <c r="H972" s="17">
        <f>'01_원자료'!P969*'03_가중치민감도'!$B$8+'01_원자료'!Q969*'03_가중치민감도'!$C$8+'01_원자료'!R969*'03_가중치민감도'!$D$8</f>
        <v>0.41178118219227555</v>
      </c>
      <c r="I972" s="17">
        <f>'01_원자료'!P969*'03_가중치민감도'!$B$9+'01_원자료'!Q969*'03_가중치민감도'!$C$9+'01_원자료'!R969*'03_가중치민감도'!$D$9</f>
        <v>0.44786822029810436</v>
      </c>
      <c r="J972" s="17">
        <f>'01_원자료'!P969*'03_가중치민감도'!$B$10+'01_원자료'!Q969*'03_가중치민감도'!$C$10+'01_원자료'!R969*'03_가중치민감도'!$D$10</f>
        <v>0.56671565761803055</v>
      </c>
      <c r="K972" s="31">
        <f t="shared" si="90"/>
        <v>85</v>
      </c>
      <c r="L972" s="31">
        <f t="shared" si="91"/>
        <v>55</v>
      </c>
      <c r="M972" s="31">
        <f t="shared" si="92"/>
        <v>95</v>
      </c>
      <c r="N972" s="31">
        <f t="shared" si="93"/>
        <v>68</v>
      </c>
      <c r="O972" s="31">
        <f t="shared" si="94"/>
        <v>58</v>
      </c>
      <c r="P972" s="31">
        <f t="shared" si="95"/>
        <v>106</v>
      </c>
    </row>
    <row r="973" spans="1:16">
      <c r="A973" s="2" t="str">
        <f>'01_원자료'!A970</f>
        <v>RPT-34</v>
      </c>
      <c r="B973" s="2" t="str">
        <f>'01_원자료'!B970</f>
        <v>gemini</v>
      </c>
      <c r="C973" s="2" t="str">
        <f>'01_원자료'!C970</f>
        <v>qwen</v>
      </c>
      <c r="E973" s="17">
        <f>'01_원자료'!P970*'03_가중치민감도'!$B$5+'01_원자료'!Q970*'03_가중치민감도'!$C$5+'01_원자료'!R970*'03_가중치민감도'!$D$5</f>
        <v>0.71634825560449533</v>
      </c>
      <c r="F973" s="17">
        <f>'01_원자료'!P970*'03_가중치민감도'!$B$6+'01_원자료'!Q970*'03_가중치민감도'!$C$6+'01_원자료'!R970*'03_가중치민감도'!$D$6</f>
        <v>0.59651398973518188</v>
      </c>
      <c r="G973" s="17">
        <f>'01_원자료'!P970*'03_가중치민감도'!$B$7+'01_원자료'!Q970*'03_가중치민감도'!$C$7+'01_원자료'!R970*'03_가중치민감도'!$D$7</f>
        <v>0.70760766787338403</v>
      </c>
      <c r="H973" s="17">
        <f>'01_원자료'!P970*'03_가중치민감도'!$B$8+'01_원자료'!Q970*'03_가중치민감도'!$C$8+'01_원자료'!R970*'03_가중치민감도'!$D$8</f>
        <v>0.76005119426005174</v>
      </c>
      <c r="I973" s="17">
        <f>'01_원자료'!P970*'03_가중치민감도'!$B$9+'01_원자료'!Q970*'03_가중치민감도'!$C$9+'01_원자료'!R970*'03_가중치민감도'!$D$9</f>
        <v>0.63937227426865606</v>
      </c>
      <c r="J973" s="17">
        <f>'01_원자료'!P970*'03_가중치민감도'!$B$10+'01_원자료'!Q970*'03_가중치민감도'!$C$10+'01_원자료'!R970*'03_가중치민감도'!$D$10</f>
        <v>0.8536636969360315</v>
      </c>
      <c r="K973" s="31">
        <f t="shared" si="90"/>
        <v>864</v>
      </c>
      <c r="L973" s="31">
        <f t="shared" si="91"/>
        <v>794</v>
      </c>
      <c r="M973" s="31">
        <f t="shared" si="92"/>
        <v>857</v>
      </c>
      <c r="N973" s="31">
        <f t="shared" si="93"/>
        <v>865</v>
      </c>
      <c r="O973" s="31">
        <f t="shared" si="94"/>
        <v>834</v>
      </c>
      <c r="P973" s="31">
        <f t="shared" si="95"/>
        <v>899</v>
      </c>
    </row>
    <row r="974" spans="1:16">
      <c r="A974" s="2" t="str">
        <f>'01_원자료'!A971</f>
        <v>RPT-34</v>
      </c>
      <c r="B974" s="2" t="str">
        <f>'01_원자료'!B971</f>
        <v>mistral</v>
      </c>
      <c r="C974" s="2" t="str">
        <f>'01_원자료'!C971</f>
        <v>gemma</v>
      </c>
      <c r="E974" s="17">
        <f>'01_원자료'!P971*'03_가중치민감도'!$B$5+'01_원자료'!Q971*'03_가중치민감도'!$C$5+'01_원자료'!R971*'03_가중치민감도'!$D$5</f>
        <v>0.55389956059627199</v>
      </c>
      <c r="F974" s="17">
        <f>'01_원자료'!P971*'03_가중치민감도'!$B$6+'01_원자료'!Q971*'03_가중치민감도'!$C$6+'01_원자료'!R971*'03_가중치민감도'!$D$6</f>
        <v>0.47176191077513385</v>
      </c>
      <c r="G974" s="17">
        <f>'01_원자료'!P971*'03_가중치민감도'!$B$7+'01_원자료'!Q971*'03_가중치민감도'!$C$7+'01_원자료'!R971*'03_가중치민감도'!$D$7</f>
        <v>0.57007419764075251</v>
      </c>
      <c r="H974" s="17">
        <f>'01_원자료'!P971*'03_가중치민감도'!$B$8+'01_원자료'!Q971*'03_가중치민감도'!$C$8+'01_원자료'!R971*'03_가중치민감도'!$D$8</f>
        <v>0.47302637537386971</v>
      </c>
      <c r="I974" s="17">
        <f>'01_원자료'!P971*'03_가중치민감도'!$B$9+'01_원자료'!Q971*'03_가중치민감도'!$C$9+'01_원자료'!R971*'03_가중치민감도'!$D$9</f>
        <v>0.49374958170068595</v>
      </c>
      <c r="J974" s="17">
        <f>'01_원자료'!P971*'03_가중치민감도'!$B$10+'01_원자료'!Q971*'03_가중치민감도'!$C$10+'01_원자료'!R971*'03_가중치민감도'!$D$10</f>
        <v>0.6036879363284493</v>
      </c>
      <c r="K974" s="31">
        <f t="shared" si="90"/>
        <v>224</v>
      </c>
      <c r="L974" s="31">
        <f t="shared" si="91"/>
        <v>225</v>
      </c>
      <c r="M974" s="31">
        <f t="shared" si="92"/>
        <v>246</v>
      </c>
      <c r="N974" s="31">
        <f t="shared" si="93"/>
        <v>162</v>
      </c>
      <c r="O974" s="31">
        <f t="shared" si="94"/>
        <v>213</v>
      </c>
      <c r="P974" s="31">
        <f t="shared" si="95"/>
        <v>197</v>
      </c>
    </row>
    <row r="975" spans="1:16">
      <c r="A975" s="2" t="str">
        <f>'01_원자료'!A972</f>
        <v>RPT-34</v>
      </c>
      <c r="B975" s="2" t="str">
        <f>'01_원자료'!B972</f>
        <v>mistral</v>
      </c>
      <c r="C975" s="2" t="str">
        <f>'01_원자료'!C972</f>
        <v>ministral</v>
      </c>
      <c r="E975" s="17">
        <f>'01_원자료'!P972*'03_가중치민감도'!$B$5+'01_원자료'!Q972*'03_가중치민감도'!$C$5+'01_원자료'!R972*'03_가중치민감도'!$D$5</f>
        <v>0.64353867137932108</v>
      </c>
      <c r="F975" s="17">
        <f>'01_원자료'!P972*'03_가중치민감도'!$B$6+'01_원자료'!Q972*'03_가중치민감도'!$C$6+'01_원자료'!R972*'03_가중치민감도'!$D$6</f>
        <v>0.55646865320298178</v>
      </c>
      <c r="G975" s="17">
        <f>'01_원자료'!P972*'03_가중치민감도'!$B$7+'01_원자료'!Q972*'03_가중치민감도'!$C$7+'01_원자료'!R972*'03_가중치민감도'!$D$7</f>
        <v>0.65196602902320766</v>
      </c>
      <c r="H975" s="17">
        <f>'01_원자료'!P972*'03_가중치민감도'!$B$8+'01_원자료'!Q972*'03_가중치민감도'!$C$8+'01_원자료'!R972*'03_가중치민감도'!$D$8</f>
        <v>0.6014018831598883</v>
      </c>
      <c r="I975" s="17">
        <f>'01_원자료'!P972*'03_가중치민감도'!$B$9+'01_원자료'!Q972*'03_가중치민감도'!$C$9+'01_원자료'!R972*'03_가중치민감도'!$D$9</f>
        <v>0.58268287338046543</v>
      </c>
      <c r="J975" s="17">
        <f>'01_원자료'!P972*'03_가중치민감도'!$B$10+'01_원자료'!Q972*'03_가중치민감도'!$C$10+'01_원자료'!R972*'03_가중치민감도'!$D$10</f>
        <v>0.71375397426788734</v>
      </c>
      <c r="K975" s="31">
        <f t="shared" si="90"/>
        <v>591</v>
      </c>
      <c r="L975" s="31">
        <f t="shared" si="91"/>
        <v>623</v>
      </c>
      <c r="M975" s="31">
        <f t="shared" si="92"/>
        <v>626</v>
      </c>
      <c r="N975" s="31">
        <f t="shared" si="93"/>
        <v>493</v>
      </c>
      <c r="O975" s="31">
        <f t="shared" si="94"/>
        <v>591</v>
      </c>
      <c r="P975" s="31">
        <f t="shared" si="95"/>
        <v>510</v>
      </c>
    </row>
    <row r="976" spans="1:16">
      <c r="A976" s="2" t="str">
        <f>'01_원자료'!A973</f>
        <v>RPT-34</v>
      </c>
      <c r="B976" s="2" t="str">
        <f>'01_원자료'!B973</f>
        <v>mistral</v>
      </c>
      <c r="C976" s="2" t="str">
        <f>'01_원자료'!C973</f>
        <v>qwen</v>
      </c>
      <c r="E976" s="17">
        <f>'01_원자료'!P973*'03_가중치민감도'!$B$5+'01_원자료'!Q973*'03_가중치민감도'!$C$5+'01_원자료'!R973*'03_가중치민감도'!$D$5</f>
        <v>0.54589705609593941</v>
      </c>
      <c r="F976" s="17">
        <f>'01_원자료'!P973*'03_가중치민감도'!$B$6+'01_원자료'!Q973*'03_가중치민감도'!$C$6+'01_원자료'!R973*'03_가중치민감도'!$D$6</f>
        <v>0.45949252702480181</v>
      </c>
      <c r="G976" s="17">
        <f>'01_원자료'!P973*'03_가중치민감도'!$B$7+'01_원자료'!Q973*'03_가중치민감도'!$C$7+'01_원자료'!R973*'03_가중치민감도'!$D$7</f>
        <v>0.56176039103622544</v>
      </c>
      <c r="H976" s="17">
        <f>'01_원자료'!P973*'03_가중치민감도'!$B$8+'01_원자료'!Q973*'03_가중치민감도'!$C$8+'01_원자료'!R973*'03_가중치민감도'!$D$8</f>
        <v>0.46658038139450925</v>
      </c>
      <c r="I976" s="17">
        <f>'01_원자료'!P973*'03_가중치민감도'!$B$9+'01_원자료'!Q973*'03_가중치민감도'!$C$9+'01_원자료'!R973*'03_가중치민감도'!$D$9</f>
        <v>0.48300625840175188</v>
      </c>
      <c r="J976" s="17">
        <f>'01_원자료'!P973*'03_가중치민감도'!$B$10+'01_원자료'!Q973*'03_가중치민감도'!$C$10+'01_원자료'!R973*'03_가중치민감도'!$D$10</f>
        <v>0.60057491528650497</v>
      </c>
      <c r="K976" s="31">
        <f t="shared" si="90"/>
        <v>189</v>
      </c>
      <c r="L976" s="31">
        <f t="shared" si="91"/>
        <v>176</v>
      </c>
      <c r="M976" s="31">
        <f t="shared" si="92"/>
        <v>207</v>
      </c>
      <c r="N976" s="31">
        <f t="shared" si="93"/>
        <v>155</v>
      </c>
      <c r="O976" s="31">
        <f t="shared" si="94"/>
        <v>171</v>
      </c>
      <c r="P976" s="31">
        <f t="shared" si="95"/>
        <v>191</v>
      </c>
    </row>
    <row r="977" spans="1:16">
      <c r="A977" s="2" t="str">
        <f>'01_원자료'!A974</f>
        <v>RPT-34</v>
      </c>
      <c r="B977" s="2" t="str">
        <f>'01_원자료'!B974</f>
        <v>qwen3_6</v>
      </c>
      <c r="C977" s="2" t="str">
        <f>'01_원자료'!C974</f>
        <v>gemma</v>
      </c>
      <c r="E977" s="17">
        <f>'01_원자료'!P974*'03_가중치민감도'!$B$5+'01_원자료'!Q974*'03_가중치민감도'!$C$5+'01_원자료'!R974*'03_가중치민감도'!$D$5</f>
        <v>0.73597414894495294</v>
      </c>
      <c r="F977" s="17">
        <f>'01_원자료'!P974*'03_가중치민감도'!$B$6+'01_원자료'!Q974*'03_가중치민감도'!$C$6+'01_원자료'!R974*'03_가중치민감도'!$D$6</f>
        <v>0.64205997493616107</v>
      </c>
      <c r="G977" s="17">
        <f>'01_원자료'!P974*'03_가중치민감도'!$B$7+'01_원자료'!Q974*'03_가중치민감도'!$C$7+'01_원자료'!R974*'03_가중치민감도'!$D$7</f>
        <v>0.7267090446705029</v>
      </c>
      <c r="H977" s="17">
        <f>'01_원자료'!P974*'03_가중치민감도'!$B$8+'01_원자료'!Q974*'03_가중치민감도'!$C$8+'01_원자료'!R974*'03_가중치민감도'!$D$8</f>
        <v>0.78229967031720271</v>
      </c>
      <c r="I977" s="17">
        <f>'01_원자료'!P974*'03_가중치민감도'!$B$9+'01_원자료'!Q974*'03_가중치민감도'!$C$9+'01_원자료'!R974*'03_가중치민감도'!$D$9</f>
        <v>0.6764530676972409</v>
      </c>
      <c r="J977" s="17">
        <f>'01_원자료'!P974*'03_가중치민감도'!$B$10+'01_원자료'!Q974*'03_가중치민감도'!$C$10+'01_원자료'!R974*'03_가중치민감도'!$D$10</f>
        <v>0.84841853150264468</v>
      </c>
      <c r="K977" s="31">
        <f t="shared" si="90"/>
        <v>917</v>
      </c>
      <c r="L977" s="31">
        <f t="shared" si="91"/>
        <v>943</v>
      </c>
      <c r="M977" s="31">
        <f t="shared" si="92"/>
        <v>914</v>
      </c>
      <c r="N977" s="31">
        <f t="shared" si="93"/>
        <v>942</v>
      </c>
      <c r="O977" s="31">
        <f t="shared" si="94"/>
        <v>940</v>
      </c>
      <c r="P977" s="31">
        <f t="shared" si="95"/>
        <v>889</v>
      </c>
    </row>
    <row r="978" spans="1:16">
      <c r="A978" s="2" t="str">
        <f>'01_원자료'!A975</f>
        <v>RPT-34</v>
      </c>
      <c r="B978" s="2" t="str">
        <f>'01_원자료'!B975</f>
        <v>qwen3_6</v>
      </c>
      <c r="C978" s="2" t="str">
        <f>'01_원자료'!C975</f>
        <v>ministral</v>
      </c>
      <c r="E978" s="17">
        <f>'01_원자료'!P975*'03_가중치민감도'!$B$5+'01_원자료'!Q975*'03_가중치민감도'!$C$5+'01_원자료'!R975*'03_가중치민감도'!$D$5</f>
        <v>0.50241478432334141</v>
      </c>
      <c r="F978" s="17">
        <f>'01_원자료'!P975*'03_가중치민감도'!$B$6+'01_원자료'!Q975*'03_가중치민감도'!$C$6+'01_원자료'!R975*'03_가중치민감도'!$D$6</f>
        <v>0.42667241799332933</v>
      </c>
      <c r="G978" s="17">
        <f>'01_원자료'!P975*'03_가중치민감도'!$B$7+'01_원자료'!Q975*'03_가중치민감도'!$C$7+'01_원자료'!R975*'03_가중치민감도'!$D$7</f>
        <v>0.52079032812499326</v>
      </c>
      <c r="H978" s="17">
        <f>'01_원자료'!P975*'03_가중치민감도'!$B$8+'01_원자료'!Q975*'03_가중치민감도'!$C$8+'01_원자료'!R975*'03_가중치민감도'!$D$8</f>
        <v>0.41053706531508233</v>
      </c>
      <c r="I978" s="17">
        <f>'01_원자료'!P975*'03_가중치민감도'!$B$9+'01_원자료'!Q975*'03_가중치민감도'!$C$9+'01_원자료'!R975*'03_가중치민감도'!$D$9</f>
        <v>0.445794692169449</v>
      </c>
      <c r="J978" s="17">
        <f>'01_원자료'!P975*'03_가중치민감도'!$B$10+'01_원자료'!Q975*'03_가중치민감도'!$C$10+'01_원자료'!R975*'03_가중치민감도'!$D$10</f>
        <v>0.5414060630500499</v>
      </c>
      <c r="K978" s="31">
        <f t="shared" si="90"/>
        <v>48</v>
      </c>
      <c r="L978" s="31">
        <f t="shared" si="91"/>
        <v>62</v>
      </c>
      <c r="M978" s="31">
        <f t="shared" si="92"/>
        <v>50</v>
      </c>
      <c r="N978" s="31">
        <f t="shared" si="93"/>
        <v>67</v>
      </c>
      <c r="O978" s="31">
        <f t="shared" si="94"/>
        <v>54</v>
      </c>
      <c r="P978" s="31">
        <f t="shared" si="95"/>
        <v>52</v>
      </c>
    </row>
    <row r="979" spans="1:16">
      <c r="A979" s="2" t="str">
        <f>'01_원자료'!A976</f>
        <v>RPT-34</v>
      </c>
      <c r="B979" s="2" t="str">
        <f>'01_원자료'!B976</f>
        <v>qwen3_6</v>
      </c>
      <c r="C979" s="2" t="str">
        <f>'01_원자료'!C976</f>
        <v>qwen</v>
      </c>
      <c r="E979" s="17">
        <f>'01_원자료'!P976*'03_가중치민감도'!$B$5+'01_원자료'!Q976*'03_가중치민감도'!$C$5+'01_원자료'!R976*'03_가중치민감도'!$D$5</f>
        <v>0.71819110617174109</v>
      </c>
      <c r="F979" s="17">
        <f>'01_원자료'!P976*'03_가중치민감도'!$B$6+'01_원자료'!Q976*'03_가중치민감도'!$C$6+'01_원자료'!R976*'03_가중치민감도'!$D$6</f>
        <v>0.6207493978684242</v>
      </c>
      <c r="G979" s="17">
        <f>'01_원자료'!P976*'03_가중치민감도'!$B$7+'01_원자료'!Q976*'03_가중치민감도'!$C$7+'01_원자료'!R976*'03_가중치민감도'!$D$7</f>
        <v>0.7077380428574005</v>
      </c>
      <c r="H979" s="17">
        <f>'01_원자료'!P976*'03_가중치민감도'!$B$8+'01_원자료'!Q976*'03_가중치민감도'!$C$8+'01_원자료'!R976*'03_가중치민감도'!$D$8</f>
        <v>0.77045642274344373</v>
      </c>
      <c r="I979" s="17">
        <f>'01_원자료'!P976*'03_가중치민감도'!$B$9+'01_원자료'!Q976*'03_가중치민감도'!$C$9+'01_원자료'!R976*'03_가중치민감도'!$D$9</f>
        <v>0.65671432174097599</v>
      </c>
      <c r="J979" s="17">
        <f>'01_원자료'!P976*'03_가중치민감도'!$B$10+'01_원자료'!Q976*'03_가중치민감도'!$C$10+'01_원자료'!R976*'03_가중치민감도'!$D$10</f>
        <v>0.83653894110373894</v>
      </c>
      <c r="K979" s="31">
        <f t="shared" si="90"/>
        <v>871</v>
      </c>
      <c r="L979" s="31">
        <f t="shared" si="91"/>
        <v>898</v>
      </c>
      <c r="M979" s="31">
        <f t="shared" si="92"/>
        <v>859</v>
      </c>
      <c r="N979" s="31">
        <f t="shared" si="93"/>
        <v>902</v>
      </c>
      <c r="O979" s="31">
        <f t="shared" si="94"/>
        <v>895</v>
      </c>
      <c r="P979" s="31">
        <f t="shared" si="95"/>
        <v>855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zoomScaleNormal="100" workbookViewId="0"/>
  </sheetViews>
  <sheetFormatPr defaultColWidth="8.6640625" defaultRowHeight="14.4"/>
  <cols>
    <col min="1" max="1" width="18" customWidth="1"/>
    <col min="2" max="4" width="12" customWidth="1"/>
    <col min="5" max="5" width="16" customWidth="1"/>
    <col min="6" max="6" width="14" customWidth="1"/>
  </cols>
  <sheetData>
    <row r="1" spans="1:6" ht="17.399999999999999">
      <c r="A1" s="21" t="s">
        <v>264</v>
      </c>
    </row>
    <row r="2" spans="1:6">
      <c r="A2" s="2" t="s">
        <v>265</v>
      </c>
    </row>
    <row r="4" spans="1:6">
      <c r="A4" s="14" t="s">
        <v>88</v>
      </c>
      <c r="B4" s="14" t="s">
        <v>117</v>
      </c>
      <c r="C4" s="14" t="s">
        <v>118</v>
      </c>
      <c r="D4" s="14" t="s">
        <v>119</v>
      </c>
      <c r="E4" s="10" t="s">
        <v>266</v>
      </c>
      <c r="F4" s="10" t="s">
        <v>267</v>
      </c>
    </row>
    <row r="5" spans="1:6">
      <c r="A5" s="6" t="s">
        <v>116</v>
      </c>
      <c r="B5" s="28">
        <f>AVERAGEIFS('01_원자료'!$S$2:$S$976,'01_원자료'!$B$2:$B$976,$A5,'01_원자료'!$C$2:$C$976,B$4)</f>
        <v>0.55255116541262339</v>
      </c>
      <c r="C5" s="28">
        <f>AVERAGEIFS('01_원자료'!$S$2:$S$976,'01_원자료'!$B$2:$B$976,$A5,'01_원자료'!$C$2:$C$976,C$4)</f>
        <v>0.5275490323785863</v>
      </c>
      <c r="D5" s="28">
        <f>AVERAGEIFS('01_원자료'!$S$2:$S$976,'01_원자료'!$B$2:$B$976,$A5,'01_원자료'!$C$2:$C$976,D$4)</f>
        <v>0.55645248367618005</v>
      </c>
      <c r="E5" s="32">
        <f>AVERAGEIFS('01_원자료'!$S$2:$S$976,'01_원자료'!$B$2:$B$976,$A5)</f>
        <v>0.54551756048912992</v>
      </c>
      <c r="F5" s="11" t="s">
        <v>268</v>
      </c>
    </row>
    <row r="6" spans="1:6">
      <c r="A6" s="6" t="s">
        <v>120</v>
      </c>
      <c r="B6" s="28">
        <f>AVERAGEIFS('01_원자료'!$S$2:$S$976,'01_원자료'!$B$2:$B$976,$A6,'01_원자료'!$C$2:$C$976,B$4)</f>
        <v>0.63130270342475714</v>
      </c>
      <c r="C6" s="28">
        <f>AVERAGEIFS('01_원자료'!$S$2:$S$976,'01_원자료'!$B$2:$B$976,$A6,'01_원자료'!$C$2:$C$976,C$4)</f>
        <v>0.5748907759621108</v>
      </c>
      <c r="D6" s="28">
        <f>AVERAGEIFS('01_원자료'!$S$2:$S$976,'01_원자료'!$B$2:$B$976,$A6,'01_원자료'!$C$2:$C$976,D$4)</f>
        <v>0.65842300751081562</v>
      </c>
      <c r="E6" s="32">
        <f>AVERAGEIFS('01_원자료'!$S$2:$S$976,'01_원자료'!$B$2:$B$976,$A6)</f>
        <v>0.62153882896589419</v>
      </c>
      <c r="F6" s="11" t="s">
        <v>269</v>
      </c>
    </row>
    <row r="7" spans="1:6">
      <c r="A7" s="6" t="s">
        <v>121</v>
      </c>
      <c r="B7" s="28">
        <f>AVERAGEIFS('01_원자료'!$S$2:$S$976,'01_원자료'!$B$2:$B$976,$A7,'01_원자료'!$C$2:$C$976,B$4)</f>
        <v>0.71765179307288096</v>
      </c>
      <c r="C7" s="28">
        <f>AVERAGEIFS('01_원자료'!$S$2:$S$976,'01_원자료'!$B$2:$B$976,$A7,'01_원자료'!$C$2:$C$976,C$4)</f>
        <v>0.57939907452681327</v>
      </c>
      <c r="D7" s="28">
        <f>AVERAGEIFS('01_원자료'!$S$2:$S$976,'01_원자료'!$B$2:$B$976,$A7,'01_원자료'!$C$2:$C$976,D$4)</f>
        <v>0.68823697541961104</v>
      </c>
      <c r="E7" s="32">
        <f>AVERAGEIFS('01_원자료'!$S$2:$S$976,'01_원자료'!$B$2:$B$976,$A7)</f>
        <v>0.66176261433976835</v>
      </c>
      <c r="F7" s="11" t="s">
        <v>270</v>
      </c>
    </row>
    <row r="8" spans="1:6">
      <c r="A8" s="6" t="s">
        <v>122</v>
      </c>
      <c r="B8" s="28">
        <f>AVERAGEIFS('01_원자료'!$S$2:$S$976,'01_원자료'!$B$2:$B$976,$A8,'01_원자료'!$C$2:$C$976,B$4)</f>
        <v>0.62288162218964616</v>
      </c>
      <c r="C8" s="28">
        <f>AVERAGEIFS('01_원자료'!$S$2:$S$976,'01_원자료'!$B$2:$B$976,$A8,'01_원자료'!$C$2:$C$976,C$4)</f>
        <v>0.58122327621768377</v>
      </c>
      <c r="D8" s="28">
        <f>AVERAGEIFS('01_원자료'!$S$2:$S$976,'01_원자료'!$B$2:$B$976,$A8,'01_원자료'!$C$2:$C$976,D$4)</f>
        <v>0.631388866314886</v>
      </c>
      <c r="E8" s="32">
        <f>AVERAGEIFS('01_원자료'!$S$2:$S$976,'01_원자료'!$B$2:$B$976,$A8)</f>
        <v>0.61183125490740553</v>
      </c>
      <c r="F8" s="11" t="s">
        <v>271</v>
      </c>
    </row>
    <row r="9" spans="1:6">
      <c r="A9" s="6" t="s">
        <v>123</v>
      </c>
      <c r="B9" s="28">
        <f>AVERAGEIFS('01_원자료'!$S$2:$S$976,'01_원자료'!$B$2:$B$976,$A9,'01_원자료'!$C$2:$C$976,B$4)</f>
        <v>0.70798545181124317</v>
      </c>
      <c r="C9" s="28">
        <f>AVERAGEIFS('01_원자료'!$S$2:$S$976,'01_원자료'!$B$2:$B$976,$A9,'01_원자료'!$C$2:$C$976,C$4)</f>
        <v>0.55987160792449109</v>
      </c>
      <c r="D9" s="28">
        <f>AVERAGEIFS('01_원자료'!$S$2:$S$976,'01_원자료'!$B$2:$B$976,$A9,'01_원자료'!$C$2:$C$976,D$4)</f>
        <v>0.68241873304500178</v>
      </c>
      <c r="E9" s="32">
        <f>AVERAGEIFS('01_원자료'!$S$2:$S$976,'01_원자료'!$B$2:$B$976,$A9)</f>
        <v>0.65009193092691198</v>
      </c>
      <c r="F9" s="11" t="s">
        <v>272</v>
      </c>
    </row>
    <row r="10" spans="1:6">
      <c r="A10" s="4" t="s">
        <v>273</v>
      </c>
      <c r="B10" s="32">
        <f>AVERAGEIFS('01_원자료'!$S$2:$S$976,'01_원자료'!$C$2:$C$976,B$4)</f>
        <v>0.64647454718222985</v>
      </c>
      <c r="C10" s="32">
        <f>AVERAGEIFS('01_원자료'!$S$2:$S$976,'01_원자료'!$C$2:$C$976,C$4)</f>
        <v>0.56458675340193687</v>
      </c>
      <c r="D10" s="32">
        <f>AVERAGEIFS('01_원자료'!$S$2:$S$976,'01_원자료'!$C$2:$C$976,D$4)</f>
        <v>0.64338401319329941</v>
      </c>
      <c r="E10" s="29">
        <f>AVERAGE('01_원자료'!$S$2:$S$976)</f>
        <v>0.61814843792582197</v>
      </c>
      <c r="F10" s="2" t="s">
        <v>274</v>
      </c>
    </row>
    <row r="11" spans="1:6">
      <c r="A11" s="2" t="s">
        <v>275</v>
      </c>
      <c r="B11" s="2">
        <f>COUNTIFS('01_원자료'!$B$2:$B$976,$A$5,'01_원자료'!$C$2:$C$976,B$4)</f>
        <v>65</v>
      </c>
      <c r="C11" s="2">
        <f>COUNTIFS('01_원자료'!$B$2:$B$976,$A$5,'01_원자료'!$C$2:$C$976,C$4)</f>
        <v>65</v>
      </c>
      <c r="D11" s="2">
        <f>COUNTIFS('01_원자료'!$B$2:$B$976,$A$5,'01_원자료'!$C$2:$C$976,D$4)</f>
        <v>65</v>
      </c>
    </row>
    <row r="13" spans="1:6">
      <c r="A13" s="3" t="s">
        <v>276</v>
      </c>
    </row>
    <row r="14" spans="1:6">
      <c r="A14" s="2" t="s">
        <v>277</v>
      </c>
    </row>
    <row r="15" spans="1:6">
      <c r="A15" s="14" t="s">
        <v>88</v>
      </c>
      <c r="B15" s="14" t="s">
        <v>117</v>
      </c>
      <c r="C15" s="14" t="s">
        <v>118</v>
      </c>
      <c r="D15" s="14" t="s">
        <v>119</v>
      </c>
    </row>
    <row r="16" spans="1:6">
      <c r="A16" s="6" t="s">
        <v>116</v>
      </c>
      <c r="B16" s="28">
        <f t="shared" ref="B16:D20" si="0">B5-$E5-B$10+$E$10</f>
        <v>-2.1292504332914408E-2</v>
      </c>
      <c r="C16" s="28">
        <f t="shared" si="0"/>
        <v>3.5593156413341487E-2</v>
      </c>
      <c r="D16" s="28">
        <f t="shared" si="0"/>
        <v>-1.4300652080427301E-2</v>
      </c>
    </row>
    <row r="17" spans="1:4">
      <c r="A17" s="6" t="s">
        <v>120</v>
      </c>
      <c r="B17" s="28">
        <f t="shared" si="0"/>
        <v>-1.856223479754493E-2</v>
      </c>
      <c r="C17" s="28">
        <f t="shared" si="0"/>
        <v>6.9136315201017151E-3</v>
      </c>
      <c r="D17" s="28">
        <f t="shared" si="0"/>
        <v>1.1648603277443992E-2</v>
      </c>
    </row>
    <row r="18" spans="1:4">
      <c r="A18" s="6" t="s">
        <v>121</v>
      </c>
      <c r="B18" s="28">
        <f t="shared" si="0"/>
        <v>2.7563069476704727E-2</v>
      </c>
      <c r="C18" s="28">
        <f t="shared" si="0"/>
        <v>-2.8801855289069977E-2</v>
      </c>
      <c r="D18" s="28">
        <f t="shared" si="0"/>
        <v>1.2387858123652506E-3</v>
      </c>
    </row>
    <row r="19" spans="1:4">
      <c r="A19" s="6" t="s">
        <v>122</v>
      </c>
      <c r="B19" s="28">
        <f t="shared" si="0"/>
        <v>-1.7275741974167258E-2</v>
      </c>
      <c r="C19" s="28">
        <f t="shared" si="0"/>
        <v>2.295370583416334E-2</v>
      </c>
      <c r="D19" s="28">
        <f t="shared" si="0"/>
        <v>-5.6779638599969706E-3</v>
      </c>
    </row>
    <row r="20" spans="1:4">
      <c r="A20" s="6" t="s">
        <v>123</v>
      </c>
      <c r="B20" s="28">
        <f t="shared" si="0"/>
        <v>2.9567411627923312E-2</v>
      </c>
      <c r="C20" s="28">
        <f t="shared" si="0"/>
        <v>-3.6658638478535788E-2</v>
      </c>
      <c r="D20" s="28">
        <f t="shared" si="0"/>
        <v>7.0912268506123644E-3</v>
      </c>
    </row>
    <row r="21" spans="1:4">
      <c r="A21" s="2" t="s">
        <v>278</v>
      </c>
      <c r="B21" s="20">
        <f>SUM(B16:B20)</f>
        <v>1.4432899320127035E-15</v>
      </c>
      <c r="C21" s="20">
        <f>SUM(C16:C20)</f>
        <v>7.7715611723760958E-16</v>
      </c>
      <c r="D21" s="20">
        <f>SUM(D16:D20)</f>
        <v>-2.6645352591003757E-15</v>
      </c>
    </row>
    <row r="22" spans="1:4">
      <c r="A22" s="2" t="s">
        <v>279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"/>
  <sheetViews>
    <sheetView zoomScaleNormal="100" workbookViewId="0"/>
  </sheetViews>
  <sheetFormatPr defaultColWidth="8.6640625" defaultRowHeight="14.4"/>
  <cols>
    <col min="1" max="1" width="26" customWidth="1"/>
    <col min="2" max="2" width="14" customWidth="1"/>
    <col min="3" max="3" width="46" customWidth="1"/>
    <col min="4" max="4" width="10" customWidth="1"/>
    <col min="5" max="5" width="12" customWidth="1"/>
    <col min="6" max="6" width="9" customWidth="1"/>
    <col min="7" max="8" width="12" customWidth="1"/>
  </cols>
  <sheetData>
    <row r="1" spans="1:8" ht="17.399999999999999">
      <c r="A1" s="21" t="s">
        <v>280</v>
      </c>
    </row>
    <row r="2" spans="1:8">
      <c r="A2" s="2" t="s">
        <v>281</v>
      </c>
    </row>
    <row r="4" spans="1:8">
      <c r="A4" s="3" t="s">
        <v>282</v>
      </c>
    </row>
    <row r="6" spans="1:8">
      <c r="A6" s="6" t="s">
        <v>283</v>
      </c>
      <c r="B6" s="33">
        <f>COUNT('01_원자료'!$S$2:$S$976)</f>
        <v>975</v>
      </c>
    </row>
    <row r="7" spans="1:8">
      <c r="A7" s="6" t="s">
        <v>284</v>
      </c>
      <c r="B7" s="33">
        <f>COUNTA('04_교차표'!A5:A9)</f>
        <v>5</v>
      </c>
    </row>
    <row r="8" spans="1:8">
      <c r="A8" s="6" t="s">
        <v>285</v>
      </c>
      <c r="B8" s="33">
        <f>COUNTA('04_교차표'!B4:D4)</f>
        <v>3</v>
      </c>
    </row>
    <row r="9" spans="1:8">
      <c r="A9" s="6" t="s">
        <v>286</v>
      </c>
      <c r="B9" s="33">
        <f>'04_교차표'!B11</f>
        <v>65</v>
      </c>
    </row>
    <row r="10" spans="1:8">
      <c r="A10" s="6" t="s">
        <v>287</v>
      </c>
      <c r="B10" s="17">
        <f>'04_교차표'!E10</f>
        <v>0.61814843792582197</v>
      </c>
    </row>
    <row r="11" spans="1:8">
      <c r="A11" s="3" t="s">
        <v>288</v>
      </c>
    </row>
    <row r="12" spans="1:8">
      <c r="A12" s="10" t="s">
        <v>289</v>
      </c>
      <c r="B12" s="10" t="s">
        <v>290</v>
      </c>
      <c r="C12" s="10" t="s">
        <v>291</v>
      </c>
      <c r="D12" s="10" t="s">
        <v>292</v>
      </c>
      <c r="E12" s="10" t="s">
        <v>293</v>
      </c>
      <c r="F12" s="14" t="s">
        <v>294</v>
      </c>
      <c r="G12" s="14" t="s">
        <v>295</v>
      </c>
      <c r="H12" s="14" t="s">
        <v>296</v>
      </c>
    </row>
    <row r="13" spans="1:8">
      <c r="A13" s="4" t="s">
        <v>297</v>
      </c>
      <c r="B13" s="17">
        <f>$B$8*$B$9*SUMPRODUCT(('04_교차표'!E5:E9-$B$10)^2)</f>
        <v>1.6085996626623451</v>
      </c>
      <c r="C13" s="11" t="s">
        <v>298</v>
      </c>
      <c r="D13" s="33">
        <f>$B$7-1</f>
        <v>4</v>
      </c>
      <c r="E13" s="17">
        <f>B13/D13</f>
        <v>0.40214991566558628</v>
      </c>
      <c r="F13" s="34">
        <f>E13/$E$16</f>
        <v>173.56142581979859</v>
      </c>
      <c r="G13" s="35">
        <f>FDIST(F13,D13,$D$16)</f>
        <v>7.3873643228060723E-112</v>
      </c>
      <c r="H13" s="29">
        <f>B13/$B$17</f>
        <v>0.28225489453740571</v>
      </c>
    </row>
    <row r="14" spans="1:8">
      <c r="A14" s="4" t="s">
        <v>299</v>
      </c>
      <c r="B14" s="17">
        <f>$B$7*$B$9*SUMPRODUCT(('04_교차표'!B10:D10-$B$10)^2)</f>
        <v>1.4001184514598672</v>
      </c>
      <c r="C14" s="11" t="s">
        <v>300</v>
      </c>
      <c r="D14" s="33">
        <f>$B$8-1</f>
        <v>2</v>
      </c>
      <c r="E14" s="17">
        <f>B14/D14</f>
        <v>0.70005922572993362</v>
      </c>
      <c r="F14" s="34">
        <f>E14/$E$16</f>
        <v>302.1342853569796</v>
      </c>
      <c r="G14" s="35">
        <f>FDIST(F14,D14,$D$16)</f>
        <v>1.6624878384328509E-102</v>
      </c>
      <c r="H14" s="29">
        <f>B14/$B$17</f>
        <v>0.24567348547283233</v>
      </c>
    </row>
    <row r="15" spans="1:8">
      <c r="A15" s="4" t="s">
        <v>301</v>
      </c>
      <c r="B15" s="17">
        <f>$B$9*SUMPRODUCT('04_교차표'!B16:D20,'04_교차표'!B16:D20)</f>
        <v>0.4660199375587038</v>
      </c>
      <c r="C15" s="11" t="s">
        <v>302</v>
      </c>
      <c r="D15" s="33">
        <f>($B$7-1)*($B$8-1)</f>
        <v>8</v>
      </c>
      <c r="E15" s="17">
        <f>B15/D15</f>
        <v>5.8252492194837975E-2</v>
      </c>
      <c r="F15" s="34">
        <f>E15/$E$16</f>
        <v>25.14083730729962</v>
      </c>
      <c r="G15" s="35">
        <f>FDIST(F15,D15,$D$16)</f>
        <v>2.2270403473996827E-35</v>
      </c>
      <c r="H15" s="29">
        <f>B15/$B$17</f>
        <v>8.177075463901215E-2</v>
      </c>
    </row>
    <row r="16" spans="1:8">
      <c r="A16" s="4" t="s">
        <v>303</v>
      </c>
      <c r="B16" s="17">
        <f>B17-B13-B14-B15</f>
        <v>2.2243647585598683</v>
      </c>
      <c r="C16" s="11" t="s">
        <v>304</v>
      </c>
      <c r="D16" s="33">
        <f>$B$6-$B$7*$B$8</f>
        <v>960</v>
      </c>
      <c r="E16" s="17">
        <f>B16/D16</f>
        <v>2.317046623499863E-3</v>
      </c>
    </row>
    <row r="17" spans="1:4">
      <c r="A17" s="4" t="s">
        <v>305</v>
      </c>
      <c r="B17" s="36">
        <f>SUMPRODUCT(('01_원자료'!$S$2:$S$976-$B$10)^2)</f>
        <v>5.6991028102407846</v>
      </c>
      <c r="C17" s="11" t="s">
        <v>306</v>
      </c>
      <c r="D17" s="33">
        <f>$B$6-1</f>
        <v>974</v>
      </c>
    </row>
    <row r="19" spans="1:4">
      <c r="A19" s="3" t="s">
        <v>307</v>
      </c>
    </row>
    <row r="20" spans="1:4">
      <c r="A20" s="6" t="s">
        <v>308</v>
      </c>
      <c r="B20" s="32">
        <f>H13</f>
        <v>0.28225489453740571</v>
      </c>
      <c r="C20" s="2" t="s">
        <v>309</v>
      </c>
    </row>
    <row r="21" spans="1:4">
      <c r="A21" s="6" t="s">
        <v>310</v>
      </c>
      <c r="B21" s="32">
        <f>H14</f>
        <v>0.24567348547283233</v>
      </c>
      <c r="C21" s="2" t="s">
        <v>311</v>
      </c>
    </row>
    <row r="22" spans="1:4">
      <c r="A22" s="6" t="s">
        <v>312</v>
      </c>
      <c r="B22" s="32">
        <f>H15</f>
        <v>8.177075463901215E-2</v>
      </c>
      <c r="C22" s="2" t="s">
        <v>313</v>
      </c>
    </row>
    <row r="23" spans="1:4">
      <c r="A23" s="4" t="s">
        <v>314</v>
      </c>
      <c r="B23" s="29">
        <f>H13+H15</f>
        <v>0.36402564917641789</v>
      </c>
    </row>
    <row r="24" spans="1:4">
      <c r="A24" s="6" t="s">
        <v>315</v>
      </c>
      <c r="B24" s="25">
        <f>B20/B21</f>
        <v>1.148902552484113</v>
      </c>
      <c r="C24" s="2" t="s">
        <v>316</v>
      </c>
    </row>
    <row r="25" spans="1:4">
      <c r="A25" s="4" t="s">
        <v>317</v>
      </c>
      <c r="B25" s="28">
        <f>MAX('04_교차표'!E5:E9)-MIN('04_교차표'!E5:E9)</f>
        <v>0.11624505385063844</v>
      </c>
      <c r="C25" s="2" t="s">
        <v>318</v>
      </c>
    </row>
    <row r="26" spans="1:4">
      <c r="A26" s="4" t="s">
        <v>319</v>
      </c>
      <c r="B26" s="28">
        <f>MAX('04_교차표'!B10:D10)-MIN('04_교차표'!B10:D10)</f>
        <v>8.1887793780292983E-2</v>
      </c>
      <c r="C26" s="2" t="s">
        <v>320</v>
      </c>
    </row>
    <row r="27" spans="1:4">
      <c r="A27" s="4" t="s">
        <v>321</v>
      </c>
      <c r="B27" s="37">
        <f>B25/B26</f>
        <v>1.4195650961427395</v>
      </c>
      <c r="C27" s="2" t="s">
        <v>322</v>
      </c>
    </row>
    <row r="29" spans="1:4">
      <c r="A29" s="11" t="s">
        <v>323</v>
      </c>
    </row>
    <row r="30" spans="1:4">
      <c r="A30" s="2" t="s">
        <v>324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zoomScaleNormal="100" workbookViewId="0"/>
  </sheetViews>
  <sheetFormatPr defaultColWidth="8.6640625" defaultRowHeight="14.4"/>
  <cols>
    <col min="1" max="1" width="22" customWidth="1"/>
    <col min="2" max="2" width="14" customWidth="1"/>
    <col min="3" max="3" width="8" customWidth="1"/>
    <col min="4" max="6" width="12" customWidth="1"/>
    <col min="7" max="7" width="10" customWidth="1"/>
    <col min="8" max="8" width="12" customWidth="1"/>
    <col min="9" max="9" width="13" customWidth="1"/>
    <col min="10" max="10" width="11" customWidth="1"/>
    <col min="11" max="11" width="10" customWidth="1"/>
    <col min="12" max="12" width="15" customWidth="1"/>
  </cols>
  <sheetData>
    <row r="1" spans="1:12" ht="17.399999999999999">
      <c r="A1" s="21" t="s">
        <v>325</v>
      </c>
    </row>
    <row r="2" spans="1:12">
      <c r="A2" s="2" t="s">
        <v>326</v>
      </c>
    </row>
    <row r="4" spans="1:12">
      <c r="A4" s="14" t="s">
        <v>327</v>
      </c>
      <c r="B4" s="14" t="s">
        <v>328</v>
      </c>
      <c r="C4" s="14" t="s">
        <v>329</v>
      </c>
      <c r="D4" s="10" t="s">
        <v>330</v>
      </c>
      <c r="E4" s="10" t="s">
        <v>331</v>
      </c>
      <c r="F4" s="10" t="s">
        <v>332</v>
      </c>
      <c r="G4" s="10" t="s">
        <v>333</v>
      </c>
      <c r="H4" s="10" t="s">
        <v>334</v>
      </c>
      <c r="I4" s="14" t="s">
        <v>335</v>
      </c>
      <c r="J4" s="14" t="s">
        <v>295</v>
      </c>
      <c r="K4" s="10" t="s">
        <v>336</v>
      </c>
      <c r="L4" s="14" t="s">
        <v>337</v>
      </c>
    </row>
    <row r="5" spans="1:12">
      <c r="A5" s="6" t="s">
        <v>116</v>
      </c>
      <c r="B5" s="6" t="s">
        <v>117</v>
      </c>
      <c r="C5" s="33">
        <f>COUNTIFS('01_원자료'!$B$2:$B$976,$A5,'01_원자료'!$C$2:$C$976,$B5)</f>
        <v>65</v>
      </c>
      <c r="D5" s="17">
        <f>AVERAGEIFS('01_원자료'!$S$2:$S$976,'01_원자료'!$B$2:$B$976,$A5,'01_원자료'!$C$2:$C$976,$B5)</f>
        <v>0.55255116541262339</v>
      </c>
      <c r="E5" s="17">
        <f>SUMPRODUCT(('01_원자료'!$B$2:$B$976=$A5)*('01_원자료'!$C$2:$C$976=$B5)*('01_원자료'!$Z$2:$Z$976=($C5+1)/2)*'01_원자료'!$S$2:$S$976)</f>
        <v>0.55740370498496727</v>
      </c>
      <c r="F5" s="17">
        <f>SQRT(SUMPRODUCT(('01_원자료'!$B$2:$B$976=$A5)*('01_원자료'!$C$2:$C$976=$B5)*('01_원자료'!$S$2:$S$976-$D5)^2)/($C5-1))</f>
        <v>2.5855541351360745E-2</v>
      </c>
      <c r="G5" s="38">
        <f>$C5/(($C5-1)*($C5-2))*SUMPRODUCT(('01_원자료'!$B$2:$B$976=$A5)*('01_원자료'!$C$2:$C$976=$B5)*(('01_원자료'!$S$2:$S$976-$D5)/$F5)^3)</f>
        <v>-0.91675894353778886</v>
      </c>
      <c r="H5" s="38">
        <f>$C5*($C5+1)/(($C5-1)*($C5-2)*($C5-3))*SUMPRODUCT(('01_원자료'!$B$2:$B$976=$A5)*('01_원자료'!$C$2:$C$976=$B5)*(('01_원자료'!$S$2:$S$976-$D5)/$F5)^4)-3*($C5-1)^2/(($C5-2)*($C5-3))</f>
        <v>0.69662701530666249</v>
      </c>
      <c r="I5" s="25">
        <f t="shared" ref="I5:I19" si="0">$C5/6*(G5^2+H5^2/4)</f>
        <v>10.419166985178142</v>
      </c>
      <c r="J5" s="28">
        <f t="shared" ref="J5:J19" si="1">CHIDIST(I5,2)</f>
        <v>5.4639489890148047E-3</v>
      </c>
      <c r="K5" s="4" t="str">
        <f t="shared" ref="K5:K19" si="2">IF(J5&lt;0.05,"위반","충족")</f>
        <v>위반</v>
      </c>
      <c r="L5" s="17">
        <f>AVERAGEIFS('01_원자료'!$AA$2:$AA$976,'01_원자료'!$B$2:$B$976,$A5,'01_원자료'!$C$2:$C$976,$B5)</f>
        <v>1.8972170564654344E-2</v>
      </c>
    </row>
    <row r="6" spans="1:12">
      <c r="A6" s="6" t="s">
        <v>116</v>
      </c>
      <c r="B6" s="6" t="s">
        <v>118</v>
      </c>
      <c r="C6" s="33">
        <f>COUNTIFS('01_원자료'!$B$2:$B$976,$A6,'01_원자료'!$C$2:$C$976,$B6)</f>
        <v>65</v>
      </c>
      <c r="D6" s="17">
        <f>AVERAGEIFS('01_원자료'!$S$2:$S$976,'01_원자료'!$B$2:$B$976,$A6,'01_원자료'!$C$2:$C$976,$B6)</f>
        <v>0.5275490323785863</v>
      </c>
      <c r="E6" s="17">
        <f>SUMPRODUCT(('01_원자료'!$B$2:$B$976=$A6)*('01_원자료'!$C$2:$C$976=$B6)*('01_원자료'!$Z$2:$Z$976=($C6+1)/2)*'01_원자료'!$S$2:$S$976)</f>
        <v>0.53129242170172164</v>
      </c>
      <c r="F6" s="17">
        <f>SQRT(SUMPRODUCT(('01_원자료'!$B$2:$B$976=$A6)*('01_원자료'!$C$2:$C$976=$B6)*('01_원자료'!$S$2:$S$976-$D6)^2)/($C6-1))</f>
        <v>3.8793798491954898E-2</v>
      </c>
      <c r="G6" s="38">
        <f>$C6/(($C6-1)*($C6-2))*SUMPRODUCT(('01_원자료'!$B$2:$B$976=$A6)*('01_원자료'!$C$2:$C$976=$B6)*(('01_원자료'!$S$2:$S$976-$D6)/$F6)^3)</f>
        <v>0.2332661767053244</v>
      </c>
      <c r="H6" s="38">
        <f>$C6*($C6+1)/(($C6-1)*($C6-2)*($C6-3))*SUMPRODUCT(('01_원자료'!$B$2:$B$976=$A6)*('01_원자료'!$C$2:$C$976=$B6)*(('01_원자료'!$S$2:$S$976-$D6)/$F6)^4)-3*($C6-1)^2/(($C6-2)*($C6-3))</f>
        <v>-0.81715256922625734</v>
      </c>
      <c r="I6" s="25">
        <f t="shared" si="0"/>
        <v>2.3979333033823695</v>
      </c>
      <c r="J6" s="28">
        <f t="shared" si="1"/>
        <v>0.30150561130601539</v>
      </c>
      <c r="K6" s="4" t="str">
        <f t="shared" si="2"/>
        <v>충족</v>
      </c>
      <c r="L6" s="17">
        <f>AVERAGEIFS('01_원자료'!$AA$2:$AA$976,'01_원자료'!$B$2:$B$976,$A6,'01_원자료'!$C$2:$C$976,$B6)</f>
        <v>3.2917357181183673E-2</v>
      </c>
    </row>
    <row r="7" spans="1:12">
      <c r="A7" s="6" t="s">
        <v>116</v>
      </c>
      <c r="B7" s="6" t="s">
        <v>119</v>
      </c>
      <c r="C7" s="33">
        <f>COUNTIFS('01_원자료'!$B$2:$B$976,$A7,'01_원자료'!$C$2:$C$976,$B7)</f>
        <v>65</v>
      </c>
      <c r="D7" s="17">
        <f>AVERAGEIFS('01_원자료'!$S$2:$S$976,'01_원자료'!$B$2:$B$976,$A7,'01_원자료'!$C$2:$C$976,$B7)</f>
        <v>0.55645248367618005</v>
      </c>
      <c r="E7" s="17">
        <f>SUMPRODUCT(('01_원자료'!$B$2:$B$976=$A7)*('01_원자료'!$C$2:$C$976=$B7)*('01_원자료'!$Z$2:$Z$976=($C7+1)/2)*'01_원자료'!$S$2:$S$976)</f>
        <v>0.55302351674278261</v>
      </c>
      <c r="F7" s="17">
        <f>SQRT(SUMPRODUCT(('01_원자료'!$B$2:$B$976=$A7)*('01_원자료'!$C$2:$C$976=$B7)*('01_원자료'!$S$2:$S$976-$D7)^2)/($C7-1))</f>
        <v>4.6617746238667705E-2</v>
      </c>
      <c r="G7" s="38">
        <f>$C7/(($C7-1)*($C7-2))*SUMPRODUCT(('01_원자료'!$B$2:$B$976=$A7)*('01_원자료'!$C$2:$C$976=$B7)*(('01_원자료'!$S$2:$S$976-$D7)/$F7)^3)</f>
        <v>-3.2379917663597237</v>
      </c>
      <c r="H7" s="38">
        <f>$C7*($C7+1)/(($C7-1)*($C7-2)*($C7-3))*SUMPRODUCT(('01_원자료'!$B$2:$B$976=$A7)*('01_원자료'!$C$2:$C$976=$B7)*(('01_원자료'!$S$2:$S$976-$D7)/$F7)^4)-3*($C7-1)^2/(($C7-2)*($C7-3))</f>
        <v>20.287033810098592</v>
      </c>
      <c r="I7" s="25">
        <f t="shared" si="0"/>
        <v>1228.2348637220373</v>
      </c>
      <c r="J7" s="28">
        <f t="shared" si="1"/>
        <v>1.9596932744949299E-267</v>
      </c>
      <c r="K7" s="4" t="str">
        <f t="shared" si="2"/>
        <v>위반</v>
      </c>
      <c r="L7" s="17">
        <f>AVERAGEIFS('01_원자료'!$AA$2:$AA$976,'01_원자료'!$B$2:$B$976,$A7,'01_원자료'!$C$2:$C$976,$B7)</f>
        <v>2.757455788493017E-2</v>
      </c>
    </row>
    <row r="8" spans="1:12">
      <c r="A8" s="6" t="s">
        <v>120</v>
      </c>
      <c r="B8" s="6" t="s">
        <v>117</v>
      </c>
      <c r="C8" s="33">
        <f>COUNTIFS('01_원자료'!$B$2:$B$976,$A8,'01_원자료'!$C$2:$C$976,$B8)</f>
        <v>65</v>
      </c>
      <c r="D8" s="17">
        <f>AVERAGEIFS('01_원자료'!$S$2:$S$976,'01_원자료'!$B$2:$B$976,$A8,'01_원자료'!$C$2:$C$976,$B8)</f>
        <v>0.63130270342475714</v>
      </c>
      <c r="E8" s="17">
        <f>SUMPRODUCT(('01_원자료'!$B$2:$B$976=$A8)*('01_원자료'!$C$2:$C$976=$B8)*('01_원자료'!$Z$2:$Z$976=($C8+1)/2)*'01_원자료'!$S$2:$S$976)</f>
        <v>0.62804896005712108</v>
      </c>
      <c r="F8" s="17">
        <f>SQRT(SUMPRODUCT(('01_원자료'!$B$2:$B$976=$A8)*('01_원자료'!$C$2:$C$976=$B8)*('01_원자료'!$S$2:$S$976-$D8)^2)/($C8-1))</f>
        <v>2.695373410355139E-2</v>
      </c>
      <c r="G8" s="38">
        <f>$C8/(($C8-1)*($C8-2))*SUMPRODUCT(('01_원자료'!$B$2:$B$976=$A8)*('01_원자료'!$C$2:$C$976=$B8)*(('01_원자료'!$S$2:$S$976-$D8)/$F8)^3)</f>
        <v>0.68734435016613904</v>
      </c>
      <c r="H8" s="38">
        <f>$C8*($C8+1)/(($C8-1)*($C8-2)*($C8-3))*SUMPRODUCT(('01_원자료'!$B$2:$B$976=$A8)*('01_원자료'!$C$2:$C$976=$B8)*(('01_원자료'!$S$2:$S$976-$D8)/$F8)^4)-3*($C8-1)^2/(($C8-2)*($C8-3))</f>
        <v>0.13944680539054044</v>
      </c>
      <c r="I8" s="25">
        <f t="shared" si="0"/>
        <v>5.170789093044454</v>
      </c>
      <c r="J8" s="28">
        <f t="shared" si="1"/>
        <v>7.5366338207699071E-2</v>
      </c>
      <c r="K8" s="4" t="str">
        <f t="shared" si="2"/>
        <v>충족</v>
      </c>
      <c r="L8" s="17">
        <f>AVERAGEIFS('01_원자료'!$AA$2:$AA$976,'01_원자료'!$B$2:$B$976,$A8,'01_원자료'!$C$2:$C$976,$B8)</f>
        <v>2.1179056591776071E-2</v>
      </c>
    </row>
    <row r="9" spans="1:12">
      <c r="A9" s="6" t="s">
        <v>120</v>
      </c>
      <c r="B9" s="6" t="s">
        <v>118</v>
      </c>
      <c r="C9" s="33">
        <f>COUNTIFS('01_원자료'!$B$2:$B$976,$A9,'01_원자료'!$C$2:$C$976,$B9)</f>
        <v>65</v>
      </c>
      <c r="D9" s="17">
        <f>AVERAGEIFS('01_원자료'!$S$2:$S$976,'01_원자료'!$B$2:$B$976,$A9,'01_원자료'!$C$2:$C$976,$B9)</f>
        <v>0.5748907759621108</v>
      </c>
      <c r="E9" s="17">
        <f>SUMPRODUCT(('01_원자료'!$B$2:$B$976=$A9)*('01_원자료'!$C$2:$C$976=$B9)*('01_원자료'!$Z$2:$Z$976=($C9+1)/2)*'01_원자료'!$S$2:$S$976)</f>
        <v>0.59082884858162799</v>
      </c>
      <c r="F9" s="17">
        <f>SQRT(SUMPRODUCT(('01_원자료'!$B$2:$B$976=$A9)*('01_원자료'!$C$2:$C$976=$B9)*('01_원자료'!$S$2:$S$976-$D9)^2)/($C9-1))</f>
        <v>4.889303514810428E-2</v>
      </c>
      <c r="G9" s="38">
        <f>$C9/(($C9-1)*($C9-2))*SUMPRODUCT(('01_원자료'!$B$2:$B$976=$A9)*('01_원자료'!$C$2:$C$976=$B9)*(('01_원자료'!$S$2:$S$976-$D9)/$F9)^3)</f>
        <v>-0.13490360224036202</v>
      </c>
      <c r="H9" s="38">
        <f>$C9*($C9+1)/(($C9-1)*($C9-2)*($C9-3))*SUMPRODUCT(('01_원자료'!$B$2:$B$976=$A9)*('01_원자료'!$C$2:$C$976=$B9)*(('01_원자료'!$S$2:$S$976-$D9)/$F9)^4)-3*($C9-1)^2/(($C9-2)*($C9-3))</f>
        <v>-1.5226316357922369</v>
      </c>
      <c r="I9" s="25">
        <f t="shared" si="0"/>
        <v>6.4761748618261681</v>
      </c>
      <c r="J9" s="28">
        <f t="shared" si="1"/>
        <v>3.923887042897134E-2</v>
      </c>
      <c r="K9" s="4" t="str">
        <f t="shared" si="2"/>
        <v>위반</v>
      </c>
      <c r="L9" s="17">
        <f>AVERAGEIFS('01_원자료'!$AA$2:$AA$976,'01_원자료'!$B$2:$B$976,$A9,'01_원자료'!$C$2:$C$976,$B9)</f>
        <v>4.4008153580133755E-2</v>
      </c>
    </row>
    <row r="10" spans="1:12">
      <c r="A10" s="6" t="s">
        <v>120</v>
      </c>
      <c r="B10" s="6" t="s">
        <v>119</v>
      </c>
      <c r="C10" s="33">
        <f>COUNTIFS('01_원자료'!$B$2:$B$976,$A10,'01_원자료'!$C$2:$C$976,$B10)</f>
        <v>65</v>
      </c>
      <c r="D10" s="17">
        <f>AVERAGEIFS('01_원자료'!$S$2:$S$976,'01_원자료'!$B$2:$B$976,$A10,'01_원자료'!$C$2:$C$976,$B10)</f>
        <v>0.65842300751081562</v>
      </c>
      <c r="E10" s="17">
        <f>SUMPRODUCT(('01_원자료'!$B$2:$B$976=$A10)*('01_원자료'!$C$2:$C$976=$B10)*('01_원자료'!$Z$2:$Z$976=($C10+1)/2)*'01_원자료'!$S$2:$S$976)</f>
        <v>0.66367731648138628</v>
      </c>
      <c r="F10" s="17">
        <f>SQRT(SUMPRODUCT(('01_원자료'!$B$2:$B$976=$A10)*('01_원자료'!$C$2:$C$976=$B10)*('01_원자료'!$S$2:$S$976-$D10)^2)/($C10-1))</f>
        <v>5.4538232417504252E-2</v>
      </c>
      <c r="G10" s="38">
        <f>$C10/(($C10-1)*($C10-2))*SUMPRODUCT(('01_원자료'!$B$2:$B$976=$A10)*('01_원자료'!$C$2:$C$976=$B10)*(('01_원자료'!$S$2:$S$976-$D10)/$F10)^3)</f>
        <v>-4.658008277780497</v>
      </c>
      <c r="H10" s="38">
        <f>$C10*($C10+1)/(($C10-1)*($C10-2)*($C10-3))*SUMPRODUCT(('01_원자료'!$B$2:$B$976=$A10)*('01_원자료'!$C$2:$C$976=$B10)*(('01_원자료'!$S$2:$S$976-$D10)/$F10)^4)-3*($C10-1)^2/(($C10-2)*($C10-3))</f>
        <v>30.427155321164825</v>
      </c>
      <c r="I10" s="25">
        <f t="shared" si="0"/>
        <v>2742.4581854631419</v>
      </c>
      <c r="J10" s="28">
        <f t="shared" si="1"/>
        <v>0</v>
      </c>
      <c r="K10" s="4" t="str">
        <f t="shared" si="2"/>
        <v>위반</v>
      </c>
      <c r="L10" s="17">
        <f>AVERAGEIFS('01_원자료'!$AA$2:$AA$976,'01_원자료'!$B$2:$B$976,$A10,'01_원자료'!$C$2:$C$976,$B10)</f>
        <v>2.9790732142710774E-2</v>
      </c>
    </row>
    <row r="11" spans="1:12">
      <c r="A11" s="6" t="s">
        <v>121</v>
      </c>
      <c r="B11" s="6" t="s">
        <v>117</v>
      </c>
      <c r="C11" s="33">
        <f>COUNTIFS('01_원자료'!$B$2:$B$976,$A11,'01_원자료'!$C$2:$C$976,$B11)</f>
        <v>65</v>
      </c>
      <c r="D11" s="17">
        <f>AVERAGEIFS('01_원자료'!$S$2:$S$976,'01_원자료'!$B$2:$B$976,$A11,'01_원자료'!$C$2:$C$976,$B11)</f>
        <v>0.71765179307288096</v>
      </c>
      <c r="E11" s="17">
        <f>SUMPRODUCT(('01_원자료'!$B$2:$B$976=$A11)*('01_원자료'!$C$2:$C$976=$B11)*('01_원자료'!$Z$2:$Z$976=($C11+1)/2)*'01_원자료'!$S$2:$S$976)</f>
        <v>0.72943207138188115</v>
      </c>
      <c r="F11" s="17">
        <f>SQRT(SUMPRODUCT(('01_원자료'!$B$2:$B$976=$A11)*('01_원자료'!$C$2:$C$976=$B11)*('01_원자료'!$S$2:$S$976-$D11)^2)/($C11-1))</f>
        <v>4.2246045992366921E-2</v>
      </c>
      <c r="G11" s="38">
        <f>$C11/(($C11-1)*($C11-2))*SUMPRODUCT(('01_원자료'!$B$2:$B$976=$A11)*('01_원자료'!$C$2:$C$976=$B11)*(('01_원자료'!$S$2:$S$976-$D11)/$F11)^3)</f>
        <v>-4.6018092329262208</v>
      </c>
      <c r="H11" s="38">
        <f>$C11*($C11+1)/(($C11-1)*($C11-2)*($C11-3))*SUMPRODUCT(('01_원자료'!$B$2:$B$976=$A11)*('01_원자료'!$C$2:$C$976=$B11)*(('01_원자료'!$S$2:$S$976-$D11)/$F11)^4)-3*($C11-1)^2/(($C11-2)*($C11-3))</f>
        <v>28.926158488729072</v>
      </c>
      <c r="I11" s="25">
        <f t="shared" si="0"/>
        <v>2495.5375189876436</v>
      </c>
      <c r="J11" s="28">
        <f t="shared" si="1"/>
        <v>0</v>
      </c>
      <c r="K11" s="4" t="str">
        <f t="shared" si="2"/>
        <v>위반</v>
      </c>
      <c r="L11" s="17">
        <f>AVERAGEIFS('01_원자료'!$AA$2:$AA$976,'01_원자료'!$B$2:$B$976,$A11,'01_원자료'!$C$2:$C$976,$B11)</f>
        <v>2.297466551999975E-2</v>
      </c>
    </row>
    <row r="12" spans="1:12">
      <c r="A12" s="6" t="s">
        <v>121</v>
      </c>
      <c r="B12" s="6" t="s">
        <v>118</v>
      </c>
      <c r="C12" s="33">
        <f>COUNTIFS('01_원자료'!$B$2:$B$976,$A12,'01_원자료'!$C$2:$C$976,$B12)</f>
        <v>65</v>
      </c>
      <c r="D12" s="17">
        <f>AVERAGEIFS('01_원자료'!$S$2:$S$976,'01_원자료'!$B$2:$B$976,$A12,'01_원자료'!$C$2:$C$976,$B12)</f>
        <v>0.57939907452681327</v>
      </c>
      <c r="E12" s="17">
        <f>SUMPRODUCT(('01_원자료'!$B$2:$B$976=$A12)*('01_원자료'!$C$2:$C$976=$B12)*('01_원자료'!$Z$2:$Z$976=($C12+1)/2)*'01_원자료'!$S$2:$S$976)</f>
        <v>0.59857949016696843</v>
      </c>
      <c r="F12" s="17">
        <f>SQRT(SUMPRODUCT(('01_원자료'!$B$2:$B$976=$A12)*('01_원자료'!$C$2:$C$976=$B12)*('01_원자료'!$S$2:$S$976-$D12)^2)/($C12-1))</f>
        <v>5.0485672373397496E-2</v>
      </c>
      <c r="G12" s="38">
        <f>$C12/(($C12-1)*($C12-2))*SUMPRODUCT(('01_원자료'!$B$2:$B$976=$A12)*('01_원자료'!$C$2:$C$976=$B12)*(('01_원자료'!$S$2:$S$976-$D12)/$F12)^3)</f>
        <v>-0.58675539129790721</v>
      </c>
      <c r="H12" s="38">
        <f>$C12*($C12+1)/(($C12-1)*($C12-2)*($C12-3))*SUMPRODUCT(('01_원자료'!$B$2:$B$976=$A12)*('01_원자료'!$C$2:$C$976=$B12)*(('01_원자료'!$S$2:$S$976-$D12)/$F12)^4)-3*($C12-1)^2/(($C12-2)*($C12-3))</f>
        <v>0.33680202413549321</v>
      </c>
      <c r="I12" s="25">
        <f t="shared" si="0"/>
        <v>4.0369418925615168</v>
      </c>
      <c r="J12" s="28">
        <f t="shared" si="1"/>
        <v>0.1328584575660382</v>
      </c>
      <c r="K12" s="4" t="str">
        <f t="shared" si="2"/>
        <v>충족</v>
      </c>
      <c r="L12" s="17">
        <f>AVERAGEIFS('01_원자료'!$AA$2:$AA$976,'01_원자료'!$B$2:$B$976,$A12,'01_원자료'!$C$2:$C$976,$B12)</f>
        <v>4.340589161182843E-2</v>
      </c>
    </row>
    <row r="13" spans="1:12">
      <c r="A13" s="6" t="s">
        <v>121</v>
      </c>
      <c r="B13" s="6" t="s">
        <v>119</v>
      </c>
      <c r="C13" s="33">
        <f>COUNTIFS('01_원자료'!$B$2:$B$976,$A13,'01_원자료'!$C$2:$C$976,$B13)</f>
        <v>65</v>
      </c>
      <c r="D13" s="17">
        <f>AVERAGEIFS('01_원자료'!$S$2:$S$976,'01_원자료'!$B$2:$B$976,$A13,'01_원자료'!$C$2:$C$976,$B13)</f>
        <v>0.68823697541961104</v>
      </c>
      <c r="E13" s="17">
        <f>SUMPRODUCT(('01_원자료'!$B$2:$B$976=$A13)*('01_원자료'!$C$2:$C$976=$B13)*('01_원자료'!$Z$2:$Z$976=($C13+1)/2)*'01_원자료'!$S$2:$S$976)</f>
        <v>0.69231984279585368</v>
      </c>
      <c r="F13" s="17">
        <f>SQRT(SUMPRODUCT(('01_원자료'!$B$2:$B$976=$A13)*('01_원자료'!$C$2:$C$976=$B13)*('01_원자료'!$S$2:$S$976-$D13)^2)/($C13-1))</f>
        <v>7.0731188872479644E-2</v>
      </c>
      <c r="G13" s="38">
        <f>$C13/(($C13-1)*($C13-2))*SUMPRODUCT(('01_원자료'!$B$2:$B$976=$A13)*('01_원자료'!$C$2:$C$976=$B13)*(('01_원자료'!$S$2:$S$976-$D13)/$F13)^3)</f>
        <v>-2.9477041597431439</v>
      </c>
      <c r="H13" s="38">
        <f>$C13*($C13+1)/(($C13-1)*($C13-2)*($C13-3))*SUMPRODUCT(('01_원자료'!$B$2:$B$976=$A13)*('01_원자료'!$C$2:$C$976=$B13)*(('01_원자료'!$S$2:$S$976-$D13)/$F13)^4)-3*($C13-1)^2/(($C13-2)*($C13-3))</f>
        <v>13.834346931489661</v>
      </c>
      <c r="I13" s="25">
        <f t="shared" si="0"/>
        <v>612.47602615952337</v>
      </c>
      <c r="J13" s="28">
        <f t="shared" si="1"/>
        <v>1.0058211659667731E-133</v>
      </c>
      <c r="K13" s="4" t="str">
        <f t="shared" si="2"/>
        <v>위반</v>
      </c>
      <c r="L13" s="17">
        <f>AVERAGEIFS('01_원자료'!$AA$2:$AA$976,'01_원자료'!$B$2:$B$976,$A13,'01_원자료'!$C$2:$C$976,$B13)</f>
        <v>4.2879614668816513E-2</v>
      </c>
    </row>
    <row r="14" spans="1:12">
      <c r="A14" s="6" t="s">
        <v>122</v>
      </c>
      <c r="B14" s="6" t="s">
        <v>117</v>
      </c>
      <c r="C14" s="33">
        <f>COUNTIFS('01_원자료'!$B$2:$B$976,$A14,'01_원자료'!$C$2:$C$976,$B14)</f>
        <v>65</v>
      </c>
      <c r="D14" s="17">
        <f>AVERAGEIFS('01_원자료'!$S$2:$S$976,'01_원자료'!$B$2:$B$976,$A14,'01_원자료'!$C$2:$C$976,$B14)</f>
        <v>0.62288162218964616</v>
      </c>
      <c r="E14" s="17">
        <f>SUMPRODUCT(('01_원자료'!$B$2:$B$976=$A14)*('01_원자료'!$C$2:$C$976=$B14)*('01_원자료'!$Z$2:$Z$976=($C14+1)/2)*'01_원자료'!$S$2:$S$976)</f>
        <v>0.63935295470867848</v>
      </c>
      <c r="F14" s="17">
        <f>SQRT(SUMPRODUCT(('01_원자료'!$B$2:$B$976=$A14)*('01_원자료'!$C$2:$C$976=$B14)*('01_원자료'!$S$2:$S$976-$D14)^2)/($C14-1))</f>
        <v>4.3075518582135944E-2</v>
      </c>
      <c r="G14" s="38">
        <f>$C14/(($C14-1)*($C14-2))*SUMPRODUCT(('01_원자료'!$B$2:$B$976=$A14)*('01_원자료'!$C$2:$C$976=$B14)*(('01_원자료'!$S$2:$S$976-$D14)/$F14)^3)</f>
        <v>-0.47691921134898307</v>
      </c>
      <c r="H14" s="38">
        <f>$C14*($C14+1)/(($C14-1)*($C14-2)*($C14-3))*SUMPRODUCT(('01_원자료'!$B$2:$B$976=$A14)*('01_원자료'!$C$2:$C$976=$B14)*(('01_원자료'!$S$2:$S$976-$D14)/$F14)^4)-3*($C14-1)^2/(($C14-2)*($C14-3))</f>
        <v>-1.1682311845015836</v>
      </c>
      <c r="I14" s="25">
        <f t="shared" si="0"/>
        <v>6.1602987253624839</v>
      </c>
      <c r="J14" s="28">
        <f t="shared" si="1"/>
        <v>4.5952392563875066E-2</v>
      </c>
      <c r="K14" s="4" t="str">
        <f t="shared" si="2"/>
        <v>위반</v>
      </c>
      <c r="L14" s="17">
        <f>AVERAGEIFS('01_원자료'!$AA$2:$AA$976,'01_원자료'!$B$2:$B$976,$A14,'01_원자료'!$C$2:$C$976,$B14)</f>
        <v>3.6658072775264332E-2</v>
      </c>
    </row>
    <row r="15" spans="1:12">
      <c r="A15" s="6" t="s">
        <v>122</v>
      </c>
      <c r="B15" s="6" t="s">
        <v>118</v>
      </c>
      <c r="C15" s="33">
        <f>COUNTIFS('01_원자료'!$B$2:$B$976,$A15,'01_원자료'!$C$2:$C$976,$B15)</f>
        <v>65</v>
      </c>
      <c r="D15" s="17">
        <f>AVERAGEIFS('01_원자료'!$S$2:$S$976,'01_원자료'!$B$2:$B$976,$A15,'01_원자료'!$C$2:$C$976,$B15)</f>
        <v>0.58122327621768377</v>
      </c>
      <c r="E15" s="17">
        <f>SUMPRODUCT(('01_원자료'!$B$2:$B$976=$A15)*('01_원자료'!$C$2:$C$976=$B15)*('01_원자료'!$Z$2:$Z$976=($C15+1)/2)*'01_원자료'!$S$2:$S$976)</f>
        <v>0.58692193599715825</v>
      </c>
      <c r="F15" s="17">
        <f>SQRT(SUMPRODUCT(('01_원자료'!$B$2:$B$976=$A15)*('01_원자료'!$C$2:$C$976=$B15)*('01_원자료'!$S$2:$S$976-$D15)^2)/($C15-1))</f>
        <v>5.2674800249074741E-2</v>
      </c>
      <c r="G15" s="38">
        <f>$C15/(($C15-1)*($C15-2))*SUMPRODUCT(('01_원자료'!$B$2:$B$976=$A15)*('01_원자료'!$C$2:$C$976=$B15)*(('01_원자료'!$S$2:$S$976-$D15)/$F15)^3)</f>
        <v>0.1006439406092608</v>
      </c>
      <c r="H15" s="38">
        <f>$C15*($C15+1)/(($C15-1)*($C15-2)*($C15-3))*SUMPRODUCT(('01_원자료'!$B$2:$B$976=$A15)*('01_원자료'!$C$2:$C$976=$B15)*(('01_원자료'!$S$2:$S$976-$D15)/$F15)^4)-3*($C15-1)^2/(($C15-2)*($C15-3))</f>
        <v>-0.7085589584432288</v>
      </c>
      <c r="I15" s="25">
        <f t="shared" si="0"/>
        <v>1.4694674819380698</v>
      </c>
      <c r="J15" s="28">
        <f t="shared" si="1"/>
        <v>0.47963314863225109</v>
      </c>
      <c r="K15" s="4" t="str">
        <f t="shared" si="2"/>
        <v>충족</v>
      </c>
      <c r="L15" s="17">
        <f>AVERAGEIFS('01_원자료'!$AA$2:$AA$976,'01_원자료'!$B$2:$B$976,$A15,'01_원자료'!$C$2:$C$976,$B15)</f>
        <v>4.30105196291675E-2</v>
      </c>
    </row>
    <row r="16" spans="1:12">
      <c r="A16" s="6" t="s">
        <v>122</v>
      </c>
      <c r="B16" s="6" t="s">
        <v>119</v>
      </c>
      <c r="C16" s="33">
        <f>COUNTIFS('01_원자료'!$B$2:$B$976,$A16,'01_원자료'!$C$2:$C$976,$B16)</f>
        <v>65</v>
      </c>
      <c r="D16" s="17">
        <f>AVERAGEIFS('01_원자료'!$S$2:$S$976,'01_원자료'!$B$2:$B$976,$A16,'01_원자료'!$C$2:$C$976,$B16)</f>
        <v>0.631388866314886</v>
      </c>
      <c r="E16" s="17">
        <f>SUMPRODUCT(('01_원자료'!$B$2:$B$976=$A16)*('01_원자료'!$C$2:$C$976=$B16)*('01_원자료'!$Z$2:$Z$976=($C16+1)/2)*'01_원자료'!$S$2:$S$976)</f>
        <v>0.6356061879014514</v>
      </c>
      <c r="F16" s="17">
        <f>SQRT(SUMPRODUCT(('01_원자료'!$B$2:$B$976=$A16)*('01_원자료'!$C$2:$C$976=$B16)*('01_원자료'!$S$2:$S$976-$D16)^2)/($C16-1))</f>
        <v>5.7987409886990034E-2</v>
      </c>
      <c r="G16" s="38">
        <f>$C16/(($C16-1)*($C16-2))*SUMPRODUCT(('01_원자료'!$B$2:$B$976=$A16)*('01_원자료'!$C$2:$C$976=$B16)*(('01_원자료'!$S$2:$S$976-$D16)/$F16)^3)</f>
        <v>-3.503394936297421</v>
      </c>
      <c r="H16" s="38">
        <f>$C16*($C16+1)/(($C16-1)*($C16-2)*($C16-3))*SUMPRODUCT(('01_원자료'!$B$2:$B$976=$A16)*('01_원자료'!$C$2:$C$976=$B16)*(('01_원자료'!$S$2:$S$976-$D16)/$F16)^4)-3*($C16-1)^2/(($C16-2)*($C16-3))</f>
        <v>19.772208301820719</v>
      </c>
      <c r="I16" s="25">
        <f t="shared" si="0"/>
        <v>1191.7623397584823</v>
      </c>
      <c r="J16" s="28">
        <f t="shared" si="1"/>
        <v>1.6296564181950204E-259</v>
      </c>
      <c r="K16" s="4" t="str">
        <f t="shared" si="2"/>
        <v>위반</v>
      </c>
      <c r="L16" s="17">
        <f>AVERAGEIFS('01_원자료'!$AA$2:$AA$976,'01_원자료'!$B$2:$B$976,$A16,'01_원자료'!$C$2:$C$976,$B16)</f>
        <v>3.5769099914439655E-2</v>
      </c>
    </row>
    <row r="17" spans="1:12">
      <c r="A17" s="6" t="s">
        <v>123</v>
      </c>
      <c r="B17" s="6" t="s">
        <v>117</v>
      </c>
      <c r="C17" s="33">
        <f>COUNTIFS('01_원자료'!$B$2:$B$976,$A17,'01_원자료'!$C$2:$C$976,$B17)</f>
        <v>65</v>
      </c>
      <c r="D17" s="17">
        <f>AVERAGEIFS('01_원자료'!$S$2:$S$976,'01_원자료'!$B$2:$B$976,$A17,'01_원자료'!$C$2:$C$976,$B17)</f>
        <v>0.70798545181124317</v>
      </c>
      <c r="E17" s="17">
        <f>SUMPRODUCT(('01_원자료'!$B$2:$B$976=$A17)*('01_원자료'!$C$2:$C$976=$B17)*('01_원자료'!$Z$2:$Z$976=($C17+1)/2)*'01_원자료'!$S$2:$S$976)</f>
        <v>0.71492288277622373</v>
      </c>
      <c r="F17" s="17">
        <f>SQRT(SUMPRODUCT(('01_원자료'!$B$2:$B$976=$A17)*('01_원자료'!$C$2:$C$976=$B17)*('01_원자료'!$S$2:$S$976-$D17)^2)/($C17-1))</f>
        <v>2.4595701858869074E-2</v>
      </c>
      <c r="G17" s="38">
        <f>$C17/(($C17-1)*($C17-2))*SUMPRODUCT(('01_원자료'!$B$2:$B$976=$A17)*('01_원자료'!$C$2:$C$976=$B17)*(('01_원자료'!$S$2:$S$976-$D17)/$F17)^3)</f>
        <v>-0.65359899687001333</v>
      </c>
      <c r="H17" s="38">
        <f>$C17*($C17+1)/(($C17-1)*($C17-2)*($C17-3))*SUMPRODUCT(('01_원자료'!$B$2:$B$976=$A17)*('01_원자료'!$C$2:$C$976=$B17)*(('01_원자료'!$S$2:$S$976-$D17)/$F17)^4)-3*($C17-1)^2/(($C17-2)*($C17-3))</f>
        <v>-0.4679329222917703</v>
      </c>
      <c r="I17" s="25">
        <f t="shared" si="0"/>
        <v>5.2209294978816807</v>
      </c>
      <c r="J17" s="28">
        <f t="shared" si="1"/>
        <v>7.3500376601918993E-2</v>
      </c>
      <c r="K17" s="4" t="str">
        <f t="shared" si="2"/>
        <v>충족</v>
      </c>
      <c r="L17" s="17">
        <f>AVERAGEIFS('01_원자료'!$AA$2:$AA$976,'01_원자료'!$B$2:$B$976,$A17,'01_원자료'!$C$2:$C$976,$B17)</f>
        <v>1.9008190818561501E-2</v>
      </c>
    </row>
    <row r="18" spans="1:12">
      <c r="A18" s="6" t="s">
        <v>123</v>
      </c>
      <c r="B18" s="6" t="s">
        <v>118</v>
      </c>
      <c r="C18" s="33">
        <f>COUNTIFS('01_원자료'!$B$2:$B$976,$A18,'01_원자료'!$C$2:$C$976,$B18)</f>
        <v>65</v>
      </c>
      <c r="D18" s="17">
        <f>AVERAGEIFS('01_원자료'!$S$2:$S$976,'01_원자료'!$B$2:$B$976,$A18,'01_원자료'!$C$2:$C$976,$B18)</f>
        <v>0.55987160792449109</v>
      </c>
      <c r="E18" s="17">
        <f>SUMPRODUCT(('01_원자료'!$B$2:$B$976=$A18)*('01_원자료'!$C$2:$C$976=$B18)*('01_원자료'!$Z$2:$Z$976=($C18+1)/2)*'01_원자료'!$S$2:$S$976)</f>
        <v>0.57529882687896972</v>
      </c>
      <c r="F18" s="17">
        <f>SQRT(SUMPRODUCT(('01_원자료'!$B$2:$B$976=$A18)*('01_원자료'!$C$2:$C$976=$B18)*('01_원자료'!$S$2:$S$976-$D18)^2)/($C18-1))</f>
        <v>4.7876429040806981E-2</v>
      </c>
      <c r="G18" s="38">
        <f>$C18/(($C18-1)*($C18-2))*SUMPRODUCT(('01_원자료'!$B$2:$B$976=$A18)*('01_원자료'!$C$2:$C$976=$B18)*(('01_원자료'!$S$2:$S$976-$D18)/$F18)^3)</f>
        <v>-0.10771253035334785</v>
      </c>
      <c r="H18" s="38">
        <f>$C18*($C18+1)/(($C18-1)*($C18-2)*($C18-3))*SUMPRODUCT(('01_원자료'!$B$2:$B$976=$A18)*('01_원자료'!$C$2:$C$976=$B18)*(('01_원자료'!$S$2:$S$976-$D18)/$F18)^4)-3*($C18-1)^2/(($C18-2)*($C18-3))</f>
        <v>-1.5050590532433996</v>
      </c>
      <c r="I18" s="25">
        <f t="shared" si="0"/>
        <v>6.2606123410198391</v>
      </c>
      <c r="J18" s="28">
        <f t="shared" si="1"/>
        <v>4.3704414201325884E-2</v>
      </c>
      <c r="K18" s="4" t="str">
        <f t="shared" si="2"/>
        <v>위반</v>
      </c>
      <c r="L18" s="17">
        <f>AVERAGEIFS('01_원자료'!$AA$2:$AA$976,'01_원자료'!$B$2:$B$976,$A18,'01_원자료'!$C$2:$C$976,$B18)</f>
        <v>4.2840416419312667E-2</v>
      </c>
    </row>
    <row r="19" spans="1:12">
      <c r="A19" s="6" t="s">
        <v>123</v>
      </c>
      <c r="B19" s="6" t="s">
        <v>119</v>
      </c>
      <c r="C19" s="33">
        <f>COUNTIFS('01_원자료'!$B$2:$B$976,$A19,'01_원자료'!$C$2:$C$976,$B19)</f>
        <v>65</v>
      </c>
      <c r="D19" s="17">
        <f>AVERAGEIFS('01_원자료'!$S$2:$S$976,'01_원자료'!$B$2:$B$976,$A19,'01_원자료'!$C$2:$C$976,$B19)</f>
        <v>0.68241873304500178</v>
      </c>
      <c r="E19" s="17">
        <f>SUMPRODUCT(('01_원자료'!$B$2:$B$976=$A19)*('01_원자료'!$C$2:$C$976=$B19)*('01_원자료'!$Z$2:$Z$976=($C19+1)/2)*'01_원자료'!$S$2:$S$976)</f>
        <v>0.68562979732422735</v>
      </c>
      <c r="F19" s="17">
        <f>SQRT(SUMPRODUCT(('01_원자료'!$B$2:$B$976=$A19)*('01_원자료'!$C$2:$C$976=$B19)*('01_원자료'!$S$2:$S$976-$D19)^2)/($C19-1))</f>
        <v>6.3963721069410978E-2</v>
      </c>
      <c r="G19" s="38">
        <f>$C19/(($C19-1)*($C19-2))*SUMPRODUCT(('01_원자료'!$B$2:$B$976=$A19)*('01_원자료'!$C$2:$C$976=$B19)*(('01_원자료'!$S$2:$S$976-$D19)/$F19)^3)</f>
        <v>-3.1401020382434566</v>
      </c>
      <c r="H19" s="38">
        <f>$C19*($C19+1)/(($C19-1)*($C19-2)*($C19-3))*SUMPRODUCT(('01_원자료'!$B$2:$B$976=$A19)*('01_원자료'!$C$2:$C$976=$B19)*(('01_원자료'!$S$2:$S$976-$D19)/$F19)^4)-3*($C19-1)^2/(($C19-2)*($C19-3))</f>
        <v>18.606850451133703</v>
      </c>
      <c r="I19" s="25">
        <f t="shared" si="0"/>
        <v>1044.4845854981886</v>
      </c>
      <c r="J19" s="28">
        <f t="shared" si="1"/>
        <v>1.5597465818822889E-227</v>
      </c>
      <c r="K19" s="4" t="str">
        <f t="shared" si="2"/>
        <v>위반</v>
      </c>
      <c r="L19" s="17">
        <f>AVERAGEIFS('01_원자료'!$AA$2:$AA$976,'01_원자료'!$B$2:$B$976,$A19,'01_원자료'!$C$2:$C$976,$B19)</f>
        <v>4.0866767930485048E-2</v>
      </c>
    </row>
    <row r="21" spans="1:12">
      <c r="A21" s="26" t="s">
        <v>338</v>
      </c>
    </row>
    <row r="22" spans="1:12">
      <c r="A22" s="6" t="s">
        <v>339</v>
      </c>
      <c r="C22" s="30" t="str">
        <f>COUNTIF(K5:K19,"위반")&amp;" / "&amp;COUNTA(K5:K19)</f>
        <v>10 / 15</v>
      </c>
    </row>
    <row r="23" spans="1:12">
      <c r="A23" s="6" t="s">
        <v>340</v>
      </c>
      <c r="C23" s="39" t="s">
        <v>341</v>
      </c>
      <c r="D23" s="2" t="s">
        <v>342</v>
      </c>
    </row>
    <row r="24" spans="1:12">
      <c r="A24" s="11" t="s">
        <v>343</v>
      </c>
    </row>
    <row r="25" spans="1:12">
      <c r="A25" s="2" t="s">
        <v>344</v>
      </c>
    </row>
    <row r="27" spans="1:12">
      <c r="A27" s="26" t="s">
        <v>345</v>
      </c>
    </row>
    <row r="28" spans="1:12">
      <c r="A28" s="11" t="s">
        <v>346</v>
      </c>
    </row>
    <row r="29" spans="1:12">
      <c r="A29" s="6" t="s">
        <v>347</v>
      </c>
      <c r="B29" s="33">
        <f>COUNTA(A5:A19)</f>
        <v>15</v>
      </c>
      <c r="D29" s="11" t="s">
        <v>348</v>
      </c>
    </row>
    <row r="30" spans="1:12">
      <c r="A30" s="6" t="s">
        <v>283</v>
      </c>
      <c r="B30" s="33">
        <f>COUNT('01_원자료'!$AA$2:$AA$976)</f>
        <v>975</v>
      </c>
      <c r="D30" s="11" t="s">
        <v>349</v>
      </c>
    </row>
    <row r="31" spans="1:12">
      <c r="A31" s="6" t="s">
        <v>350</v>
      </c>
      <c r="B31" s="17">
        <f>AVERAGE('01_원자료'!$AA$2:$AA$976)</f>
        <v>3.3457017815550917E-2</v>
      </c>
      <c r="D31" s="2" t="s">
        <v>351</v>
      </c>
    </row>
    <row r="32" spans="1:12">
      <c r="A32" s="6" t="s">
        <v>352</v>
      </c>
      <c r="B32" s="17">
        <f>65*SUMPRODUCT((L5:L19-B31)^2)</f>
        <v>8.2969249266191175E-2</v>
      </c>
      <c r="D32" s="11" t="s">
        <v>353</v>
      </c>
    </row>
    <row r="33" spans="1:4">
      <c r="A33" s="6" t="s">
        <v>354</v>
      </c>
      <c r="B33" s="17">
        <f>SUMPRODUCT(('01_원자료'!$AA$2:$AA$976-B31)^2)</f>
        <v>1.2293636386312625</v>
      </c>
      <c r="D33" s="11" t="s">
        <v>355</v>
      </c>
    </row>
    <row r="34" spans="1:4">
      <c r="A34" s="6" t="s">
        <v>356</v>
      </c>
      <c r="B34" s="17">
        <f>B33-B32</f>
        <v>1.1463943893650714</v>
      </c>
      <c r="D34" s="11" t="s">
        <v>357</v>
      </c>
    </row>
    <row r="35" spans="1:4">
      <c r="A35" s="6" t="s">
        <v>358</v>
      </c>
      <c r="B35" s="33">
        <f>B29-1</f>
        <v>14</v>
      </c>
      <c r="D35" s="11" t="s">
        <v>359</v>
      </c>
    </row>
    <row r="36" spans="1:4">
      <c r="A36" s="6" t="s">
        <v>360</v>
      </c>
      <c r="B36" s="33">
        <f>B30-B29</f>
        <v>960</v>
      </c>
      <c r="D36" s="11" t="s">
        <v>361</v>
      </c>
    </row>
    <row r="37" spans="1:4">
      <c r="A37" s="6" t="s">
        <v>294</v>
      </c>
      <c r="B37" s="40">
        <f>(B32/B35)/(B34/B36)</f>
        <v>4.9627946564120053</v>
      </c>
      <c r="D37" s="11" t="s">
        <v>362</v>
      </c>
    </row>
    <row r="38" spans="1:4">
      <c r="A38" s="6" t="s">
        <v>295</v>
      </c>
      <c r="B38" s="41">
        <f>FDIST(B37,B35,B36)</f>
        <v>5.4632829192574751E-9</v>
      </c>
      <c r="D38" s="11" t="s">
        <v>363</v>
      </c>
    </row>
    <row r="39" spans="1:4">
      <c r="A39" s="4" t="s">
        <v>364</v>
      </c>
      <c r="B39" s="30" t="str">
        <f>IF(B38&lt;0.05,"위반","충족")</f>
        <v>위반</v>
      </c>
      <c r="D39" s="2"/>
    </row>
    <row r="41" spans="1:4">
      <c r="A41" s="26" t="s">
        <v>365</v>
      </c>
    </row>
    <row r="42" spans="1:4">
      <c r="A42" s="6" t="s">
        <v>329</v>
      </c>
      <c r="B42" s="13">
        <f>COUNT('01_원자료'!$AB$2:$AB$976)</f>
        <v>975</v>
      </c>
    </row>
    <row r="43" spans="1:4">
      <c r="A43" s="4" t="s">
        <v>333</v>
      </c>
      <c r="B43" s="42">
        <f>SKEW('01_원자료'!$AB$2:$AB$976)</f>
        <v>-2.3995564045431053</v>
      </c>
    </row>
    <row r="44" spans="1:4">
      <c r="A44" s="4" t="s">
        <v>366</v>
      </c>
      <c r="B44" s="42">
        <f>KURT('01_원자료'!$AB$2:$AB$976)</f>
        <v>15.849145434858283</v>
      </c>
    </row>
    <row r="45" spans="1:4">
      <c r="A45" s="6" t="s">
        <v>335</v>
      </c>
      <c r="B45" s="43">
        <f>B42/6*(B43^2+B44^2/4)</f>
        <v>11140.467600015994</v>
      </c>
    </row>
    <row r="46" spans="1:4">
      <c r="A46" s="6" t="s">
        <v>295</v>
      </c>
      <c r="B46" s="44">
        <f>CHIDIST(B45,2)</f>
        <v>0</v>
      </c>
    </row>
    <row r="47" spans="1:4">
      <c r="A47" s="6" t="s">
        <v>367</v>
      </c>
      <c r="B47" s="29">
        <v>0.84909999999999997</v>
      </c>
      <c r="D47" s="2" t="s">
        <v>368</v>
      </c>
    </row>
    <row r="49" spans="1:1">
      <c r="A49" s="3" t="s">
        <v>369</v>
      </c>
    </row>
    <row r="50" spans="1:1">
      <c r="A50" s="2" t="s">
        <v>370</v>
      </c>
    </row>
    <row r="51" spans="1:1">
      <c r="A51" s="2" t="s">
        <v>371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zoomScaleNormal="100" workbookViewId="0"/>
  </sheetViews>
  <sheetFormatPr defaultColWidth="8.6640625" defaultRowHeight="14.4"/>
  <cols>
    <col min="1" max="1" width="22" customWidth="1"/>
    <col min="2" max="2" width="30" customWidth="1"/>
    <col min="3" max="3" width="60" customWidth="1"/>
  </cols>
  <sheetData>
    <row r="1" spans="1:3" ht="17.399999999999999">
      <c r="A1" s="21" t="s">
        <v>372</v>
      </c>
    </row>
    <row r="2" spans="1:3">
      <c r="A2" s="2" t="s">
        <v>373</v>
      </c>
    </row>
    <row r="4" spans="1:3">
      <c r="A4" s="3" t="s">
        <v>374</v>
      </c>
    </row>
    <row r="5" spans="1:3">
      <c r="A5" s="2" t="s">
        <v>375</v>
      </c>
    </row>
    <row r="6" spans="1:3">
      <c r="A6" s="2" t="s">
        <v>376</v>
      </c>
    </row>
    <row r="8" spans="1:3">
      <c r="A8" s="6" t="s">
        <v>377</v>
      </c>
      <c r="B8" s="17">
        <f>15*SUMPRODUCT(('11_문서단위'!$B$5:$B$69-'05_이원분산분석'!$B$10)^2)</f>
        <v>0.70623272145695604</v>
      </c>
      <c r="C8" s="11" t="s">
        <v>378</v>
      </c>
    </row>
    <row r="9" spans="1:3">
      <c r="A9" s="6" t="s">
        <v>379</v>
      </c>
      <c r="B9" s="17">
        <f>'05_이원분산분석'!B17-'05_이원분산분석'!B13-'05_이원분산분석'!B14-'05_이원분산분석'!B15-B8</f>
        <v>1.5181320371029123</v>
      </c>
      <c r="C9" s="11" t="s">
        <v>380</v>
      </c>
    </row>
    <row r="10" spans="1:3">
      <c r="A10" s="6" t="s">
        <v>381</v>
      </c>
      <c r="B10" s="33">
        <f>'04_교차표'!B11-1</f>
        <v>64</v>
      </c>
      <c r="C10" s="11" t="s">
        <v>382</v>
      </c>
    </row>
    <row r="11" spans="1:3">
      <c r="A11" s="6" t="s">
        <v>383</v>
      </c>
      <c r="B11" s="33">
        <f>(('04_교차표'!B11)-1)*(5*3-1)</f>
        <v>896</v>
      </c>
      <c r="C11" s="11" t="s">
        <v>384</v>
      </c>
    </row>
    <row r="12" spans="1:3">
      <c r="A12" s="6" t="s">
        <v>385</v>
      </c>
      <c r="B12" s="17">
        <f>B8/B10</f>
        <v>1.1034886272764938E-2</v>
      </c>
      <c r="C12" s="11" t="s">
        <v>386</v>
      </c>
    </row>
    <row r="13" spans="1:3">
      <c r="A13" s="6" t="s">
        <v>387</v>
      </c>
      <c r="B13" s="17">
        <f>B9/B11</f>
        <v>1.6943437914095003E-3</v>
      </c>
      <c r="C13" s="11" t="s">
        <v>388</v>
      </c>
    </row>
    <row r="14" spans="1:3">
      <c r="A14" s="6" t="s">
        <v>389</v>
      </c>
      <c r="B14" s="17">
        <f>(B12-B13)/15</f>
        <v>6.2270283209036258E-4</v>
      </c>
      <c r="C14" s="11" t="s">
        <v>390</v>
      </c>
    </row>
    <row r="15" spans="1:3">
      <c r="A15" s="6" t="s">
        <v>391</v>
      </c>
      <c r="B15" s="17">
        <f>B13</f>
        <v>1.6943437914095003E-3</v>
      </c>
      <c r="C15" s="11" t="s">
        <v>392</v>
      </c>
    </row>
    <row r="16" spans="1:3">
      <c r="A16" s="6" t="s">
        <v>393</v>
      </c>
      <c r="B16" s="29">
        <f>B14/(B14+B15)</f>
        <v>0.26874851190943222</v>
      </c>
      <c r="C16" s="11" t="s">
        <v>394</v>
      </c>
    </row>
    <row r="18" spans="1:3">
      <c r="A18" s="11" t="s">
        <v>395</v>
      </c>
    </row>
    <row r="19" spans="1:3">
      <c r="A19" s="2" t="s">
        <v>396</v>
      </c>
    </row>
    <row r="21" spans="1:3">
      <c r="A21" s="3" t="s">
        <v>397</v>
      </c>
    </row>
    <row r="22" spans="1:3">
      <c r="A22" s="10" t="s">
        <v>398</v>
      </c>
      <c r="B22" s="10" t="s">
        <v>399</v>
      </c>
      <c r="C22" s="10" t="s">
        <v>400</v>
      </c>
    </row>
    <row r="23" spans="1:3">
      <c r="A23" s="4" t="s">
        <v>401</v>
      </c>
      <c r="B23" s="15" t="s">
        <v>402</v>
      </c>
      <c r="C23" s="2" t="s">
        <v>403</v>
      </c>
    </row>
    <row r="24" spans="1:3">
      <c r="A24" s="6" t="s">
        <v>389</v>
      </c>
      <c r="B24" s="16">
        <v>6.2299999999999996E-4</v>
      </c>
      <c r="C24" s="11" t="s">
        <v>404</v>
      </c>
    </row>
    <row r="25" spans="1:3">
      <c r="A25" s="6" t="s">
        <v>391</v>
      </c>
      <c r="B25" s="16">
        <v>1.694E-3</v>
      </c>
      <c r="C25" s="11" t="s">
        <v>405</v>
      </c>
    </row>
    <row r="26" spans="1:3">
      <c r="A26" s="6" t="s">
        <v>393</v>
      </c>
      <c r="B26" s="16">
        <v>0.26869999999999999</v>
      </c>
      <c r="C26" s="11" t="s">
        <v>406</v>
      </c>
    </row>
    <row r="27" spans="1:3">
      <c r="A27" s="4" t="s">
        <v>407</v>
      </c>
      <c r="B27" s="16">
        <v>2.8799999999999999E-2</v>
      </c>
      <c r="C27" s="11" t="s">
        <v>408</v>
      </c>
    </row>
    <row r="29" spans="1:3">
      <c r="A29" s="11" t="s">
        <v>409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zoomScaleNormal="100" workbookViewId="0"/>
  </sheetViews>
  <sheetFormatPr defaultColWidth="8.6640625" defaultRowHeight="14.4"/>
  <cols>
    <col min="1" max="1" width="17" customWidth="1"/>
    <col min="2" max="2" width="11" customWidth="1"/>
    <col min="3" max="3" width="14" customWidth="1"/>
    <col min="4" max="4" width="12" customWidth="1"/>
    <col min="5" max="5" width="10" customWidth="1"/>
    <col min="6" max="7" width="13" customWidth="1"/>
    <col min="8" max="8" width="17" customWidth="1"/>
    <col min="9" max="9" width="20" customWidth="1"/>
  </cols>
  <sheetData>
    <row r="1" spans="1:9" ht="17.399999999999999">
      <c r="A1" s="21" t="s">
        <v>410</v>
      </c>
    </row>
    <row r="2" spans="1:9">
      <c r="A2" s="2" t="s">
        <v>411</v>
      </c>
    </row>
    <row r="4" spans="1:9">
      <c r="A4" s="14" t="s">
        <v>88</v>
      </c>
      <c r="B4" s="10" t="s">
        <v>267</v>
      </c>
      <c r="C4" s="10" t="s">
        <v>412</v>
      </c>
      <c r="D4" s="10" t="s">
        <v>332</v>
      </c>
      <c r="E4" s="14" t="s">
        <v>413</v>
      </c>
      <c r="F4" s="10" t="s">
        <v>414</v>
      </c>
      <c r="G4" s="10" t="s">
        <v>415</v>
      </c>
      <c r="H4" s="10" t="s">
        <v>416</v>
      </c>
      <c r="I4" s="10" t="s">
        <v>417</v>
      </c>
    </row>
    <row r="5" spans="1:9">
      <c r="A5" s="6" t="s">
        <v>116</v>
      </c>
      <c r="B5" s="5" t="s">
        <v>268</v>
      </c>
      <c r="C5" s="29">
        <f>'04_교차표'!E5</f>
        <v>0.54551756048912992</v>
      </c>
      <c r="D5" s="28">
        <f>SQRT(SUMPRODUCT(('01_원자료'!$B$2:$B$976=$A5)*('01_원자료'!$S$2:$S$976-$C5)^2)/(COUNTIF('01_원자료'!$B$2:$B$976,$A5)-1))</f>
        <v>3.9984658325718729E-2</v>
      </c>
      <c r="E5" s="18">
        <f>D5/C5*100</f>
        <v>7.3296739136806348</v>
      </c>
      <c r="F5" s="5" t="str">
        <f>INDEX('04_교차표'!$B$4:$D$4,MATCH(MAX('04_교차표'!B5:D5),'04_교차표'!B5:D5,0))</f>
        <v>qwen</v>
      </c>
      <c r="G5" s="5" t="str">
        <f>INDEX('04_교차표'!$B$4:$D$4,MATCH(MIN('04_교차표'!B5:D5),'04_교차표'!B5:D5,0))</f>
        <v>ministral</v>
      </c>
      <c r="H5" s="40">
        <f>MAX('04_교차표'!B5:D5)-MIN('04_교차표'!B5:D5)</f>
        <v>2.8903451297593752E-2</v>
      </c>
      <c r="I5" s="13">
        <f>65*SUMPRODUCT(('04_교차표'!B5:D5-'04_교차표'!E5)^2)/SUMPRODUCT(('01_원자료'!$B$2:$B$976=$A5)*('01_원자료'!$S$2:$S$976-'04_교차표'!E5)^2)*100</f>
        <v>10.308901594941684</v>
      </c>
    </row>
    <row r="6" spans="1:9">
      <c r="A6" s="6" t="s">
        <v>120</v>
      </c>
      <c r="B6" s="5" t="s">
        <v>269</v>
      </c>
      <c r="C6" s="29">
        <f>'04_교차표'!E6</f>
        <v>0.62153882896589419</v>
      </c>
      <c r="D6" s="28">
        <f>SQRT(SUMPRODUCT(('01_원자료'!$B$2:$B$976=$A6)*('01_원자료'!$S$2:$S$976-$C6)^2)/(COUNTIF('01_원자료'!$B$2:$B$976,$A6)-1))</f>
        <v>5.6801380323076814E-2</v>
      </c>
      <c r="E6" s="18">
        <f>D6/C6*100</f>
        <v>9.1388305405765209</v>
      </c>
      <c r="F6" s="5" t="str">
        <f>INDEX('04_교차표'!$B$4:$D$4,MATCH(MAX('04_교차표'!B6:D6),'04_교차표'!B6:D6,0))</f>
        <v>qwen</v>
      </c>
      <c r="G6" s="5" t="str">
        <f>INDEX('04_교차표'!$B$4:$D$4,MATCH(MIN('04_교차표'!B6:D6),'04_교차표'!B6:D6,0))</f>
        <v>ministral</v>
      </c>
      <c r="H6" s="40">
        <f>MAX('04_교차표'!B6:D6)-MIN('04_교차표'!B6:D6)</f>
        <v>8.3532231548704816E-2</v>
      </c>
      <c r="I6" s="13">
        <f>65*SUMPRODUCT(('04_교차표'!B6:D6-'04_교차표'!E6)^2)/SUMPRODUCT(('01_원자료'!$B$2:$B$976=$A6)*('01_원자료'!$S$2:$S$976-'04_교차표'!E6)^2)*100</f>
        <v>37.715317777972203</v>
      </c>
    </row>
    <row r="7" spans="1:9">
      <c r="A7" s="6" t="s">
        <v>121</v>
      </c>
      <c r="B7" s="5" t="s">
        <v>270</v>
      </c>
      <c r="C7" s="29">
        <f>'04_교차표'!E7</f>
        <v>0.66176261433976835</v>
      </c>
      <c r="D7" s="28">
        <f>SQRT(SUMPRODUCT(('01_원자료'!$B$2:$B$976=$A7)*('01_원자료'!$S$2:$S$976-$C7)^2)/(COUNTIF('01_원자료'!$B$2:$B$976,$A7)-1))</f>
        <v>8.1451636309687422E-2</v>
      </c>
      <c r="E7" s="18">
        <f>D7/C7*100</f>
        <v>12.308286165568695</v>
      </c>
      <c r="F7" s="5" t="str">
        <f>INDEX('04_교차표'!$B$4:$D$4,MATCH(MAX('04_교차표'!B7:D7),'04_교차표'!B7:D7,0))</f>
        <v>gemma</v>
      </c>
      <c r="G7" s="5" t="str">
        <f>INDEX('04_교차표'!$B$4:$D$4,MATCH(MIN('04_교차표'!B7:D7),'04_교차표'!B7:D7,0))</f>
        <v>ministral</v>
      </c>
      <c r="H7" s="40">
        <f>MAX('04_교차표'!B7:D7)-MIN('04_교차표'!B7:D7)</f>
        <v>0.13825271854606769</v>
      </c>
      <c r="I7" s="13">
        <f>65*SUMPRODUCT(('04_교차표'!B7:D7-'04_교차표'!E7)^2)/SUMPRODUCT(('01_원자료'!$B$2:$B$976=$A7)*('01_원자료'!$S$2:$S$976-'04_교차표'!E7)^2)*100</f>
        <v>53.574179982344447</v>
      </c>
    </row>
    <row r="8" spans="1:9">
      <c r="A8" s="6" t="s">
        <v>122</v>
      </c>
      <c r="B8" s="5" t="s">
        <v>271</v>
      </c>
      <c r="C8" s="29">
        <f>'04_교차표'!E8</f>
        <v>0.61183125490740553</v>
      </c>
      <c r="D8" s="28">
        <f>SQRT(SUMPRODUCT(('01_원자료'!$B$2:$B$976=$A8)*('01_원자료'!$S$2:$S$976-$C8)^2)/(COUNTIF('01_원자료'!$B$2:$B$976,$A8)-1))</f>
        <v>5.5854469301853268E-2</v>
      </c>
      <c r="E8" s="18">
        <f>D8/C8*100</f>
        <v>9.1290644036003474</v>
      </c>
      <c r="F8" s="5" t="str">
        <f>INDEX('04_교차표'!$B$4:$D$4,MATCH(MAX('04_교차표'!B8:D8),'04_교차표'!B8:D8,0))</f>
        <v>qwen</v>
      </c>
      <c r="G8" s="5" t="str">
        <f>INDEX('04_교차표'!$B$4:$D$4,MATCH(MIN('04_교차표'!B8:D8),'04_교차표'!B8:D8,0))</f>
        <v>ministral</v>
      </c>
      <c r="H8" s="40">
        <f>MAX('04_교차표'!B8:D8)-MIN('04_교차표'!B8:D8)</f>
        <v>5.0165590097202228E-2</v>
      </c>
      <c r="I8" s="13">
        <f>65*SUMPRODUCT(('04_교차표'!B8:D8-'04_교차표'!E8)^2)/SUMPRODUCT(('01_원자료'!$B$2:$B$976=$A8)*('01_원자료'!$S$2:$S$976-'04_교차표'!E8)^2)*100</f>
        <v>15.480967669075152</v>
      </c>
    </row>
    <row r="9" spans="1:9">
      <c r="A9" s="6" t="s">
        <v>123</v>
      </c>
      <c r="B9" s="5" t="s">
        <v>272</v>
      </c>
      <c r="C9" s="29">
        <f>'04_교차표'!E9</f>
        <v>0.65009193092691198</v>
      </c>
      <c r="D9" s="28">
        <f>SQRT(SUMPRODUCT(('01_원자료'!$B$2:$B$976=$A9)*('01_원자료'!$S$2:$S$976-$C9)^2)/(COUNTIF('01_원자료'!$B$2:$B$976,$A9)-1))</f>
        <v>8.0658584567758984E-2</v>
      </c>
      <c r="E9" s="18">
        <f>D9/C9*100</f>
        <v>12.407258224656722</v>
      </c>
      <c r="F9" s="5" t="str">
        <f>INDEX('04_교차표'!$B$4:$D$4,MATCH(MAX('04_교차표'!B9:D9),'04_교차표'!B9:D9,0))</f>
        <v>gemma</v>
      </c>
      <c r="G9" s="5" t="str">
        <f>INDEX('04_교차표'!$B$4:$D$4,MATCH(MIN('04_교차표'!B9:D9),'04_교차표'!B9:D9,0))</f>
        <v>ministral</v>
      </c>
      <c r="H9" s="40">
        <f>MAX('04_교차표'!B9:D9)-MIN('04_교차표'!B9:D9)</f>
        <v>0.14811384388675208</v>
      </c>
      <c r="I9" s="13">
        <f>65*SUMPRODUCT(('04_교차표'!B9:D9-'04_교차표'!E9)^2)/SUMPRODUCT(('01_원자료'!$B$2:$B$976=$A9)*('01_원자료'!$S$2:$S$976-'04_교차표'!E9)^2)*100</f>
        <v>64.562877573080286</v>
      </c>
    </row>
    <row r="11" spans="1:9">
      <c r="A11" s="3" t="s">
        <v>291</v>
      </c>
    </row>
    <row r="12" spans="1:9">
      <c r="A12" s="2" t="s">
        <v>418</v>
      </c>
    </row>
    <row r="13" spans="1:9">
      <c r="A13" s="2" t="s">
        <v>419</v>
      </c>
    </row>
    <row r="15" spans="1:9">
      <c r="A15" s="2" t="s">
        <v>420</v>
      </c>
    </row>
    <row r="16" spans="1:9">
      <c r="A16" s="2" t="s">
        <v>421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9"/>
  <sheetViews>
    <sheetView topLeftCell="A8" zoomScaleNormal="100" workbookViewId="0"/>
  </sheetViews>
  <sheetFormatPr defaultColWidth="8.6640625" defaultRowHeight="14.4"/>
  <cols>
    <col min="1" max="1" width="20" customWidth="1"/>
    <col min="2" max="2" width="9" customWidth="1"/>
    <col min="3" max="3" width="11" customWidth="1"/>
    <col min="4" max="4" width="12.33203125" bestFit="1" customWidth="1"/>
    <col min="5" max="5" width="11" customWidth="1"/>
    <col min="6" max="6" width="7" customWidth="1"/>
    <col min="7" max="7" width="11" customWidth="1"/>
    <col min="8" max="8" width="9" customWidth="1"/>
    <col min="9" max="9" width="8" customWidth="1"/>
    <col min="10" max="10" width="12" customWidth="1"/>
    <col min="11" max="11" width="7" customWidth="1"/>
    <col min="12" max="12" width="10" customWidth="1"/>
    <col min="13" max="13" width="12" customWidth="1"/>
    <col min="14" max="14" width="9" customWidth="1"/>
    <col min="15" max="15" width="14" customWidth="1"/>
  </cols>
  <sheetData>
    <row r="1" spans="1:5" ht="17.399999999999999">
      <c r="A1" s="21" t="s">
        <v>422</v>
      </c>
    </row>
    <row r="2" spans="1:5">
      <c r="A2" s="2" t="s">
        <v>423</v>
      </c>
    </row>
    <row r="4" spans="1:5">
      <c r="A4" s="26" t="s">
        <v>424</v>
      </c>
    </row>
    <row r="5" spans="1:5">
      <c r="A5" s="11" t="s">
        <v>425</v>
      </c>
    </row>
    <row r="6" spans="1:5" ht="26.4">
      <c r="A6" s="10" t="s">
        <v>426</v>
      </c>
      <c r="B6" s="14" t="s">
        <v>427</v>
      </c>
      <c r="C6" s="10" t="s">
        <v>428</v>
      </c>
      <c r="D6" s="14" t="s">
        <v>429</v>
      </c>
      <c r="E6" s="10" t="s">
        <v>430</v>
      </c>
    </row>
    <row r="7" spans="1:5">
      <c r="A7" s="6" t="s">
        <v>117</v>
      </c>
      <c r="B7" s="33">
        <f>COUNTIF('01_원자료'!$C$2:$C$976,$A7)</f>
        <v>325</v>
      </c>
      <c r="C7" s="18">
        <f>SUMPRODUCT(('01_원자료'!$C$2:$C$976=$A7)*'01_원자료'!$V$2:$V$976)</f>
        <v>192727</v>
      </c>
      <c r="D7" s="18">
        <f>C7^2/B7</f>
        <v>114288297.01230769</v>
      </c>
      <c r="E7" s="18">
        <f>C7/B7</f>
        <v>593.00615384615389</v>
      </c>
    </row>
    <row r="8" spans="1:5">
      <c r="A8" s="6" t="s">
        <v>118</v>
      </c>
      <c r="B8" s="33">
        <f>COUNTIF('01_원자료'!$C$2:$C$976,$A8)</f>
        <v>325</v>
      </c>
      <c r="C8" s="18">
        <f>SUMPRODUCT(('01_원자료'!$C$2:$C$976=$A8)*'01_원자료'!$V$2:$V$976)</f>
        <v>89446</v>
      </c>
      <c r="D8" s="18">
        <f>C8^2/B8</f>
        <v>24617190.510769229</v>
      </c>
      <c r="E8" s="18">
        <f>C8/B8</f>
        <v>275.21846153846155</v>
      </c>
    </row>
    <row r="9" spans="1:5">
      <c r="A9" s="6" t="s">
        <v>119</v>
      </c>
      <c r="B9" s="33">
        <f>COUNTIF('01_원자료'!$C$2:$C$976,$A9)</f>
        <v>325</v>
      </c>
      <c r="C9" s="18">
        <f>SUMPRODUCT(('01_원자료'!$C$2:$C$976=$A9)*'01_원자료'!$V$2:$V$976)</f>
        <v>193627</v>
      </c>
      <c r="D9" s="18">
        <f>C9^2/B9</f>
        <v>115358200.39692308</v>
      </c>
      <c r="E9" s="18">
        <f>C9/B9</f>
        <v>595.77538461538461</v>
      </c>
    </row>
    <row r="10" spans="1:5">
      <c r="A10" s="4" t="s">
        <v>218</v>
      </c>
      <c r="B10" s="13">
        <f>SUM(B7:B9)</f>
        <v>975</v>
      </c>
      <c r="D10" s="45">
        <f>SUM(D7:D9)</f>
        <v>254263687.92000002</v>
      </c>
    </row>
    <row r="12" spans="1:5">
      <c r="A12" s="6" t="s">
        <v>431</v>
      </c>
      <c r="B12" s="33">
        <f>B10</f>
        <v>975</v>
      </c>
    </row>
    <row r="13" spans="1:5">
      <c r="A13" s="6" t="s">
        <v>432</v>
      </c>
      <c r="B13" s="37">
        <f>12/(B12*(B12+1))*D10-3*(B12+1)</f>
        <v>278.35167616645685</v>
      </c>
    </row>
    <row r="14" spans="1:5">
      <c r="A14" s="4" t="s">
        <v>433</v>
      </c>
      <c r="B14" s="33">
        <f>COUNTA(A7:A9)-1</f>
        <v>2</v>
      </c>
    </row>
    <row r="15" spans="1:5">
      <c r="A15" s="6" t="s">
        <v>295</v>
      </c>
      <c r="B15" s="35">
        <f>CHIDIST(B13,B14)</f>
        <v>3.6033089980348604E-61</v>
      </c>
    </row>
    <row r="16" spans="1:5">
      <c r="A16" s="6" t="s">
        <v>434</v>
      </c>
      <c r="B16" s="28">
        <f>(B13-B14)/(B12-COUNTA(A7:A9))</f>
        <v>0.28431242403956469</v>
      </c>
    </row>
    <row r="17" spans="1:15">
      <c r="A17" s="2" t="s">
        <v>435</v>
      </c>
    </row>
    <row r="19" spans="1:15">
      <c r="A19" s="26" t="s">
        <v>436</v>
      </c>
    </row>
    <row r="20" spans="1:15">
      <c r="A20" s="11" t="s">
        <v>437</v>
      </c>
    </row>
    <row r="21" spans="1:15">
      <c r="A21" s="11" t="s">
        <v>438</v>
      </c>
    </row>
    <row r="22" spans="1:15">
      <c r="A22" s="11" t="s">
        <v>439</v>
      </c>
    </row>
    <row r="23" spans="1:15">
      <c r="A23" s="10" t="s">
        <v>440</v>
      </c>
      <c r="B23" s="10" t="s">
        <v>441</v>
      </c>
      <c r="C23" s="10" t="s">
        <v>442</v>
      </c>
      <c r="D23" s="14" t="s">
        <v>443</v>
      </c>
      <c r="E23" s="10" t="s">
        <v>444</v>
      </c>
      <c r="F23" s="14" t="s">
        <v>445</v>
      </c>
      <c r="G23" s="14" t="s">
        <v>446</v>
      </c>
      <c r="H23" s="14" t="s">
        <v>447</v>
      </c>
      <c r="I23" s="14" t="s">
        <v>448</v>
      </c>
      <c r="J23" s="14" t="s">
        <v>449</v>
      </c>
      <c r="K23" s="10" t="s">
        <v>450</v>
      </c>
      <c r="L23" s="14" t="s">
        <v>451</v>
      </c>
      <c r="M23" s="14" t="s">
        <v>452</v>
      </c>
      <c r="N23" s="14" t="s">
        <v>453</v>
      </c>
      <c r="O23" s="10" t="s">
        <v>454</v>
      </c>
    </row>
    <row r="24" spans="1:15">
      <c r="A24" s="6" t="s">
        <v>455</v>
      </c>
      <c r="B24" s="11" t="s">
        <v>456</v>
      </c>
      <c r="C24" s="5" t="s">
        <v>117</v>
      </c>
      <c r="D24" s="33">
        <f>COUNTIF('01_원자료'!$C$2:$C$976,C24)</f>
        <v>325</v>
      </c>
      <c r="E24" s="5" t="s">
        <v>118</v>
      </c>
      <c r="F24" s="33">
        <f>COUNTIF('01_원자료'!$C$2:$C$976,E24)</f>
        <v>325</v>
      </c>
      <c r="G24" s="18">
        <f>SUMPRODUCT(('01_원자료'!$C$2:$C$976=C24)*'01_원자료'!$W$2:$W$976)</f>
        <v>139189</v>
      </c>
      <c r="H24" s="13">
        <f>G24-D24*(D24+1)/2</f>
        <v>86214</v>
      </c>
      <c r="I24" s="34">
        <f>(H24-D24*F24/2)/SQRT(D24*F24*(D24+F24+1)/12)</f>
        <v>13.953486559163764</v>
      </c>
      <c r="J24" s="35">
        <f>2*(1-NORMSDIST(ABS(I24)))</f>
        <v>0</v>
      </c>
      <c r="K24" s="33">
        <f>RANK(J24,$J$24:$J$26,1)</f>
        <v>1</v>
      </c>
      <c r="L24" s="33">
        <f>COUNTA($A$24:$A$26)-K24+1</f>
        <v>3</v>
      </c>
      <c r="M24" s="41">
        <f>MIN(1,MAX(J24*L24,IF(K24=1,0,MIN(1,SMALL($J$24:$J$26,K24-1)*(COUNTA($A$24:$A$26)-K24+2)))))</f>
        <v>0</v>
      </c>
      <c r="N24" s="46">
        <f>2*H24/(D24*F24)-1</f>
        <v>0.63245443786982247</v>
      </c>
      <c r="O24" s="5" t="str">
        <f>IF(M24&lt;0.05,"유의","유의하지 않음")</f>
        <v>유의</v>
      </c>
    </row>
    <row r="25" spans="1:15">
      <c r="A25" s="6" t="s">
        <v>457</v>
      </c>
      <c r="B25" s="11" t="s">
        <v>458</v>
      </c>
      <c r="C25" s="5" t="s">
        <v>117</v>
      </c>
      <c r="D25" s="33">
        <f>COUNTIF('01_원자료'!$C$2:$C$976,C25)</f>
        <v>325</v>
      </c>
      <c r="E25" s="5" t="s">
        <v>119</v>
      </c>
      <c r="F25" s="33">
        <f>COUNTIF('01_원자료'!$C$2:$C$976,E25)</f>
        <v>325</v>
      </c>
      <c r="G25" s="18">
        <f>SUMPRODUCT(('01_원자료'!$C$2:$C$976=C25)*'01_원자료'!$X$2:$X$976)</f>
        <v>106513</v>
      </c>
      <c r="H25" s="13">
        <f>G25-D25*(D25+1)/2</f>
        <v>53538</v>
      </c>
      <c r="I25" s="34">
        <f>(H25-D25*F25/2)/SQRT(D25*F25*(D25+F25+1)/12)</f>
        <v>0.30307784077581279</v>
      </c>
      <c r="J25" s="35">
        <f>2*(1-NORMSDIST(ABS(I25)))</f>
        <v>0.7618305409309396</v>
      </c>
      <c r="K25" s="33">
        <f>RANK(J25,$J$24:$J$26,1)</f>
        <v>3</v>
      </c>
      <c r="L25" s="33">
        <f>COUNTA($A$24:$A$26)-K25+1</f>
        <v>1</v>
      </c>
      <c r="M25" s="41">
        <f>MIN(1,MAX(J25*L25,IF(K25=1,0,MIN(1,SMALL($J$24:$J$26,K25-1)*(COUNTA($A$24:$A$26)-K25+2)))))</f>
        <v>0.7618305409309396</v>
      </c>
      <c r="N25" s="46">
        <f>2*H25/(D25*F25)-1</f>
        <v>1.3737278106508821E-2</v>
      </c>
      <c r="O25" s="5" t="str">
        <f>IF(M25&lt;0.05,"유의","유의하지 않음")</f>
        <v>유의하지 않음</v>
      </c>
    </row>
    <row r="26" spans="1:15">
      <c r="A26" s="6" t="s">
        <v>459</v>
      </c>
      <c r="B26" s="11" t="s">
        <v>460</v>
      </c>
      <c r="C26" s="5" t="s">
        <v>118</v>
      </c>
      <c r="D26" s="33">
        <f>COUNTIF('01_원자료'!$C$2:$C$976,C26)</f>
        <v>325</v>
      </c>
      <c r="E26" s="5" t="s">
        <v>119</v>
      </c>
      <c r="F26" s="33">
        <f>COUNTIF('01_원자료'!$C$2:$C$976,E26)</f>
        <v>325</v>
      </c>
      <c r="G26" s="18">
        <f>SUMPRODUCT(('01_원자료'!$C$2:$C$976=C26)*'01_원자료'!$Y$2:$Y$976)</f>
        <v>70035</v>
      </c>
      <c r="H26" s="13">
        <f>G26-D26*(D26+1)/2</f>
        <v>17060</v>
      </c>
      <c r="I26" s="34">
        <f>(H26-D26*F26/2)/SQRT(D26*F26*(D26+F26+1)/12)</f>
        <v>-14.935617508390415</v>
      </c>
      <c r="J26" s="35">
        <f>2*(1-NORMSDIST(ABS(I26)))</f>
        <v>0</v>
      </c>
      <c r="K26" s="33">
        <f>RANK(J26,$J$24:$J$26,1)</f>
        <v>1</v>
      </c>
      <c r="L26" s="33">
        <f>COUNTA($A$24:$A$26)-K26+1</f>
        <v>3</v>
      </c>
      <c r="M26" s="41">
        <f>MIN(1,MAX(J26*L26,IF(K26=1,0,MIN(1,SMALL($J$24:$J$26,K26-1)*(COUNTA($A$24:$A$26)-K26+2)))))</f>
        <v>0</v>
      </c>
      <c r="N26" s="46">
        <f>2*H26/(D26*F26)-1</f>
        <v>-0.67697041420118342</v>
      </c>
      <c r="O26" s="5" t="str">
        <f>IF(M26&lt;0.05,"유의","유의하지 않음")</f>
        <v>유의</v>
      </c>
    </row>
    <row r="28" spans="1:15">
      <c r="A28" s="2" t="s">
        <v>461</v>
      </c>
    </row>
    <row r="29" spans="1:15">
      <c r="A29" s="2" t="s">
        <v>462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3"/>
  <sheetViews>
    <sheetView zoomScaleNormal="100" workbookViewId="0"/>
  </sheetViews>
  <sheetFormatPr defaultColWidth="8.6640625" defaultRowHeight="14.4"/>
  <cols>
    <col min="1" max="2" width="17" customWidth="1"/>
    <col min="3" max="14" width="11" customWidth="1"/>
    <col min="15" max="15" width="13" customWidth="1"/>
  </cols>
  <sheetData>
    <row r="1" spans="1:15" ht="17.399999999999999">
      <c r="A1" s="21" t="s">
        <v>463</v>
      </c>
    </row>
    <row r="2" spans="1:15">
      <c r="A2" s="2" t="s">
        <v>464</v>
      </c>
    </row>
    <row r="4" spans="1:15" ht="52.8">
      <c r="A4" s="14" t="s">
        <v>88</v>
      </c>
      <c r="B4" s="14" t="s">
        <v>89</v>
      </c>
      <c r="C4" s="14" t="s">
        <v>90</v>
      </c>
      <c r="D4" s="14" t="s">
        <v>91</v>
      </c>
      <c r="E4" s="14" t="s">
        <v>92</v>
      </c>
      <c r="F4" s="14" t="s">
        <v>93</v>
      </c>
      <c r="G4" s="14" t="s">
        <v>94</v>
      </c>
      <c r="H4" s="14" t="s">
        <v>95</v>
      </c>
      <c r="I4" s="14" t="s">
        <v>96</v>
      </c>
      <c r="J4" s="14" t="s">
        <v>97</v>
      </c>
      <c r="K4" s="14" t="s">
        <v>98</v>
      </c>
      <c r="L4" s="14" t="s">
        <v>99</v>
      </c>
      <c r="M4" s="14" t="s">
        <v>100</v>
      </c>
      <c r="N4" s="14" t="s">
        <v>101</v>
      </c>
      <c r="O4" s="14" t="s">
        <v>105</v>
      </c>
    </row>
    <row r="5" spans="1:15">
      <c r="A5" s="6" t="s">
        <v>116</v>
      </c>
      <c r="B5" s="6" t="s">
        <v>117</v>
      </c>
      <c r="C5" s="28">
        <f>AVERAGEIFS('01_원자료'!$D$2:$D$976,'01_원자료'!$B$2:$B$976,$A5,'01_원자료'!$C$2:$C$976,$B5)</f>
        <v>0.23860426943660135</v>
      </c>
      <c r="D5" s="28">
        <f>AVERAGEIFS('01_원자료'!$E$2:$E$976,'01_원자료'!$B$2:$B$976,$A5,'01_원자료'!$C$2:$C$976,$B5)</f>
        <v>0.32325965622986697</v>
      </c>
      <c r="E5" s="28">
        <f>AVERAGEIFS('01_원자료'!$F$2:$F$976,'01_원자료'!$B$2:$B$976,$A5,'01_원자료'!$C$2:$C$976,$B5)</f>
        <v>0.1237947091249484</v>
      </c>
      <c r="F5" s="28">
        <f>AVERAGEIFS('01_원자료'!$G$2:$G$976,'01_원자료'!$B$2:$B$976,$A5,'01_원자료'!$C$2:$C$976,$B5)</f>
        <v>0.26025903637539366</v>
      </c>
      <c r="G5" s="28">
        <f>AVERAGEIFS('01_원자료'!$H$2:$H$976,'01_원자료'!$B$2:$B$976,$A5,'01_원자료'!$C$2:$C$976,$B5)</f>
        <v>0.2399818697799726</v>
      </c>
      <c r="H5" s="28">
        <f>AVERAGEIFS('01_원자료'!$I$2:$I$976,'01_원자료'!$B$2:$B$976,$A5,'01_원자료'!$C$2:$C$976,$B5)</f>
        <v>0.22761772338197156</v>
      </c>
      <c r="I5" s="28">
        <f>AVERAGEIFS('01_원자료'!$J$2:$J$976,'01_원자료'!$B$2:$B$976,$A5,'01_원자료'!$C$2:$C$976,$B5)</f>
        <v>0.68063454900598497</v>
      </c>
      <c r="J5" s="28">
        <f>AVERAGEIFS('01_원자료'!$K$2:$K$976,'01_원자료'!$B$2:$B$976,$A5,'01_원자료'!$C$2:$C$976,$B5)</f>
        <v>0.62487777194097394</v>
      </c>
      <c r="K5" s="28">
        <f>AVERAGEIFS('01_원자료'!$L$2:$L$976,'01_원자료'!$B$2:$B$976,$A5,'01_원자료'!$C$2:$C$976,$B5)</f>
        <v>0.79777713974262243</v>
      </c>
      <c r="L5" s="28">
        <f>AVERAGEIFS('01_원자료'!$M$2:$M$976,'01_원자료'!$B$2:$B$976,$A5,'01_원자료'!$C$2:$C$976,$B5)</f>
        <v>0.49998302330406635</v>
      </c>
      <c r="M5" s="28">
        <f>AVERAGEIFS('01_원자료'!$N$2:$N$976,'01_원자료'!$B$2:$B$976,$A5,'01_원자료'!$C$2:$C$976,$B5)</f>
        <v>0.16451568793001861</v>
      </c>
      <c r="N5" s="28">
        <f>AVERAGEIFS('01_원자료'!$O$2:$O$976,'01_원자료'!$B$2:$B$976,$A5,'01_원자료'!$C$2:$C$976,$B5)</f>
        <v>0.96356275303643724</v>
      </c>
      <c r="O5" s="29">
        <f>AVERAGEIFS('01_원자료'!$S$2:$S$976,'01_원자료'!$B$2:$B$976,$A5,'01_원자료'!$C$2:$C$976,$B5)</f>
        <v>0.55255116541262339</v>
      </c>
    </row>
    <row r="6" spans="1:15">
      <c r="A6" s="6" t="s">
        <v>116</v>
      </c>
      <c r="B6" s="6" t="s">
        <v>118</v>
      </c>
      <c r="C6" s="28">
        <f>AVERAGEIFS('01_원자료'!$D$2:$D$976,'01_원자료'!$B$2:$B$976,$A6,'01_원자료'!$C$2:$C$976,$B6)</f>
        <v>0.29667466937943276</v>
      </c>
      <c r="D6" s="28">
        <f>AVERAGEIFS('01_원자료'!$E$2:$E$976,'01_원자료'!$B$2:$B$976,$A6,'01_원자료'!$C$2:$C$976,$B6)</f>
        <v>0.30222822134610117</v>
      </c>
      <c r="E6" s="28">
        <f>AVERAGEIFS('01_원자료'!$F$2:$F$976,'01_원자료'!$B$2:$B$976,$A6,'01_원자료'!$C$2:$C$976,$B6)</f>
        <v>0.13311764991486458</v>
      </c>
      <c r="F6" s="28">
        <f>AVERAGEIFS('01_원자료'!$G$2:$G$976,'01_원자료'!$B$2:$B$976,$A6,'01_원자료'!$C$2:$C$976,$B6)</f>
        <v>0.25142404493056975</v>
      </c>
      <c r="G6" s="28">
        <f>AVERAGEIFS('01_원자료'!$H$2:$H$976,'01_원자료'!$B$2:$B$976,$A6,'01_원자료'!$C$2:$C$976,$B6)</f>
        <v>0.17830218041336748</v>
      </c>
      <c r="H6" s="28">
        <f>AVERAGEIFS('01_원자료'!$I$2:$I$976,'01_원자료'!$B$2:$B$976,$A6,'01_원자료'!$C$2:$C$976,$B6)</f>
        <v>0.31134319246540004</v>
      </c>
      <c r="I6" s="28">
        <f>AVERAGEIFS('01_원자료'!$J$2:$J$976,'01_원자료'!$B$2:$B$976,$A6,'01_원자료'!$C$2:$C$976,$B6)</f>
        <v>0.69299451715866323</v>
      </c>
      <c r="J6" s="28">
        <f>AVERAGEIFS('01_원자료'!$K$2:$K$976,'01_원자료'!$B$2:$B$976,$A6,'01_원자료'!$C$2:$C$976,$B6)</f>
        <v>0.68046064428604403</v>
      </c>
      <c r="K6" s="28">
        <f>AVERAGEIFS('01_원자료'!$L$2:$L$976,'01_원자료'!$B$2:$B$976,$A6,'01_원자료'!$C$2:$C$976,$B6)</f>
        <v>0.8222196987738869</v>
      </c>
      <c r="L6" s="28">
        <f>AVERAGEIFS('01_원자료'!$M$2:$M$976,'01_원자료'!$B$2:$B$976,$A6,'01_원자료'!$C$2:$C$976,$B6)</f>
        <v>0.45186531967515164</v>
      </c>
      <c r="M6" s="28">
        <f>AVERAGEIFS('01_원자료'!$N$2:$N$976,'01_원자료'!$B$2:$B$976,$A6,'01_원자료'!$C$2:$C$976,$B6)</f>
        <v>3.4326892460114264E-2</v>
      </c>
      <c r="N6" s="28">
        <f>AVERAGEIFS('01_원자료'!$O$2:$O$976,'01_원자료'!$B$2:$B$976,$A6,'01_원자료'!$C$2:$C$976,$B6)</f>
        <v>0.79176325698592909</v>
      </c>
      <c r="O6" s="29">
        <f>AVERAGEIFS('01_원자료'!$S$2:$S$976,'01_원자료'!$B$2:$B$976,$A6,'01_원자료'!$C$2:$C$976,$B6)</f>
        <v>0.5275490323785863</v>
      </c>
    </row>
    <row r="7" spans="1:15">
      <c r="A7" s="6" t="s">
        <v>116</v>
      </c>
      <c r="B7" s="6" t="s">
        <v>119</v>
      </c>
      <c r="C7" s="28">
        <f>AVERAGEIFS('01_원자료'!$D$2:$D$976,'01_원자료'!$B$2:$B$976,$A7,'01_원자료'!$C$2:$C$976,$B7)</f>
        <v>0.28554919819603469</v>
      </c>
      <c r="D7" s="28">
        <f>AVERAGEIFS('01_원자료'!$E$2:$E$976,'01_원자료'!$B$2:$B$976,$A7,'01_원자료'!$C$2:$C$976,$B7)</f>
        <v>0.39689192009684443</v>
      </c>
      <c r="E7" s="28">
        <f>AVERAGEIFS('01_원자료'!$F$2:$F$976,'01_원자료'!$B$2:$B$976,$A7,'01_원자료'!$C$2:$C$976,$B7)</f>
        <v>0.1738399487094788</v>
      </c>
      <c r="F7" s="28">
        <f>AVERAGEIFS('01_원자료'!$G$2:$G$976,'01_원자료'!$B$2:$B$976,$A7,'01_원자료'!$C$2:$C$976,$B7)</f>
        <v>0.31409518667092301</v>
      </c>
      <c r="G7" s="28">
        <f>AVERAGEIFS('01_원자료'!$H$2:$H$976,'01_원자료'!$B$2:$B$976,$A7,'01_원자료'!$C$2:$C$976,$B7)</f>
        <v>0.25914153889617936</v>
      </c>
      <c r="H7" s="28">
        <f>AVERAGEIFS('01_원자료'!$I$2:$I$976,'01_원자료'!$B$2:$B$976,$A7,'01_원자료'!$C$2:$C$976,$B7)</f>
        <v>0.33827249778988827</v>
      </c>
      <c r="I7" s="28">
        <f>AVERAGEIFS('01_원자료'!$J$2:$J$976,'01_원자료'!$B$2:$B$976,$A7,'01_원자료'!$C$2:$C$976,$B7)</f>
        <v>0.69936660697930886</v>
      </c>
      <c r="J7" s="28">
        <f>AVERAGEIFS('01_원자료'!$K$2:$K$976,'01_원자료'!$B$2:$B$976,$A7,'01_원자료'!$C$2:$C$976,$B7)</f>
        <v>0.63131785694328579</v>
      </c>
      <c r="K7" s="28">
        <f>AVERAGEIFS('01_원자료'!$L$2:$L$976,'01_원자료'!$B$2:$B$976,$A7,'01_원자료'!$C$2:$C$976,$B7)</f>
        <v>0.81185087832349179</v>
      </c>
      <c r="L7" s="28">
        <f>AVERAGEIFS('01_원자료'!$M$2:$M$976,'01_원자료'!$B$2:$B$976,$A7,'01_원자료'!$C$2:$C$976,$B7)</f>
        <v>0.47401687835678397</v>
      </c>
      <c r="M7" s="28">
        <f>AVERAGEIFS('01_원자료'!$N$2:$N$976,'01_원자료'!$B$2:$B$976,$A7,'01_원자료'!$C$2:$C$976,$B7)</f>
        <v>9.3699338433511178E-2</v>
      </c>
      <c r="N7" s="28">
        <f>AVERAGEIFS('01_원자료'!$O$2:$O$976,'01_원자료'!$B$2:$B$976,$A7,'01_원자료'!$C$2:$C$976,$B7)</f>
        <v>0.94210526315789467</v>
      </c>
      <c r="O7" s="29">
        <f>AVERAGEIFS('01_원자료'!$S$2:$S$976,'01_원자료'!$B$2:$B$976,$A7,'01_원자료'!$C$2:$C$976,$B7)</f>
        <v>0.55645248367618005</v>
      </c>
    </row>
    <row r="8" spans="1:15">
      <c r="A8" s="6" t="s">
        <v>120</v>
      </c>
      <c r="B8" s="6" t="s">
        <v>117</v>
      </c>
      <c r="C8" s="28">
        <f>AVERAGEIFS('01_원자료'!$D$2:$D$976,'01_원자료'!$B$2:$B$976,$A8,'01_원자료'!$C$2:$C$976,$B8)</f>
        <v>0.2376418739297467</v>
      </c>
      <c r="D8" s="28">
        <f>AVERAGEIFS('01_원자료'!$E$2:$E$976,'01_원자료'!$B$2:$B$976,$A8,'01_원자료'!$C$2:$C$976,$B8)</f>
        <v>0.31780744467971478</v>
      </c>
      <c r="E8" s="28">
        <f>AVERAGEIFS('01_원자료'!$F$2:$F$976,'01_원자료'!$B$2:$B$976,$A8,'01_원자료'!$C$2:$C$976,$B8)</f>
        <v>9.9167777477124588E-2</v>
      </c>
      <c r="F8" s="28">
        <f>AVERAGEIFS('01_원자료'!$G$2:$G$976,'01_원자료'!$B$2:$B$976,$A8,'01_원자료'!$C$2:$C$976,$B8)</f>
        <v>0.20918936699496563</v>
      </c>
      <c r="G8" s="28">
        <f>AVERAGEIFS('01_원자료'!$H$2:$H$976,'01_원자료'!$B$2:$B$976,$A8,'01_원자료'!$C$2:$C$976,$B8)</f>
        <v>0.31088393105342016</v>
      </c>
      <c r="H8" s="28">
        <f>AVERAGEIFS('01_원자료'!$I$2:$I$976,'01_원자료'!$B$2:$B$976,$A8,'01_원자료'!$C$2:$C$976,$B8)</f>
        <v>0.20852516724722894</v>
      </c>
      <c r="I8" s="28">
        <f>AVERAGEIFS('01_원자료'!$J$2:$J$976,'01_원자료'!$B$2:$B$976,$A8,'01_원자료'!$C$2:$C$976,$B8)</f>
        <v>0.69096790306524536</v>
      </c>
      <c r="J8" s="28">
        <f>AVERAGEIFS('01_원자료'!$K$2:$K$976,'01_원자료'!$B$2:$B$976,$A8,'01_원자료'!$C$2:$C$976,$B8)</f>
        <v>0.65610713231665285</v>
      </c>
      <c r="K8" s="28">
        <f>AVERAGEIFS('01_원자료'!$L$2:$L$976,'01_원자료'!$B$2:$B$976,$A8,'01_원자료'!$C$2:$C$976,$B8)</f>
        <v>0.84195288772082022</v>
      </c>
      <c r="L8" s="28">
        <f>AVERAGEIFS('01_원자료'!$M$2:$M$976,'01_원자료'!$B$2:$B$976,$A8,'01_원자료'!$C$2:$C$976,$B8)</f>
        <v>0.62124029993091701</v>
      </c>
      <c r="M8" s="28">
        <f>AVERAGEIFS('01_원자료'!$N$2:$N$976,'01_원자료'!$B$2:$B$976,$A8,'01_원자료'!$C$2:$C$976,$B8)</f>
        <v>0.58025681075430324</v>
      </c>
      <c r="N8" s="28">
        <f>AVERAGEIFS('01_원자료'!$O$2:$O$976,'01_원자료'!$B$2:$B$976,$A8,'01_원자료'!$C$2:$C$976,$B8)</f>
        <v>1</v>
      </c>
      <c r="O8" s="29">
        <f>AVERAGEIFS('01_원자료'!$S$2:$S$976,'01_원자료'!$B$2:$B$976,$A8,'01_원자료'!$C$2:$C$976,$B8)</f>
        <v>0.63130270342475714</v>
      </c>
    </row>
    <row r="9" spans="1:15">
      <c r="A9" s="6" t="s">
        <v>120</v>
      </c>
      <c r="B9" s="6" t="s">
        <v>118</v>
      </c>
      <c r="C9" s="28">
        <f>AVERAGEIFS('01_원자료'!$D$2:$D$976,'01_원자료'!$B$2:$B$976,$A9,'01_원자료'!$C$2:$C$976,$B9)</f>
        <v>0.26332583003482796</v>
      </c>
      <c r="D9" s="28">
        <f>AVERAGEIFS('01_원자료'!$E$2:$E$976,'01_원자료'!$B$2:$B$976,$A9,'01_원자료'!$C$2:$C$976,$B9)</f>
        <v>0.31995896800042162</v>
      </c>
      <c r="E9" s="28">
        <f>AVERAGEIFS('01_원자료'!$F$2:$F$976,'01_원자료'!$B$2:$B$976,$A9,'01_원자료'!$C$2:$C$976,$B9)</f>
        <v>0.12085545843151392</v>
      </c>
      <c r="F9" s="28">
        <f>AVERAGEIFS('01_원자료'!$G$2:$G$976,'01_원자료'!$B$2:$B$976,$A9,'01_원자료'!$C$2:$C$976,$B9)</f>
        <v>0.23288160095446425</v>
      </c>
      <c r="G9" s="28">
        <f>AVERAGEIFS('01_원자료'!$H$2:$H$976,'01_원자료'!$B$2:$B$976,$A9,'01_원자료'!$C$2:$C$976,$B9)</f>
        <v>0.24914421565111056</v>
      </c>
      <c r="H9" s="28">
        <f>AVERAGEIFS('01_원자료'!$I$2:$I$976,'01_원자료'!$B$2:$B$976,$A9,'01_원자료'!$C$2:$C$976,$B9)</f>
        <v>0.2748406659045467</v>
      </c>
      <c r="I9" s="28">
        <f>AVERAGEIFS('01_원자료'!$J$2:$J$976,'01_원자료'!$B$2:$B$976,$A9,'01_원자료'!$C$2:$C$976,$B9)</f>
        <v>0.70358177928735377</v>
      </c>
      <c r="J9" s="28">
        <f>AVERAGEIFS('01_원자료'!$K$2:$K$976,'01_원자료'!$B$2:$B$976,$A9,'01_원자료'!$C$2:$C$976,$B9)</f>
        <v>0.66694668774044297</v>
      </c>
      <c r="K9" s="28">
        <f>AVERAGEIFS('01_원자료'!$L$2:$L$976,'01_원자료'!$B$2:$B$976,$A9,'01_원자료'!$C$2:$C$976,$B9)</f>
        <v>0.83317352319091009</v>
      </c>
      <c r="L9" s="28">
        <f>AVERAGEIFS('01_원자료'!$M$2:$M$976,'01_원자료'!$B$2:$B$976,$A9,'01_원자료'!$C$2:$C$976,$B9)</f>
        <v>0.46945909790408247</v>
      </c>
      <c r="M9" s="28">
        <f>AVERAGEIFS('01_원자료'!$N$2:$N$976,'01_원자료'!$B$2:$B$976,$A9,'01_원자료'!$C$2:$C$976,$B9)</f>
        <v>0.40517252893880523</v>
      </c>
      <c r="N9" s="28">
        <f>AVERAGEIFS('01_원자료'!$O$2:$O$976,'01_원자료'!$B$2:$B$976,$A9,'01_원자료'!$C$2:$C$976,$B9)</f>
        <v>0.80224196855775809</v>
      </c>
      <c r="O9" s="29">
        <f>AVERAGEIFS('01_원자료'!$S$2:$S$976,'01_원자료'!$B$2:$B$976,$A9,'01_원자료'!$C$2:$C$976,$B9)</f>
        <v>0.5748907759621108</v>
      </c>
    </row>
    <row r="10" spans="1:15">
      <c r="A10" s="6" t="s">
        <v>120</v>
      </c>
      <c r="B10" s="6" t="s">
        <v>119</v>
      </c>
      <c r="C10" s="28">
        <f>AVERAGEIFS('01_원자료'!$D$2:$D$976,'01_원자료'!$B$2:$B$976,$A10,'01_원자료'!$C$2:$C$976,$B10)</f>
        <v>0.26943232702752296</v>
      </c>
      <c r="D10" s="28">
        <f>AVERAGEIFS('01_원자료'!$E$2:$E$976,'01_원자료'!$B$2:$B$976,$A10,'01_원자료'!$C$2:$C$976,$B10)</f>
        <v>0.43063971886868496</v>
      </c>
      <c r="E10" s="28">
        <f>AVERAGEIFS('01_원자료'!$F$2:$F$976,'01_원자료'!$B$2:$B$976,$A10,'01_원자료'!$C$2:$C$976,$B10)</f>
        <v>0.17309028016390438</v>
      </c>
      <c r="F10" s="28">
        <f>AVERAGEIFS('01_원자료'!$G$2:$G$976,'01_원자료'!$B$2:$B$976,$A10,'01_원자료'!$C$2:$C$976,$B10)</f>
        <v>0.29187494621912441</v>
      </c>
      <c r="G10" s="28">
        <f>AVERAGEIFS('01_원자료'!$H$2:$H$976,'01_원자료'!$B$2:$B$976,$A10,'01_원자료'!$C$2:$C$976,$B10)</f>
        <v>0.31655182274460036</v>
      </c>
      <c r="H10" s="28">
        <f>AVERAGEIFS('01_원자료'!$I$2:$I$976,'01_원자료'!$B$2:$B$976,$A10,'01_원자료'!$C$2:$C$976,$B10)</f>
        <v>0.35115497101198362</v>
      </c>
      <c r="I10" s="28">
        <f>AVERAGEIFS('01_원자료'!$J$2:$J$976,'01_원자료'!$B$2:$B$976,$A10,'01_원자료'!$C$2:$C$976,$B10)</f>
        <v>0.71145559259809554</v>
      </c>
      <c r="J10" s="28">
        <f>AVERAGEIFS('01_원자료'!$K$2:$K$976,'01_원자료'!$B$2:$B$976,$A10,'01_원자료'!$C$2:$C$976,$B10)</f>
        <v>0.65548188671321461</v>
      </c>
      <c r="K10" s="28">
        <f>AVERAGEIFS('01_원자료'!$L$2:$L$976,'01_원자료'!$B$2:$B$976,$A10,'01_원자료'!$C$2:$C$976,$B10)</f>
        <v>0.8468749281700283</v>
      </c>
      <c r="L10" s="28">
        <f>AVERAGEIFS('01_원자료'!$M$2:$M$976,'01_원자료'!$B$2:$B$976,$A10,'01_원자료'!$C$2:$C$976,$B10)</f>
        <v>0.66092792869400063</v>
      </c>
      <c r="M10" s="28">
        <f>AVERAGEIFS('01_원자료'!$N$2:$N$976,'01_원자료'!$B$2:$B$976,$A10,'01_원자료'!$C$2:$C$976,$B10)</f>
        <v>0.63394102495410543</v>
      </c>
      <c r="N10" s="28">
        <f>AVERAGEIFS('01_원자료'!$O$2:$O$976,'01_원자료'!$B$2:$B$976,$A10,'01_원자료'!$C$2:$C$976,$B10)</f>
        <v>0.97878542510121469</v>
      </c>
      <c r="O10" s="29">
        <f>AVERAGEIFS('01_원자료'!$S$2:$S$976,'01_원자료'!$B$2:$B$976,$A10,'01_원자료'!$C$2:$C$976,$B10)</f>
        <v>0.65842300751081562</v>
      </c>
    </row>
    <row r="11" spans="1:15">
      <c r="A11" s="6" t="s">
        <v>121</v>
      </c>
      <c r="B11" s="6" t="s">
        <v>117</v>
      </c>
      <c r="C11" s="28">
        <f>AVERAGEIFS('01_원자료'!$D$2:$D$976,'01_원자료'!$B$2:$B$976,$A11,'01_원자료'!$C$2:$C$976,$B11)</f>
        <v>0.24228122397859037</v>
      </c>
      <c r="D11" s="28">
        <f>AVERAGEIFS('01_원자료'!$E$2:$E$976,'01_원자료'!$B$2:$B$976,$A11,'01_원자료'!$C$2:$C$976,$B11)</f>
        <v>0.34018692539140427</v>
      </c>
      <c r="E11" s="28">
        <f>AVERAGEIFS('01_원자료'!$F$2:$F$976,'01_원자료'!$B$2:$B$976,$A11,'01_원자료'!$C$2:$C$976,$B11)</f>
        <v>0.11911283154001114</v>
      </c>
      <c r="F11" s="28">
        <f>AVERAGEIFS('01_원자료'!$G$2:$G$976,'01_원자료'!$B$2:$B$976,$A11,'01_원자료'!$C$2:$C$976,$B11)</f>
        <v>0.24986581876125322</v>
      </c>
      <c r="G11" s="28">
        <f>AVERAGEIFS('01_원자료'!$H$2:$H$976,'01_원자료'!$B$2:$B$976,$A11,'01_원자료'!$C$2:$C$976,$B11)</f>
        <v>0.29051144404217372</v>
      </c>
      <c r="H11" s="28">
        <f>AVERAGEIFS('01_원자료'!$I$2:$I$976,'01_원자료'!$B$2:$B$976,$A11,'01_원자료'!$C$2:$C$976,$B11)</f>
        <v>0.20179635140853372</v>
      </c>
      <c r="I11" s="28">
        <f>AVERAGEIFS('01_원자료'!$J$2:$J$976,'01_원자료'!$B$2:$B$976,$A11,'01_원자료'!$C$2:$C$976,$B11)</f>
        <v>0.73814028573620238</v>
      </c>
      <c r="J11" s="28">
        <f>AVERAGEIFS('01_원자료'!$K$2:$K$976,'01_원자료'!$B$2:$B$976,$A11,'01_원자료'!$C$2:$C$976,$B11)</f>
        <v>0.75718510726411814</v>
      </c>
      <c r="K11" s="28">
        <f>AVERAGEIFS('01_원자료'!$L$2:$L$976,'01_원자료'!$B$2:$B$976,$A11,'01_원자료'!$C$2:$C$976,$B11)</f>
        <v>0.88477947748997721</v>
      </c>
      <c r="L11" s="28">
        <f>AVERAGEIFS('01_원자료'!$M$2:$M$976,'01_원자료'!$B$2:$B$976,$A11,'01_원자료'!$C$2:$C$976,$B11)</f>
        <v>0.83267007209593835</v>
      </c>
      <c r="M11" s="28">
        <f>AVERAGEIFS('01_원자료'!$N$2:$N$976,'01_원자료'!$B$2:$B$976,$A11,'01_원자료'!$C$2:$C$976,$B11)</f>
        <v>0.86137948039099776</v>
      </c>
      <c r="N11" s="28">
        <f>AVERAGEIFS('01_원자료'!$O$2:$O$976,'01_원자료'!$B$2:$B$976,$A11,'01_원자료'!$C$2:$C$976,$B11)</f>
        <v>0.98461538461538467</v>
      </c>
      <c r="O11" s="29">
        <f>AVERAGEIFS('01_원자료'!$S$2:$S$976,'01_원자료'!$B$2:$B$976,$A11,'01_원자료'!$C$2:$C$976,$B11)</f>
        <v>0.71765179307288096</v>
      </c>
    </row>
    <row r="12" spans="1:15">
      <c r="A12" s="6" t="s">
        <v>121</v>
      </c>
      <c r="B12" s="6" t="s">
        <v>118</v>
      </c>
      <c r="C12" s="28">
        <f>AVERAGEIFS('01_원자료'!$D$2:$D$976,'01_원자료'!$B$2:$B$976,$A12,'01_원자료'!$C$2:$C$976,$B12)</f>
        <v>0.26212561484207203</v>
      </c>
      <c r="D12" s="28">
        <f>AVERAGEIFS('01_원자료'!$E$2:$E$976,'01_원자료'!$B$2:$B$976,$A12,'01_원자료'!$C$2:$C$976,$B12)</f>
        <v>0.28165973974839698</v>
      </c>
      <c r="E12" s="28">
        <f>AVERAGEIFS('01_원자료'!$F$2:$F$976,'01_원자료'!$B$2:$B$976,$A12,'01_원자료'!$C$2:$C$976,$B12)</f>
        <v>0.10984384570795543</v>
      </c>
      <c r="F12" s="28">
        <f>AVERAGEIFS('01_원자료'!$G$2:$G$976,'01_원자료'!$B$2:$B$976,$A12,'01_원자료'!$C$2:$C$976,$B12)</f>
        <v>0.21716699862026406</v>
      </c>
      <c r="G12" s="28">
        <f>AVERAGEIFS('01_원자료'!$H$2:$H$976,'01_원자료'!$B$2:$B$976,$A12,'01_원자료'!$C$2:$C$976,$B12)</f>
        <v>0.19516315058262448</v>
      </c>
      <c r="H12" s="28">
        <f>AVERAGEIFS('01_원자료'!$I$2:$I$976,'01_원자료'!$B$2:$B$976,$A12,'01_원자료'!$C$2:$C$976,$B12)</f>
        <v>0.24486663974946327</v>
      </c>
      <c r="I12" s="28">
        <f>AVERAGEIFS('01_원자료'!$J$2:$J$976,'01_원자료'!$B$2:$B$976,$A12,'01_원자료'!$C$2:$C$976,$B12)</f>
        <v>0.74300797932625795</v>
      </c>
      <c r="J12" s="28">
        <f>AVERAGEIFS('01_원자료'!$K$2:$K$976,'01_원자료'!$B$2:$B$976,$A12,'01_원자료'!$C$2:$C$976,$B12)</f>
        <v>0.76560958804717905</v>
      </c>
      <c r="K12" s="28">
        <f>AVERAGEIFS('01_원자료'!$L$2:$L$976,'01_원자료'!$B$2:$B$976,$A12,'01_원자료'!$C$2:$C$976,$B12)</f>
        <v>0.88916372374110275</v>
      </c>
      <c r="L12" s="28">
        <f>AVERAGEIFS('01_원자료'!$M$2:$M$976,'01_원자료'!$B$2:$B$976,$A12,'01_원자료'!$C$2:$C$976,$B12)</f>
        <v>0.34909335908802591</v>
      </c>
      <c r="M12" s="28">
        <f>AVERAGEIFS('01_원자료'!$N$2:$N$976,'01_원자료'!$B$2:$B$976,$A12,'01_원자료'!$C$2:$C$976,$B12)</f>
        <v>0.36744183162381677</v>
      </c>
      <c r="N12" s="28">
        <f>AVERAGEIFS('01_원자료'!$O$2:$O$976,'01_원자료'!$B$2:$B$976,$A12,'01_원자료'!$C$2:$C$976,$B12)</f>
        <v>0.79235921972764078</v>
      </c>
      <c r="O12" s="29">
        <f>AVERAGEIFS('01_원자료'!$S$2:$S$976,'01_원자료'!$B$2:$B$976,$A12,'01_원자료'!$C$2:$C$976,$B12)</f>
        <v>0.57939907452681327</v>
      </c>
    </row>
    <row r="13" spans="1:15">
      <c r="A13" s="6" t="s">
        <v>121</v>
      </c>
      <c r="B13" s="6" t="s">
        <v>119</v>
      </c>
      <c r="C13" s="28">
        <f>AVERAGEIFS('01_원자료'!$D$2:$D$976,'01_원자료'!$B$2:$B$976,$A13,'01_원자료'!$C$2:$C$976,$B13)</f>
        <v>0.28532390950876002</v>
      </c>
      <c r="D13" s="28">
        <f>AVERAGEIFS('01_원자료'!$E$2:$E$976,'01_원자료'!$B$2:$B$976,$A13,'01_원자료'!$C$2:$C$976,$B13)</f>
        <v>0.4129776732014836</v>
      </c>
      <c r="E13" s="28">
        <f>AVERAGEIFS('01_원자료'!$F$2:$F$976,'01_원자료'!$B$2:$B$976,$A13,'01_원자료'!$C$2:$C$976,$B13)</f>
        <v>0.17039063970463503</v>
      </c>
      <c r="F13" s="28">
        <f>AVERAGEIFS('01_원자료'!$G$2:$G$976,'01_원자료'!$B$2:$B$976,$A13,'01_원자료'!$C$2:$C$976,$B13)</f>
        <v>0.30273073686923718</v>
      </c>
      <c r="G13" s="28">
        <f>AVERAGEIFS('01_원자료'!$H$2:$H$976,'01_원자료'!$B$2:$B$976,$A13,'01_원자료'!$C$2:$C$976,$B13)</f>
        <v>0.31417169497008923</v>
      </c>
      <c r="H13" s="28">
        <f>AVERAGEIFS('01_원자료'!$I$2:$I$976,'01_원자료'!$B$2:$B$976,$A13,'01_원자료'!$C$2:$C$976,$B13)</f>
        <v>0.33219621940799415</v>
      </c>
      <c r="I13" s="28">
        <f>AVERAGEIFS('01_원자료'!$J$2:$J$976,'01_원자료'!$B$2:$B$976,$A13,'01_원자료'!$C$2:$C$976,$B13)</f>
        <v>0.76302937048298303</v>
      </c>
      <c r="J13" s="28">
        <f>AVERAGEIFS('01_원자료'!$K$2:$K$976,'01_원자료'!$B$2:$B$976,$A13,'01_원자료'!$C$2:$C$976,$B13)</f>
        <v>0.75650358833947318</v>
      </c>
      <c r="K13" s="28">
        <f>AVERAGEIFS('01_원자료'!$L$2:$L$976,'01_원자료'!$B$2:$B$976,$A13,'01_원자료'!$C$2:$C$976,$B13)</f>
        <v>0.88336212915712242</v>
      </c>
      <c r="L13" s="28">
        <f>AVERAGEIFS('01_원자료'!$M$2:$M$976,'01_원자료'!$B$2:$B$976,$A13,'01_원자료'!$C$2:$C$976,$B13)</f>
        <v>0.66283667255096967</v>
      </c>
      <c r="M13" s="28">
        <f>AVERAGEIFS('01_원자료'!$N$2:$N$976,'01_원자료'!$B$2:$B$976,$A13,'01_원자료'!$C$2:$C$976,$B13)</f>
        <v>0.66437414500305547</v>
      </c>
      <c r="N13" s="28">
        <f>AVERAGEIFS('01_원자료'!$O$2:$O$976,'01_원자료'!$B$2:$B$976,$A13,'01_원자료'!$C$2:$C$976,$B13)</f>
        <v>0.9631578947368421</v>
      </c>
      <c r="O13" s="29">
        <f>AVERAGEIFS('01_원자료'!$S$2:$S$976,'01_원자료'!$B$2:$B$976,$A13,'01_원자료'!$C$2:$C$976,$B13)</f>
        <v>0.68823697541961104</v>
      </c>
    </row>
    <row r="14" spans="1:15">
      <c r="A14" s="6" t="s">
        <v>122</v>
      </c>
      <c r="B14" s="6" t="s">
        <v>117</v>
      </c>
      <c r="C14" s="28">
        <f>AVERAGEIFS('01_원자료'!$D$2:$D$976,'01_원자료'!$B$2:$B$976,$A14,'01_원자료'!$C$2:$C$976,$B14)</f>
        <v>0.25414529663102076</v>
      </c>
      <c r="D14" s="28">
        <f>AVERAGEIFS('01_원자료'!$E$2:$E$976,'01_원자료'!$B$2:$B$976,$A14,'01_원자료'!$C$2:$C$976,$B14)</f>
        <v>0.32772653687914999</v>
      </c>
      <c r="E14" s="28">
        <f>AVERAGEIFS('01_원자료'!$F$2:$F$976,'01_원자료'!$B$2:$B$976,$A14,'01_원자료'!$C$2:$C$976,$B14)</f>
        <v>0.11245382968680956</v>
      </c>
      <c r="F14" s="28">
        <f>AVERAGEIFS('01_원자료'!$G$2:$G$976,'01_원자료'!$B$2:$B$976,$A14,'01_원자료'!$C$2:$C$976,$B14)</f>
        <v>0.24419361729100464</v>
      </c>
      <c r="G14" s="28">
        <f>AVERAGEIFS('01_원자료'!$H$2:$H$976,'01_원자료'!$B$2:$B$976,$A14,'01_원자료'!$C$2:$C$976,$B14)</f>
        <v>0.30207099252129282</v>
      </c>
      <c r="H14" s="28">
        <f>AVERAGEIFS('01_원자료'!$I$2:$I$976,'01_원자료'!$B$2:$B$976,$A14,'01_원자료'!$C$2:$C$976,$B14)</f>
        <v>0.21210959235156723</v>
      </c>
      <c r="I14" s="28">
        <f>AVERAGEIFS('01_원자료'!$J$2:$J$976,'01_원자료'!$B$2:$B$976,$A14,'01_원자료'!$C$2:$C$976,$B14)</f>
        <v>0.69719406869628497</v>
      </c>
      <c r="J14" s="28">
        <f>AVERAGEIFS('01_원자료'!$K$2:$K$976,'01_원자료'!$B$2:$B$976,$A14,'01_원자료'!$C$2:$C$976,$B14)</f>
        <v>0.65066673527151786</v>
      </c>
      <c r="K14" s="28">
        <f>AVERAGEIFS('01_원자료'!$L$2:$L$976,'01_원자료'!$B$2:$B$976,$A14,'01_원자료'!$C$2:$C$976,$B14)</f>
        <v>0.8224979944396742</v>
      </c>
      <c r="L14" s="28">
        <f>AVERAGEIFS('01_원자료'!$M$2:$M$976,'01_원자료'!$B$2:$B$976,$A14,'01_원자료'!$C$2:$C$976,$B14)</f>
        <v>0.59624979561464542</v>
      </c>
      <c r="M14" s="28">
        <f>AVERAGEIFS('01_원자료'!$N$2:$N$976,'01_원자료'!$B$2:$B$976,$A14,'01_원자료'!$C$2:$C$976,$B14)</f>
        <v>0.57248837587319523</v>
      </c>
      <c r="N14" s="28">
        <f>AVERAGEIFS('01_원자료'!$O$2:$O$976,'01_원자료'!$B$2:$B$976,$A14,'01_원자료'!$C$2:$C$976,$B14)</f>
        <v>0.9647287449392713</v>
      </c>
      <c r="O14" s="29">
        <f>AVERAGEIFS('01_원자료'!$S$2:$S$976,'01_원자료'!$B$2:$B$976,$A14,'01_원자료'!$C$2:$C$976,$B14)</f>
        <v>0.62288162218964616</v>
      </c>
    </row>
    <row r="15" spans="1:15">
      <c r="A15" s="6" t="s">
        <v>122</v>
      </c>
      <c r="B15" s="6" t="s">
        <v>118</v>
      </c>
      <c r="C15" s="28">
        <f>AVERAGEIFS('01_원자료'!$D$2:$D$976,'01_원자료'!$B$2:$B$976,$A15,'01_원자료'!$C$2:$C$976,$B15)</f>
        <v>0.32807059585007581</v>
      </c>
      <c r="D15" s="28">
        <f>AVERAGEIFS('01_원자료'!$E$2:$E$976,'01_원자료'!$B$2:$B$976,$A15,'01_원자료'!$C$2:$C$976,$B15)</f>
        <v>0.34770907942698265</v>
      </c>
      <c r="E15" s="28">
        <f>AVERAGEIFS('01_원자료'!$F$2:$F$976,'01_원자료'!$B$2:$B$976,$A15,'01_원자료'!$C$2:$C$976,$B15)</f>
        <v>0.14394530695749577</v>
      </c>
      <c r="F15" s="28">
        <f>AVERAGEIFS('01_원자료'!$G$2:$G$976,'01_원자료'!$B$2:$B$976,$A15,'01_원자료'!$C$2:$C$976,$B15)</f>
        <v>0.25672676212803808</v>
      </c>
      <c r="G15" s="28">
        <f>AVERAGEIFS('01_원자료'!$H$2:$H$976,'01_원자료'!$B$2:$B$976,$A15,'01_원자료'!$C$2:$C$976,$B15)</f>
        <v>0.25314400416394278</v>
      </c>
      <c r="H15" s="28">
        <f>AVERAGEIFS('01_원자료'!$I$2:$I$976,'01_원자료'!$B$2:$B$976,$A15,'01_원자료'!$C$2:$C$976,$B15)</f>
        <v>0.311094421249342</v>
      </c>
      <c r="I15" s="28">
        <f>AVERAGEIFS('01_원자료'!$J$2:$J$976,'01_원자료'!$B$2:$B$976,$A15,'01_원자료'!$C$2:$C$976,$B15)</f>
        <v>0.71415158393819689</v>
      </c>
      <c r="J15" s="28">
        <f>AVERAGEIFS('01_원자료'!$K$2:$K$976,'01_원자료'!$B$2:$B$976,$A15,'01_원자료'!$C$2:$C$976,$B15)</f>
        <v>0.69652595021061336</v>
      </c>
      <c r="K15" s="28">
        <f>AVERAGEIFS('01_원자료'!$L$2:$L$976,'01_원자료'!$B$2:$B$976,$A15,'01_원자료'!$C$2:$C$976,$B15)</f>
        <v>0.83906247523187338</v>
      </c>
      <c r="L15" s="28">
        <f>AVERAGEIFS('01_원자료'!$M$2:$M$976,'01_원자료'!$B$2:$B$976,$A15,'01_원자료'!$C$2:$C$976,$B15)</f>
        <v>0.46353073707567743</v>
      </c>
      <c r="M15" s="28">
        <f>AVERAGEIFS('01_원자료'!$N$2:$N$976,'01_원자료'!$B$2:$B$976,$A15,'01_원자료'!$C$2:$C$976,$B15)</f>
        <v>0.35837950062898644</v>
      </c>
      <c r="N15" s="28">
        <f>AVERAGEIFS('01_원자료'!$O$2:$O$976,'01_원자료'!$B$2:$B$976,$A15,'01_원자료'!$C$2:$C$976,$B15)</f>
        <v>0.79871206930721106</v>
      </c>
      <c r="O15" s="29">
        <f>AVERAGEIFS('01_원자료'!$S$2:$S$976,'01_원자료'!$B$2:$B$976,$A15,'01_원자료'!$C$2:$C$976,$B15)</f>
        <v>0.58122327621768377</v>
      </c>
    </row>
    <row r="16" spans="1:15">
      <c r="A16" s="6" t="s">
        <v>122</v>
      </c>
      <c r="B16" s="6" t="s">
        <v>119</v>
      </c>
      <c r="C16" s="28">
        <f>AVERAGEIFS('01_원자료'!$D$2:$D$976,'01_원자료'!$B$2:$B$976,$A16,'01_원자료'!$C$2:$C$976,$B16)</f>
        <v>0.29972644433230322</v>
      </c>
      <c r="D16" s="28">
        <f>AVERAGEIFS('01_원자료'!$E$2:$E$976,'01_원자료'!$B$2:$B$976,$A16,'01_원자료'!$C$2:$C$976,$B16)</f>
        <v>0.42649557347812483</v>
      </c>
      <c r="E16" s="28">
        <f>AVERAGEIFS('01_원자료'!$F$2:$F$976,'01_원자료'!$B$2:$B$976,$A16,'01_원자료'!$C$2:$C$976,$B16)</f>
        <v>0.17370728009246286</v>
      </c>
      <c r="F16" s="28">
        <f>AVERAGEIFS('01_원자료'!$G$2:$G$976,'01_원자료'!$B$2:$B$976,$A16,'01_원자료'!$C$2:$C$976,$B16)</f>
        <v>0.31192132876367012</v>
      </c>
      <c r="G16" s="28">
        <f>AVERAGEIFS('01_원자료'!$H$2:$H$976,'01_원자료'!$B$2:$B$976,$A16,'01_원자료'!$C$2:$C$976,$B16)</f>
        <v>0.32176714750439472</v>
      </c>
      <c r="H16" s="28">
        <f>AVERAGEIFS('01_원자료'!$I$2:$I$976,'01_원자료'!$B$2:$B$976,$A16,'01_원자료'!$C$2:$C$976,$B16)</f>
        <v>0.31633575378242201</v>
      </c>
      <c r="I16" s="28">
        <f>AVERAGEIFS('01_원자료'!$J$2:$J$976,'01_원자료'!$B$2:$B$976,$A16,'01_원자료'!$C$2:$C$976,$B16)</f>
        <v>0.71542715123017164</v>
      </c>
      <c r="J16" s="28">
        <f>AVERAGEIFS('01_원자료'!$K$2:$K$976,'01_원자료'!$B$2:$B$976,$A16,'01_원자료'!$C$2:$C$976,$B16)</f>
        <v>0.65588020728684937</v>
      </c>
      <c r="K16" s="28">
        <f>AVERAGEIFS('01_원자료'!$L$2:$L$976,'01_원자료'!$B$2:$B$976,$A16,'01_원자료'!$C$2:$C$976,$B16)</f>
        <v>0.83599999209917975</v>
      </c>
      <c r="L16" s="28">
        <f>AVERAGEIFS('01_원자료'!$M$2:$M$976,'01_원자료'!$B$2:$B$976,$A16,'01_원자료'!$C$2:$C$976,$B16)</f>
        <v>0.57955618478846838</v>
      </c>
      <c r="M16" s="28">
        <f>AVERAGEIFS('01_원자료'!$N$2:$N$976,'01_원자료'!$B$2:$B$976,$A16,'01_원자료'!$C$2:$C$976,$B16)</f>
        <v>0.51774469176319859</v>
      </c>
      <c r="N16" s="28">
        <f>AVERAGEIFS('01_원자료'!$O$2:$O$976,'01_원자료'!$B$2:$B$976,$A16,'01_원자료'!$C$2:$C$976,$B16)</f>
        <v>0.94807894736842102</v>
      </c>
      <c r="O16" s="29">
        <f>AVERAGEIFS('01_원자료'!$S$2:$S$976,'01_원자료'!$B$2:$B$976,$A16,'01_원자료'!$C$2:$C$976,$B16)</f>
        <v>0.631388866314886</v>
      </c>
    </row>
    <row r="17" spans="1:15">
      <c r="A17" s="6" t="s">
        <v>123</v>
      </c>
      <c r="B17" s="6" t="s">
        <v>117</v>
      </c>
      <c r="C17" s="28">
        <f>AVERAGEIFS('01_원자료'!$D$2:$D$976,'01_원자료'!$B$2:$B$976,$A17,'01_원자료'!$C$2:$C$976,$B17)</f>
        <v>0.25304626146898351</v>
      </c>
      <c r="D17" s="28">
        <f>AVERAGEIFS('01_원자료'!$E$2:$E$976,'01_원자료'!$B$2:$B$976,$A17,'01_원자료'!$C$2:$C$976,$B17)</f>
        <v>0.34990546576008408</v>
      </c>
      <c r="E17" s="28">
        <f>AVERAGEIFS('01_원자료'!$F$2:$F$976,'01_원자료'!$B$2:$B$976,$A17,'01_원자료'!$C$2:$C$976,$B17)</f>
        <v>0.12413046532941352</v>
      </c>
      <c r="F17" s="28">
        <f>AVERAGEIFS('01_원자료'!$G$2:$G$976,'01_원자료'!$B$2:$B$976,$A17,'01_원자료'!$C$2:$C$976,$B17)</f>
        <v>0.25433503561234116</v>
      </c>
      <c r="G17" s="28">
        <f>AVERAGEIFS('01_원자료'!$H$2:$H$976,'01_원자료'!$B$2:$B$976,$A17,'01_원자료'!$C$2:$C$976,$B17)</f>
        <v>0.36936630180585089</v>
      </c>
      <c r="H17" s="28">
        <f>AVERAGEIFS('01_원자료'!$I$2:$I$976,'01_원자료'!$B$2:$B$976,$A17,'01_원자료'!$C$2:$C$976,$B17)</f>
        <v>0.22796879272866971</v>
      </c>
      <c r="I17" s="28">
        <f>AVERAGEIFS('01_원자료'!$J$2:$J$976,'01_원자료'!$B$2:$B$976,$A17,'01_원자료'!$C$2:$C$976,$B17)</f>
        <v>0.71684583176775196</v>
      </c>
      <c r="J17" s="28">
        <f>AVERAGEIFS('01_원자료'!$K$2:$K$976,'01_원자료'!$B$2:$B$976,$A17,'01_원자료'!$C$2:$C$976,$B17)</f>
        <v>0.68139965175561057</v>
      </c>
      <c r="K17" s="28">
        <f>AVERAGEIFS('01_원자료'!$L$2:$L$976,'01_원자료'!$B$2:$B$976,$A17,'01_원자료'!$C$2:$C$976,$B17)</f>
        <v>0.86076852349275512</v>
      </c>
      <c r="L17" s="28">
        <f>AVERAGEIFS('01_원자료'!$M$2:$M$976,'01_원자료'!$B$2:$B$976,$A17,'01_원자료'!$C$2:$C$976,$B17)</f>
        <v>0.8377024229226816</v>
      </c>
      <c r="M17" s="28">
        <f>AVERAGEIFS('01_원자료'!$N$2:$N$976,'01_원자료'!$B$2:$B$976,$A17,'01_원자료'!$C$2:$C$976,$B17)</f>
        <v>0.87522563423715161</v>
      </c>
      <c r="N17" s="28">
        <f>AVERAGEIFS('01_원자료'!$O$2:$O$976,'01_원자료'!$B$2:$B$976,$A17,'01_원자료'!$C$2:$C$976,$B17)</f>
        <v>1</v>
      </c>
      <c r="O17" s="29">
        <f>AVERAGEIFS('01_원자료'!$S$2:$S$976,'01_원자료'!$B$2:$B$976,$A17,'01_원자료'!$C$2:$C$976,$B17)</f>
        <v>0.70798545181124317</v>
      </c>
    </row>
    <row r="18" spans="1:15">
      <c r="A18" s="6" t="s">
        <v>123</v>
      </c>
      <c r="B18" s="6" t="s">
        <v>118</v>
      </c>
      <c r="C18" s="28">
        <f>AVERAGEIFS('01_원자료'!$D$2:$D$976,'01_원자료'!$B$2:$B$976,$A18,'01_원자료'!$C$2:$C$976,$B18)</f>
        <v>0.26152196202105737</v>
      </c>
      <c r="D18" s="28">
        <f>AVERAGEIFS('01_원자료'!$E$2:$E$976,'01_원자료'!$B$2:$B$976,$A18,'01_원자료'!$C$2:$C$976,$B18)</f>
        <v>0.30429118720019133</v>
      </c>
      <c r="E18" s="28">
        <f>AVERAGEIFS('01_원자료'!$F$2:$F$976,'01_원자료'!$B$2:$B$976,$A18,'01_원자료'!$C$2:$C$976,$B18)</f>
        <v>0.12583181644306576</v>
      </c>
      <c r="F18" s="28">
        <f>AVERAGEIFS('01_원자료'!$G$2:$G$976,'01_원자료'!$B$2:$B$976,$A18,'01_원자료'!$C$2:$C$976,$B18)</f>
        <v>0.23307836565382226</v>
      </c>
      <c r="G18" s="28">
        <f>AVERAGEIFS('01_원자료'!$H$2:$H$976,'01_원자료'!$B$2:$B$976,$A18,'01_원자료'!$C$2:$C$976,$B18)</f>
        <v>0.23894440721208385</v>
      </c>
      <c r="H18" s="28">
        <f>AVERAGEIFS('01_원자료'!$I$2:$I$976,'01_원자료'!$B$2:$B$976,$A18,'01_원자료'!$C$2:$C$976,$B18)</f>
        <v>0.2593781191360387</v>
      </c>
      <c r="I18" s="28">
        <f>AVERAGEIFS('01_원자료'!$J$2:$J$976,'01_원자료'!$B$2:$B$976,$A18,'01_원자료'!$C$2:$C$976,$B18)</f>
        <v>0.70805365317898927</v>
      </c>
      <c r="J18" s="28">
        <f>AVERAGEIFS('01_원자료'!$K$2:$K$976,'01_원자료'!$B$2:$B$976,$A18,'01_원자료'!$C$2:$C$976,$B18)</f>
        <v>0.68097698986440158</v>
      </c>
      <c r="K18" s="28">
        <f>AVERAGEIFS('01_원자료'!$L$2:$L$976,'01_원자료'!$B$2:$B$976,$A18,'01_원자료'!$C$2:$C$976,$B18)</f>
        <v>0.84363200751710565</v>
      </c>
      <c r="L18" s="28">
        <f>AVERAGEIFS('01_원자료'!$M$2:$M$976,'01_원자료'!$B$2:$B$976,$A18,'01_원자료'!$C$2:$C$976,$B18)</f>
        <v>0.35015656941955287</v>
      </c>
      <c r="M18" s="28">
        <f>AVERAGEIFS('01_원자료'!$N$2:$N$976,'01_원자료'!$B$2:$B$976,$A18,'01_원자료'!$C$2:$C$976,$B18)</f>
        <v>0.37113574558840062</v>
      </c>
      <c r="N18" s="28">
        <f>AVERAGEIFS('01_원자료'!$O$2:$O$976,'01_원자료'!$B$2:$B$976,$A18,'01_원자료'!$C$2:$C$976,$B18)</f>
        <v>0.80045638571954369</v>
      </c>
      <c r="O18" s="29">
        <f>AVERAGEIFS('01_원자료'!$S$2:$S$976,'01_원자료'!$B$2:$B$976,$A18,'01_원자료'!$C$2:$C$976,$B18)</f>
        <v>0.55987160792449109</v>
      </c>
    </row>
    <row r="19" spans="1:15">
      <c r="A19" s="6" t="s">
        <v>123</v>
      </c>
      <c r="B19" s="6" t="s">
        <v>119</v>
      </c>
      <c r="C19" s="28">
        <f>AVERAGEIFS('01_원자료'!$D$2:$D$976,'01_원자료'!$B$2:$B$976,$A19,'01_원자료'!$C$2:$C$976,$B19)</f>
        <v>0.29747934506564505</v>
      </c>
      <c r="D19" s="28">
        <f>AVERAGEIFS('01_원자료'!$E$2:$E$976,'01_원자료'!$B$2:$B$976,$A19,'01_원자료'!$C$2:$C$976,$B19)</f>
        <v>0.46002226455438344</v>
      </c>
      <c r="E19" s="28">
        <f>AVERAGEIFS('01_원자료'!$F$2:$F$976,'01_원자료'!$B$2:$B$976,$A19,'01_원자료'!$C$2:$C$976,$B19)</f>
        <v>0.19968263218105192</v>
      </c>
      <c r="F19" s="28">
        <f>AVERAGEIFS('01_원자료'!$G$2:$G$976,'01_원자료'!$B$2:$B$976,$A19,'01_원자료'!$C$2:$C$976,$B19)</f>
        <v>0.32486194132292279</v>
      </c>
      <c r="G19" s="28">
        <f>AVERAGEIFS('01_원자료'!$H$2:$H$976,'01_원자료'!$B$2:$B$976,$A19,'01_원자료'!$C$2:$C$976,$B19)</f>
        <v>0.38375970765305084</v>
      </c>
      <c r="H19" s="28">
        <f>AVERAGEIFS('01_원자료'!$I$2:$I$976,'01_원자료'!$B$2:$B$976,$A19,'01_원자료'!$C$2:$C$976,$B19)</f>
        <v>0.39509650716610384</v>
      </c>
      <c r="I19" s="28">
        <f>AVERAGEIFS('01_원자료'!$J$2:$J$976,'01_원자료'!$B$2:$B$976,$A19,'01_원자료'!$C$2:$C$976,$B19)</f>
        <v>0.72618137162750829</v>
      </c>
      <c r="J19" s="28">
        <f>AVERAGEIFS('01_원자료'!$K$2:$K$976,'01_원자료'!$B$2:$B$976,$A19,'01_원자료'!$C$2:$C$976,$B19)</f>
        <v>0.69130815620953268</v>
      </c>
      <c r="K19" s="28">
        <f>AVERAGEIFS('01_원자료'!$L$2:$L$976,'01_원자료'!$B$2:$B$976,$A19,'01_원자료'!$C$2:$C$976,$B19)</f>
        <v>0.87085485858610023</v>
      </c>
      <c r="L19" s="28">
        <f>AVERAGEIFS('01_원자료'!$M$2:$M$976,'01_원자료'!$B$2:$B$976,$A19,'01_원자료'!$C$2:$C$976,$B19)</f>
        <v>0.66609335043385243</v>
      </c>
      <c r="M19" s="28">
        <f>AVERAGEIFS('01_원자료'!$N$2:$N$976,'01_원자료'!$B$2:$B$976,$A19,'01_원자료'!$C$2:$C$976,$B19)</f>
        <v>0.67368124073119373</v>
      </c>
      <c r="N19" s="28">
        <f>AVERAGEIFS('01_원자료'!$O$2:$O$976,'01_원자료'!$B$2:$B$976,$A19,'01_원자료'!$C$2:$C$976,$B19)</f>
        <v>0.97854251012145754</v>
      </c>
      <c r="O19" s="29">
        <f>AVERAGEIFS('01_원자료'!$S$2:$S$976,'01_원자료'!$B$2:$B$976,$A19,'01_원자료'!$C$2:$C$976,$B19)</f>
        <v>0.68241873304500178</v>
      </c>
    </row>
    <row r="20" spans="1:15">
      <c r="A20" s="4" t="s">
        <v>465</v>
      </c>
      <c r="C20" s="32">
        <f>AVERAGE('01_원자료'!$D$2:$D$976)</f>
        <v>0.27166325478017878</v>
      </c>
      <c r="D20" s="32">
        <f>AVERAGE('01_원자료'!$E$2:$E$976)</f>
        <v>0.35611735832412256</v>
      </c>
      <c r="E20" s="32">
        <f>AVERAGE('01_원자료'!$F$2:$F$976)</f>
        <v>0.14019763143098252</v>
      </c>
      <c r="F20" s="32">
        <f>AVERAGE('01_원자료'!$G$2:$G$976)</f>
        <v>0.26364031914453284</v>
      </c>
      <c r="G20" s="32">
        <f>AVERAGE('01_원자료'!$H$2:$H$976)</f>
        <v>0.2815269605996098</v>
      </c>
      <c r="H20" s="32">
        <f>AVERAGE('01_원자료'!$I$2:$I$976)</f>
        <v>0.28083977431874368</v>
      </c>
      <c r="I20" s="32">
        <f>AVERAGE('01_원자료'!$J$2:$J$976)</f>
        <v>0.71340214960526693</v>
      </c>
      <c r="J20" s="32">
        <f>AVERAGE('01_원자료'!$K$2:$K$976)</f>
        <v>0.68341653027932758</v>
      </c>
      <c r="K20" s="32">
        <f>AVERAGE('01_원자료'!$L$2:$L$976)</f>
        <v>0.84559801584511096</v>
      </c>
      <c r="L20" s="32">
        <f>AVERAGE('01_원자료'!$M$2:$M$976)</f>
        <v>0.56769211412365439</v>
      </c>
      <c r="M20" s="32">
        <f>AVERAGE('01_원자료'!$N$2:$N$976)</f>
        <v>0.47825086195405747</v>
      </c>
      <c r="N20" s="32">
        <f>AVERAGE('01_원자료'!$O$2:$O$976)</f>
        <v>0.91394065489166465</v>
      </c>
      <c r="O20" s="32">
        <f>AVERAGE('01_원자료'!$S$2:$S$976)</f>
        <v>0.61814843792582197</v>
      </c>
    </row>
    <row r="22" spans="1:15">
      <c r="A22" s="2" t="s">
        <v>466</v>
      </c>
    </row>
    <row r="23" spans="1:15">
      <c r="A23" s="2" t="s">
        <v>467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9"/>
  <sheetViews>
    <sheetView topLeftCell="A15" zoomScaleNormal="100" workbookViewId="0"/>
  </sheetViews>
  <sheetFormatPr defaultColWidth="8.6640625" defaultRowHeight="14.4"/>
  <cols>
    <col min="1" max="1" width="20" customWidth="1"/>
    <col min="2" max="3" width="18" customWidth="1"/>
    <col min="4" max="4" width="26" customWidth="1"/>
    <col min="5" max="5" width="34" customWidth="1"/>
    <col min="6" max="7" width="12" customWidth="1"/>
    <col min="8" max="8" width="16" customWidth="1"/>
  </cols>
  <sheetData>
    <row r="1" spans="1:6" ht="17.399999999999999">
      <c r="A1" s="21" t="s">
        <v>468</v>
      </c>
    </row>
    <row r="2" spans="1:6">
      <c r="A2" s="2" t="s">
        <v>469</v>
      </c>
    </row>
    <row r="4" spans="1:6">
      <c r="A4" s="26" t="s">
        <v>470</v>
      </c>
    </row>
    <row r="5" spans="1:6">
      <c r="A5" s="11" t="s">
        <v>471</v>
      </c>
    </row>
    <row r="6" spans="1:6">
      <c r="A6" s="11" t="s">
        <v>472</v>
      </c>
    </row>
    <row r="7" spans="1:6">
      <c r="A7" s="10" t="s">
        <v>473</v>
      </c>
      <c r="B7" s="14" t="s">
        <v>88</v>
      </c>
      <c r="C7" s="14" t="s">
        <v>89</v>
      </c>
      <c r="D7" s="10" t="s">
        <v>474</v>
      </c>
      <c r="E7" s="10" t="s">
        <v>475</v>
      </c>
      <c r="F7" s="14" t="s">
        <v>476</v>
      </c>
    </row>
    <row r="8" spans="1:6">
      <c r="A8" s="6" t="s">
        <v>477</v>
      </c>
      <c r="B8" s="5" t="s">
        <v>121</v>
      </c>
      <c r="C8" s="5" t="s">
        <v>117</v>
      </c>
      <c r="D8" s="28">
        <f>AVERAGEIFS('01_원자료'!$S$2:$S$976,'01_원자료'!$B$2:$B$976,$B8,'01_원자료'!$C$2:$C$976,$C8)</f>
        <v>0.71765179307288096</v>
      </c>
      <c r="E8" s="28">
        <f>AVERAGEIFS('01_원자료'!$S$2:$S$976,'01_원자료'!$C$2:$C$976,$C8,'01_원자료'!$B$2:$B$976,"&lt;&gt;"&amp;$B8)</f>
        <v>0.62868023570956733</v>
      </c>
      <c r="F8" s="47">
        <f>D8-E8</f>
        <v>8.8971557363313636E-2</v>
      </c>
    </row>
    <row r="9" spans="1:6">
      <c r="A9" s="6" t="s">
        <v>478</v>
      </c>
      <c r="B9" s="5" t="s">
        <v>123</v>
      </c>
      <c r="C9" s="5" t="s">
        <v>119</v>
      </c>
      <c r="D9" s="28">
        <f>AVERAGEIFS('01_원자료'!$S$2:$S$976,'01_원자료'!$B$2:$B$976,$B9,'01_원자료'!$C$2:$C$976,$C9)</f>
        <v>0.68241873304500178</v>
      </c>
      <c r="E9" s="28">
        <f>AVERAGEIFS('01_원자료'!$S$2:$S$976,'01_원자료'!$C$2:$C$976,$C9,'01_원자료'!$B$2:$B$976,"&lt;&gt;"&amp;$B9)</f>
        <v>0.63362533323037362</v>
      </c>
      <c r="F9" s="47">
        <f>D9-E9</f>
        <v>4.8793399814628158E-2</v>
      </c>
    </row>
    <row r="10" spans="1:6">
      <c r="A10" s="6" t="s">
        <v>271</v>
      </c>
      <c r="B10" s="5" t="s">
        <v>122</v>
      </c>
      <c r="C10" s="5" t="s">
        <v>118</v>
      </c>
      <c r="D10" s="28">
        <f>AVERAGEIFS('01_원자료'!$S$2:$S$976,'01_원자료'!$B$2:$B$976,$B10,'01_원자료'!$C$2:$C$976,$C10)</f>
        <v>0.58122327621768377</v>
      </c>
      <c r="E10" s="28">
        <f>AVERAGEIFS('01_원자료'!$S$2:$S$976,'01_원자료'!$C$2:$C$976,$C10,'01_원자료'!$B$2:$B$976,"&lt;&gt;"&amp;$B10)</f>
        <v>0.56042762269800017</v>
      </c>
      <c r="F10" s="47">
        <f>D10-E10</f>
        <v>2.0795653519683599E-2</v>
      </c>
    </row>
    <row r="12" spans="1:6">
      <c r="A12" s="26" t="s">
        <v>479</v>
      </c>
    </row>
    <row r="13" spans="1:6">
      <c r="A13" s="11" t="s">
        <v>480</v>
      </c>
    </row>
    <row r="14" spans="1:6">
      <c r="A14" s="2" t="s">
        <v>481</v>
      </c>
    </row>
    <row r="15" spans="1:6" ht="26.4">
      <c r="A15" s="10" t="s">
        <v>473</v>
      </c>
      <c r="B15" s="14" t="s">
        <v>476</v>
      </c>
      <c r="C15" s="14" t="s">
        <v>482</v>
      </c>
      <c r="D15" s="14" t="s">
        <v>483</v>
      </c>
      <c r="E15" s="10" t="s">
        <v>484</v>
      </c>
    </row>
    <row r="16" spans="1:6">
      <c r="A16" s="6" t="s">
        <v>477</v>
      </c>
      <c r="B16" s="48">
        <f>F8</f>
        <v>8.8971557363313636E-2</v>
      </c>
      <c r="C16" s="47">
        <f>'04_교차표'!B18</f>
        <v>2.7563069476704727E-2</v>
      </c>
      <c r="D16" s="49">
        <f>IF(B16=0,"",C16/B16)</f>
        <v>0.30979641464689062</v>
      </c>
      <c r="E16" s="2" t="s">
        <v>485</v>
      </c>
    </row>
    <row r="17" spans="1:8">
      <c r="A17" s="6" t="s">
        <v>478</v>
      </c>
      <c r="B17" s="48">
        <f>F9</f>
        <v>4.8793399814628158E-2</v>
      </c>
      <c r="C17" s="47">
        <f>'04_교차표'!D20</f>
        <v>7.0912268506123644E-3</v>
      </c>
      <c r="D17" s="49">
        <f>IF(B17=0,"",C17/B17)</f>
        <v>0.14533168169368738</v>
      </c>
      <c r="E17" s="2" t="s">
        <v>485</v>
      </c>
    </row>
    <row r="18" spans="1:8">
      <c r="A18" s="6" t="s">
        <v>271</v>
      </c>
      <c r="B18" s="48">
        <f>F10</f>
        <v>2.0795653519683599E-2</v>
      </c>
      <c r="C18" s="47">
        <f>'04_교차표'!C19</f>
        <v>2.295370583416334E-2</v>
      </c>
      <c r="D18" s="49">
        <f>IF(B18=0,"",C18/B18)</f>
        <v>1.1037742003364834</v>
      </c>
      <c r="E18" s="2" t="s">
        <v>485</v>
      </c>
    </row>
    <row r="20" spans="1:8">
      <c r="A20" s="26" t="s">
        <v>486</v>
      </c>
    </row>
    <row r="21" spans="1:8">
      <c r="A21" s="10" t="s">
        <v>487</v>
      </c>
      <c r="B21" s="14" t="s">
        <v>329</v>
      </c>
      <c r="C21" s="10" t="s">
        <v>488</v>
      </c>
      <c r="D21" s="10" t="s">
        <v>489</v>
      </c>
      <c r="E21" s="14" t="s">
        <v>447</v>
      </c>
      <c r="F21" s="14" t="s">
        <v>448</v>
      </c>
      <c r="G21" s="14" t="s">
        <v>295</v>
      </c>
      <c r="H21" s="14" t="s">
        <v>490</v>
      </c>
    </row>
    <row r="22" spans="1:8">
      <c r="A22" s="4" t="s">
        <v>106</v>
      </c>
      <c r="B22" s="33">
        <f>SUMPRODUCT('01_원자료'!$T$2:$T$976)</f>
        <v>195</v>
      </c>
      <c r="C22" s="32">
        <f>SUMPRODUCT('01_원자료'!$T$2:$T$976*'01_원자료'!$S$2:$S$976)/B22</f>
        <v>0.66043126744518876</v>
      </c>
      <c r="D22" s="18">
        <f>SUMPRODUCT('01_원자료'!$T$2:$T$976*'01_원자료'!$V$2:$V$976)</f>
        <v>126476</v>
      </c>
      <c r="E22" s="13">
        <f>D22-B22*(B22+1)/2</f>
        <v>107366</v>
      </c>
      <c r="F22" s="34">
        <f>(E22-B22*B23/2)/SQRT(B22*B23*(B22+B23+1)/12)</f>
        <v>8.9036358927743855</v>
      </c>
      <c r="G22" s="35">
        <f>2*(1-NORMSDIST(ABS(F22)))</f>
        <v>0</v>
      </c>
      <c r="H22" s="50">
        <f>2*E22/(B22*B23)-1</f>
        <v>0.41178172255095324</v>
      </c>
    </row>
    <row r="23" spans="1:8">
      <c r="A23" s="4" t="s">
        <v>491</v>
      </c>
      <c r="B23" s="33">
        <f>COUNT('01_원자료'!$S$2:$S$976)-B22</f>
        <v>780</v>
      </c>
      <c r="C23" s="32">
        <f>(SUMPRODUCT('01_원자료'!$S$2:$S$976)-SUMPRODUCT('01_원자료'!$T$2:$T$976*'01_원자료'!$S$2:$S$976))/B23</f>
        <v>0.60757773054598019</v>
      </c>
    </row>
    <row r="24" spans="1:8">
      <c r="A24" s="4" t="s">
        <v>492</v>
      </c>
      <c r="C24" s="51">
        <f>C22-C23</f>
        <v>5.2853536899208575E-2</v>
      </c>
    </row>
    <row r="26" spans="1:8">
      <c r="A26" s="2" t="s">
        <v>493</v>
      </c>
    </row>
    <row r="27" spans="1:8">
      <c r="A27" s="2" t="s">
        <v>494</v>
      </c>
    </row>
    <row r="28" spans="1:8">
      <c r="A28" s="2" t="s">
        <v>495</v>
      </c>
    </row>
    <row r="29" spans="1:8">
      <c r="A29" s="11" t="s">
        <v>496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7"/>
  <sheetViews>
    <sheetView zoomScaleNormal="100" workbookViewId="0"/>
  </sheetViews>
  <sheetFormatPr defaultColWidth="8.6640625" defaultRowHeight="14.4"/>
  <cols>
    <col min="1" max="1" width="26" customWidth="1"/>
    <col min="2" max="2" width="12" customWidth="1"/>
    <col min="3" max="5" width="14" customWidth="1"/>
    <col min="6" max="8" width="12" customWidth="1"/>
  </cols>
  <sheetData>
    <row r="1" spans="1:8" ht="17.399999999999999">
      <c r="A1" s="21" t="s">
        <v>497</v>
      </c>
    </row>
    <row r="2" spans="1:8">
      <c r="A2" s="2" t="s">
        <v>498</v>
      </c>
    </row>
    <row r="4" spans="1:8">
      <c r="A4" s="14" t="s">
        <v>87</v>
      </c>
      <c r="B4" s="10" t="s">
        <v>107</v>
      </c>
      <c r="C4" s="14" t="s">
        <v>499</v>
      </c>
      <c r="D4" s="14" t="s">
        <v>500</v>
      </c>
      <c r="E4" s="14" t="s">
        <v>501</v>
      </c>
      <c r="F4" s="10" t="s">
        <v>502</v>
      </c>
      <c r="G4" s="10" t="s">
        <v>503</v>
      </c>
      <c r="H4" s="10" t="s">
        <v>504</v>
      </c>
    </row>
    <row r="5" spans="1:8">
      <c r="A5" s="15" t="s">
        <v>115</v>
      </c>
      <c r="B5" s="5" t="str">
        <f t="shared" ref="B5:B36" si="0">IF(LEFT(A5,3)="PAT","특허","보고서")</f>
        <v>특허</v>
      </c>
      <c r="C5" s="48">
        <f>AVERAGEIFS('01_원자료'!$S$2:$S$976,'01_원자료'!$A$2:$A$976,$A5,'01_원자료'!$B$2:$B$976,"gemini",'01_원자료'!$C$2:$C$976,"gemma")-AVERAGEIFS('01_원자료'!$S$2:$S$976,'01_원자료'!$A$2:$A$976,$A5,'01_원자료'!$B$2:$B$976,"gemini")-AVERAGEIFS('01_원자료'!$S$2:$S$976,'01_원자료'!$A$2:$A$976,$A5,'01_원자료'!$C$2:$C$976,"gemma")+AVERAGEIFS('01_원자료'!$S$2:$S$976,'01_원자료'!$A$2:$A$976,$A5)</f>
        <v>4.8526820055854736E-2</v>
      </c>
      <c r="D5" s="48">
        <f>AVERAGEIFS('01_원자료'!$S$2:$S$976,'01_원자료'!$A$2:$A$976,$A5,'01_원자료'!$B$2:$B$976,"qwen3_6",'01_원자료'!$C$2:$C$976,"qwen")-AVERAGEIFS('01_원자료'!$S$2:$S$976,'01_원자료'!$A$2:$A$976,$A5,'01_원자료'!$B$2:$B$976,"qwen3_6")-AVERAGEIFS('01_원자료'!$S$2:$S$976,'01_원자료'!$A$2:$A$976,$A5,'01_원자료'!$C$2:$C$976,"qwen")+AVERAGEIFS('01_원자료'!$S$2:$S$976,'01_원자료'!$A$2:$A$976,$A5)</f>
        <v>-1.3589103689879534E-2</v>
      </c>
      <c r="E5" s="48">
        <f>AVERAGEIFS('01_원자료'!$S$2:$S$976,'01_원자료'!$A$2:$A$976,$A5,'01_원자료'!$B$2:$B$976,"mistral",'01_원자료'!$C$2:$C$976,"ministral")-AVERAGEIFS('01_원자료'!$S$2:$S$976,'01_원자료'!$A$2:$A$976,$A5,'01_원자료'!$B$2:$B$976,"mistral")-AVERAGEIFS('01_원자료'!$S$2:$S$976,'01_원자료'!$A$2:$A$976,$A5,'01_원자료'!$C$2:$C$976,"ministral")+AVERAGEIFS('01_원자료'!$S$2:$S$976,'01_원자료'!$A$2:$A$976,$A5)</f>
        <v>2.9587252056468505E-2</v>
      </c>
      <c r="F5" s="2">
        <f t="shared" ref="F5:F36" si="1">IF(C5&gt;0,1,0)</f>
        <v>1</v>
      </c>
      <c r="G5" s="2">
        <f t="shared" ref="G5:G36" si="2">IF(D5&gt;0,1,0)</f>
        <v>0</v>
      </c>
      <c r="H5" s="2">
        <f t="shared" ref="H5:H36" si="3">IF(E5&gt;0,1,0)</f>
        <v>1</v>
      </c>
    </row>
    <row r="6" spans="1:8">
      <c r="A6" s="15" t="s">
        <v>124</v>
      </c>
      <c r="B6" s="5" t="str">
        <f t="shared" si="0"/>
        <v>특허</v>
      </c>
      <c r="C6" s="48">
        <f>AVERAGEIFS('01_원자료'!$S$2:$S$976,'01_원자료'!$A$2:$A$976,$A6,'01_원자료'!$B$2:$B$976,"gemini",'01_원자료'!$C$2:$C$976,"gemma")-AVERAGEIFS('01_원자료'!$S$2:$S$976,'01_원자료'!$A$2:$A$976,$A6,'01_원자료'!$B$2:$B$976,"gemini")-AVERAGEIFS('01_원자료'!$S$2:$S$976,'01_원자료'!$A$2:$A$976,$A6,'01_원자료'!$C$2:$C$976,"gemma")+AVERAGEIFS('01_원자료'!$S$2:$S$976,'01_원자료'!$A$2:$A$976,$A6)</f>
        <v>4.3410096549421739E-2</v>
      </c>
      <c r="D6" s="48">
        <f>AVERAGEIFS('01_원자료'!$S$2:$S$976,'01_원자료'!$A$2:$A$976,$A6,'01_원자료'!$B$2:$B$976,"qwen3_6",'01_원자료'!$C$2:$C$976,"qwen")-AVERAGEIFS('01_원자료'!$S$2:$S$976,'01_원자료'!$A$2:$A$976,$A6,'01_원자료'!$B$2:$B$976,"qwen3_6")-AVERAGEIFS('01_원자료'!$S$2:$S$976,'01_원자료'!$A$2:$A$976,$A6,'01_원자료'!$C$2:$C$976,"qwen")+AVERAGEIFS('01_원자료'!$S$2:$S$976,'01_원자료'!$A$2:$A$976,$A6)</f>
        <v>-1.0857288720944269E-2</v>
      </c>
      <c r="E6" s="48">
        <f>AVERAGEIFS('01_원자료'!$S$2:$S$976,'01_원자료'!$A$2:$A$976,$A6,'01_원자료'!$B$2:$B$976,"mistral",'01_원자료'!$C$2:$C$976,"ministral")-AVERAGEIFS('01_원자료'!$S$2:$S$976,'01_원자료'!$A$2:$A$976,$A6,'01_원자료'!$B$2:$B$976,"mistral")-AVERAGEIFS('01_원자료'!$S$2:$S$976,'01_원자료'!$A$2:$A$976,$A6,'01_원자료'!$C$2:$C$976,"ministral")+AVERAGEIFS('01_원자료'!$S$2:$S$976,'01_원자료'!$A$2:$A$976,$A6)</f>
        <v>2.0469701552691788E-2</v>
      </c>
      <c r="F6" s="2">
        <f t="shared" si="1"/>
        <v>1</v>
      </c>
      <c r="G6" s="2">
        <f t="shared" si="2"/>
        <v>0</v>
      </c>
      <c r="H6" s="2">
        <f t="shared" si="3"/>
        <v>1</v>
      </c>
    </row>
    <row r="7" spans="1:8">
      <c r="A7" s="15" t="s">
        <v>125</v>
      </c>
      <c r="B7" s="5" t="str">
        <f t="shared" si="0"/>
        <v>특허</v>
      </c>
      <c r="C7" s="48">
        <f>AVERAGEIFS('01_원자료'!$S$2:$S$976,'01_원자료'!$A$2:$A$976,$A7,'01_원자료'!$B$2:$B$976,"gemini",'01_원자료'!$C$2:$C$976,"gemma")-AVERAGEIFS('01_원자료'!$S$2:$S$976,'01_원자료'!$A$2:$A$976,$A7,'01_원자료'!$B$2:$B$976,"gemini")-AVERAGEIFS('01_원자료'!$S$2:$S$976,'01_원자료'!$A$2:$A$976,$A7,'01_원자료'!$C$2:$C$976,"gemma")+AVERAGEIFS('01_원자료'!$S$2:$S$976,'01_원자료'!$A$2:$A$976,$A7)</f>
        <v>2.60923898060752E-2</v>
      </c>
      <c r="D7" s="48">
        <f>AVERAGEIFS('01_원자료'!$S$2:$S$976,'01_원자료'!$A$2:$A$976,$A7,'01_원자료'!$B$2:$B$976,"qwen3_6",'01_원자료'!$C$2:$C$976,"qwen")-AVERAGEIFS('01_원자료'!$S$2:$S$976,'01_원자료'!$A$2:$A$976,$A7,'01_원자료'!$B$2:$B$976,"qwen3_6")-AVERAGEIFS('01_원자료'!$S$2:$S$976,'01_원자료'!$A$2:$A$976,$A7,'01_원자료'!$C$2:$C$976,"qwen")+AVERAGEIFS('01_원자료'!$S$2:$S$976,'01_원자료'!$A$2:$A$976,$A7)</f>
        <v>-2.1866163440230624E-3</v>
      </c>
      <c r="E7" s="48">
        <f>AVERAGEIFS('01_원자료'!$S$2:$S$976,'01_원자료'!$A$2:$A$976,$A7,'01_원자료'!$B$2:$B$976,"mistral",'01_원자료'!$C$2:$C$976,"ministral")-AVERAGEIFS('01_원자료'!$S$2:$S$976,'01_원자료'!$A$2:$A$976,$A7,'01_원자료'!$B$2:$B$976,"mistral")-AVERAGEIFS('01_원자료'!$S$2:$S$976,'01_원자료'!$A$2:$A$976,$A7,'01_원자료'!$C$2:$C$976,"ministral")+AVERAGEIFS('01_원자료'!$S$2:$S$976,'01_원자료'!$A$2:$A$976,$A7)</f>
        <v>3.1903832168088675E-3</v>
      </c>
      <c r="F7" s="2">
        <f t="shared" si="1"/>
        <v>1</v>
      </c>
      <c r="G7" s="2">
        <f t="shared" si="2"/>
        <v>0</v>
      </c>
      <c r="H7" s="2">
        <f t="shared" si="3"/>
        <v>1</v>
      </c>
    </row>
    <row r="8" spans="1:8">
      <c r="A8" s="15" t="s">
        <v>126</v>
      </c>
      <c r="B8" s="5" t="str">
        <f t="shared" si="0"/>
        <v>특허</v>
      </c>
      <c r="C8" s="48">
        <f>AVERAGEIFS('01_원자료'!$S$2:$S$976,'01_원자료'!$A$2:$A$976,$A8,'01_원자료'!$B$2:$B$976,"gemini",'01_원자료'!$C$2:$C$976,"gemma")-AVERAGEIFS('01_원자료'!$S$2:$S$976,'01_원자료'!$A$2:$A$976,$A8,'01_원자료'!$B$2:$B$976,"gemini")-AVERAGEIFS('01_원자료'!$S$2:$S$976,'01_원자료'!$A$2:$A$976,$A8,'01_원자료'!$C$2:$C$976,"gemma")+AVERAGEIFS('01_원자료'!$S$2:$S$976,'01_원자료'!$A$2:$A$976,$A8)</f>
        <v>1.5026315425037184E-2</v>
      </c>
      <c r="D8" s="48">
        <f>AVERAGEIFS('01_원자료'!$S$2:$S$976,'01_원자료'!$A$2:$A$976,$A8,'01_원자료'!$B$2:$B$976,"qwen3_6",'01_원자료'!$C$2:$C$976,"qwen")-AVERAGEIFS('01_원자료'!$S$2:$S$976,'01_원자료'!$A$2:$A$976,$A8,'01_원자료'!$B$2:$B$976,"qwen3_6")-AVERAGEIFS('01_원자료'!$S$2:$S$976,'01_원자료'!$A$2:$A$976,$A8,'01_원자료'!$C$2:$C$976,"qwen")+AVERAGEIFS('01_원자료'!$S$2:$S$976,'01_원자료'!$A$2:$A$976,$A8)</f>
        <v>1.811460149938271E-3</v>
      </c>
      <c r="E8" s="48">
        <f>AVERAGEIFS('01_원자료'!$S$2:$S$976,'01_원자료'!$A$2:$A$976,$A8,'01_원자료'!$B$2:$B$976,"mistral",'01_원자료'!$C$2:$C$976,"ministral")-AVERAGEIFS('01_원자료'!$S$2:$S$976,'01_원자료'!$A$2:$A$976,$A8,'01_원자료'!$B$2:$B$976,"mistral")-AVERAGEIFS('01_원자료'!$S$2:$S$976,'01_원자료'!$A$2:$A$976,$A8,'01_원자료'!$C$2:$C$976,"ministral")+AVERAGEIFS('01_원자료'!$S$2:$S$976,'01_원자료'!$A$2:$A$976,$A8)</f>
        <v>1.3099588538724949E-2</v>
      </c>
      <c r="F8" s="2">
        <f t="shared" si="1"/>
        <v>1</v>
      </c>
      <c r="G8" s="2">
        <f t="shared" si="2"/>
        <v>1</v>
      </c>
      <c r="H8" s="2">
        <f t="shared" si="3"/>
        <v>1</v>
      </c>
    </row>
    <row r="9" spans="1:8">
      <c r="A9" s="15" t="s">
        <v>127</v>
      </c>
      <c r="B9" s="5" t="str">
        <f t="shared" si="0"/>
        <v>특허</v>
      </c>
      <c r="C9" s="48">
        <f>AVERAGEIFS('01_원자료'!$S$2:$S$976,'01_원자료'!$A$2:$A$976,$A9,'01_원자료'!$B$2:$B$976,"gemini",'01_원자료'!$C$2:$C$976,"gemma")-AVERAGEIFS('01_원자료'!$S$2:$S$976,'01_원자료'!$A$2:$A$976,$A9,'01_원자료'!$B$2:$B$976,"gemini")-AVERAGEIFS('01_원자료'!$S$2:$S$976,'01_원자료'!$A$2:$A$976,$A9,'01_원자료'!$C$2:$C$976,"gemma")+AVERAGEIFS('01_원자료'!$S$2:$S$976,'01_원자료'!$A$2:$A$976,$A9)</f>
        <v>3.332918824805442E-2</v>
      </c>
      <c r="D9" s="48">
        <f>AVERAGEIFS('01_원자료'!$S$2:$S$976,'01_원자료'!$A$2:$A$976,$A9,'01_원자료'!$B$2:$B$976,"qwen3_6",'01_원자료'!$C$2:$C$976,"qwen")-AVERAGEIFS('01_원자료'!$S$2:$S$976,'01_원자료'!$A$2:$A$976,$A9,'01_원자료'!$B$2:$B$976,"qwen3_6")-AVERAGEIFS('01_원자료'!$S$2:$S$976,'01_원자료'!$A$2:$A$976,$A9,'01_원자료'!$C$2:$C$976,"qwen")+AVERAGEIFS('01_원자료'!$S$2:$S$976,'01_원자료'!$A$2:$A$976,$A9)</f>
        <v>9.0949930880445118E-3</v>
      </c>
      <c r="E9" s="48">
        <f>AVERAGEIFS('01_원자료'!$S$2:$S$976,'01_원자료'!$A$2:$A$976,$A9,'01_원자료'!$B$2:$B$976,"mistral",'01_원자료'!$C$2:$C$976,"ministral")-AVERAGEIFS('01_원자료'!$S$2:$S$976,'01_원자료'!$A$2:$A$976,$A9,'01_원자료'!$B$2:$B$976,"mistral")-AVERAGEIFS('01_원자료'!$S$2:$S$976,'01_원자료'!$A$2:$A$976,$A9,'01_원자료'!$C$2:$C$976,"ministral")+AVERAGEIFS('01_원자료'!$S$2:$S$976,'01_원자료'!$A$2:$A$976,$A9)</f>
        <v>-1.1330360505349302E-2</v>
      </c>
      <c r="F9" s="2">
        <f t="shared" si="1"/>
        <v>1</v>
      </c>
      <c r="G9" s="2">
        <f t="shared" si="2"/>
        <v>1</v>
      </c>
      <c r="H9" s="2">
        <f t="shared" si="3"/>
        <v>0</v>
      </c>
    </row>
    <row r="10" spans="1:8">
      <c r="A10" s="15" t="s">
        <v>128</v>
      </c>
      <c r="B10" s="5" t="str">
        <f t="shared" si="0"/>
        <v>특허</v>
      </c>
      <c r="C10" s="48">
        <f>AVERAGEIFS('01_원자료'!$S$2:$S$976,'01_원자료'!$A$2:$A$976,$A10,'01_원자료'!$B$2:$B$976,"gemini",'01_원자료'!$C$2:$C$976,"gemma")-AVERAGEIFS('01_원자료'!$S$2:$S$976,'01_원자료'!$A$2:$A$976,$A10,'01_원자료'!$B$2:$B$976,"gemini")-AVERAGEIFS('01_원자료'!$S$2:$S$976,'01_원자료'!$A$2:$A$976,$A10,'01_원자료'!$C$2:$C$976,"gemma")+AVERAGEIFS('01_원자료'!$S$2:$S$976,'01_원자료'!$A$2:$A$976,$A10)</f>
        <v>1.0760839999030214E-2</v>
      </c>
      <c r="D10" s="48">
        <f>AVERAGEIFS('01_원자료'!$S$2:$S$976,'01_원자료'!$A$2:$A$976,$A10,'01_원자료'!$B$2:$B$976,"qwen3_6",'01_원자료'!$C$2:$C$976,"qwen")-AVERAGEIFS('01_원자료'!$S$2:$S$976,'01_원자료'!$A$2:$A$976,$A10,'01_원자료'!$B$2:$B$976,"qwen3_6")-AVERAGEIFS('01_원자료'!$S$2:$S$976,'01_원자료'!$A$2:$A$976,$A10,'01_원자료'!$C$2:$C$976,"qwen")+AVERAGEIFS('01_원자료'!$S$2:$S$976,'01_원자료'!$A$2:$A$976,$A10)</f>
        <v>2.5598732895058762E-2</v>
      </c>
      <c r="E10" s="48">
        <f>AVERAGEIFS('01_원자료'!$S$2:$S$976,'01_원자료'!$A$2:$A$976,$A10,'01_원자료'!$B$2:$B$976,"mistral",'01_원자료'!$C$2:$C$976,"ministral")-AVERAGEIFS('01_원자료'!$S$2:$S$976,'01_원자료'!$A$2:$A$976,$A10,'01_원자료'!$B$2:$B$976,"mistral")-AVERAGEIFS('01_원자료'!$S$2:$S$976,'01_원자료'!$A$2:$A$976,$A10,'01_원자료'!$C$2:$C$976,"ministral")+AVERAGEIFS('01_원자료'!$S$2:$S$976,'01_원자료'!$A$2:$A$976,$A10)</f>
        <v>-3.5817031654131748E-2</v>
      </c>
      <c r="F10" s="2">
        <f t="shared" si="1"/>
        <v>1</v>
      </c>
      <c r="G10" s="2">
        <f t="shared" si="2"/>
        <v>1</v>
      </c>
      <c r="H10" s="2">
        <f t="shared" si="3"/>
        <v>0</v>
      </c>
    </row>
    <row r="11" spans="1:8">
      <c r="A11" s="15" t="s">
        <v>129</v>
      </c>
      <c r="B11" s="5" t="str">
        <f t="shared" si="0"/>
        <v>특허</v>
      </c>
      <c r="C11" s="48">
        <f>AVERAGEIFS('01_원자료'!$S$2:$S$976,'01_원자료'!$A$2:$A$976,$A11,'01_원자료'!$B$2:$B$976,"gemini",'01_원자료'!$C$2:$C$976,"gemma")-AVERAGEIFS('01_원자료'!$S$2:$S$976,'01_원자료'!$A$2:$A$976,$A11,'01_원자료'!$B$2:$B$976,"gemini")-AVERAGEIFS('01_원자료'!$S$2:$S$976,'01_원자료'!$A$2:$A$976,$A11,'01_원자료'!$C$2:$C$976,"gemma")+AVERAGEIFS('01_원자료'!$S$2:$S$976,'01_원자료'!$A$2:$A$976,$A11)</f>
        <v>3.1130216534950295E-3</v>
      </c>
      <c r="D11" s="48">
        <f>AVERAGEIFS('01_원자료'!$S$2:$S$976,'01_원자료'!$A$2:$A$976,$A11,'01_원자료'!$B$2:$B$976,"qwen3_6",'01_원자료'!$C$2:$C$976,"qwen")-AVERAGEIFS('01_원자료'!$S$2:$S$976,'01_원자료'!$A$2:$A$976,$A11,'01_원자료'!$B$2:$B$976,"qwen3_6")-AVERAGEIFS('01_원자료'!$S$2:$S$976,'01_원자료'!$A$2:$A$976,$A11,'01_원자료'!$C$2:$C$976,"qwen")+AVERAGEIFS('01_원자료'!$S$2:$S$976,'01_원자료'!$A$2:$A$976,$A11)</f>
        <v>2.9812303293202502E-2</v>
      </c>
      <c r="E11" s="48">
        <f>AVERAGEIFS('01_원자료'!$S$2:$S$976,'01_원자료'!$A$2:$A$976,$A11,'01_원자료'!$B$2:$B$976,"mistral",'01_원자료'!$C$2:$C$976,"ministral")-AVERAGEIFS('01_원자료'!$S$2:$S$976,'01_원자료'!$A$2:$A$976,$A11,'01_원자료'!$B$2:$B$976,"mistral")-AVERAGEIFS('01_원자료'!$S$2:$S$976,'01_원자료'!$A$2:$A$976,$A11,'01_원자료'!$C$2:$C$976,"ministral")+AVERAGEIFS('01_원자료'!$S$2:$S$976,'01_원자료'!$A$2:$A$976,$A11)</f>
        <v>8.408973238461126E-3</v>
      </c>
      <c r="F11" s="2">
        <f t="shared" si="1"/>
        <v>1</v>
      </c>
      <c r="G11" s="2">
        <f t="shared" si="2"/>
        <v>1</v>
      </c>
      <c r="H11" s="2">
        <f t="shared" si="3"/>
        <v>1</v>
      </c>
    </row>
    <row r="12" spans="1:8">
      <c r="A12" s="15" t="s">
        <v>130</v>
      </c>
      <c r="B12" s="5" t="str">
        <f t="shared" si="0"/>
        <v>특허</v>
      </c>
      <c r="C12" s="48">
        <f>AVERAGEIFS('01_원자료'!$S$2:$S$976,'01_원자료'!$A$2:$A$976,$A12,'01_원자료'!$B$2:$B$976,"gemini",'01_원자료'!$C$2:$C$976,"gemma")-AVERAGEIFS('01_원자료'!$S$2:$S$976,'01_원자료'!$A$2:$A$976,$A12,'01_원자료'!$B$2:$B$976,"gemini")-AVERAGEIFS('01_원자료'!$S$2:$S$976,'01_원자료'!$A$2:$A$976,$A12,'01_원자료'!$C$2:$C$976,"gemma")+AVERAGEIFS('01_원자료'!$S$2:$S$976,'01_원자료'!$A$2:$A$976,$A12)</f>
        <v>-2.0729222456978835E-3</v>
      </c>
      <c r="D12" s="48">
        <f>AVERAGEIFS('01_원자료'!$S$2:$S$976,'01_원자료'!$A$2:$A$976,$A12,'01_원자료'!$B$2:$B$976,"qwen3_6",'01_원자료'!$C$2:$C$976,"qwen")-AVERAGEIFS('01_원자료'!$S$2:$S$976,'01_원자료'!$A$2:$A$976,$A12,'01_원자료'!$B$2:$B$976,"qwen3_6")-AVERAGEIFS('01_원자료'!$S$2:$S$976,'01_원자료'!$A$2:$A$976,$A12,'01_원자료'!$C$2:$C$976,"qwen")+AVERAGEIFS('01_원자료'!$S$2:$S$976,'01_원자료'!$A$2:$A$976,$A12)</f>
        <v>2.737457787435349E-2</v>
      </c>
      <c r="E12" s="48">
        <f>AVERAGEIFS('01_원자료'!$S$2:$S$976,'01_원자료'!$A$2:$A$976,$A12,'01_원자료'!$B$2:$B$976,"mistral",'01_원자료'!$C$2:$C$976,"ministral")-AVERAGEIFS('01_원자료'!$S$2:$S$976,'01_원자료'!$A$2:$A$976,$A12,'01_원자료'!$B$2:$B$976,"mistral")-AVERAGEIFS('01_원자료'!$S$2:$S$976,'01_원자료'!$A$2:$A$976,$A12,'01_원자료'!$C$2:$C$976,"ministral")+AVERAGEIFS('01_원자료'!$S$2:$S$976,'01_원자료'!$A$2:$A$976,$A12)</f>
        <v>-4.8490952072428595E-3</v>
      </c>
      <c r="F12" s="2">
        <f t="shared" si="1"/>
        <v>0</v>
      </c>
      <c r="G12" s="2">
        <f t="shared" si="2"/>
        <v>1</v>
      </c>
      <c r="H12" s="2">
        <f t="shared" si="3"/>
        <v>0</v>
      </c>
    </row>
    <row r="13" spans="1:8">
      <c r="A13" s="15" t="s">
        <v>131</v>
      </c>
      <c r="B13" s="5" t="str">
        <f t="shared" si="0"/>
        <v>특허</v>
      </c>
      <c r="C13" s="48">
        <f>AVERAGEIFS('01_원자료'!$S$2:$S$976,'01_원자료'!$A$2:$A$976,$A13,'01_원자료'!$B$2:$B$976,"gemini",'01_원자료'!$C$2:$C$976,"gemma")-AVERAGEIFS('01_원자료'!$S$2:$S$976,'01_원자료'!$A$2:$A$976,$A13,'01_원자료'!$B$2:$B$976,"gemini")-AVERAGEIFS('01_원자료'!$S$2:$S$976,'01_원자료'!$A$2:$A$976,$A13,'01_원자료'!$C$2:$C$976,"gemma")+AVERAGEIFS('01_원자료'!$S$2:$S$976,'01_원자료'!$A$2:$A$976,$A13)</f>
        <v>3.6648503935539534E-2</v>
      </c>
      <c r="D13" s="48">
        <f>AVERAGEIFS('01_원자료'!$S$2:$S$976,'01_원자료'!$A$2:$A$976,$A13,'01_원자료'!$B$2:$B$976,"qwen3_6",'01_원자료'!$C$2:$C$976,"qwen")-AVERAGEIFS('01_원자료'!$S$2:$S$976,'01_원자료'!$A$2:$A$976,$A13,'01_원자료'!$B$2:$B$976,"qwen3_6")-AVERAGEIFS('01_원자료'!$S$2:$S$976,'01_원자료'!$A$2:$A$976,$A13,'01_원자료'!$C$2:$C$976,"qwen")+AVERAGEIFS('01_원자료'!$S$2:$S$976,'01_원자료'!$A$2:$A$976,$A13)</f>
        <v>1.8950505063503043E-3</v>
      </c>
      <c r="E13" s="48">
        <f>AVERAGEIFS('01_원자료'!$S$2:$S$976,'01_원자료'!$A$2:$A$976,$A13,'01_원자료'!$B$2:$B$976,"mistral",'01_원자료'!$C$2:$C$976,"ministral")-AVERAGEIFS('01_원자료'!$S$2:$S$976,'01_원자료'!$A$2:$A$976,$A13,'01_원자료'!$B$2:$B$976,"mistral")-AVERAGEIFS('01_원자료'!$S$2:$S$976,'01_원자료'!$A$2:$A$976,$A13,'01_원자료'!$C$2:$C$976,"ministral")+AVERAGEIFS('01_원자료'!$S$2:$S$976,'01_원자료'!$A$2:$A$976,$A13)</f>
        <v>9.2223819993295653E-3</v>
      </c>
      <c r="F13" s="2">
        <f t="shared" si="1"/>
        <v>1</v>
      </c>
      <c r="G13" s="2">
        <f t="shared" si="2"/>
        <v>1</v>
      </c>
      <c r="H13" s="2">
        <f t="shared" si="3"/>
        <v>1</v>
      </c>
    </row>
    <row r="14" spans="1:8">
      <c r="A14" s="15" t="s">
        <v>132</v>
      </c>
      <c r="B14" s="5" t="str">
        <f t="shared" si="0"/>
        <v>특허</v>
      </c>
      <c r="C14" s="48">
        <f>AVERAGEIFS('01_원자료'!$S$2:$S$976,'01_원자료'!$A$2:$A$976,$A14,'01_원자료'!$B$2:$B$976,"gemini",'01_원자료'!$C$2:$C$976,"gemma")-AVERAGEIFS('01_원자료'!$S$2:$S$976,'01_원자료'!$A$2:$A$976,$A14,'01_원자료'!$B$2:$B$976,"gemini")-AVERAGEIFS('01_원자료'!$S$2:$S$976,'01_원자료'!$A$2:$A$976,$A14,'01_원자료'!$C$2:$C$976,"gemma")+AVERAGEIFS('01_원자료'!$S$2:$S$976,'01_원자료'!$A$2:$A$976,$A14)</f>
        <v>1.078264873283119E-2</v>
      </c>
      <c r="D14" s="48">
        <f>AVERAGEIFS('01_원자료'!$S$2:$S$976,'01_원자료'!$A$2:$A$976,$A14,'01_원자료'!$B$2:$B$976,"qwen3_6",'01_원자료'!$C$2:$C$976,"qwen")-AVERAGEIFS('01_원자료'!$S$2:$S$976,'01_원자료'!$A$2:$A$976,$A14,'01_원자료'!$B$2:$B$976,"qwen3_6")-AVERAGEIFS('01_원자료'!$S$2:$S$976,'01_원자료'!$A$2:$A$976,$A14,'01_원자료'!$C$2:$C$976,"qwen")+AVERAGEIFS('01_원자료'!$S$2:$S$976,'01_원자료'!$A$2:$A$976,$A14)</f>
        <v>2.065947069439622E-2</v>
      </c>
      <c r="E14" s="48">
        <f>AVERAGEIFS('01_원자료'!$S$2:$S$976,'01_원자료'!$A$2:$A$976,$A14,'01_원자료'!$B$2:$B$976,"mistral",'01_원자료'!$C$2:$C$976,"ministral")-AVERAGEIFS('01_원자료'!$S$2:$S$976,'01_원자료'!$A$2:$A$976,$A14,'01_원자료'!$B$2:$B$976,"mistral")-AVERAGEIFS('01_원자료'!$S$2:$S$976,'01_원자료'!$A$2:$A$976,$A14,'01_원자료'!$C$2:$C$976,"ministral")+AVERAGEIFS('01_원자료'!$S$2:$S$976,'01_원자료'!$A$2:$A$976,$A14)</f>
        <v>1.1090890054668567E-2</v>
      </c>
      <c r="F14" s="2">
        <f t="shared" si="1"/>
        <v>1</v>
      </c>
      <c r="G14" s="2">
        <f t="shared" si="2"/>
        <v>1</v>
      </c>
      <c r="H14" s="2">
        <f t="shared" si="3"/>
        <v>1</v>
      </c>
    </row>
    <row r="15" spans="1:8">
      <c r="A15" s="15" t="s">
        <v>133</v>
      </c>
      <c r="B15" s="5" t="str">
        <f t="shared" si="0"/>
        <v>특허</v>
      </c>
      <c r="C15" s="48">
        <f>AVERAGEIFS('01_원자료'!$S$2:$S$976,'01_원자료'!$A$2:$A$976,$A15,'01_원자료'!$B$2:$B$976,"gemini",'01_원자료'!$C$2:$C$976,"gemma")-AVERAGEIFS('01_원자료'!$S$2:$S$976,'01_원자료'!$A$2:$A$976,$A15,'01_원자료'!$B$2:$B$976,"gemini")-AVERAGEIFS('01_원자료'!$S$2:$S$976,'01_원자료'!$A$2:$A$976,$A15,'01_원자료'!$C$2:$C$976,"gemma")+AVERAGEIFS('01_원자료'!$S$2:$S$976,'01_원자료'!$A$2:$A$976,$A15)</f>
        <v>3.9667507840441152E-2</v>
      </c>
      <c r="D15" s="48">
        <f>AVERAGEIFS('01_원자료'!$S$2:$S$976,'01_원자료'!$A$2:$A$976,$A15,'01_원자료'!$B$2:$B$976,"qwen3_6",'01_원자료'!$C$2:$C$976,"qwen")-AVERAGEIFS('01_원자료'!$S$2:$S$976,'01_원자료'!$A$2:$A$976,$A15,'01_원자료'!$B$2:$B$976,"qwen3_6")-AVERAGEIFS('01_원자료'!$S$2:$S$976,'01_원자료'!$A$2:$A$976,$A15,'01_원자료'!$C$2:$C$976,"qwen")+AVERAGEIFS('01_원자료'!$S$2:$S$976,'01_원자료'!$A$2:$A$976,$A15)</f>
        <v>-1.4380884383274783E-2</v>
      </c>
      <c r="E15" s="48">
        <f>AVERAGEIFS('01_원자료'!$S$2:$S$976,'01_원자료'!$A$2:$A$976,$A15,'01_원자료'!$B$2:$B$976,"mistral",'01_원자료'!$C$2:$C$976,"ministral")-AVERAGEIFS('01_원자료'!$S$2:$S$976,'01_원자료'!$A$2:$A$976,$A15,'01_원자료'!$B$2:$B$976,"mistral")-AVERAGEIFS('01_원자료'!$S$2:$S$976,'01_원자료'!$A$2:$A$976,$A15,'01_원자료'!$C$2:$C$976,"ministral")+AVERAGEIFS('01_원자료'!$S$2:$S$976,'01_원자료'!$A$2:$A$976,$A15)</f>
        <v>1.7123597151940451E-2</v>
      </c>
      <c r="F15" s="2">
        <f t="shared" si="1"/>
        <v>1</v>
      </c>
      <c r="G15" s="2">
        <f t="shared" si="2"/>
        <v>0</v>
      </c>
      <c r="H15" s="2">
        <f t="shared" si="3"/>
        <v>1</v>
      </c>
    </row>
    <row r="16" spans="1:8">
      <c r="A16" s="15" t="s">
        <v>134</v>
      </c>
      <c r="B16" s="5" t="str">
        <f t="shared" si="0"/>
        <v>특허</v>
      </c>
      <c r="C16" s="48">
        <f>AVERAGEIFS('01_원자료'!$S$2:$S$976,'01_원자료'!$A$2:$A$976,$A16,'01_원자료'!$B$2:$B$976,"gemini",'01_원자료'!$C$2:$C$976,"gemma")-AVERAGEIFS('01_원자료'!$S$2:$S$976,'01_원자료'!$A$2:$A$976,$A16,'01_원자료'!$B$2:$B$976,"gemini")-AVERAGEIFS('01_원자료'!$S$2:$S$976,'01_원자료'!$A$2:$A$976,$A16,'01_원자료'!$C$2:$C$976,"gemma")+AVERAGEIFS('01_원자료'!$S$2:$S$976,'01_원자료'!$A$2:$A$976,$A16)</f>
        <v>2.0402760986246937E-2</v>
      </c>
      <c r="D16" s="48">
        <f>AVERAGEIFS('01_원자료'!$S$2:$S$976,'01_원자료'!$A$2:$A$976,$A16,'01_원자료'!$B$2:$B$976,"qwen3_6",'01_원자료'!$C$2:$C$976,"qwen")-AVERAGEIFS('01_원자료'!$S$2:$S$976,'01_원자료'!$A$2:$A$976,$A16,'01_원자료'!$B$2:$B$976,"qwen3_6")-AVERAGEIFS('01_원자료'!$S$2:$S$976,'01_원자료'!$A$2:$A$976,$A16,'01_원자료'!$C$2:$C$976,"qwen")+AVERAGEIFS('01_원자료'!$S$2:$S$976,'01_원자료'!$A$2:$A$976,$A16)</f>
        <v>2.2740547306074332E-2</v>
      </c>
      <c r="E16" s="48">
        <f>AVERAGEIFS('01_원자료'!$S$2:$S$976,'01_원자료'!$A$2:$A$976,$A16,'01_원자료'!$B$2:$B$976,"mistral",'01_원자료'!$C$2:$C$976,"ministral")-AVERAGEIFS('01_원자료'!$S$2:$S$976,'01_원자료'!$A$2:$A$976,$A16,'01_원자료'!$B$2:$B$976,"mistral")-AVERAGEIFS('01_원자료'!$S$2:$S$976,'01_원자료'!$A$2:$A$976,$A16,'01_원자료'!$C$2:$C$976,"ministral")+AVERAGEIFS('01_원자료'!$S$2:$S$976,'01_원자료'!$A$2:$A$976,$A16)</f>
        <v>1.4131111330049406E-2</v>
      </c>
      <c r="F16" s="2">
        <f t="shared" si="1"/>
        <v>1</v>
      </c>
      <c r="G16" s="2">
        <f t="shared" si="2"/>
        <v>1</v>
      </c>
      <c r="H16" s="2">
        <f t="shared" si="3"/>
        <v>1</v>
      </c>
    </row>
    <row r="17" spans="1:8">
      <c r="A17" s="15" t="s">
        <v>135</v>
      </c>
      <c r="B17" s="5" t="str">
        <f t="shared" si="0"/>
        <v>특허</v>
      </c>
      <c r="C17" s="48">
        <f>AVERAGEIFS('01_원자료'!$S$2:$S$976,'01_원자료'!$A$2:$A$976,$A17,'01_원자료'!$B$2:$B$976,"gemini",'01_원자료'!$C$2:$C$976,"gemma")-AVERAGEIFS('01_원자료'!$S$2:$S$976,'01_원자료'!$A$2:$A$976,$A17,'01_원자료'!$B$2:$B$976,"gemini")-AVERAGEIFS('01_원자료'!$S$2:$S$976,'01_원자료'!$A$2:$A$976,$A17,'01_원자료'!$C$2:$C$976,"gemma")+AVERAGEIFS('01_원자료'!$S$2:$S$976,'01_원자료'!$A$2:$A$976,$A17)</f>
        <v>3.9492225870477626E-2</v>
      </c>
      <c r="D17" s="48">
        <f>AVERAGEIFS('01_원자료'!$S$2:$S$976,'01_원자료'!$A$2:$A$976,$A17,'01_원자료'!$B$2:$B$976,"qwen3_6",'01_원자료'!$C$2:$C$976,"qwen")-AVERAGEIFS('01_원자료'!$S$2:$S$976,'01_원자료'!$A$2:$A$976,$A17,'01_원자료'!$B$2:$B$976,"qwen3_6")-AVERAGEIFS('01_원자료'!$S$2:$S$976,'01_원자료'!$A$2:$A$976,$A17,'01_원자료'!$C$2:$C$976,"qwen")+AVERAGEIFS('01_원자료'!$S$2:$S$976,'01_원자료'!$A$2:$A$976,$A17)</f>
        <v>9.9755057522425972E-3</v>
      </c>
      <c r="E17" s="48">
        <f>AVERAGEIFS('01_원자료'!$S$2:$S$976,'01_원자료'!$A$2:$A$976,$A17,'01_원자료'!$B$2:$B$976,"mistral",'01_원자료'!$C$2:$C$976,"ministral")-AVERAGEIFS('01_원자료'!$S$2:$S$976,'01_원자료'!$A$2:$A$976,$A17,'01_원자료'!$B$2:$B$976,"mistral")-AVERAGEIFS('01_원자료'!$S$2:$S$976,'01_원자료'!$A$2:$A$976,$A17,'01_원자료'!$C$2:$C$976,"ministral")+AVERAGEIFS('01_원자료'!$S$2:$S$976,'01_원자료'!$A$2:$A$976,$A17)</f>
        <v>7.1272543361125873E-2</v>
      </c>
      <c r="F17" s="2">
        <f t="shared" si="1"/>
        <v>1</v>
      </c>
      <c r="G17" s="2">
        <f t="shared" si="2"/>
        <v>1</v>
      </c>
      <c r="H17" s="2">
        <f t="shared" si="3"/>
        <v>1</v>
      </c>
    </row>
    <row r="18" spans="1:8">
      <c r="A18" s="15" t="s">
        <v>136</v>
      </c>
      <c r="B18" s="5" t="str">
        <f t="shared" si="0"/>
        <v>특허</v>
      </c>
      <c r="C18" s="48">
        <f>AVERAGEIFS('01_원자료'!$S$2:$S$976,'01_원자료'!$A$2:$A$976,$A18,'01_원자료'!$B$2:$B$976,"gemini",'01_원자료'!$C$2:$C$976,"gemma")-AVERAGEIFS('01_원자료'!$S$2:$S$976,'01_원자료'!$A$2:$A$976,$A18,'01_원자료'!$B$2:$B$976,"gemini")-AVERAGEIFS('01_원자료'!$S$2:$S$976,'01_원자료'!$A$2:$A$976,$A18,'01_원자료'!$C$2:$C$976,"gemma")+AVERAGEIFS('01_원자료'!$S$2:$S$976,'01_원자료'!$A$2:$A$976,$A18)</f>
        <v>3.5287781612589275E-2</v>
      </c>
      <c r="D18" s="48">
        <f>AVERAGEIFS('01_원자료'!$S$2:$S$976,'01_원자료'!$A$2:$A$976,$A18,'01_원자료'!$B$2:$B$976,"qwen3_6",'01_원자료'!$C$2:$C$976,"qwen")-AVERAGEIFS('01_원자료'!$S$2:$S$976,'01_원자료'!$A$2:$A$976,$A18,'01_원자료'!$B$2:$B$976,"qwen3_6")-AVERAGEIFS('01_원자료'!$S$2:$S$976,'01_원자료'!$A$2:$A$976,$A18,'01_원자료'!$C$2:$C$976,"qwen")+AVERAGEIFS('01_원자료'!$S$2:$S$976,'01_원자료'!$A$2:$A$976,$A18)</f>
        <v>-1.3949776480098708E-2</v>
      </c>
      <c r="E18" s="48">
        <f>AVERAGEIFS('01_원자료'!$S$2:$S$976,'01_원자료'!$A$2:$A$976,$A18,'01_원자료'!$B$2:$B$976,"mistral",'01_원자료'!$C$2:$C$976,"ministral")-AVERAGEIFS('01_원자료'!$S$2:$S$976,'01_원자료'!$A$2:$A$976,$A18,'01_원자료'!$B$2:$B$976,"mistral")-AVERAGEIFS('01_원자료'!$S$2:$S$976,'01_원자료'!$A$2:$A$976,$A18,'01_원자료'!$C$2:$C$976,"ministral")+AVERAGEIFS('01_원자료'!$S$2:$S$976,'01_원자료'!$A$2:$A$976,$A18)</f>
        <v>-1.2007556262559893E-3</v>
      </c>
      <c r="F18" s="2">
        <f t="shared" si="1"/>
        <v>1</v>
      </c>
      <c r="G18" s="2">
        <f t="shared" si="2"/>
        <v>0</v>
      </c>
      <c r="H18" s="2">
        <f t="shared" si="3"/>
        <v>0</v>
      </c>
    </row>
    <row r="19" spans="1:8">
      <c r="A19" s="15" t="s">
        <v>137</v>
      </c>
      <c r="B19" s="5" t="str">
        <f t="shared" si="0"/>
        <v>특허</v>
      </c>
      <c r="C19" s="48">
        <f>AVERAGEIFS('01_원자료'!$S$2:$S$976,'01_원자료'!$A$2:$A$976,$A19,'01_원자료'!$B$2:$B$976,"gemini",'01_원자료'!$C$2:$C$976,"gemma")-AVERAGEIFS('01_원자료'!$S$2:$S$976,'01_원자료'!$A$2:$A$976,$A19,'01_원자료'!$B$2:$B$976,"gemini")-AVERAGEIFS('01_원자료'!$S$2:$S$976,'01_원자료'!$A$2:$A$976,$A19,'01_원자료'!$C$2:$C$976,"gemma")+AVERAGEIFS('01_원자료'!$S$2:$S$976,'01_원자료'!$A$2:$A$976,$A19)</f>
        <v>1.7624368823374814E-2</v>
      </c>
      <c r="D19" s="48">
        <f>AVERAGEIFS('01_원자료'!$S$2:$S$976,'01_원자료'!$A$2:$A$976,$A19,'01_원자료'!$B$2:$B$976,"qwen3_6",'01_원자료'!$C$2:$C$976,"qwen")-AVERAGEIFS('01_원자료'!$S$2:$S$976,'01_원자료'!$A$2:$A$976,$A19,'01_원자료'!$B$2:$B$976,"qwen3_6")-AVERAGEIFS('01_원자료'!$S$2:$S$976,'01_원자료'!$A$2:$A$976,$A19,'01_원자료'!$C$2:$C$976,"qwen")+AVERAGEIFS('01_원자료'!$S$2:$S$976,'01_원자료'!$A$2:$A$976,$A19)</f>
        <v>-7.593727293280339E-3</v>
      </c>
      <c r="E19" s="48">
        <f>AVERAGEIFS('01_원자료'!$S$2:$S$976,'01_원자료'!$A$2:$A$976,$A19,'01_원자료'!$B$2:$B$976,"mistral",'01_원자료'!$C$2:$C$976,"ministral")-AVERAGEIFS('01_원자료'!$S$2:$S$976,'01_원자료'!$A$2:$A$976,$A19,'01_원자료'!$B$2:$B$976,"mistral")-AVERAGEIFS('01_원자료'!$S$2:$S$976,'01_원자료'!$A$2:$A$976,$A19,'01_원자료'!$C$2:$C$976,"ministral")+AVERAGEIFS('01_원자료'!$S$2:$S$976,'01_원자료'!$A$2:$A$976,$A19)</f>
        <v>1.0336231063026724E-2</v>
      </c>
      <c r="F19" s="2">
        <f t="shared" si="1"/>
        <v>1</v>
      </c>
      <c r="G19" s="2">
        <f t="shared" si="2"/>
        <v>0</v>
      </c>
      <c r="H19" s="2">
        <f t="shared" si="3"/>
        <v>1</v>
      </c>
    </row>
    <row r="20" spans="1:8">
      <c r="A20" s="15" t="s">
        <v>138</v>
      </c>
      <c r="B20" s="5" t="str">
        <f t="shared" si="0"/>
        <v>특허</v>
      </c>
      <c r="C20" s="48">
        <f>AVERAGEIFS('01_원자료'!$S$2:$S$976,'01_원자료'!$A$2:$A$976,$A20,'01_원자료'!$B$2:$B$976,"gemini",'01_원자료'!$C$2:$C$976,"gemma")-AVERAGEIFS('01_원자료'!$S$2:$S$976,'01_원자료'!$A$2:$A$976,$A20,'01_원자료'!$B$2:$B$976,"gemini")-AVERAGEIFS('01_원자료'!$S$2:$S$976,'01_원자료'!$A$2:$A$976,$A20,'01_원자료'!$C$2:$C$976,"gemma")+AVERAGEIFS('01_원자료'!$S$2:$S$976,'01_원자료'!$A$2:$A$976,$A20)</f>
        <v>3.6707761605670131E-2</v>
      </c>
      <c r="D20" s="48">
        <f>AVERAGEIFS('01_원자료'!$S$2:$S$976,'01_원자료'!$A$2:$A$976,$A20,'01_원자료'!$B$2:$B$976,"qwen3_6",'01_원자료'!$C$2:$C$976,"qwen")-AVERAGEIFS('01_원자료'!$S$2:$S$976,'01_원자료'!$A$2:$A$976,$A20,'01_원자료'!$B$2:$B$976,"qwen3_6")-AVERAGEIFS('01_원자료'!$S$2:$S$976,'01_원자료'!$A$2:$A$976,$A20,'01_원자료'!$C$2:$C$976,"qwen")+AVERAGEIFS('01_원자료'!$S$2:$S$976,'01_원자료'!$A$2:$A$976,$A20)</f>
        <v>-1.2322013915218921E-2</v>
      </c>
      <c r="E20" s="48">
        <f>AVERAGEIFS('01_원자료'!$S$2:$S$976,'01_원자료'!$A$2:$A$976,$A20,'01_원자료'!$B$2:$B$976,"mistral",'01_원자료'!$C$2:$C$976,"ministral")-AVERAGEIFS('01_원자료'!$S$2:$S$976,'01_원자료'!$A$2:$A$976,$A20,'01_원자료'!$B$2:$B$976,"mistral")-AVERAGEIFS('01_원자료'!$S$2:$S$976,'01_원자료'!$A$2:$A$976,$A20,'01_원자료'!$C$2:$C$976,"ministral")+AVERAGEIFS('01_원자료'!$S$2:$S$976,'01_원자료'!$A$2:$A$976,$A20)</f>
        <v>2.5298193603005226E-2</v>
      </c>
      <c r="F20" s="2">
        <f t="shared" si="1"/>
        <v>1</v>
      </c>
      <c r="G20" s="2">
        <f t="shared" si="2"/>
        <v>0</v>
      </c>
      <c r="H20" s="2">
        <f t="shared" si="3"/>
        <v>1</v>
      </c>
    </row>
    <row r="21" spans="1:8">
      <c r="A21" s="15" t="s">
        <v>139</v>
      </c>
      <c r="B21" s="5" t="str">
        <f t="shared" si="0"/>
        <v>특허</v>
      </c>
      <c r="C21" s="48">
        <f>AVERAGEIFS('01_원자료'!$S$2:$S$976,'01_원자료'!$A$2:$A$976,$A21,'01_원자료'!$B$2:$B$976,"gemini",'01_원자료'!$C$2:$C$976,"gemma")-AVERAGEIFS('01_원자료'!$S$2:$S$976,'01_원자료'!$A$2:$A$976,$A21,'01_원자료'!$B$2:$B$976,"gemini")-AVERAGEIFS('01_원자료'!$S$2:$S$976,'01_원자료'!$A$2:$A$976,$A21,'01_원자료'!$C$2:$C$976,"gemma")+AVERAGEIFS('01_원자료'!$S$2:$S$976,'01_원자료'!$A$2:$A$976,$A21)</f>
        <v>4.133682039378872E-2</v>
      </c>
      <c r="D21" s="48">
        <f>AVERAGEIFS('01_원자료'!$S$2:$S$976,'01_원자료'!$A$2:$A$976,$A21,'01_원자료'!$B$2:$B$976,"qwen3_6",'01_원자료'!$C$2:$C$976,"qwen")-AVERAGEIFS('01_원자료'!$S$2:$S$976,'01_원자료'!$A$2:$A$976,$A21,'01_원자료'!$B$2:$B$976,"qwen3_6")-AVERAGEIFS('01_원자료'!$S$2:$S$976,'01_원자료'!$A$2:$A$976,$A21,'01_원자료'!$C$2:$C$976,"qwen")+AVERAGEIFS('01_원자료'!$S$2:$S$976,'01_원자료'!$A$2:$A$976,$A21)</f>
        <v>1.2477754004125874E-2</v>
      </c>
      <c r="E21" s="48">
        <f>AVERAGEIFS('01_원자료'!$S$2:$S$976,'01_원자료'!$A$2:$A$976,$A21,'01_원자료'!$B$2:$B$976,"mistral",'01_원자료'!$C$2:$C$976,"ministral")-AVERAGEIFS('01_원자료'!$S$2:$S$976,'01_원자료'!$A$2:$A$976,$A21,'01_원자료'!$B$2:$B$976,"mistral")-AVERAGEIFS('01_원자료'!$S$2:$S$976,'01_원자료'!$A$2:$A$976,$A21,'01_원자료'!$C$2:$C$976,"ministral")+AVERAGEIFS('01_원자료'!$S$2:$S$976,'01_원자료'!$A$2:$A$976,$A21)</f>
        <v>0.10566780960147071</v>
      </c>
      <c r="F21" s="2">
        <f t="shared" si="1"/>
        <v>1</v>
      </c>
      <c r="G21" s="2">
        <f t="shared" si="2"/>
        <v>1</v>
      </c>
      <c r="H21" s="2">
        <f t="shared" si="3"/>
        <v>1</v>
      </c>
    </row>
    <row r="22" spans="1:8">
      <c r="A22" s="15" t="s">
        <v>140</v>
      </c>
      <c r="B22" s="5" t="str">
        <f t="shared" si="0"/>
        <v>특허</v>
      </c>
      <c r="C22" s="48">
        <f>AVERAGEIFS('01_원자료'!$S$2:$S$976,'01_원자료'!$A$2:$A$976,$A22,'01_원자료'!$B$2:$B$976,"gemini",'01_원자료'!$C$2:$C$976,"gemma")-AVERAGEIFS('01_원자료'!$S$2:$S$976,'01_원자료'!$A$2:$A$976,$A22,'01_원자료'!$B$2:$B$976,"gemini")-AVERAGEIFS('01_원자료'!$S$2:$S$976,'01_원자료'!$A$2:$A$976,$A22,'01_원자료'!$C$2:$C$976,"gemma")+AVERAGEIFS('01_원자료'!$S$2:$S$976,'01_원자료'!$A$2:$A$976,$A22)</f>
        <v>4.0201790290292916E-3</v>
      </c>
      <c r="D22" s="48">
        <f>AVERAGEIFS('01_원자료'!$S$2:$S$976,'01_원자료'!$A$2:$A$976,$A22,'01_원자료'!$B$2:$B$976,"qwen3_6",'01_원자료'!$C$2:$C$976,"qwen")-AVERAGEIFS('01_원자료'!$S$2:$S$976,'01_원자료'!$A$2:$A$976,$A22,'01_원자료'!$B$2:$B$976,"qwen3_6")-AVERAGEIFS('01_원자료'!$S$2:$S$976,'01_원자료'!$A$2:$A$976,$A22,'01_원자료'!$C$2:$C$976,"qwen")+AVERAGEIFS('01_원자료'!$S$2:$S$976,'01_원자료'!$A$2:$A$976,$A22)</f>
        <v>2.2257511976755073E-2</v>
      </c>
      <c r="E22" s="48">
        <f>AVERAGEIFS('01_원자료'!$S$2:$S$976,'01_원자료'!$A$2:$A$976,$A22,'01_원자료'!$B$2:$B$976,"mistral",'01_원자료'!$C$2:$C$976,"ministral")-AVERAGEIFS('01_원자료'!$S$2:$S$976,'01_원자료'!$A$2:$A$976,$A22,'01_원자료'!$B$2:$B$976,"mistral")-AVERAGEIFS('01_원자료'!$S$2:$S$976,'01_원자료'!$A$2:$A$976,$A22,'01_원자료'!$C$2:$C$976,"ministral")+AVERAGEIFS('01_원자료'!$S$2:$S$976,'01_원자료'!$A$2:$A$976,$A22)</f>
        <v>3.983701557777275E-3</v>
      </c>
      <c r="F22" s="2">
        <f t="shared" si="1"/>
        <v>1</v>
      </c>
      <c r="G22" s="2">
        <f t="shared" si="2"/>
        <v>1</v>
      </c>
      <c r="H22" s="2">
        <f t="shared" si="3"/>
        <v>1</v>
      </c>
    </row>
    <row r="23" spans="1:8">
      <c r="A23" s="15" t="s">
        <v>141</v>
      </c>
      <c r="B23" s="5" t="str">
        <f t="shared" si="0"/>
        <v>특허</v>
      </c>
      <c r="C23" s="48">
        <f>AVERAGEIFS('01_원자료'!$S$2:$S$976,'01_원자료'!$A$2:$A$976,$A23,'01_원자료'!$B$2:$B$976,"gemini",'01_원자료'!$C$2:$C$976,"gemma")-AVERAGEIFS('01_원자료'!$S$2:$S$976,'01_원자료'!$A$2:$A$976,$A23,'01_원자료'!$B$2:$B$976,"gemini")-AVERAGEIFS('01_원자료'!$S$2:$S$976,'01_원자료'!$A$2:$A$976,$A23,'01_원자료'!$C$2:$C$976,"gemma")+AVERAGEIFS('01_원자료'!$S$2:$S$976,'01_원자료'!$A$2:$A$976,$A23)</f>
        <v>4.5139671532221426E-2</v>
      </c>
      <c r="D23" s="48">
        <f>AVERAGEIFS('01_원자료'!$S$2:$S$976,'01_원자료'!$A$2:$A$976,$A23,'01_원자료'!$B$2:$B$976,"qwen3_6",'01_원자료'!$C$2:$C$976,"qwen")-AVERAGEIFS('01_원자료'!$S$2:$S$976,'01_원자료'!$A$2:$A$976,$A23,'01_원자료'!$B$2:$B$976,"qwen3_6")-AVERAGEIFS('01_원자료'!$S$2:$S$976,'01_원자료'!$A$2:$A$976,$A23,'01_원자료'!$C$2:$C$976,"qwen")+AVERAGEIFS('01_원자료'!$S$2:$S$976,'01_원자료'!$A$2:$A$976,$A23)</f>
        <v>1.0284279136593466E-2</v>
      </c>
      <c r="E23" s="48">
        <f>AVERAGEIFS('01_원자료'!$S$2:$S$976,'01_원자료'!$A$2:$A$976,$A23,'01_원자료'!$B$2:$B$976,"mistral",'01_원자료'!$C$2:$C$976,"ministral")-AVERAGEIFS('01_원자료'!$S$2:$S$976,'01_원자료'!$A$2:$A$976,$A23,'01_원자료'!$B$2:$B$976,"mistral")-AVERAGEIFS('01_원자료'!$S$2:$S$976,'01_원자료'!$A$2:$A$976,$A23,'01_원자료'!$C$2:$C$976,"ministral")+AVERAGEIFS('01_원자료'!$S$2:$S$976,'01_원자료'!$A$2:$A$976,$A23)</f>
        <v>5.333984048741558E-2</v>
      </c>
      <c r="F23" s="2">
        <f t="shared" si="1"/>
        <v>1</v>
      </c>
      <c r="G23" s="2">
        <f t="shared" si="2"/>
        <v>1</v>
      </c>
      <c r="H23" s="2">
        <f t="shared" si="3"/>
        <v>1</v>
      </c>
    </row>
    <row r="24" spans="1:8">
      <c r="A24" s="15" t="s">
        <v>142</v>
      </c>
      <c r="B24" s="5" t="str">
        <f t="shared" si="0"/>
        <v>특허</v>
      </c>
      <c r="C24" s="48">
        <f>AVERAGEIFS('01_원자료'!$S$2:$S$976,'01_원자료'!$A$2:$A$976,$A24,'01_원자료'!$B$2:$B$976,"gemini",'01_원자료'!$C$2:$C$976,"gemma")-AVERAGEIFS('01_원자료'!$S$2:$S$976,'01_원자료'!$A$2:$A$976,$A24,'01_원자료'!$B$2:$B$976,"gemini")-AVERAGEIFS('01_원자료'!$S$2:$S$976,'01_원자료'!$A$2:$A$976,$A24,'01_원자료'!$C$2:$C$976,"gemma")+AVERAGEIFS('01_원자료'!$S$2:$S$976,'01_원자료'!$A$2:$A$976,$A24)</f>
        <v>5.6222347262982808E-2</v>
      </c>
      <c r="D24" s="48">
        <f>AVERAGEIFS('01_원자료'!$S$2:$S$976,'01_원자료'!$A$2:$A$976,$A24,'01_원자료'!$B$2:$B$976,"qwen3_6",'01_원자료'!$C$2:$C$976,"qwen")-AVERAGEIFS('01_원자료'!$S$2:$S$976,'01_원자료'!$A$2:$A$976,$A24,'01_원자료'!$B$2:$B$976,"qwen3_6")-AVERAGEIFS('01_원자료'!$S$2:$S$976,'01_원자료'!$A$2:$A$976,$A24,'01_원자료'!$C$2:$C$976,"qwen")+AVERAGEIFS('01_원자료'!$S$2:$S$976,'01_원자료'!$A$2:$A$976,$A24)</f>
        <v>-1.4697889524443286E-2</v>
      </c>
      <c r="E24" s="48">
        <f>AVERAGEIFS('01_원자료'!$S$2:$S$976,'01_원자료'!$A$2:$A$976,$A24,'01_원자료'!$B$2:$B$976,"mistral",'01_원자료'!$C$2:$C$976,"ministral")-AVERAGEIFS('01_원자료'!$S$2:$S$976,'01_원자료'!$A$2:$A$976,$A24,'01_원자료'!$B$2:$B$976,"mistral")-AVERAGEIFS('01_원자료'!$S$2:$S$976,'01_원자료'!$A$2:$A$976,$A24,'01_원자료'!$C$2:$C$976,"ministral")+AVERAGEIFS('01_원자료'!$S$2:$S$976,'01_원자료'!$A$2:$A$976,$A24)</f>
        <v>5.0024789845358852E-2</v>
      </c>
      <c r="F24" s="2">
        <f t="shared" si="1"/>
        <v>1</v>
      </c>
      <c r="G24" s="2">
        <f t="shared" si="2"/>
        <v>0</v>
      </c>
      <c r="H24" s="2">
        <f t="shared" si="3"/>
        <v>1</v>
      </c>
    </row>
    <row r="25" spans="1:8">
      <c r="A25" s="15" t="s">
        <v>143</v>
      </c>
      <c r="B25" s="5" t="str">
        <f t="shared" si="0"/>
        <v>특허</v>
      </c>
      <c r="C25" s="48">
        <f>AVERAGEIFS('01_원자료'!$S$2:$S$976,'01_원자료'!$A$2:$A$976,$A25,'01_원자료'!$B$2:$B$976,"gemini",'01_원자료'!$C$2:$C$976,"gemma")-AVERAGEIFS('01_원자료'!$S$2:$S$976,'01_원자료'!$A$2:$A$976,$A25,'01_원자료'!$B$2:$B$976,"gemini")-AVERAGEIFS('01_원자료'!$S$2:$S$976,'01_원자료'!$A$2:$A$976,$A25,'01_원자료'!$C$2:$C$976,"gemma")+AVERAGEIFS('01_원자료'!$S$2:$S$976,'01_원자료'!$A$2:$A$976,$A25)</f>
        <v>5.1464917712812364E-2</v>
      </c>
      <c r="D25" s="48">
        <f>AVERAGEIFS('01_원자료'!$S$2:$S$976,'01_원자료'!$A$2:$A$976,$A25,'01_원자료'!$B$2:$B$976,"qwen3_6",'01_원자료'!$C$2:$C$976,"qwen")-AVERAGEIFS('01_원자료'!$S$2:$S$976,'01_원자료'!$A$2:$A$976,$A25,'01_원자료'!$B$2:$B$976,"qwen3_6")-AVERAGEIFS('01_원자료'!$S$2:$S$976,'01_원자료'!$A$2:$A$976,$A25,'01_원자료'!$C$2:$C$976,"qwen")+AVERAGEIFS('01_원자료'!$S$2:$S$976,'01_원자료'!$A$2:$A$976,$A25)</f>
        <v>-1.6202989329502593E-2</v>
      </c>
      <c r="E25" s="48">
        <f>AVERAGEIFS('01_원자료'!$S$2:$S$976,'01_원자료'!$A$2:$A$976,$A25,'01_원자료'!$B$2:$B$976,"mistral",'01_원자료'!$C$2:$C$976,"ministral")-AVERAGEIFS('01_원자료'!$S$2:$S$976,'01_원자료'!$A$2:$A$976,$A25,'01_원자료'!$B$2:$B$976,"mistral")-AVERAGEIFS('01_원자료'!$S$2:$S$976,'01_원자료'!$A$2:$A$976,$A25,'01_원자료'!$C$2:$C$976,"ministral")+AVERAGEIFS('01_원자료'!$S$2:$S$976,'01_원자료'!$A$2:$A$976,$A25)</f>
        <v>5.1618194921690619E-2</v>
      </c>
      <c r="F25" s="2">
        <f t="shared" si="1"/>
        <v>1</v>
      </c>
      <c r="G25" s="2">
        <f t="shared" si="2"/>
        <v>0</v>
      </c>
      <c r="H25" s="2">
        <f t="shared" si="3"/>
        <v>1</v>
      </c>
    </row>
    <row r="26" spans="1:8">
      <c r="A26" s="15" t="s">
        <v>144</v>
      </c>
      <c r="B26" s="5" t="str">
        <f t="shared" si="0"/>
        <v>특허</v>
      </c>
      <c r="C26" s="48">
        <f>AVERAGEIFS('01_원자료'!$S$2:$S$976,'01_원자료'!$A$2:$A$976,$A26,'01_원자료'!$B$2:$B$976,"gemini",'01_원자료'!$C$2:$C$976,"gemma")-AVERAGEIFS('01_원자료'!$S$2:$S$976,'01_원자료'!$A$2:$A$976,$A26,'01_원자료'!$B$2:$B$976,"gemini")-AVERAGEIFS('01_원자료'!$S$2:$S$976,'01_원자료'!$A$2:$A$976,$A26,'01_원자료'!$C$2:$C$976,"gemma")+AVERAGEIFS('01_원자료'!$S$2:$S$976,'01_원자료'!$A$2:$A$976,$A26)</f>
        <v>1.5682974036262953E-3</v>
      </c>
      <c r="D26" s="48">
        <f>AVERAGEIFS('01_원자료'!$S$2:$S$976,'01_원자료'!$A$2:$A$976,$A26,'01_원자료'!$B$2:$B$976,"qwen3_6",'01_원자료'!$C$2:$C$976,"qwen")-AVERAGEIFS('01_원자료'!$S$2:$S$976,'01_원자료'!$A$2:$A$976,$A26,'01_원자료'!$B$2:$B$976,"qwen3_6")-AVERAGEIFS('01_원자료'!$S$2:$S$976,'01_원자료'!$A$2:$A$976,$A26,'01_원자료'!$C$2:$C$976,"qwen")+AVERAGEIFS('01_원자료'!$S$2:$S$976,'01_원자료'!$A$2:$A$976,$A26)</f>
        <v>9.0726745927401931E-3</v>
      </c>
      <c r="E26" s="48">
        <f>AVERAGEIFS('01_원자료'!$S$2:$S$976,'01_원자료'!$A$2:$A$976,$A26,'01_원자료'!$B$2:$B$976,"mistral",'01_원자료'!$C$2:$C$976,"ministral")-AVERAGEIFS('01_원자료'!$S$2:$S$976,'01_원자료'!$A$2:$A$976,$A26,'01_원자료'!$B$2:$B$976,"mistral")-AVERAGEIFS('01_원자료'!$S$2:$S$976,'01_원자료'!$A$2:$A$976,$A26,'01_원자료'!$C$2:$C$976,"ministral")+AVERAGEIFS('01_원자료'!$S$2:$S$976,'01_원자료'!$A$2:$A$976,$A26)</f>
        <v>3.1122387538839225E-2</v>
      </c>
      <c r="F26" s="2">
        <f t="shared" si="1"/>
        <v>1</v>
      </c>
      <c r="G26" s="2">
        <f t="shared" si="2"/>
        <v>1</v>
      </c>
      <c r="H26" s="2">
        <f t="shared" si="3"/>
        <v>1</v>
      </c>
    </row>
    <row r="27" spans="1:8">
      <c r="A27" s="15" t="s">
        <v>145</v>
      </c>
      <c r="B27" s="5" t="str">
        <f t="shared" si="0"/>
        <v>특허</v>
      </c>
      <c r="C27" s="48">
        <f>AVERAGEIFS('01_원자료'!$S$2:$S$976,'01_원자료'!$A$2:$A$976,$A27,'01_원자료'!$B$2:$B$976,"gemini",'01_원자료'!$C$2:$C$976,"gemma")-AVERAGEIFS('01_원자료'!$S$2:$S$976,'01_원자료'!$A$2:$A$976,$A27,'01_원자료'!$B$2:$B$976,"gemini")-AVERAGEIFS('01_원자료'!$S$2:$S$976,'01_원자료'!$A$2:$A$976,$A27,'01_원자료'!$C$2:$C$976,"gemma")+AVERAGEIFS('01_원자료'!$S$2:$S$976,'01_원자료'!$A$2:$A$976,$A27)</f>
        <v>3.8842973423457994E-2</v>
      </c>
      <c r="D27" s="48">
        <f>AVERAGEIFS('01_원자료'!$S$2:$S$976,'01_원자료'!$A$2:$A$976,$A27,'01_원자료'!$B$2:$B$976,"qwen3_6",'01_원자료'!$C$2:$C$976,"qwen")-AVERAGEIFS('01_원자료'!$S$2:$S$976,'01_원자료'!$A$2:$A$976,$A27,'01_원자료'!$B$2:$B$976,"qwen3_6")-AVERAGEIFS('01_원자료'!$S$2:$S$976,'01_원자료'!$A$2:$A$976,$A27,'01_원자료'!$C$2:$C$976,"qwen")+AVERAGEIFS('01_원자료'!$S$2:$S$976,'01_원자료'!$A$2:$A$976,$A27)</f>
        <v>-2.6402275582569912E-3</v>
      </c>
      <c r="E27" s="48">
        <f>AVERAGEIFS('01_원자료'!$S$2:$S$976,'01_원자료'!$A$2:$A$976,$A27,'01_원자료'!$B$2:$B$976,"mistral",'01_원자료'!$C$2:$C$976,"ministral")-AVERAGEIFS('01_원자료'!$S$2:$S$976,'01_원자료'!$A$2:$A$976,$A27,'01_원자료'!$B$2:$B$976,"mistral")-AVERAGEIFS('01_원자료'!$S$2:$S$976,'01_원자료'!$A$2:$A$976,$A27,'01_원자료'!$C$2:$C$976,"ministral")+AVERAGEIFS('01_원자료'!$S$2:$S$976,'01_원자료'!$A$2:$A$976,$A27)</f>
        <v>7.8607252502133185E-2</v>
      </c>
      <c r="F27" s="2">
        <f t="shared" si="1"/>
        <v>1</v>
      </c>
      <c r="G27" s="2">
        <f t="shared" si="2"/>
        <v>0</v>
      </c>
      <c r="H27" s="2">
        <f t="shared" si="3"/>
        <v>1</v>
      </c>
    </row>
    <row r="28" spans="1:8">
      <c r="A28" s="15" t="s">
        <v>146</v>
      </c>
      <c r="B28" s="5" t="str">
        <f t="shared" si="0"/>
        <v>특허</v>
      </c>
      <c r="C28" s="48">
        <f>AVERAGEIFS('01_원자료'!$S$2:$S$976,'01_원자료'!$A$2:$A$976,$A28,'01_원자료'!$B$2:$B$976,"gemini",'01_원자료'!$C$2:$C$976,"gemma")-AVERAGEIFS('01_원자료'!$S$2:$S$976,'01_원자료'!$A$2:$A$976,$A28,'01_원자료'!$B$2:$B$976,"gemini")-AVERAGEIFS('01_원자료'!$S$2:$S$976,'01_원자료'!$A$2:$A$976,$A28,'01_원자료'!$C$2:$C$976,"gemma")+AVERAGEIFS('01_원자료'!$S$2:$S$976,'01_원자료'!$A$2:$A$976,$A28)</f>
        <v>3.2176445562268396E-2</v>
      </c>
      <c r="D28" s="48">
        <f>AVERAGEIFS('01_원자료'!$S$2:$S$976,'01_원자료'!$A$2:$A$976,$A28,'01_원자료'!$B$2:$B$976,"qwen3_6",'01_원자료'!$C$2:$C$976,"qwen")-AVERAGEIFS('01_원자료'!$S$2:$S$976,'01_원자료'!$A$2:$A$976,$A28,'01_원자료'!$B$2:$B$976,"qwen3_6")-AVERAGEIFS('01_원자료'!$S$2:$S$976,'01_원자료'!$A$2:$A$976,$A28,'01_원자료'!$C$2:$C$976,"qwen")+AVERAGEIFS('01_원자료'!$S$2:$S$976,'01_원자료'!$A$2:$A$976,$A28)</f>
        <v>8.3239121628583268E-3</v>
      </c>
      <c r="E28" s="48">
        <f>AVERAGEIFS('01_원자료'!$S$2:$S$976,'01_원자료'!$A$2:$A$976,$A28,'01_원자료'!$B$2:$B$976,"mistral",'01_원자료'!$C$2:$C$976,"ministral")-AVERAGEIFS('01_원자료'!$S$2:$S$976,'01_원자료'!$A$2:$A$976,$A28,'01_원자료'!$B$2:$B$976,"mistral")-AVERAGEIFS('01_원자료'!$S$2:$S$976,'01_원자료'!$A$2:$A$976,$A28,'01_원자료'!$C$2:$C$976,"ministral")+AVERAGEIFS('01_원자료'!$S$2:$S$976,'01_원자료'!$A$2:$A$976,$A28)</f>
        <v>1.1068551653517944E-2</v>
      </c>
      <c r="F28" s="2">
        <f t="shared" si="1"/>
        <v>1</v>
      </c>
      <c r="G28" s="2">
        <f t="shared" si="2"/>
        <v>1</v>
      </c>
      <c r="H28" s="2">
        <f t="shared" si="3"/>
        <v>1</v>
      </c>
    </row>
    <row r="29" spans="1:8">
      <c r="A29" s="15" t="s">
        <v>147</v>
      </c>
      <c r="B29" s="5" t="str">
        <f t="shared" si="0"/>
        <v>특허</v>
      </c>
      <c r="C29" s="48">
        <f>AVERAGEIFS('01_원자료'!$S$2:$S$976,'01_원자료'!$A$2:$A$976,$A29,'01_원자료'!$B$2:$B$976,"gemini",'01_원자료'!$C$2:$C$976,"gemma")-AVERAGEIFS('01_원자료'!$S$2:$S$976,'01_원자료'!$A$2:$A$976,$A29,'01_원자료'!$B$2:$B$976,"gemini")-AVERAGEIFS('01_원자료'!$S$2:$S$976,'01_원자료'!$A$2:$A$976,$A29,'01_원자료'!$C$2:$C$976,"gemma")+AVERAGEIFS('01_원자료'!$S$2:$S$976,'01_원자료'!$A$2:$A$976,$A29)</f>
        <v>3.2211989555138154E-2</v>
      </c>
      <c r="D29" s="48">
        <f>AVERAGEIFS('01_원자료'!$S$2:$S$976,'01_원자료'!$A$2:$A$976,$A29,'01_원자료'!$B$2:$B$976,"qwen3_6",'01_원자료'!$C$2:$C$976,"qwen")-AVERAGEIFS('01_원자료'!$S$2:$S$976,'01_원자료'!$A$2:$A$976,$A29,'01_원자료'!$B$2:$B$976,"qwen3_6")-AVERAGEIFS('01_원자료'!$S$2:$S$976,'01_원자료'!$A$2:$A$976,$A29,'01_원자료'!$C$2:$C$976,"qwen")+AVERAGEIFS('01_원자료'!$S$2:$S$976,'01_원자료'!$A$2:$A$976,$A29)</f>
        <v>-4.3999687969518142E-3</v>
      </c>
      <c r="E29" s="48">
        <f>AVERAGEIFS('01_원자료'!$S$2:$S$976,'01_원자료'!$A$2:$A$976,$A29,'01_원자료'!$B$2:$B$976,"mistral",'01_원자료'!$C$2:$C$976,"ministral")-AVERAGEIFS('01_원자료'!$S$2:$S$976,'01_원자료'!$A$2:$A$976,$A29,'01_원자료'!$B$2:$B$976,"mistral")-AVERAGEIFS('01_원자료'!$S$2:$S$976,'01_원자료'!$A$2:$A$976,$A29,'01_원자료'!$C$2:$C$976,"ministral")+AVERAGEIFS('01_원자료'!$S$2:$S$976,'01_원자료'!$A$2:$A$976,$A29)</f>
        <v>4.5267149446226451E-2</v>
      </c>
      <c r="F29" s="2">
        <f t="shared" si="1"/>
        <v>1</v>
      </c>
      <c r="G29" s="2">
        <f t="shared" si="2"/>
        <v>0</v>
      </c>
      <c r="H29" s="2">
        <f t="shared" si="3"/>
        <v>1</v>
      </c>
    </row>
    <row r="30" spans="1:8">
      <c r="A30" s="15" t="s">
        <v>148</v>
      </c>
      <c r="B30" s="5" t="str">
        <f t="shared" si="0"/>
        <v>특허</v>
      </c>
      <c r="C30" s="48">
        <f>AVERAGEIFS('01_원자료'!$S$2:$S$976,'01_원자료'!$A$2:$A$976,$A30,'01_원자료'!$B$2:$B$976,"gemini",'01_원자료'!$C$2:$C$976,"gemma")-AVERAGEIFS('01_원자료'!$S$2:$S$976,'01_원자료'!$A$2:$A$976,$A30,'01_원자료'!$B$2:$B$976,"gemini")-AVERAGEIFS('01_원자료'!$S$2:$S$976,'01_원자료'!$A$2:$A$976,$A30,'01_원자료'!$C$2:$C$976,"gemma")+AVERAGEIFS('01_원자료'!$S$2:$S$976,'01_원자료'!$A$2:$A$976,$A30)</f>
        <v>1.0127724715158992E-2</v>
      </c>
      <c r="D30" s="48">
        <f>AVERAGEIFS('01_원자료'!$S$2:$S$976,'01_원자료'!$A$2:$A$976,$A30,'01_원자료'!$B$2:$B$976,"qwen3_6",'01_원자료'!$C$2:$C$976,"qwen")-AVERAGEIFS('01_원자료'!$S$2:$S$976,'01_원자료'!$A$2:$A$976,$A30,'01_원자료'!$B$2:$B$976,"qwen3_6")-AVERAGEIFS('01_원자료'!$S$2:$S$976,'01_원자료'!$A$2:$A$976,$A30,'01_원자료'!$C$2:$C$976,"qwen")+AVERAGEIFS('01_원자료'!$S$2:$S$976,'01_원자료'!$A$2:$A$976,$A30)</f>
        <v>2.0050980655764272E-2</v>
      </c>
      <c r="E30" s="48">
        <f>AVERAGEIFS('01_원자료'!$S$2:$S$976,'01_원자료'!$A$2:$A$976,$A30,'01_원자료'!$B$2:$B$976,"mistral",'01_원자료'!$C$2:$C$976,"ministral")-AVERAGEIFS('01_원자료'!$S$2:$S$976,'01_원자료'!$A$2:$A$976,$A30,'01_원자료'!$B$2:$B$976,"mistral")-AVERAGEIFS('01_원자료'!$S$2:$S$976,'01_원자료'!$A$2:$A$976,$A30,'01_원자료'!$C$2:$C$976,"ministral")+AVERAGEIFS('01_원자료'!$S$2:$S$976,'01_원자료'!$A$2:$A$976,$A30)</f>
        <v>1.3561427398202541E-2</v>
      </c>
      <c r="F30" s="2">
        <f t="shared" si="1"/>
        <v>1</v>
      </c>
      <c r="G30" s="2">
        <f t="shared" si="2"/>
        <v>1</v>
      </c>
      <c r="H30" s="2">
        <f t="shared" si="3"/>
        <v>1</v>
      </c>
    </row>
    <row r="31" spans="1:8">
      <c r="A31" s="15" t="s">
        <v>149</v>
      </c>
      <c r="B31" s="5" t="str">
        <f t="shared" si="0"/>
        <v>특허</v>
      </c>
      <c r="C31" s="48">
        <f>AVERAGEIFS('01_원자료'!$S$2:$S$976,'01_원자료'!$A$2:$A$976,$A31,'01_원자료'!$B$2:$B$976,"gemini",'01_원자료'!$C$2:$C$976,"gemma")-AVERAGEIFS('01_원자료'!$S$2:$S$976,'01_원자료'!$A$2:$A$976,$A31,'01_원자료'!$B$2:$B$976,"gemini")-AVERAGEIFS('01_원자료'!$S$2:$S$976,'01_원자료'!$A$2:$A$976,$A31,'01_원자료'!$C$2:$C$976,"gemma")+AVERAGEIFS('01_원자료'!$S$2:$S$976,'01_원자료'!$A$2:$A$976,$A31)</f>
        <v>-9.3230619151696281E-3</v>
      </c>
      <c r="D31" s="48">
        <f>AVERAGEIFS('01_원자료'!$S$2:$S$976,'01_원자료'!$A$2:$A$976,$A31,'01_원자료'!$B$2:$B$976,"qwen3_6",'01_원자료'!$C$2:$C$976,"qwen")-AVERAGEIFS('01_원자료'!$S$2:$S$976,'01_원자료'!$A$2:$A$976,$A31,'01_원자료'!$B$2:$B$976,"qwen3_6")-AVERAGEIFS('01_원자료'!$S$2:$S$976,'01_원자료'!$A$2:$A$976,$A31,'01_원자료'!$C$2:$C$976,"qwen")+AVERAGEIFS('01_원자료'!$S$2:$S$976,'01_원자료'!$A$2:$A$976,$A31)</f>
        <v>2.4523726783007294E-2</v>
      </c>
      <c r="E31" s="48">
        <f>AVERAGEIFS('01_원자료'!$S$2:$S$976,'01_원자료'!$A$2:$A$976,$A31,'01_원자료'!$B$2:$B$976,"mistral",'01_원자료'!$C$2:$C$976,"ministral")-AVERAGEIFS('01_원자료'!$S$2:$S$976,'01_원자료'!$A$2:$A$976,$A31,'01_원자료'!$B$2:$B$976,"mistral")-AVERAGEIFS('01_원자료'!$S$2:$S$976,'01_원자료'!$A$2:$A$976,$A31,'01_원자료'!$C$2:$C$976,"ministral")+AVERAGEIFS('01_원자료'!$S$2:$S$976,'01_원자료'!$A$2:$A$976,$A31)</f>
        <v>3.0360090268671147E-2</v>
      </c>
      <c r="F31" s="2">
        <f t="shared" si="1"/>
        <v>0</v>
      </c>
      <c r="G31" s="2">
        <f t="shared" si="2"/>
        <v>1</v>
      </c>
      <c r="H31" s="2">
        <f t="shared" si="3"/>
        <v>1</v>
      </c>
    </row>
    <row r="32" spans="1:8">
      <c r="A32" s="15" t="s">
        <v>150</v>
      </c>
      <c r="B32" s="5" t="str">
        <f t="shared" si="0"/>
        <v>특허</v>
      </c>
      <c r="C32" s="48">
        <f>AVERAGEIFS('01_원자료'!$S$2:$S$976,'01_원자료'!$A$2:$A$976,$A32,'01_원자료'!$B$2:$B$976,"gemini",'01_원자료'!$C$2:$C$976,"gemma")-AVERAGEIFS('01_원자료'!$S$2:$S$976,'01_원자료'!$A$2:$A$976,$A32,'01_원자료'!$B$2:$B$976,"gemini")-AVERAGEIFS('01_원자료'!$S$2:$S$976,'01_원자료'!$A$2:$A$976,$A32,'01_원자료'!$C$2:$C$976,"gemma")+AVERAGEIFS('01_원자료'!$S$2:$S$976,'01_원자료'!$A$2:$A$976,$A32)</f>
        <v>4.4219823585608387E-3</v>
      </c>
      <c r="D32" s="48">
        <f>AVERAGEIFS('01_원자료'!$S$2:$S$976,'01_원자료'!$A$2:$A$976,$A32,'01_원자료'!$B$2:$B$976,"qwen3_6",'01_원자료'!$C$2:$C$976,"qwen")-AVERAGEIFS('01_원자료'!$S$2:$S$976,'01_원자료'!$A$2:$A$976,$A32,'01_원자료'!$B$2:$B$976,"qwen3_6")-AVERAGEIFS('01_원자료'!$S$2:$S$976,'01_원자료'!$A$2:$A$976,$A32,'01_원자료'!$C$2:$C$976,"qwen")+AVERAGEIFS('01_원자료'!$S$2:$S$976,'01_원자료'!$A$2:$A$976,$A32)</f>
        <v>-5.2105447387676973E-3</v>
      </c>
      <c r="E32" s="48">
        <f>AVERAGEIFS('01_원자료'!$S$2:$S$976,'01_원자료'!$A$2:$A$976,$A32,'01_원자료'!$B$2:$B$976,"mistral",'01_원자료'!$C$2:$C$976,"ministral")-AVERAGEIFS('01_원자료'!$S$2:$S$976,'01_원자료'!$A$2:$A$976,$A32,'01_원자료'!$B$2:$B$976,"mistral")-AVERAGEIFS('01_원자료'!$S$2:$S$976,'01_원자료'!$A$2:$A$976,$A32,'01_원자료'!$C$2:$C$976,"ministral")+AVERAGEIFS('01_원자료'!$S$2:$S$976,'01_원자료'!$A$2:$A$976,$A32)</f>
        <v>-1.0309771355448638E-2</v>
      </c>
      <c r="F32" s="2">
        <f t="shared" si="1"/>
        <v>1</v>
      </c>
      <c r="G32" s="2">
        <f t="shared" si="2"/>
        <v>0</v>
      </c>
      <c r="H32" s="2">
        <f t="shared" si="3"/>
        <v>0</v>
      </c>
    </row>
    <row r="33" spans="1:8">
      <c r="A33" s="15" t="s">
        <v>151</v>
      </c>
      <c r="B33" s="5" t="str">
        <f t="shared" si="0"/>
        <v>특허</v>
      </c>
      <c r="C33" s="48">
        <f>AVERAGEIFS('01_원자료'!$S$2:$S$976,'01_원자료'!$A$2:$A$976,$A33,'01_원자료'!$B$2:$B$976,"gemini",'01_원자료'!$C$2:$C$976,"gemma")-AVERAGEIFS('01_원자료'!$S$2:$S$976,'01_원자료'!$A$2:$A$976,$A33,'01_원자료'!$B$2:$B$976,"gemini")-AVERAGEIFS('01_원자료'!$S$2:$S$976,'01_원자료'!$A$2:$A$976,$A33,'01_원자료'!$C$2:$C$976,"gemma")+AVERAGEIFS('01_원자료'!$S$2:$S$976,'01_원자료'!$A$2:$A$976,$A33)</f>
        <v>2.590951529544272E-2</v>
      </c>
      <c r="D33" s="48">
        <f>AVERAGEIFS('01_원자료'!$S$2:$S$976,'01_원자료'!$A$2:$A$976,$A33,'01_원자료'!$B$2:$B$976,"qwen3_6",'01_원자료'!$C$2:$C$976,"qwen")-AVERAGEIFS('01_원자료'!$S$2:$S$976,'01_원자료'!$A$2:$A$976,$A33,'01_원자료'!$B$2:$B$976,"qwen3_6")-AVERAGEIFS('01_원자료'!$S$2:$S$976,'01_원자료'!$A$2:$A$976,$A33,'01_원자료'!$C$2:$C$976,"qwen")+AVERAGEIFS('01_원자료'!$S$2:$S$976,'01_원자료'!$A$2:$A$976,$A33)</f>
        <v>3.2170844133376897E-2</v>
      </c>
      <c r="E33" s="48">
        <f>AVERAGEIFS('01_원자료'!$S$2:$S$976,'01_원자료'!$A$2:$A$976,$A33,'01_원자료'!$B$2:$B$976,"mistral",'01_원자료'!$C$2:$C$976,"ministral")-AVERAGEIFS('01_원자료'!$S$2:$S$976,'01_원자료'!$A$2:$A$976,$A33,'01_원자료'!$B$2:$B$976,"mistral")-AVERAGEIFS('01_원자료'!$S$2:$S$976,'01_원자료'!$A$2:$A$976,$A33,'01_원자료'!$C$2:$C$976,"ministral")+AVERAGEIFS('01_원자료'!$S$2:$S$976,'01_원자료'!$A$2:$A$976,$A33)</f>
        <v>8.7787134104373554E-2</v>
      </c>
      <c r="F33" s="2">
        <f t="shared" si="1"/>
        <v>1</v>
      </c>
      <c r="G33" s="2">
        <f t="shared" si="2"/>
        <v>1</v>
      </c>
      <c r="H33" s="2">
        <f t="shared" si="3"/>
        <v>1</v>
      </c>
    </row>
    <row r="34" spans="1:8">
      <c r="A34" s="15" t="s">
        <v>152</v>
      </c>
      <c r="B34" s="5" t="str">
        <f t="shared" si="0"/>
        <v>특허</v>
      </c>
      <c r="C34" s="48">
        <f>AVERAGEIFS('01_원자료'!$S$2:$S$976,'01_원자료'!$A$2:$A$976,$A34,'01_원자료'!$B$2:$B$976,"gemini",'01_원자료'!$C$2:$C$976,"gemma")-AVERAGEIFS('01_원자료'!$S$2:$S$976,'01_원자료'!$A$2:$A$976,$A34,'01_원자료'!$B$2:$B$976,"gemini")-AVERAGEIFS('01_원자료'!$S$2:$S$976,'01_원자료'!$A$2:$A$976,$A34,'01_원자료'!$C$2:$C$976,"gemma")+AVERAGEIFS('01_원자료'!$S$2:$S$976,'01_원자료'!$A$2:$A$976,$A34)</f>
        <v>7.8376184712763974E-3</v>
      </c>
      <c r="D34" s="48">
        <f>AVERAGEIFS('01_원자료'!$S$2:$S$976,'01_원자료'!$A$2:$A$976,$A34,'01_원자료'!$B$2:$B$976,"qwen3_6",'01_원자료'!$C$2:$C$976,"qwen")-AVERAGEIFS('01_원자료'!$S$2:$S$976,'01_원자료'!$A$2:$A$976,$A34,'01_원자료'!$B$2:$B$976,"qwen3_6")-AVERAGEIFS('01_원자료'!$S$2:$S$976,'01_원자료'!$A$2:$A$976,$A34,'01_원자료'!$C$2:$C$976,"qwen")+AVERAGEIFS('01_원자료'!$S$2:$S$976,'01_원자료'!$A$2:$A$976,$A34)</f>
        <v>3.9164851076745388E-2</v>
      </c>
      <c r="E34" s="48">
        <f>AVERAGEIFS('01_원자료'!$S$2:$S$976,'01_원자료'!$A$2:$A$976,$A34,'01_원자료'!$B$2:$B$976,"mistral",'01_원자료'!$C$2:$C$976,"ministral")-AVERAGEIFS('01_원자료'!$S$2:$S$976,'01_원자료'!$A$2:$A$976,$A34,'01_원자료'!$B$2:$B$976,"mistral")-AVERAGEIFS('01_원자료'!$S$2:$S$976,'01_원자료'!$A$2:$A$976,$A34,'01_원자료'!$C$2:$C$976,"ministral")+AVERAGEIFS('01_원자료'!$S$2:$S$976,'01_원자료'!$A$2:$A$976,$A34)</f>
        <v>2.1623423455338298E-2</v>
      </c>
      <c r="F34" s="2">
        <f t="shared" si="1"/>
        <v>1</v>
      </c>
      <c r="G34" s="2">
        <f t="shared" si="2"/>
        <v>1</v>
      </c>
      <c r="H34" s="2">
        <f t="shared" si="3"/>
        <v>1</v>
      </c>
    </row>
    <row r="35" spans="1:8">
      <c r="A35" s="15" t="s">
        <v>153</v>
      </c>
      <c r="B35" s="5" t="str">
        <f t="shared" si="0"/>
        <v>특허</v>
      </c>
      <c r="C35" s="48">
        <f>AVERAGEIFS('01_원자료'!$S$2:$S$976,'01_원자료'!$A$2:$A$976,$A35,'01_원자료'!$B$2:$B$976,"gemini",'01_원자료'!$C$2:$C$976,"gemma")-AVERAGEIFS('01_원자료'!$S$2:$S$976,'01_원자료'!$A$2:$A$976,$A35,'01_원자료'!$B$2:$B$976,"gemini")-AVERAGEIFS('01_원자료'!$S$2:$S$976,'01_원자료'!$A$2:$A$976,$A35,'01_원자료'!$C$2:$C$976,"gemma")+AVERAGEIFS('01_원자료'!$S$2:$S$976,'01_원자료'!$A$2:$A$976,$A35)</f>
        <v>4.4494029784009292E-2</v>
      </c>
      <c r="D35" s="48">
        <f>AVERAGEIFS('01_원자료'!$S$2:$S$976,'01_원자료'!$A$2:$A$976,$A35,'01_원자료'!$B$2:$B$976,"qwen3_6",'01_원자료'!$C$2:$C$976,"qwen")-AVERAGEIFS('01_원자료'!$S$2:$S$976,'01_원자료'!$A$2:$A$976,$A35,'01_원자료'!$B$2:$B$976,"qwen3_6")-AVERAGEIFS('01_원자료'!$S$2:$S$976,'01_원자료'!$A$2:$A$976,$A35,'01_원자료'!$C$2:$C$976,"qwen")+AVERAGEIFS('01_원자료'!$S$2:$S$976,'01_원자료'!$A$2:$A$976,$A35)</f>
        <v>-2.4425503553513472E-3</v>
      </c>
      <c r="E35" s="48">
        <f>AVERAGEIFS('01_원자료'!$S$2:$S$976,'01_원자료'!$A$2:$A$976,$A35,'01_원자료'!$B$2:$B$976,"mistral",'01_원자료'!$C$2:$C$976,"ministral")-AVERAGEIFS('01_원자료'!$S$2:$S$976,'01_원자료'!$A$2:$A$976,$A35,'01_원자료'!$B$2:$B$976,"mistral")-AVERAGEIFS('01_원자료'!$S$2:$S$976,'01_원자료'!$A$2:$A$976,$A35,'01_원자료'!$C$2:$C$976,"ministral")+AVERAGEIFS('01_원자료'!$S$2:$S$976,'01_원자료'!$A$2:$A$976,$A35)</f>
        <v>7.8319919927876125E-3</v>
      </c>
      <c r="F35" s="2">
        <f t="shared" si="1"/>
        <v>1</v>
      </c>
      <c r="G35" s="2">
        <f t="shared" si="2"/>
        <v>0</v>
      </c>
      <c r="H35" s="2">
        <f t="shared" si="3"/>
        <v>1</v>
      </c>
    </row>
    <row r="36" spans="1:8">
      <c r="A36" s="15" t="s">
        <v>154</v>
      </c>
      <c r="B36" s="5" t="str">
        <f t="shared" si="0"/>
        <v>보고서</v>
      </c>
      <c r="C36" s="48">
        <f>AVERAGEIFS('01_원자료'!$S$2:$S$976,'01_원자료'!$A$2:$A$976,$A36,'01_원자료'!$B$2:$B$976,"gemini",'01_원자료'!$C$2:$C$976,"gemma")-AVERAGEIFS('01_원자료'!$S$2:$S$976,'01_원자료'!$A$2:$A$976,$A36,'01_원자료'!$B$2:$B$976,"gemini")-AVERAGEIFS('01_원자료'!$S$2:$S$976,'01_원자료'!$A$2:$A$976,$A36,'01_원자료'!$C$2:$C$976,"gemma")+AVERAGEIFS('01_원자료'!$S$2:$S$976,'01_원자료'!$A$2:$A$976,$A36)</f>
        <v>1.9655513015717552E-2</v>
      </c>
      <c r="D36" s="48">
        <f>AVERAGEIFS('01_원자료'!$S$2:$S$976,'01_원자료'!$A$2:$A$976,$A36,'01_원자료'!$B$2:$B$976,"qwen3_6",'01_원자료'!$C$2:$C$976,"qwen")-AVERAGEIFS('01_원자료'!$S$2:$S$976,'01_원자료'!$A$2:$A$976,$A36,'01_원자료'!$B$2:$B$976,"qwen3_6")-AVERAGEIFS('01_원자료'!$S$2:$S$976,'01_원자료'!$A$2:$A$976,$A36,'01_원자료'!$C$2:$C$976,"qwen")+AVERAGEIFS('01_원자료'!$S$2:$S$976,'01_원자료'!$A$2:$A$976,$A36)</f>
        <v>2.3238111122300231E-2</v>
      </c>
      <c r="E36" s="48">
        <f>AVERAGEIFS('01_원자료'!$S$2:$S$976,'01_원자료'!$A$2:$A$976,$A36,'01_원자료'!$B$2:$B$976,"mistral",'01_원자료'!$C$2:$C$976,"ministral")-AVERAGEIFS('01_원자료'!$S$2:$S$976,'01_원자료'!$A$2:$A$976,$A36,'01_원자료'!$B$2:$B$976,"mistral")-AVERAGEIFS('01_원자료'!$S$2:$S$976,'01_원자료'!$A$2:$A$976,$A36,'01_원자료'!$C$2:$C$976,"ministral")+AVERAGEIFS('01_원자료'!$S$2:$S$976,'01_원자료'!$A$2:$A$976,$A36)</f>
        <v>1.2112454502923309E-2</v>
      </c>
      <c r="F36" s="2">
        <f t="shared" si="1"/>
        <v>1</v>
      </c>
      <c r="G36" s="2">
        <f t="shared" si="2"/>
        <v>1</v>
      </c>
      <c r="H36" s="2">
        <f t="shared" si="3"/>
        <v>1</v>
      </c>
    </row>
    <row r="37" spans="1:8">
      <c r="A37" s="15" t="s">
        <v>155</v>
      </c>
      <c r="B37" s="5" t="str">
        <f t="shared" ref="B37:B68" si="4">IF(LEFT(A37,3)="PAT","특허","보고서")</f>
        <v>보고서</v>
      </c>
      <c r="C37" s="48">
        <f>AVERAGEIFS('01_원자료'!$S$2:$S$976,'01_원자료'!$A$2:$A$976,$A37,'01_원자료'!$B$2:$B$976,"gemini",'01_원자료'!$C$2:$C$976,"gemma")-AVERAGEIFS('01_원자료'!$S$2:$S$976,'01_원자료'!$A$2:$A$976,$A37,'01_원자료'!$B$2:$B$976,"gemini")-AVERAGEIFS('01_원자료'!$S$2:$S$976,'01_원자료'!$A$2:$A$976,$A37,'01_원자료'!$C$2:$C$976,"gemma")+AVERAGEIFS('01_원자료'!$S$2:$S$976,'01_원자료'!$A$2:$A$976,$A37)</f>
        <v>1.6532509433603515E-2</v>
      </c>
      <c r="D37" s="48">
        <f>AVERAGEIFS('01_원자료'!$S$2:$S$976,'01_원자료'!$A$2:$A$976,$A37,'01_원자료'!$B$2:$B$976,"qwen3_6",'01_원자료'!$C$2:$C$976,"qwen")-AVERAGEIFS('01_원자료'!$S$2:$S$976,'01_원자료'!$A$2:$A$976,$A37,'01_원자료'!$B$2:$B$976,"qwen3_6")-AVERAGEIFS('01_원자료'!$S$2:$S$976,'01_원자료'!$A$2:$A$976,$A37,'01_원자료'!$C$2:$C$976,"qwen")+AVERAGEIFS('01_원자료'!$S$2:$S$976,'01_원자료'!$A$2:$A$976,$A37)</f>
        <v>1.0396614522082848E-2</v>
      </c>
      <c r="E37" s="48">
        <f>AVERAGEIFS('01_원자료'!$S$2:$S$976,'01_원자료'!$A$2:$A$976,$A37,'01_원자료'!$B$2:$B$976,"mistral",'01_원자료'!$C$2:$C$976,"ministral")-AVERAGEIFS('01_원자료'!$S$2:$S$976,'01_원자료'!$A$2:$A$976,$A37,'01_원자료'!$B$2:$B$976,"mistral")-AVERAGEIFS('01_원자료'!$S$2:$S$976,'01_원자료'!$A$2:$A$976,$A37,'01_원자료'!$C$2:$C$976,"ministral")+AVERAGEIFS('01_원자료'!$S$2:$S$976,'01_원자료'!$A$2:$A$976,$A37)</f>
        <v>3.8087513348968094E-2</v>
      </c>
      <c r="F37" s="2">
        <f t="shared" ref="F37:F69" si="5">IF(C37&gt;0,1,0)</f>
        <v>1</v>
      </c>
      <c r="G37" s="2">
        <f t="shared" ref="G37:G69" si="6">IF(D37&gt;0,1,0)</f>
        <v>1</v>
      </c>
      <c r="H37" s="2">
        <f t="shared" ref="H37:H69" si="7">IF(E37&gt;0,1,0)</f>
        <v>1</v>
      </c>
    </row>
    <row r="38" spans="1:8">
      <c r="A38" s="15" t="s">
        <v>156</v>
      </c>
      <c r="B38" s="5" t="str">
        <f t="shared" si="4"/>
        <v>보고서</v>
      </c>
      <c r="C38" s="48">
        <f>AVERAGEIFS('01_원자료'!$S$2:$S$976,'01_원자료'!$A$2:$A$976,$A38,'01_원자료'!$B$2:$B$976,"gemini",'01_원자료'!$C$2:$C$976,"gemma")-AVERAGEIFS('01_원자료'!$S$2:$S$976,'01_원자료'!$A$2:$A$976,$A38,'01_원자료'!$B$2:$B$976,"gemini")-AVERAGEIFS('01_원자료'!$S$2:$S$976,'01_원자료'!$A$2:$A$976,$A38,'01_원자료'!$C$2:$C$976,"gemma")+AVERAGEIFS('01_원자료'!$S$2:$S$976,'01_원자료'!$A$2:$A$976,$A38)</f>
        <v>2.6621928390773264E-2</v>
      </c>
      <c r="D38" s="48">
        <f>AVERAGEIFS('01_원자료'!$S$2:$S$976,'01_원자료'!$A$2:$A$976,$A38,'01_원자료'!$B$2:$B$976,"qwen3_6",'01_원자료'!$C$2:$C$976,"qwen")-AVERAGEIFS('01_원자료'!$S$2:$S$976,'01_원자료'!$A$2:$A$976,$A38,'01_원자료'!$B$2:$B$976,"qwen3_6")-AVERAGEIFS('01_원자료'!$S$2:$S$976,'01_원자료'!$A$2:$A$976,$A38,'01_원자료'!$C$2:$C$976,"qwen")+AVERAGEIFS('01_원자료'!$S$2:$S$976,'01_원자료'!$A$2:$A$976,$A38)</f>
        <v>2.4002714929544533E-2</v>
      </c>
      <c r="E38" s="48">
        <f>AVERAGEIFS('01_원자료'!$S$2:$S$976,'01_원자료'!$A$2:$A$976,$A38,'01_원자료'!$B$2:$B$976,"mistral",'01_원자료'!$C$2:$C$976,"ministral")-AVERAGEIFS('01_원자료'!$S$2:$S$976,'01_원자료'!$A$2:$A$976,$A38,'01_원자료'!$B$2:$B$976,"mistral")-AVERAGEIFS('01_원자료'!$S$2:$S$976,'01_원자료'!$A$2:$A$976,$A38,'01_원자료'!$C$2:$C$976,"ministral")+AVERAGEIFS('01_원자료'!$S$2:$S$976,'01_원자료'!$A$2:$A$976,$A38)</f>
        <v>8.0506012871021104E-3</v>
      </c>
      <c r="F38" s="2">
        <f t="shared" si="5"/>
        <v>1</v>
      </c>
      <c r="G38" s="2">
        <f t="shared" si="6"/>
        <v>1</v>
      </c>
      <c r="H38" s="2">
        <f t="shared" si="7"/>
        <v>1</v>
      </c>
    </row>
    <row r="39" spans="1:8">
      <c r="A39" s="15" t="s">
        <v>157</v>
      </c>
      <c r="B39" s="5" t="str">
        <f t="shared" si="4"/>
        <v>보고서</v>
      </c>
      <c r="C39" s="48">
        <f>AVERAGEIFS('01_원자료'!$S$2:$S$976,'01_원자료'!$A$2:$A$976,$A39,'01_원자료'!$B$2:$B$976,"gemini",'01_원자료'!$C$2:$C$976,"gemma")-AVERAGEIFS('01_원자료'!$S$2:$S$976,'01_원자료'!$A$2:$A$976,$A39,'01_원자료'!$B$2:$B$976,"gemini")-AVERAGEIFS('01_원자료'!$S$2:$S$976,'01_원자료'!$A$2:$A$976,$A39,'01_원자료'!$C$2:$C$976,"gemma")+AVERAGEIFS('01_원자료'!$S$2:$S$976,'01_원자료'!$A$2:$A$976,$A39)</f>
        <v>3.8167276296626973E-2</v>
      </c>
      <c r="D39" s="48">
        <f>AVERAGEIFS('01_원자료'!$S$2:$S$976,'01_원자료'!$A$2:$A$976,$A39,'01_원자료'!$B$2:$B$976,"qwen3_6",'01_원자료'!$C$2:$C$976,"qwen")-AVERAGEIFS('01_원자료'!$S$2:$S$976,'01_원자료'!$A$2:$A$976,$A39,'01_원자료'!$B$2:$B$976,"qwen3_6")-AVERAGEIFS('01_원자료'!$S$2:$S$976,'01_원자료'!$A$2:$A$976,$A39,'01_원자료'!$C$2:$C$976,"qwen")+AVERAGEIFS('01_원자료'!$S$2:$S$976,'01_원자료'!$A$2:$A$976,$A39)</f>
        <v>-4.1343579570177758E-3</v>
      </c>
      <c r="E39" s="48">
        <f>AVERAGEIFS('01_원자료'!$S$2:$S$976,'01_원자료'!$A$2:$A$976,$A39,'01_원자료'!$B$2:$B$976,"mistral",'01_원자료'!$C$2:$C$976,"ministral")-AVERAGEIFS('01_원자료'!$S$2:$S$976,'01_원자료'!$A$2:$A$976,$A39,'01_원자료'!$B$2:$B$976,"mistral")-AVERAGEIFS('01_원자료'!$S$2:$S$976,'01_원자료'!$A$2:$A$976,$A39,'01_원자료'!$C$2:$C$976,"ministral")+AVERAGEIFS('01_원자료'!$S$2:$S$976,'01_원자료'!$A$2:$A$976,$A39)</f>
        <v>1.7384832510273562E-2</v>
      </c>
      <c r="F39" s="2">
        <f t="shared" si="5"/>
        <v>1</v>
      </c>
      <c r="G39" s="2">
        <f t="shared" si="6"/>
        <v>0</v>
      </c>
      <c r="H39" s="2">
        <f t="shared" si="7"/>
        <v>1</v>
      </c>
    </row>
    <row r="40" spans="1:8">
      <c r="A40" s="15" t="s">
        <v>158</v>
      </c>
      <c r="B40" s="5" t="str">
        <f t="shared" si="4"/>
        <v>보고서</v>
      </c>
      <c r="C40" s="48">
        <f>AVERAGEIFS('01_원자료'!$S$2:$S$976,'01_원자료'!$A$2:$A$976,$A40,'01_원자료'!$B$2:$B$976,"gemini",'01_원자료'!$C$2:$C$976,"gemma")-AVERAGEIFS('01_원자료'!$S$2:$S$976,'01_원자료'!$A$2:$A$976,$A40,'01_원자료'!$B$2:$B$976,"gemini")-AVERAGEIFS('01_원자료'!$S$2:$S$976,'01_원자료'!$A$2:$A$976,$A40,'01_원자료'!$C$2:$C$976,"gemma")+AVERAGEIFS('01_원자료'!$S$2:$S$976,'01_원자료'!$A$2:$A$976,$A40)</f>
        <v>3.8805234376991793E-2</v>
      </c>
      <c r="D40" s="48">
        <f>AVERAGEIFS('01_원자료'!$S$2:$S$976,'01_원자료'!$A$2:$A$976,$A40,'01_원자료'!$B$2:$B$976,"qwen3_6",'01_원자료'!$C$2:$C$976,"qwen")-AVERAGEIFS('01_원자료'!$S$2:$S$976,'01_원자료'!$A$2:$A$976,$A40,'01_원자료'!$B$2:$B$976,"qwen3_6")-AVERAGEIFS('01_원자료'!$S$2:$S$976,'01_원자료'!$A$2:$A$976,$A40,'01_원자료'!$C$2:$C$976,"qwen")+AVERAGEIFS('01_원자료'!$S$2:$S$976,'01_원자료'!$A$2:$A$976,$A40)</f>
        <v>2.5325581149474585E-3</v>
      </c>
      <c r="E40" s="48">
        <f>AVERAGEIFS('01_원자료'!$S$2:$S$976,'01_원자료'!$A$2:$A$976,$A40,'01_원자료'!$B$2:$B$976,"mistral",'01_원자료'!$C$2:$C$976,"ministral")-AVERAGEIFS('01_원자료'!$S$2:$S$976,'01_원자료'!$A$2:$A$976,$A40,'01_원자료'!$B$2:$B$976,"mistral")-AVERAGEIFS('01_원자료'!$S$2:$S$976,'01_원자료'!$A$2:$A$976,$A40,'01_원자료'!$C$2:$C$976,"ministral")+AVERAGEIFS('01_원자료'!$S$2:$S$976,'01_원자료'!$A$2:$A$976,$A40)</f>
        <v>1.7409549823790726E-2</v>
      </c>
      <c r="F40" s="2">
        <f t="shared" si="5"/>
        <v>1</v>
      </c>
      <c r="G40" s="2">
        <f t="shared" si="6"/>
        <v>1</v>
      </c>
      <c r="H40" s="2">
        <f t="shared" si="7"/>
        <v>1</v>
      </c>
    </row>
    <row r="41" spans="1:8">
      <c r="A41" s="15" t="s">
        <v>159</v>
      </c>
      <c r="B41" s="5" t="str">
        <f t="shared" si="4"/>
        <v>보고서</v>
      </c>
      <c r="C41" s="48">
        <f>AVERAGEIFS('01_원자료'!$S$2:$S$976,'01_원자료'!$A$2:$A$976,$A41,'01_원자료'!$B$2:$B$976,"gemini",'01_원자료'!$C$2:$C$976,"gemma")-AVERAGEIFS('01_원자료'!$S$2:$S$976,'01_원자료'!$A$2:$A$976,$A41,'01_원자료'!$B$2:$B$976,"gemini")-AVERAGEIFS('01_원자료'!$S$2:$S$976,'01_원자료'!$A$2:$A$976,$A41,'01_원자료'!$C$2:$C$976,"gemma")+AVERAGEIFS('01_원자료'!$S$2:$S$976,'01_원자료'!$A$2:$A$976,$A41)</f>
        <v>4.484585042753686E-2</v>
      </c>
      <c r="D41" s="48">
        <f>AVERAGEIFS('01_원자료'!$S$2:$S$976,'01_원자료'!$A$2:$A$976,$A41,'01_원자료'!$B$2:$B$976,"qwen3_6",'01_원자료'!$C$2:$C$976,"qwen")-AVERAGEIFS('01_원자료'!$S$2:$S$976,'01_원자료'!$A$2:$A$976,$A41,'01_원자료'!$B$2:$B$976,"qwen3_6")-AVERAGEIFS('01_원자료'!$S$2:$S$976,'01_원자료'!$A$2:$A$976,$A41,'01_원자료'!$C$2:$C$976,"qwen")+AVERAGEIFS('01_원자료'!$S$2:$S$976,'01_원자료'!$A$2:$A$976,$A41)</f>
        <v>1.1935793835554653E-2</v>
      </c>
      <c r="E41" s="48">
        <f>AVERAGEIFS('01_원자료'!$S$2:$S$976,'01_원자료'!$A$2:$A$976,$A41,'01_원자료'!$B$2:$B$976,"mistral",'01_원자료'!$C$2:$C$976,"ministral")-AVERAGEIFS('01_원자료'!$S$2:$S$976,'01_원자료'!$A$2:$A$976,$A41,'01_원자료'!$B$2:$B$976,"mistral")-AVERAGEIFS('01_원자료'!$S$2:$S$976,'01_원자료'!$A$2:$A$976,$A41,'01_원자료'!$C$2:$C$976,"ministral")+AVERAGEIFS('01_원자료'!$S$2:$S$976,'01_원자료'!$A$2:$A$976,$A41)</f>
        <v>2.863555004795959E-3</v>
      </c>
      <c r="F41" s="2">
        <f t="shared" si="5"/>
        <v>1</v>
      </c>
      <c r="G41" s="2">
        <f t="shared" si="6"/>
        <v>1</v>
      </c>
      <c r="H41" s="2">
        <f t="shared" si="7"/>
        <v>1</v>
      </c>
    </row>
    <row r="42" spans="1:8">
      <c r="A42" s="15" t="s">
        <v>160</v>
      </c>
      <c r="B42" s="5" t="str">
        <f t="shared" si="4"/>
        <v>보고서</v>
      </c>
      <c r="C42" s="48">
        <f>AVERAGEIFS('01_원자료'!$S$2:$S$976,'01_원자료'!$A$2:$A$976,$A42,'01_원자료'!$B$2:$B$976,"gemini",'01_원자료'!$C$2:$C$976,"gemma")-AVERAGEIFS('01_원자료'!$S$2:$S$976,'01_원자료'!$A$2:$A$976,$A42,'01_원자료'!$B$2:$B$976,"gemini")-AVERAGEIFS('01_원자료'!$S$2:$S$976,'01_원자료'!$A$2:$A$976,$A42,'01_원자료'!$C$2:$C$976,"gemma")+AVERAGEIFS('01_원자료'!$S$2:$S$976,'01_원자료'!$A$2:$A$976,$A42)</f>
        <v>8.9167837973590514E-3</v>
      </c>
      <c r="D42" s="48">
        <f>AVERAGEIFS('01_원자료'!$S$2:$S$976,'01_원자료'!$A$2:$A$976,$A42,'01_원자료'!$B$2:$B$976,"qwen3_6",'01_원자료'!$C$2:$C$976,"qwen")-AVERAGEIFS('01_원자료'!$S$2:$S$976,'01_원자료'!$A$2:$A$976,$A42,'01_원자료'!$B$2:$B$976,"qwen3_6")-AVERAGEIFS('01_원자료'!$S$2:$S$976,'01_원자료'!$A$2:$A$976,$A42,'01_원자료'!$C$2:$C$976,"qwen")+AVERAGEIFS('01_원자료'!$S$2:$S$976,'01_원자료'!$A$2:$A$976,$A42)</f>
        <v>3.2666105018475666E-2</v>
      </c>
      <c r="E42" s="48">
        <f>AVERAGEIFS('01_원자료'!$S$2:$S$976,'01_원자료'!$A$2:$A$976,$A42,'01_원자료'!$B$2:$B$976,"mistral",'01_원자료'!$C$2:$C$976,"ministral")-AVERAGEIFS('01_원자료'!$S$2:$S$976,'01_원자료'!$A$2:$A$976,$A42,'01_원자료'!$B$2:$B$976,"mistral")-AVERAGEIFS('01_원자료'!$S$2:$S$976,'01_원자료'!$A$2:$A$976,$A42,'01_원자료'!$C$2:$C$976,"ministral")+AVERAGEIFS('01_원자료'!$S$2:$S$976,'01_원자료'!$A$2:$A$976,$A42)</f>
        <v>5.4578392630236783E-3</v>
      </c>
      <c r="F42" s="2">
        <f t="shared" si="5"/>
        <v>1</v>
      </c>
      <c r="G42" s="2">
        <f t="shared" si="6"/>
        <v>1</v>
      </c>
      <c r="H42" s="2">
        <f t="shared" si="7"/>
        <v>1</v>
      </c>
    </row>
    <row r="43" spans="1:8">
      <c r="A43" s="15" t="s">
        <v>161</v>
      </c>
      <c r="B43" s="5" t="str">
        <f t="shared" si="4"/>
        <v>보고서</v>
      </c>
      <c r="C43" s="48">
        <f>AVERAGEIFS('01_원자료'!$S$2:$S$976,'01_원자료'!$A$2:$A$976,$A43,'01_원자료'!$B$2:$B$976,"gemini",'01_원자료'!$C$2:$C$976,"gemma")-AVERAGEIFS('01_원자료'!$S$2:$S$976,'01_원자료'!$A$2:$A$976,$A43,'01_원자료'!$B$2:$B$976,"gemini")-AVERAGEIFS('01_원자료'!$S$2:$S$976,'01_원자료'!$A$2:$A$976,$A43,'01_원자료'!$C$2:$C$976,"gemma")+AVERAGEIFS('01_원자료'!$S$2:$S$976,'01_원자료'!$A$2:$A$976,$A43)</f>
        <v>9.2819817925647863E-3</v>
      </c>
      <c r="D43" s="48">
        <f>AVERAGEIFS('01_원자료'!$S$2:$S$976,'01_원자료'!$A$2:$A$976,$A43,'01_원자료'!$B$2:$B$976,"qwen3_6",'01_원자료'!$C$2:$C$976,"qwen")-AVERAGEIFS('01_원자료'!$S$2:$S$976,'01_원자료'!$A$2:$A$976,$A43,'01_원자료'!$B$2:$B$976,"qwen3_6")-AVERAGEIFS('01_원자료'!$S$2:$S$976,'01_원자료'!$A$2:$A$976,$A43,'01_원자료'!$C$2:$C$976,"qwen")+AVERAGEIFS('01_원자료'!$S$2:$S$976,'01_원자료'!$A$2:$A$976,$A43)</f>
        <v>1.0075882618767684E-2</v>
      </c>
      <c r="E43" s="48">
        <f>AVERAGEIFS('01_원자료'!$S$2:$S$976,'01_원자료'!$A$2:$A$976,$A43,'01_원자료'!$B$2:$B$976,"mistral",'01_원자료'!$C$2:$C$976,"ministral")-AVERAGEIFS('01_원자료'!$S$2:$S$976,'01_원자료'!$A$2:$A$976,$A43,'01_원자료'!$B$2:$B$976,"mistral")-AVERAGEIFS('01_원자료'!$S$2:$S$976,'01_원자료'!$A$2:$A$976,$A43,'01_원자료'!$C$2:$C$976,"ministral")+AVERAGEIFS('01_원자료'!$S$2:$S$976,'01_원자료'!$A$2:$A$976,$A43)</f>
        <v>2.3020752023144353E-2</v>
      </c>
      <c r="F43" s="2">
        <f t="shared" si="5"/>
        <v>1</v>
      </c>
      <c r="G43" s="2">
        <f t="shared" si="6"/>
        <v>1</v>
      </c>
      <c r="H43" s="2">
        <f t="shared" si="7"/>
        <v>1</v>
      </c>
    </row>
    <row r="44" spans="1:8">
      <c r="A44" s="15" t="s">
        <v>162</v>
      </c>
      <c r="B44" s="5" t="str">
        <f t="shared" si="4"/>
        <v>보고서</v>
      </c>
      <c r="C44" s="48">
        <f>AVERAGEIFS('01_원자료'!$S$2:$S$976,'01_원자료'!$A$2:$A$976,$A44,'01_원자료'!$B$2:$B$976,"gemini",'01_원자료'!$C$2:$C$976,"gemma")-AVERAGEIFS('01_원자료'!$S$2:$S$976,'01_원자료'!$A$2:$A$976,$A44,'01_원자료'!$B$2:$B$976,"gemini")-AVERAGEIFS('01_원자료'!$S$2:$S$976,'01_원자료'!$A$2:$A$976,$A44,'01_원자료'!$C$2:$C$976,"gemma")+AVERAGEIFS('01_원자료'!$S$2:$S$976,'01_원자료'!$A$2:$A$976,$A44)</f>
        <v>3.5119379728918543E-2</v>
      </c>
      <c r="D44" s="48">
        <f>AVERAGEIFS('01_원자료'!$S$2:$S$976,'01_원자료'!$A$2:$A$976,$A44,'01_원자료'!$B$2:$B$976,"qwen3_6",'01_원자료'!$C$2:$C$976,"qwen")-AVERAGEIFS('01_원자료'!$S$2:$S$976,'01_원자료'!$A$2:$A$976,$A44,'01_원자료'!$B$2:$B$976,"qwen3_6")-AVERAGEIFS('01_원자료'!$S$2:$S$976,'01_원자료'!$A$2:$A$976,$A44,'01_원자료'!$C$2:$C$976,"qwen")+AVERAGEIFS('01_원자료'!$S$2:$S$976,'01_원자료'!$A$2:$A$976,$A44)</f>
        <v>2.2918422077374156E-2</v>
      </c>
      <c r="E44" s="48">
        <f>AVERAGEIFS('01_원자료'!$S$2:$S$976,'01_원자료'!$A$2:$A$976,$A44,'01_원자료'!$B$2:$B$976,"mistral",'01_원자료'!$C$2:$C$976,"ministral")-AVERAGEIFS('01_원자료'!$S$2:$S$976,'01_원자료'!$A$2:$A$976,$A44,'01_원자료'!$B$2:$B$976,"mistral")-AVERAGEIFS('01_원자료'!$S$2:$S$976,'01_원자료'!$A$2:$A$976,$A44,'01_원자료'!$C$2:$C$976,"ministral")+AVERAGEIFS('01_원자료'!$S$2:$S$976,'01_원자료'!$A$2:$A$976,$A44)</f>
        <v>4.445347287477075E-2</v>
      </c>
      <c r="F44" s="2">
        <f t="shared" si="5"/>
        <v>1</v>
      </c>
      <c r="G44" s="2">
        <f t="shared" si="6"/>
        <v>1</v>
      </c>
      <c r="H44" s="2">
        <f t="shared" si="7"/>
        <v>1</v>
      </c>
    </row>
    <row r="45" spans="1:8">
      <c r="A45" s="15" t="s">
        <v>163</v>
      </c>
      <c r="B45" s="5" t="str">
        <f t="shared" si="4"/>
        <v>보고서</v>
      </c>
      <c r="C45" s="48">
        <f>AVERAGEIFS('01_원자료'!$S$2:$S$976,'01_원자료'!$A$2:$A$976,$A45,'01_원자료'!$B$2:$B$976,"gemini",'01_원자료'!$C$2:$C$976,"gemma")-AVERAGEIFS('01_원자료'!$S$2:$S$976,'01_원자료'!$A$2:$A$976,$A45,'01_원자료'!$B$2:$B$976,"gemini")-AVERAGEIFS('01_원자료'!$S$2:$S$976,'01_원자료'!$A$2:$A$976,$A45,'01_원자료'!$C$2:$C$976,"gemma")+AVERAGEIFS('01_원자료'!$S$2:$S$976,'01_원자료'!$A$2:$A$976,$A45)</f>
        <v>2.6102894458015391E-2</v>
      </c>
      <c r="D45" s="48">
        <f>AVERAGEIFS('01_원자료'!$S$2:$S$976,'01_원자료'!$A$2:$A$976,$A45,'01_원자료'!$B$2:$B$976,"qwen3_6",'01_원자료'!$C$2:$C$976,"qwen")-AVERAGEIFS('01_원자료'!$S$2:$S$976,'01_원자료'!$A$2:$A$976,$A45,'01_원자료'!$B$2:$B$976,"qwen3_6")-AVERAGEIFS('01_원자료'!$S$2:$S$976,'01_원자료'!$A$2:$A$976,$A45,'01_원자료'!$C$2:$C$976,"qwen")+AVERAGEIFS('01_원자료'!$S$2:$S$976,'01_원자료'!$A$2:$A$976,$A45)</f>
        <v>2.4552124603072212E-3</v>
      </c>
      <c r="E45" s="48">
        <f>AVERAGEIFS('01_원자료'!$S$2:$S$976,'01_원자료'!$A$2:$A$976,$A45,'01_원자료'!$B$2:$B$976,"mistral",'01_원자료'!$C$2:$C$976,"ministral")-AVERAGEIFS('01_원자료'!$S$2:$S$976,'01_원자료'!$A$2:$A$976,$A45,'01_원자료'!$B$2:$B$976,"mistral")-AVERAGEIFS('01_원자료'!$S$2:$S$976,'01_원자료'!$A$2:$A$976,$A45,'01_원자료'!$C$2:$C$976,"ministral")+AVERAGEIFS('01_원자료'!$S$2:$S$976,'01_원자료'!$A$2:$A$976,$A45)</f>
        <v>-2.4438336773918712E-3</v>
      </c>
      <c r="F45" s="2">
        <f t="shared" si="5"/>
        <v>1</v>
      </c>
      <c r="G45" s="2">
        <f t="shared" si="6"/>
        <v>1</v>
      </c>
      <c r="H45" s="2">
        <f t="shared" si="7"/>
        <v>0</v>
      </c>
    </row>
    <row r="46" spans="1:8">
      <c r="A46" s="15" t="s">
        <v>164</v>
      </c>
      <c r="B46" s="5" t="str">
        <f t="shared" si="4"/>
        <v>보고서</v>
      </c>
      <c r="C46" s="48">
        <f>AVERAGEIFS('01_원자료'!$S$2:$S$976,'01_원자료'!$A$2:$A$976,$A46,'01_원자료'!$B$2:$B$976,"gemini",'01_원자료'!$C$2:$C$976,"gemma")-AVERAGEIFS('01_원자료'!$S$2:$S$976,'01_원자료'!$A$2:$A$976,$A46,'01_원자료'!$B$2:$B$976,"gemini")-AVERAGEIFS('01_원자료'!$S$2:$S$976,'01_원자료'!$A$2:$A$976,$A46,'01_원자료'!$C$2:$C$976,"gemma")+AVERAGEIFS('01_원자료'!$S$2:$S$976,'01_원자료'!$A$2:$A$976,$A46)</f>
        <v>1.3956275788844175E-2</v>
      </c>
      <c r="D46" s="48">
        <f>AVERAGEIFS('01_원자료'!$S$2:$S$976,'01_원자료'!$A$2:$A$976,$A46,'01_원자료'!$B$2:$B$976,"qwen3_6",'01_원자료'!$C$2:$C$976,"qwen")-AVERAGEIFS('01_원자료'!$S$2:$S$976,'01_원자료'!$A$2:$A$976,$A46,'01_원자료'!$B$2:$B$976,"qwen3_6")-AVERAGEIFS('01_원자료'!$S$2:$S$976,'01_원자료'!$A$2:$A$976,$A46,'01_원자료'!$C$2:$C$976,"qwen")+AVERAGEIFS('01_원자료'!$S$2:$S$976,'01_원자료'!$A$2:$A$976,$A46)</f>
        <v>1.5325623953607259E-2</v>
      </c>
      <c r="E46" s="48">
        <f>AVERAGEIFS('01_원자료'!$S$2:$S$976,'01_원자료'!$A$2:$A$976,$A46,'01_원자료'!$B$2:$B$976,"mistral",'01_원자료'!$C$2:$C$976,"ministral")-AVERAGEIFS('01_원자료'!$S$2:$S$976,'01_원자료'!$A$2:$A$976,$A46,'01_원자료'!$B$2:$B$976,"mistral")-AVERAGEIFS('01_원자료'!$S$2:$S$976,'01_원자료'!$A$2:$A$976,$A46,'01_원자료'!$C$2:$C$976,"ministral")+AVERAGEIFS('01_원자료'!$S$2:$S$976,'01_원자료'!$A$2:$A$976,$A46)</f>
        <v>2.2326009136588887E-2</v>
      </c>
      <c r="F46" s="2">
        <f t="shared" si="5"/>
        <v>1</v>
      </c>
      <c r="G46" s="2">
        <f t="shared" si="6"/>
        <v>1</v>
      </c>
      <c r="H46" s="2">
        <f t="shared" si="7"/>
        <v>1</v>
      </c>
    </row>
    <row r="47" spans="1:8">
      <c r="A47" s="15" t="s">
        <v>165</v>
      </c>
      <c r="B47" s="5" t="str">
        <f t="shared" si="4"/>
        <v>보고서</v>
      </c>
      <c r="C47" s="48">
        <f>AVERAGEIFS('01_원자료'!$S$2:$S$976,'01_원자료'!$A$2:$A$976,$A47,'01_원자료'!$B$2:$B$976,"gemini",'01_원자료'!$C$2:$C$976,"gemma")-AVERAGEIFS('01_원자료'!$S$2:$S$976,'01_원자료'!$A$2:$A$976,$A47,'01_원자료'!$B$2:$B$976,"gemini")-AVERAGEIFS('01_원자료'!$S$2:$S$976,'01_원자료'!$A$2:$A$976,$A47,'01_원자료'!$C$2:$C$976,"gemma")+AVERAGEIFS('01_원자료'!$S$2:$S$976,'01_원자료'!$A$2:$A$976,$A47)</f>
        <v>4.1205548790612112E-2</v>
      </c>
      <c r="D47" s="48">
        <f>AVERAGEIFS('01_원자료'!$S$2:$S$976,'01_원자료'!$A$2:$A$976,$A47,'01_원자료'!$B$2:$B$976,"qwen3_6",'01_원자료'!$C$2:$C$976,"qwen")-AVERAGEIFS('01_원자료'!$S$2:$S$976,'01_원자료'!$A$2:$A$976,$A47,'01_원자료'!$B$2:$B$976,"qwen3_6")-AVERAGEIFS('01_원자료'!$S$2:$S$976,'01_원자료'!$A$2:$A$976,$A47,'01_원자료'!$C$2:$C$976,"qwen")+AVERAGEIFS('01_원자료'!$S$2:$S$976,'01_원자료'!$A$2:$A$976,$A47)</f>
        <v>1.2319351099358E-3</v>
      </c>
      <c r="E47" s="48">
        <f>AVERAGEIFS('01_원자료'!$S$2:$S$976,'01_원자료'!$A$2:$A$976,$A47,'01_원자료'!$B$2:$B$976,"mistral",'01_원자료'!$C$2:$C$976,"ministral")-AVERAGEIFS('01_원자료'!$S$2:$S$976,'01_원자료'!$A$2:$A$976,$A47,'01_원자료'!$B$2:$B$976,"mistral")-AVERAGEIFS('01_원자료'!$S$2:$S$976,'01_원자료'!$A$2:$A$976,$A47,'01_원자료'!$C$2:$C$976,"ministral")+AVERAGEIFS('01_원자료'!$S$2:$S$976,'01_원자료'!$A$2:$A$976,$A47)</f>
        <v>2.9489638280790875E-2</v>
      </c>
      <c r="F47" s="2">
        <f t="shared" si="5"/>
        <v>1</v>
      </c>
      <c r="G47" s="2">
        <f t="shared" si="6"/>
        <v>1</v>
      </c>
      <c r="H47" s="2">
        <f t="shared" si="7"/>
        <v>1</v>
      </c>
    </row>
    <row r="48" spans="1:8">
      <c r="A48" s="15" t="s">
        <v>166</v>
      </c>
      <c r="B48" s="5" t="str">
        <f t="shared" si="4"/>
        <v>보고서</v>
      </c>
      <c r="C48" s="48">
        <f>AVERAGEIFS('01_원자료'!$S$2:$S$976,'01_원자료'!$A$2:$A$976,$A48,'01_원자료'!$B$2:$B$976,"gemini",'01_원자료'!$C$2:$C$976,"gemma")-AVERAGEIFS('01_원자료'!$S$2:$S$976,'01_원자료'!$A$2:$A$976,$A48,'01_원자료'!$B$2:$B$976,"gemini")-AVERAGEIFS('01_원자료'!$S$2:$S$976,'01_원자료'!$A$2:$A$976,$A48,'01_원자료'!$C$2:$C$976,"gemma")+AVERAGEIFS('01_원자료'!$S$2:$S$976,'01_원자료'!$A$2:$A$976,$A48)</f>
        <v>3.4059247797810333E-2</v>
      </c>
      <c r="D48" s="48">
        <f>AVERAGEIFS('01_원자료'!$S$2:$S$976,'01_원자료'!$A$2:$A$976,$A48,'01_원자료'!$B$2:$B$976,"qwen3_6",'01_원자료'!$C$2:$C$976,"qwen")-AVERAGEIFS('01_원자료'!$S$2:$S$976,'01_원자료'!$A$2:$A$976,$A48,'01_원자료'!$B$2:$B$976,"qwen3_6")-AVERAGEIFS('01_원자료'!$S$2:$S$976,'01_원자료'!$A$2:$A$976,$A48,'01_원자료'!$C$2:$C$976,"qwen")+AVERAGEIFS('01_원자료'!$S$2:$S$976,'01_원자료'!$A$2:$A$976,$A48)</f>
        <v>6.2349655325028008E-3</v>
      </c>
      <c r="E48" s="48">
        <f>AVERAGEIFS('01_원자료'!$S$2:$S$976,'01_원자료'!$A$2:$A$976,$A48,'01_원자료'!$B$2:$B$976,"mistral",'01_원자료'!$C$2:$C$976,"ministral")-AVERAGEIFS('01_원자료'!$S$2:$S$976,'01_원자료'!$A$2:$A$976,$A48,'01_원자료'!$B$2:$B$976,"mistral")-AVERAGEIFS('01_원자료'!$S$2:$S$976,'01_원자료'!$A$2:$A$976,$A48,'01_원자료'!$C$2:$C$976,"ministral")+AVERAGEIFS('01_원자료'!$S$2:$S$976,'01_원자료'!$A$2:$A$976,$A48)</f>
        <v>-1.4754221164062775E-3</v>
      </c>
      <c r="F48" s="2">
        <f t="shared" si="5"/>
        <v>1</v>
      </c>
      <c r="G48" s="2">
        <f t="shared" si="6"/>
        <v>1</v>
      </c>
      <c r="H48" s="2">
        <f t="shared" si="7"/>
        <v>0</v>
      </c>
    </row>
    <row r="49" spans="1:8">
      <c r="A49" s="15" t="s">
        <v>167</v>
      </c>
      <c r="B49" s="5" t="str">
        <f t="shared" si="4"/>
        <v>보고서</v>
      </c>
      <c r="C49" s="48">
        <f>AVERAGEIFS('01_원자료'!$S$2:$S$976,'01_원자료'!$A$2:$A$976,$A49,'01_원자료'!$B$2:$B$976,"gemini",'01_원자료'!$C$2:$C$976,"gemma")-AVERAGEIFS('01_원자료'!$S$2:$S$976,'01_원자료'!$A$2:$A$976,$A49,'01_원자료'!$B$2:$B$976,"gemini")-AVERAGEIFS('01_원자료'!$S$2:$S$976,'01_원자료'!$A$2:$A$976,$A49,'01_원자료'!$C$2:$C$976,"gemma")+AVERAGEIFS('01_원자료'!$S$2:$S$976,'01_원자료'!$A$2:$A$976,$A49)</f>
        <v>2.4011262840301528E-2</v>
      </c>
      <c r="D49" s="48">
        <f>AVERAGEIFS('01_원자료'!$S$2:$S$976,'01_원자료'!$A$2:$A$976,$A49,'01_원자료'!$B$2:$B$976,"qwen3_6",'01_원자료'!$C$2:$C$976,"qwen")-AVERAGEIFS('01_원자료'!$S$2:$S$976,'01_원자료'!$A$2:$A$976,$A49,'01_원자료'!$B$2:$B$976,"qwen3_6")-AVERAGEIFS('01_원자료'!$S$2:$S$976,'01_원자료'!$A$2:$A$976,$A49,'01_원자료'!$C$2:$C$976,"qwen")+AVERAGEIFS('01_원자료'!$S$2:$S$976,'01_원자료'!$A$2:$A$976,$A49)</f>
        <v>1.1500585078725201E-2</v>
      </c>
      <c r="E49" s="48">
        <f>AVERAGEIFS('01_원자료'!$S$2:$S$976,'01_원자료'!$A$2:$A$976,$A49,'01_원자료'!$B$2:$B$976,"mistral",'01_원자료'!$C$2:$C$976,"ministral")-AVERAGEIFS('01_원자료'!$S$2:$S$976,'01_원자료'!$A$2:$A$976,$A49,'01_원자료'!$B$2:$B$976,"mistral")-AVERAGEIFS('01_원자료'!$S$2:$S$976,'01_원자료'!$A$2:$A$976,$A49,'01_원자료'!$C$2:$C$976,"ministral")+AVERAGEIFS('01_원자료'!$S$2:$S$976,'01_원자료'!$A$2:$A$976,$A49)</f>
        <v>2.450214577525589E-3</v>
      </c>
      <c r="F49" s="2">
        <f t="shared" si="5"/>
        <v>1</v>
      </c>
      <c r="G49" s="2">
        <f t="shared" si="6"/>
        <v>1</v>
      </c>
      <c r="H49" s="2">
        <f t="shared" si="7"/>
        <v>1</v>
      </c>
    </row>
    <row r="50" spans="1:8">
      <c r="A50" s="15" t="s">
        <v>168</v>
      </c>
      <c r="B50" s="5" t="str">
        <f t="shared" si="4"/>
        <v>보고서</v>
      </c>
      <c r="C50" s="48">
        <f>AVERAGEIFS('01_원자료'!$S$2:$S$976,'01_원자료'!$A$2:$A$976,$A50,'01_원자료'!$B$2:$B$976,"gemini",'01_원자료'!$C$2:$C$976,"gemma")-AVERAGEIFS('01_원자료'!$S$2:$S$976,'01_원자료'!$A$2:$A$976,$A50,'01_원자료'!$B$2:$B$976,"gemini")-AVERAGEIFS('01_원자료'!$S$2:$S$976,'01_원자료'!$A$2:$A$976,$A50,'01_원자료'!$C$2:$C$976,"gemma")+AVERAGEIFS('01_원자료'!$S$2:$S$976,'01_원자료'!$A$2:$A$976,$A50)</f>
        <v>3.5581008445336515E-2</v>
      </c>
      <c r="D50" s="48">
        <f>AVERAGEIFS('01_원자료'!$S$2:$S$976,'01_원자료'!$A$2:$A$976,$A50,'01_원자료'!$B$2:$B$976,"qwen3_6",'01_원자료'!$C$2:$C$976,"qwen")-AVERAGEIFS('01_원자료'!$S$2:$S$976,'01_원자료'!$A$2:$A$976,$A50,'01_원자료'!$B$2:$B$976,"qwen3_6")-AVERAGEIFS('01_원자료'!$S$2:$S$976,'01_원자료'!$A$2:$A$976,$A50,'01_원자료'!$C$2:$C$976,"qwen")+AVERAGEIFS('01_원자료'!$S$2:$S$976,'01_원자료'!$A$2:$A$976,$A50)</f>
        <v>-5.3971048992980108E-3</v>
      </c>
      <c r="E50" s="48">
        <f>AVERAGEIFS('01_원자료'!$S$2:$S$976,'01_원자료'!$A$2:$A$976,$A50,'01_원자료'!$B$2:$B$976,"mistral",'01_원자료'!$C$2:$C$976,"ministral")-AVERAGEIFS('01_원자료'!$S$2:$S$976,'01_원자료'!$A$2:$A$976,$A50,'01_원자료'!$B$2:$B$976,"mistral")-AVERAGEIFS('01_원자료'!$S$2:$S$976,'01_원자료'!$A$2:$A$976,$A50,'01_원자료'!$C$2:$C$976,"ministral")+AVERAGEIFS('01_원자료'!$S$2:$S$976,'01_원자료'!$A$2:$A$976,$A50)</f>
        <v>4.1411623682993115E-3</v>
      </c>
      <c r="F50" s="2">
        <f t="shared" si="5"/>
        <v>1</v>
      </c>
      <c r="G50" s="2">
        <f t="shared" si="6"/>
        <v>0</v>
      </c>
      <c r="H50" s="2">
        <f t="shared" si="7"/>
        <v>1</v>
      </c>
    </row>
    <row r="51" spans="1:8">
      <c r="A51" s="15" t="s">
        <v>169</v>
      </c>
      <c r="B51" s="5" t="str">
        <f t="shared" si="4"/>
        <v>보고서</v>
      </c>
      <c r="C51" s="48">
        <f>AVERAGEIFS('01_원자료'!$S$2:$S$976,'01_원자료'!$A$2:$A$976,$A51,'01_원자료'!$B$2:$B$976,"gemini",'01_원자료'!$C$2:$C$976,"gemma")-AVERAGEIFS('01_원자료'!$S$2:$S$976,'01_원자료'!$A$2:$A$976,$A51,'01_원자료'!$B$2:$B$976,"gemini")-AVERAGEIFS('01_원자료'!$S$2:$S$976,'01_원자료'!$A$2:$A$976,$A51,'01_원자료'!$C$2:$C$976,"gemma")+AVERAGEIFS('01_원자료'!$S$2:$S$976,'01_원자료'!$A$2:$A$976,$A51)</f>
        <v>4.7352479014976301E-2</v>
      </c>
      <c r="D51" s="48">
        <f>AVERAGEIFS('01_원자료'!$S$2:$S$976,'01_원자료'!$A$2:$A$976,$A51,'01_원자료'!$B$2:$B$976,"qwen3_6",'01_원자료'!$C$2:$C$976,"qwen")-AVERAGEIFS('01_원자료'!$S$2:$S$976,'01_원자료'!$A$2:$A$976,$A51,'01_원자료'!$B$2:$B$976,"qwen3_6")-AVERAGEIFS('01_원자료'!$S$2:$S$976,'01_원자료'!$A$2:$A$976,$A51,'01_원자료'!$C$2:$C$976,"qwen")+AVERAGEIFS('01_원자료'!$S$2:$S$976,'01_원자료'!$A$2:$A$976,$A51)</f>
        <v>-1.2538436590554536E-3</v>
      </c>
      <c r="E51" s="48">
        <f>AVERAGEIFS('01_원자료'!$S$2:$S$976,'01_원자료'!$A$2:$A$976,$A51,'01_원자료'!$B$2:$B$976,"mistral",'01_원자료'!$C$2:$C$976,"ministral")-AVERAGEIFS('01_원자료'!$S$2:$S$976,'01_원자료'!$A$2:$A$976,$A51,'01_원자료'!$B$2:$B$976,"mistral")-AVERAGEIFS('01_원자료'!$S$2:$S$976,'01_원자료'!$A$2:$A$976,$A51,'01_원자료'!$C$2:$C$976,"ministral")+AVERAGEIFS('01_원자료'!$S$2:$S$976,'01_원자료'!$A$2:$A$976,$A51)</f>
        <v>4.8937123852754283E-2</v>
      </c>
      <c r="F51" s="2">
        <f t="shared" si="5"/>
        <v>1</v>
      </c>
      <c r="G51" s="2">
        <f t="shared" si="6"/>
        <v>0</v>
      </c>
      <c r="H51" s="2">
        <f t="shared" si="7"/>
        <v>1</v>
      </c>
    </row>
    <row r="52" spans="1:8">
      <c r="A52" s="15" t="s">
        <v>170</v>
      </c>
      <c r="B52" s="5" t="str">
        <f t="shared" si="4"/>
        <v>보고서</v>
      </c>
      <c r="C52" s="48">
        <f>AVERAGEIFS('01_원자료'!$S$2:$S$976,'01_원자료'!$A$2:$A$976,$A52,'01_원자료'!$B$2:$B$976,"gemini",'01_원자료'!$C$2:$C$976,"gemma")-AVERAGEIFS('01_원자료'!$S$2:$S$976,'01_원자료'!$A$2:$A$976,$A52,'01_원자료'!$B$2:$B$976,"gemini")-AVERAGEIFS('01_원자료'!$S$2:$S$976,'01_원자료'!$A$2:$A$976,$A52,'01_원자료'!$C$2:$C$976,"gemma")+AVERAGEIFS('01_원자료'!$S$2:$S$976,'01_원자료'!$A$2:$A$976,$A52)</f>
        <v>5.5538322701944254E-2</v>
      </c>
      <c r="D52" s="48">
        <f>AVERAGEIFS('01_원자료'!$S$2:$S$976,'01_원자료'!$A$2:$A$976,$A52,'01_원자료'!$B$2:$B$976,"qwen3_6",'01_원자료'!$C$2:$C$976,"qwen")-AVERAGEIFS('01_원자료'!$S$2:$S$976,'01_원자료'!$A$2:$A$976,$A52,'01_원자료'!$B$2:$B$976,"qwen3_6")-AVERAGEIFS('01_원자료'!$S$2:$S$976,'01_원자료'!$A$2:$A$976,$A52,'01_원자료'!$C$2:$C$976,"qwen")+AVERAGEIFS('01_원자료'!$S$2:$S$976,'01_원자료'!$A$2:$A$976,$A52)</f>
        <v>2.5570694202836641E-5</v>
      </c>
      <c r="E52" s="48">
        <f>AVERAGEIFS('01_원자료'!$S$2:$S$976,'01_원자료'!$A$2:$A$976,$A52,'01_원자료'!$B$2:$B$976,"mistral",'01_원자료'!$C$2:$C$976,"ministral")-AVERAGEIFS('01_원자료'!$S$2:$S$976,'01_원자료'!$A$2:$A$976,$A52,'01_원자료'!$B$2:$B$976,"mistral")-AVERAGEIFS('01_원자료'!$S$2:$S$976,'01_원자료'!$A$2:$A$976,$A52,'01_원자료'!$C$2:$C$976,"ministral")+AVERAGEIFS('01_원자료'!$S$2:$S$976,'01_원자료'!$A$2:$A$976,$A52)</f>
        <v>3.7896137412789743E-2</v>
      </c>
      <c r="F52" s="2">
        <f t="shared" si="5"/>
        <v>1</v>
      </c>
      <c r="G52" s="2">
        <f t="shared" si="6"/>
        <v>1</v>
      </c>
      <c r="H52" s="2">
        <f t="shared" si="7"/>
        <v>1</v>
      </c>
    </row>
    <row r="53" spans="1:8">
      <c r="A53" s="15" t="s">
        <v>171</v>
      </c>
      <c r="B53" s="5" t="str">
        <f t="shared" si="4"/>
        <v>보고서</v>
      </c>
      <c r="C53" s="48">
        <f>AVERAGEIFS('01_원자료'!$S$2:$S$976,'01_원자료'!$A$2:$A$976,$A53,'01_원자료'!$B$2:$B$976,"gemini",'01_원자료'!$C$2:$C$976,"gemma")-AVERAGEIFS('01_원자료'!$S$2:$S$976,'01_원자료'!$A$2:$A$976,$A53,'01_원자료'!$B$2:$B$976,"gemini")-AVERAGEIFS('01_원자료'!$S$2:$S$976,'01_원자료'!$A$2:$A$976,$A53,'01_원자료'!$C$2:$C$976,"gemma")+AVERAGEIFS('01_원자료'!$S$2:$S$976,'01_원자료'!$A$2:$A$976,$A53)</f>
        <v>2.7073310385694382E-2</v>
      </c>
      <c r="D53" s="48">
        <f>AVERAGEIFS('01_원자료'!$S$2:$S$976,'01_원자료'!$A$2:$A$976,$A53,'01_원자료'!$B$2:$B$976,"qwen3_6",'01_원자료'!$C$2:$C$976,"qwen")-AVERAGEIFS('01_원자료'!$S$2:$S$976,'01_원자료'!$A$2:$A$976,$A53,'01_원자료'!$B$2:$B$976,"qwen3_6")-AVERAGEIFS('01_원자료'!$S$2:$S$976,'01_원자료'!$A$2:$A$976,$A53,'01_원자료'!$C$2:$C$976,"qwen")+AVERAGEIFS('01_원자료'!$S$2:$S$976,'01_원자료'!$A$2:$A$976,$A53)</f>
        <v>1.2461631474713464E-2</v>
      </c>
      <c r="E53" s="48">
        <f>AVERAGEIFS('01_원자료'!$S$2:$S$976,'01_원자료'!$A$2:$A$976,$A53,'01_원자료'!$B$2:$B$976,"mistral",'01_원자료'!$C$2:$C$976,"ministral")-AVERAGEIFS('01_원자료'!$S$2:$S$976,'01_원자료'!$A$2:$A$976,$A53,'01_원자료'!$B$2:$B$976,"mistral")-AVERAGEIFS('01_원자료'!$S$2:$S$976,'01_원자료'!$A$2:$A$976,$A53,'01_원자료'!$C$2:$C$976,"ministral")+AVERAGEIFS('01_원자료'!$S$2:$S$976,'01_원자료'!$A$2:$A$976,$A53)</f>
        <v>9.2246620228157994E-3</v>
      </c>
      <c r="F53" s="2">
        <f t="shared" si="5"/>
        <v>1</v>
      </c>
      <c r="G53" s="2">
        <f t="shared" si="6"/>
        <v>1</v>
      </c>
      <c r="H53" s="2">
        <f t="shared" si="7"/>
        <v>1</v>
      </c>
    </row>
    <row r="54" spans="1:8">
      <c r="A54" s="15" t="s">
        <v>172</v>
      </c>
      <c r="B54" s="5" t="str">
        <f t="shared" si="4"/>
        <v>보고서</v>
      </c>
      <c r="C54" s="48">
        <f>AVERAGEIFS('01_원자료'!$S$2:$S$976,'01_원자료'!$A$2:$A$976,$A54,'01_원자료'!$B$2:$B$976,"gemini",'01_원자료'!$C$2:$C$976,"gemma")-AVERAGEIFS('01_원자료'!$S$2:$S$976,'01_원자료'!$A$2:$A$976,$A54,'01_원자료'!$B$2:$B$976,"gemini")-AVERAGEIFS('01_원자료'!$S$2:$S$976,'01_원자료'!$A$2:$A$976,$A54,'01_원자료'!$C$2:$C$976,"gemma")+AVERAGEIFS('01_원자료'!$S$2:$S$976,'01_원자료'!$A$2:$A$976,$A54)</f>
        <v>4.2458470473417553E-2</v>
      </c>
      <c r="D54" s="48">
        <f>AVERAGEIFS('01_원자료'!$S$2:$S$976,'01_원자료'!$A$2:$A$976,$A54,'01_원자료'!$B$2:$B$976,"qwen3_6",'01_원자료'!$C$2:$C$976,"qwen")-AVERAGEIFS('01_원자료'!$S$2:$S$976,'01_원자료'!$A$2:$A$976,$A54,'01_원자료'!$B$2:$B$976,"qwen3_6")-AVERAGEIFS('01_원자료'!$S$2:$S$976,'01_원자료'!$A$2:$A$976,$A54,'01_원자료'!$C$2:$C$976,"qwen")+AVERAGEIFS('01_원자료'!$S$2:$S$976,'01_원자료'!$A$2:$A$976,$A54)</f>
        <v>6.6215904432737061E-3</v>
      </c>
      <c r="E54" s="48">
        <f>AVERAGEIFS('01_원자료'!$S$2:$S$976,'01_원자료'!$A$2:$A$976,$A54,'01_원자료'!$B$2:$B$976,"mistral",'01_원자료'!$C$2:$C$976,"ministral")-AVERAGEIFS('01_원자료'!$S$2:$S$976,'01_원자료'!$A$2:$A$976,$A54,'01_원자료'!$B$2:$B$976,"mistral")-AVERAGEIFS('01_원자료'!$S$2:$S$976,'01_원자료'!$A$2:$A$976,$A54,'01_원자료'!$C$2:$C$976,"ministral")+AVERAGEIFS('01_원자료'!$S$2:$S$976,'01_원자료'!$A$2:$A$976,$A54)</f>
        <v>3.6568392060484456E-2</v>
      </c>
      <c r="F54" s="2">
        <f t="shared" si="5"/>
        <v>1</v>
      </c>
      <c r="G54" s="2">
        <f t="shared" si="6"/>
        <v>1</v>
      </c>
      <c r="H54" s="2">
        <f t="shared" si="7"/>
        <v>1</v>
      </c>
    </row>
    <row r="55" spans="1:8">
      <c r="A55" s="15" t="s">
        <v>173</v>
      </c>
      <c r="B55" s="5" t="str">
        <f t="shared" si="4"/>
        <v>보고서</v>
      </c>
      <c r="C55" s="48">
        <f>AVERAGEIFS('01_원자료'!$S$2:$S$976,'01_원자료'!$A$2:$A$976,$A55,'01_원자료'!$B$2:$B$976,"gemini",'01_원자료'!$C$2:$C$976,"gemma")-AVERAGEIFS('01_원자료'!$S$2:$S$976,'01_원자료'!$A$2:$A$976,$A55,'01_원자료'!$B$2:$B$976,"gemini")-AVERAGEIFS('01_원자료'!$S$2:$S$976,'01_원자료'!$A$2:$A$976,$A55,'01_원자료'!$C$2:$C$976,"gemma")+AVERAGEIFS('01_원자료'!$S$2:$S$976,'01_원자료'!$A$2:$A$976,$A55)</f>
        <v>1.5323698925298501E-2</v>
      </c>
      <c r="D55" s="48">
        <f>AVERAGEIFS('01_원자료'!$S$2:$S$976,'01_원자료'!$A$2:$A$976,$A55,'01_원자료'!$B$2:$B$976,"qwen3_6",'01_원자료'!$C$2:$C$976,"qwen")-AVERAGEIFS('01_원자료'!$S$2:$S$976,'01_원자료'!$A$2:$A$976,$A55,'01_원자료'!$B$2:$B$976,"qwen3_6")-AVERAGEIFS('01_원자료'!$S$2:$S$976,'01_원자료'!$A$2:$A$976,$A55,'01_원자료'!$C$2:$C$976,"qwen")+AVERAGEIFS('01_원자료'!$S$2:$S$976,'01_원자료'!$A$2:$A$976,$A55)</f>
        <v>-4.1965277247627553E-3</v>
      </c>
      <c r="E55" s="48">
        <f>AVERAGEIFS('01_원자료'!$S$2:$S$976,'01_원자료'!$A$2:$A$976,$A55,'01_원자료'!$B$2:$B$976,"mistral",'01_원자료'!$C$2:$C$976,"ministral")-AVERAGEIFS('01_원자료'!$S$2:$S$976,'01_원자료'!$A$2:$A$976,$A55,'01_원자료'!$B$2:$B$976,"mistral")-AVERAGEIFS('01_원자료'!$S$2:$S$976,'01_원자료'!$A$2:$A$976,$A55,'01_원자료'!$C$2:$C$976,"ministral")+AVERAGEIFS('01_원자료'!$S$2:$S$976,'01_원자료'!$A$2:$A$976,$A55)</f>
        <v>5.2791388345940771E-3</v>
      </c>
      <c r="F55" s="2">
        <f t="shared" si="5"/>
        <v>1</v>
      </c>
      <c r="G55" s="2">
        <f t="shared" si="6"/>
        <v>0</v>
      </c>
      <c r="H55" s="2">
        <f t="shared" si="7"/>
        <v>1</v>
      </c>
    </row>
    <row r="56" spans="1:8">
      <c r="A56" s="15" t="s">
        <v>174</v>
      </c>
      <c r="B56" s="5" t="str">
        <f t="shared" si="4"/>
        <v>보고서</v>
      </c>
      <c r="C56" s="48">
        <f>AVERAGEIFS('01_원자료'!$S$2:$S$976,'01_원자료'!$A$2:$A$976,$A56,'01_원자료'!$B$2:$B$976,"gemini",'01_원자료'!$C$2:$C$976,"gemma")-AVERAGEIFS('01_원자료'!$S$2:$S$976,'01_원자료'!$A$2:$A$976,$A56,'01_원자료'!$B$2:$B$976,"gemini")-AVERAGEIFS('01_원자료'!$S$2:$S$976,'01_원자료'!$A$2:$A$976,$A56,'01_원자료'!$C$2:$C$976,"gemma")+AVERAGEIFS('01_원자료'!$S$2:$S$976,'01_원자료'!$A$2:$A$976,$A56)</f>
        <v>-1.6113273034082942E-3</v>
      </c>
      <c r="D56" s="48">
        <f>AVERAGEIFS('01_원자료'!$S$2:$S$976,'01_원자료'!$A$2:$A$976,$A56,'01_원자료'!$B$2:$B$976,"qwen3_6",'01_원자료'!$C$2:$C$976,"qwen")-AVERAGEIFS('01_원자료'!$S$2:$S$976,'01_원자료'!$A$2:$A$976,$A56,'01_원자료'!$B$2:$B$976,"qwen3_6")-AVERAGEIFS('01_원자료'!$S$2:$S$976,'01_원자료'!$A$2:$A$976,$A56,'01_원자료'!$C$2:$C$976,"qwen")+AVERAGEIFS('01_원자료'!$S$2:$S$976,'01_원자료'!$A$2:$A$976,$A56)</f>
        <v>2.9793197733146926E-2</v>
      </c>
      <c r="E56" s="48">
        <f>AVERAGEIFS('01_원자료'!$S$2:$S$976,'01_원자료'!$A$2:$A$976,$A56,'01_원자료'!$B$2:$B$976,"mistral",'01_원자료'!$C$2:$C$976,"ministral")-AVERAGEIFS('01_원자료'!$S$2:$S$976,'01_원자료'!$A$2:$A$976,$A56,'01_원자료'!$B$2:$B$976,"mistral")-AVERAGEIFS('01_원자료'!$S$2:$S$976,'01_원자료'!$A$2:$A$976,$A56,'01_원자료'!$C$2:$C$976,"ministral")+AVERAGEIFS('01_원자료'!$S$2:$S$976,'01_원자료'!$A$2:$A$976,$A56)</f>
        <v>-8.0220256689385039E-3</v>
      </c>
      <c r="F56" s="2">
        <f t="shared" si="5"/>
        <v>0</v>
      </c>
      <c r="G56" s="2">
        <f t="shared" si="6"/>
        <v>1</v>
      </c>
      <c r="H56" s="2">
        <f t="shared" si="7"/>
        <v>0</v>
      </c>
    </row>
    <row r="57" spans="1:8">
      <c r="A57" s="15" t="s">
        <v>175</v>
      </c>
      <c r="B57" s="5" t="str">
        <f t="shared" si="4"/>
        <v>보고서</v>
      </c>
      <c r="C57" s="48">
        <f>AVERAGEIFS('01_원자료'!$S$2:$S$976,'01_원자료'!$A$2:$A$976,$A57,'01_원자료'!$B$2:$B$976,"gemini",'01_원자료'!$C$2:$C$976,"gemma")-AVERAGEIFS('01_원자료'!$S$2:$S$976,'01_원자료'!$A$2:$A$976,$A57,'01_원자료'!$B$2:$B$976,"gemini")-AVERAGEIFS('01_원자료'!$S$2:$S$976,'01_원자료'!$A$2:$A$976,$A57,'01_원자료'!$C$2:$C$976,"gemma")+AVERAGEIFS('01_원자료'!$S$2:$S$976,'01_원자료'!$A$2:$A$976,$A57)</f>
        <v>2.5971419773737514E-2</v>
      </c>
      <c r="D57" s="48">
        <f>AVERAGEIFS('01_원자료'!$S$2:$S$976,'01_원자료'!$A$2:$A$976,$A57,'01_원자료'!$B$2:$B$976,"qwen3_6",'01_원자료'!$C$2:$C$976,"qwen")-AVERAGEIFS('01_원자료'!$S$2:$S$976,'01_원자료'!$A$2:$A$976,$A57,'01_원자료'!$B$2:$B$976,"qwen3_6")-AVERAGEIFS('01_원자료'!$S$2:$S$976,'01_원자료'!$A$2:$A$976,$A57,'01_원자료'!$C$2:$C$976,"qwen")+AVERAGEIFS('01_원자료'!$S$2:$S$976,'01_원자료'!$A$2:$A$976,$A57)</f>
        <v>-1.1183463993431175E-2</v>
      </c>
      <c r="E57" s="48">
        <f>AVERAGEIFS('01_원자료'!$S$2:$S$976,'01_원자료'!$A$2:$A$976,$A57,'01_원자료'!$B$2:$B$976,"mistral",'01_원자료'!$C$2:$C$976,"ministral")-AVERAGEIFS('01_원자료'!$S$2:$S$976,'01_원자료'!$A$2:$A$976,$A57,'01_원자료'!$B$2:$B$976,"mistral")-AVERAGEIFS('01_원자료'!$S$2:$S$976,'01_원자료'!$A$2:$A$976,$A57,'01_원자료'!$C$2:$C$976,"ministral")+AVERAGEIFS('01_원자료'!$S$2:$S$976,'01_원자료'!$A$2:$A$976,$A57)</f>
        <v>5.310958990701109E-3</v>
      </c>
      <c r="F57" s="2">
        <f t="shared" si="5"/>
        <v>1</v>
      </c>
      <c r="G57" s="2">
        <f t="shared" si="6"/>
        <v>0</v>
      </c>
      <c r="H57" s="2">
        <f t="shared" si="7"/>
        <v>1</v>
      </c>
    </row>
    <row r="58" spans="1:8">
      <c r="A58" s="15" t="s">
        <v>176</v>
      </c>
      <c r="B58" s="5" t="str">
        <f t="shared" si="4"/>
        <v>보고서</v>
      </c>
      <c r="C58" s="48">
        <f>AVERAGEIFS('01_원자료'!$S$2:$S$976,'01_원자료'!$A$2:$A$976,$A58,'01_원자료'!$B$2:$B$976,"gemini",'01_원자료'!$C$2:$C$976,"gemma")-AVERAGEIFS('01_원자료'!$S$2:$S$976,'01_원자료'!$A$2:$A$976,$A58,'01_원자료'!$B$2:$B$976,"gemini")-AVERAGEIFS('01_원자료'!$S$2:$S$976,'01_원자료'!$A$2:$A$976,$A58,'01_원자료'!$C$2:$C$976,"gemma")+AVERAGEIFS('01_원자료'!$S$2:$S$976,'01_원자료'!$A$2:$A$976,$A58)</f>
        <v>4.1309246790245058E-2</v>
      </c>
      <c r="D58" s="48">
        <f>AVERAGEIFS('01_원자료'!$S$2:$S$976,'01_원자료'!$A$2:$A$976,$A58,'01_원자료'!$B$2:$B$976,"qwen3_6",'01_원자료'!$C$2:$C$976,"qwen")-AVERAGEIFS('01_원자료'!$S$2:$S$976,'01_원자료'!$A$2:$A$976,$A58,'01_원자료'!$B$2:$B$976,"qwen3_6")-AVERAGEIFS('01_원자료'!$S$2:$S$976,'01_원자료'!$A$2:$A$976,$A58,'01_원자료'!$C$2:$C$976,"qwen")+AVERAGEIFS('01_원자료'!$S$2:$S$976,'01_원자료'!$A$2:$A$976,$A58)</f>
        <v>3.9045899493432845E-3</v>
      </c>
      <c r="E58" s="48">
        <f>AVERAGEIFS('01_원자료'!$S$2:$S$976,'01_원자료'!$A$2:$A$976,$A58,'01_원자료'!$B$2:$B$976,"mistral",'01_원자료'!$C$2:$C$976,"ministral")-AVERAGEIFS('01_원자료'!$S$2:$S$976,'01_원자료'!$A$2:$A$976,$A58,'01_원자료'!$B$2:$B$976,"mistral")-AVERAGEIFS('01_원자료'!$S$2:$S$976,'01_원자료'!$A$2:$A$976,$A58,'01_원자료'!$C$2:$C$976,"ministral")+AVERAGEIFS('01_원자료'!$S$2:$S$976,'01_원자료'!$A$2:$A$976,$A58)</f>
        <v>-7.4486722545452633E-3</v>
      </c>
      <c r="F58" s="2">
        <f t="shared" si="5"/>
        <v>1</v>
      </c>
      <c r="G58" s="2">
        <f t="shared" si="6"/>
        <v>1</v>
      </c>
      <c r="H58" s="2">
        <f t="shared" si="7"/>
        <v>0</v>
      </c>
    </row>
    <row r="59" spans="1:8">
      <c r="A59" s="15" t="s">
        <v>177</v>
      </c>
      <c r="B59" s="5" t="str">
        <f t="shared" si="4"/>
        <v>보고서</v>
      </c>
      <c r="C59" s="48">
        <f>AVERAGEIFS('01_원자료'!$S$2:$S$976,'01_원자료'!$A$2:$A$976,$A59,'01_원자료'!$B$2:$B$976,"gemini",'01_원자료'!$C$2:$C$976,"gemma")-AVERAGEIFS('01_원자료'!$S$2:$S$976,'01_원자료'!$A$2:$A$976,$A59,'01_원자료'!$B$2:$B$976,"gemini")-AVERAGEIFS('01_원자료'!$S$2:$S$976,'01_원자료'!$A$2:$A$976,$A59,'01_원자료'!$C$2:$C$976,"gemma")+AVERAGEIFS('01_원자료'!$S$2:$S$976,'01_원자료'!$A$2:$A$976,$A59)</f>
        <v>5.7097259574219072E-2</v>
      </c>
      <c r="D59" s="48">
        <f>AVERAGEIFS('01_원자료'!$S$2:$S$976,'01_원자료'!$A$2:$A$976,$A59,'01_원자료'!$B$2:$B$976,"qwen3_6",'01_원자료'!$C$2:$C$976,"qwen")-AVERAGEIFS('01_원자료'!$S$2:$S$976,'01_원자료'!$A$2:$A$976,$A59,'01_원자료'!$B$2:$B$976,"qwen3_6")-AVERAGEIFS('01_원자료'!$S$2:$S$976,'01_원자료'!$A$2:$A$976,$A59,'01_원자료'!$C$2:$C$976,"qwen")+AVERAGEIFS('01_원자료'!$S$2:$S$976,'01_원자료'!$A$2:$A$976,$A59)</f>
        <v>-1.791343187912775E-2</v>
      </c>
      <c r="E59" s="48">
        <f>AVERAGEIFS('01_원자료'!$S$2:$S$976,'01_원자료'!$A$2:$A$976,$A59,'01_원자료'!$B$2:$B$976,"mistral",'01_원자료'!$C$2:$C$976,"ministral")-AVERAGEIFS('01_원자료'!$S$2:$S$976,'01_원자료'!$A$2:$A$976,$A59,'01_원자료'!$B$2:$B$976,"mistral")-AVERAGEIFS('01_원자료'!$S$2:$S$976,'01_원자료'!$A$2:$A$976,$A59,'01_원자료'!$C$2:$C$976,"ministral")+AVERAGEIFS('01_원자료'!$S$2:$S$976,'01_원자료'!$A$2:$A$976,$A59)</f>
        <v>3.2925450402707446E-2</v>
      </c>
      <c r="F59" s="2">
        <f t="shared" si="5"/>
        <v>1</v>
      </c>
      <c r="G59" s="2">
        <f t="shared" si="6"/>
        <v>0</v>
      </c>
      <c r="H59" s="2">
        <f t="shared" si="7"/>
        <v>1</v>
      </c>
    </row>
    <row r="60" spans="1:8">
      <c r="A60" s="15" t="s">
        <v>178</v>
      </c>
      <c r="B60" s="5" t="str">
        <f t="shared" si="4"/>
        <v>보고서</v>
      </c>
      <c r="C60" s="48">
        <f>AVERAGEIFS('01_원자료'!$S$2:$S$976,'01_원자료'!$A$2:$A$976,$A60,'01_원자료'!$B$2:$B$976,"gemini",'01_원자료'!$C$2:$C$976,"gemma")-AVERAGEIFS('01_원자료'!$S$2:$S$976,'01_원자료'!$A$2:$A$976,$A60,'01_원자료'!$B$2:$B$976,"gemini")-AVERAGEIFS('01_원자료'!$S$2:$S$976,'01_원자료'!$A$2:$A$976,$A60,'01_원자료'!$C$2:$C$976,"gemma")+AVERAGEIFS('01_원자료'!$S$2:$S$976,'01_원자료'!$A$2:$A$976,$A60)</f>
        <v>2.9496561287518541E-2</v>
      </c>
      <c r="D60" s="48">
        <f>AVERAGEIFS('01_원자료'!$S$2:$S$976,'01_원자료'!$A$2:$A$976,$A60,'01_원자료'!$B$2:$B$976,"qwen3_6",'01_원자료'!$C$2:$C$976,"qwen")-AVERAGEIFS('01_원자료'!$S$2:$S$976,'01_원자료'!$A$2:$A$976,$A60,'01_원자료'!$B$2:$B$976,"qwen3_6")-AVERAGEIFS('01_원자료'!$S$2:$S$976,'01_원자료'!$A$2:$A$976,$A60,'01_원자료'!$C$2:$C$976,"qwen")+AVERAGEIFS('01_원자료'!$S$2:$S$976,'01_원자료'!$A$2:$A$976,$A60)</f>
        <v>1.8083034224770644E-2</v>
      </c>
      <c r="E60" s="48">
        <f>AVERAGEIFS('01_원자료'!$S$2:$S$976,'01_원자료'!$A$2:$A$976,$A60,'01_원자료'!$B$2:$B$976,"mistral",'01_원자료'!$C$2:$C$976,"ministral")-AVERAGEIFS('01_원자료'!$S$2:$S$976,'01_원자료'!$A$2:$A$976,$A60,'01_원자료'!$B$2:$B$976,"mistral")-AVERAGEIFS('01_원자료'!$S$2:$S$976,'01_원자료'!$A$2:$A$976,$A60,'01_원자료'!$C$2:$C$976,"ministral")+AVERAGEIFS('01_원자료'!$S$2:$S$976,'01_원자료'!$A$2:$A$976,$A60)</f>
        <v>3.6170774936563621E-3</v>
      </c>
      <c r="F60" s="2">
        <f t="shared" si="5"/>
        <v>1</v>
      </c>
      <c r="G60" s="2">
        <f t="shared" si="6"/>
        <v>1</v>
      </c>
      <c r="H60" s="2">
        <f t="shared" si="7"/>
        <v>1</v>
      </c>
    </row>
    <row r="61" spans="1:8">
      <c r="A61" s="15" t="s">
        <v>179</v>
      </c>
      <c r="B61" s="5" t="str">
        <f t="shared" si="4"/>
        <v>보고서</v>
      </c>
      <c r="C61" s="48">
        <f>AVERAGEIFS('01_원자료'!$S$2:$S$976,'01_원자료'!$A$2:$A$976,$A61,'01_원자료'!$B$2:$B$976,"gemini",'01_원자료'!$C$2:$C$976,"gemma")-AVERAGEIFS('01_원자료'!$S$2:$S$976,'01_원자료'!$A$2:$A$976,$A61,'01_원자료'!$B$2:$B$976,"gemini")-AVERAGEIFS('01_원자료'!$S$2:$S$976,'01_원자료'!$A$2:$A$976,$A61,'01_원자료'!$C$2:$C$976,"gemma")+AVERAGEIFS('01_원자료'!$S$2:$S$976,'01_원자료'!$A$2:$A$976,$A61)</f>
        <v>-3.2592094718139064E-3</v>
      </c>
      <c r="D61" s="48">
        <f>AVERAGEIFS('01_원자료'!$S$2:$S$976,'01_원자료'!$A$2:$A$976,$A61,'01_원자료'!$B$2:$B$976,"qwen3_6",'01_원자료'!$C$2:$C$976,"qwen")-AVERAGEIFS('01_원자료'!$S$2:$S$976,'01_원자료'!$A$2:$A$976,$A61,'01_원자료'!$B$2:$B$976,"qwen3_6")-AVERAGEIFS('01_원자료'!$S$2:$S$976,'01_원자료'!$A$2:$A$976,$A61,'01_원자료'!$C$2:$C$976,"qwen")+AVERAGEIFS('01_원자료'!$S$2:$S$976,'01_원자료'!$A$2:$A$976,$A61)</f>
        <v>-1.0184490905564836E-2</v>
      </c>
      <c r="E61" s="48">
        <f>AVERAGEIFS('01_원자료'!$S$2:$S$976,'01_원자료'!$A$2:$A$976,$A61,'01_원자료'!$B$2:$B$976,"mistral",'01_원자료'!$C$2:$C$976,"ministral")-AVERAGEIFS('01_원자료'!$S$2:$S$976,'01_원자료'!$A$2:$A$976,$A61,'01_원자료'!$B$2:$B$976,"mistral")-AVERAGEIFS('01_원자료'!$S$2:$S$976,'01_원자료'!$A$2:$A$976,$A61,'01_원자료'!$C$2:$C$976,"ministral")+AVERAGEIFS('01_원자료'!$S$2:$S$976,'01_원자료'!$A$2:$A$976,$A61)</f>
        <v>3.2351301866232918E-2</v>
      </c>
      <c r="F61" s="2">
        <f t="shared" si="5"/>
        <v>0</v>
      </c>
      <c r="G61" s="2">
        <f t="shared" si="6"/>
        <v>0</v>
      </c>
      <c r="H61" s="2">
        <f t="shared" si="7"/>
        <v>1</v>
      </c>
    </row>
    <row r="62" spans="1:8">
      <c r="A62" s="15" t="s">
        <v>180</v>
      </c>
      <c r="B62" s="5" t="str">
        <f t="shared" si="4"/>
        <v>보고서</v>
      </c>
      <c r="C62" s="48">
        <f>AVERAGEIFS('01_원자료'!$S$2:$S$976,'01_원자료'!$A$2:$A$976,$A62,'01_원자료'!$B$2:$B$976,"gemini",'01_원자료'!$C$2:$C$976,"gemma")-AVERAGEIFS('01_원자료'!$S$2:$S$976,'01_원자료'!$A$2:$A$976,$A62,'01_원자료'!$B$2:$B$976,"gemini")-AVERAGEIFS('01_원자료'!$S$2:$S$976,'01_원자료'!$A$2:$A$976,$A62,'01_원자료'!$C$2:$C$976,"gemma")+AVERAGEIFS('01_원자료'!$S$2:$S$976,'01_원자료'!$A$2:$A$976,$A62)</f>
        <v>1.7697802927139406E-2</v>
      </c>
      <c r="D62" s="48">
        <f>AVERAGEIFS('01_원자료'!$S$2:$S$976,'01_원자료'!$A$2:$A$976,$A62,'01_원자료'!$B$2:$B$976,"qwen3_6",'01_원자료'!$C$2:$C$976,"qwen")-AVERAGEIFS('01_원자료'!$S$2:$S$976,'01_원자료'!$A$2:$A$976,$A62,'01_원자료'!$B$2:$B$976,"qwen3_6")-AVERAGEIFS('01_원자료'!$S$2:$S$976,'01_원자료'!$A$2:$A$976,$A62,'01_원자료'!$C$2:$C$976,"qwen")+AVERAGEIFS('01_원자료'!$S$2:$S$976,'01_원자료'!$A$2:$A$976,$A62)</f>
        <v>1.6680304051223893E-2</v>
      </c>
      <c r="E62" s="48">
        <f>AVERAGEIFS('01_원자료'!$S$2:$S$976,'01_원자료'!$A$2:$A$976,$A62,'01_원자료'!$B$2:$B$976,"mistral",'01_원자료'!$C$2:$C$976,"ministral")-AVERAGEIFS('01_원자료'!$S$2:$S$976,'01_원자료'!$A$2:$A$976,$A62,'01_원자료'!$B$2:$B$976,"mistral")-AVERAGEIFS('01_원자료'!$S$2:$S$976,'01_원자료'!$A$2:$A$976,$A62,'01_원자료'!$C$2:$C$976,"ministral")+AVERAGEIFS('01_원자료'!$S$2:$S$976,'01_원자료'!$A$2:$A$976,$A62)</f>
        <v>2.8831422336545787E-2</v>
      </c>
      <c r="F62" s="2">
        <f t="shared" si="5"/>
        <v>1</v>
      </c>
      <c r="G62" s="2">
        <f t="shared" si="6"/>
        <v>1</v>
      </c>
      <c r="H62" s="2">
        <f t="shared" si="7"/>
        <v>1</v>
      </c>
    </row>
    <row r="63" spans="1:8">
      <c r="A63" s="15" t="s">
        <v>181</v>
      </c>
      <c r="B63" s="5" t="str">
        <f t="shared" si="4"/>
        <v>보고서</v>
      </c>
      <c r="C63" s="48">
        <f>AVERAGEIFS('01_원자료'!$S$2:$S$976,'01_원자료'!$A$2:$A$976,$A63,'01_원자료'!$B$2:$B$976,"gemini",'01_원자료'!$C$2:$C$976,"gemma")-AVERAGEIFS('01_원자료'!$S$2:$S$976,'01_원자료'!$A$2:$A$976,$A63,'01_원자료'!$B$2:$B$976,"gemini")-AVERAGEIFS('01_원자료'!$S$2:$S$976,'01_원자료'!$A$2:$A$976,$A63,'01_원자료'!$C$2:$C$976,"gemma")+AVERAGEIFS('01_원자료'!$S$2:$S$976,'01_원자료'!$A$2:$A$976,$A63)</f>
        <v>1.2035736008966014E-2</v>
      </c>
      <c r="D63" s="48">
        <f>AVERAGEIFS('01_원자료'!$S$2:$S$976,'01_원자료'!$A$2:$A$976,$A63,'01_원자료'!$B$2:$B$976,"qwen3_6",'01_원자료'!$C$2:$C$976,"qwen")-AVERAGEIFS('01_원자료'!$S$2:$S$976,'01_원자료'!$A$2:$A$976,$A63,'01_원자료'!$B$2:$B$976,"qwen3_6")-AVERAGEIFS('01_원자료'!$S$2:$S$976,'01_원자료'!$A$2:$A$976,$A63,'01_원자료'!$C$2:$C$976,"qwen")+AVERAGEIFS('01_원자료'!$S$2:$S$976,'01_원자료'!$A$2:$A$976,$A63)</f>
        <v>1.0136477959773904E-2</v>
      </c>
      <c r="E63" s="48">
        <f>AVERAGEIFS('01_원자료'!$S$2:$S$976,'01_원자료'!$A$2:$A$976,$A63,'01_원자료'!$B$2:$B$976,"mistral",'01_원자료'!$C$2:$C$976,"ministral")-AVERAGEIFS('01_원자료'!$S$2:$S$976,'01_원자료'!$A$2:$A$976,$A63,'01_원자료'!$B$2:$B$976,"mistral")-AVERAGEIFS('01_원자료'!$S$2:$S$976,'01_원자료'!$A$2:$A$976,$A63,'01_원자료'!$C$2:$C$976,"ministral")+AVERAGEIFS('01_원자료'!$S$2:$S$976,'01_원자료'!$A$2:$A$976,$A63)</f>
        <v>8.9468871550608675E-3</v>
      </c>
      <c r="F63" s="2">
        <f t="shared" si="5"/>
        <v>1</v>
      </c>
      <c r="G63" s="2">
        <f t="shared" si="6"/>
        <v>1</v>
      </c>
      <c r="H63" s="2">
        <f t="shared" si="7"/>
        <v>1</v>
      </c>
    </row>
    <row r="64" spans="1:8">
      <c r="A64" s="15" t="s">
        <v>182</v>
      </c>
      <c r="B64" s="5" t="str">
        <f t="shared" si="4"/>
        <v>보고서</v>
      </c>
      <c r="C64" s="48">
        <f>AVERAGEIFS('01_원자료'!$S$2:$S$976,'01_원자료'!$A$2:$A$976,$A64,'01_원자료'!$B$2:$B$976,"gemini",'01_원자료'!$C$2:$C$976,"gemma")-AVERAGEIFS('01_원자료'!$S$2:$S$976,'01_원자료'!$A$2:$A$976,$A64,'01_원자료'!$B$2:$B$976,"gemini")-AVERAGEIFS('01_원자료'!$S$2:$S$976,'01_원자료'!$A$2:$A$976,$A64,'01_원자료'!$C$2:$C$976,"gemma")+AVERAGEIFS('01_원자료'!$S$2:$S$976,'01_원자료'!$A$2:$A$976,$A64)</f>
        <v>5.5828857542801646E-2</v>
      </c>
      <c r="D64" s="48">
        <f>AVERAGEIFS('01_원자료'!$S$2:$S$976,'01_원자료'!$A$2:$A$976,$A64,'01_원자료'!$B$2:$B$976,"qwen3_6",'01_원자료'!$C$2:$C$976,"qwen")-AVERAGEIFS('01_원자료'!$S$2:$S$976,'01_원자료'!$A$2:$A$976,$A64,'01_원자료'!$B$2:$B$976,"qwen3_6")-AVERAGEIFS('01_원자료'!$S$2:$S$976,'01_원자료'!$A$2:$A$976,$A64,'01_원자료'!$C$2:$C$976,"qwen")+AVERAGEIFS('01_원자료'!$S$2:$S$976,'01_원자료'!$A$2:$A$976,$A64)</f>
        <v>-1.7740240321613809E-2</v>
      </c>
      <c r="E64" s="48">
        <f>AVERAGEIFS('01_원자료'!$S$2:$S$976,'01_원자료'!$A$2:$A$976,$A64,'01_원자료'!$B$2:$B$976,"mistral",'01_원자료'!$C$2:$C$976,"ministral")-AVERAGEIFS('01_원자료'!$S$2:$S$976,'01_원자료'!$A$2:$A$976,$A64,'01_원자료'!$B$2:$B$976,"mistral")-AVERAGEIFS('01_원자료'!$S$2:$S$976,'01_원자료'!$A$2:$A$976,$A64,'01_원자료'!$C$2:$C$976,"ministral")+AVERAGEIFS('01_원자료'!$S$2:$S$976,'01_원자료'!$A$2:$A$976,$A64)</f>
        <v>2.9785342071800835E-2</v>
      </c>
      <c r="F64" s="2">
        <f t="shared" si="5"/>
        <v>1</v>
      </c>
      <c r="G64" s="2">
        <f t="shared" si="6"/>
        <v>0</v>
      </c>
      <c r="H64" s="2">
        <f t="shared" si="7"/>
        <v>1</v>
      </c>
    </row>
    <row r="65" spans="1:8">
      <c r="A65" s="15" t="s">
        <v>183</v>
      </c>
      <c r="B65" s="5" t="str">
        <f t="shared" si="4"/>
        <v>보고서</v>
      </c>
      <c r="C65" s="48">
        <f>AVERAGEIFS('01_원자료'!$S$2:$S$976,'01_원자료'!$A$2:$A$976,$A65,'01_원자료'!$B$2:$B$976,"gemini",'01_원자료'!$C$2:$C$976,"gemma")-AVERAGEIFS('01_원자료'!$S$2:$S$976,'01_원자료'!$A$2:$A$976,$A65,'01_원자료'!$B$2:$B$976,"gemini")-AVERAGEIFS('01_원자료'!$S$2:$S$976,'01_원자료'!$A$2:$A$976,$A65,'01_원자료'!$C$2:$C$976,"gemma")+AVERAGEIFS('01_원자료'!$S$2:$S$976,'01_원자료'!$A$2:$A$976,$A65)</f>
        <v>3.2443421450267018E-2</v>
      </c>
      <c r="D65" s="48">
        <f>AVERAGEIFS('01_원자료'!$S$2:$S$976,'01_원자료'!$A$2:$A$976,$A65,'01_원자료'!$B$2:$B$976,"qwen3_6",'01_원자료'!$C$2:$C$976,"qwen")-AVERAGEIFS('01_원자료'!$S$2:$S$976,'01_원자료'!$A$2:$A$976,$A65,'01_원자료'!$B$2:$B$976,"qwen3_6")-AVERAGEIFS('01_원자료'!$S$2:$S$976,'01_원자료'!$A$2:$A$976,$A65,'01_원자료'!$C$2:$C$976,"qwen")+AVERAGEIFS('01_원자료'!$S$2:$S$976,'01_원자료'!$A$2:$A$976,$A65)</f>
        <v>-1.2393195932105638E-2</v>
      </c>
      <c r="E65" s="48">
        <f>AVERAGEIFS('01_원자료'!$S$2:$S$976,'01_원자료'!$A$2:$A$976,$A65,'01_원자료'!$B$2:$B$976,"mistral",'01_원자료'!$C$2:$C$976,"ministral")-AVERAGEIFS('01_원자료'!$S$2:$S$976,'01_원자료'!$A$2:$A$976,$A65,'01_원자료'!$B$2:$B$976,"mistral")-AVERAGEIFS('01_원자료'!$S$2:$S$976,'01_원자료'!$A$2:$A$976,$A65,'01_원자료'!$C$2:$C$976,"ministral")+AVERAGEIFS('01_원자료'!$S$2:$S$976,'01_원자료'!$A$2:$A$976,$A65)</f>
        <v>9.9610087078703113E-3</v>
      </c>
      <c r="F65" s="2">
        <f t="shared" si="5"/>
        <v>1</v>
      </c>
      <c r="G65" s="2">
        <f t="shared" si="6"/>
        <v>0</v>
      </c>
      <c r="H65" s="2">
        <f t="shared" si="7"/>
        <v>1</v>
      </c>
    </row>
    <row r="66" spans="1:8">
      <c r="A66" s="15" t="s">
        <v>184</v>
      </c>
      <c r="B66" s="5" t="str">
        <f t="shared" si="4"/>
        <v>보고서</v>
      </c>
      <c r="C66" s="48">
        <f>AVERAGEIFS('01_원자료'!$S$2:$S$976,'01_원자료'!$A$2:$A$976,$A66,'01_원자료'!$B$2:$B$976,"gemini",'01_원자료'!$C$2:$C$976,"gemma")-AVERAGEIFS('01_원자료'!$S$2:$S$976,'01_원자료'!$A$2:$A$976,$A66,'01_원자료'!$B$2:$B$976,"gemini")-AVERAGEIFS('01_원자료'!$S$2:$S$976,'01_원자료'!$A$2:$A$976,$A66,'01_원자료'!$C$2:$C$976,"gemma")+AVERAGEIFS('01_원자료'!$S$2:$S$976,'01_원자료'!$A$2:$A$976,$A66)</f>
        <v>4.2305502867490796E-2</v>
      </c>
      <c r="D66" s="48">
        <f>AVERAGEIFS('01_원자료'!$S$2:$S$976,'01_원자료'!$A$2:$A$976,$A66,'01_원자료'!$B$2:$B$976,"qwen3_6",'01_원자료'!$C$2:$C$976,"qwen")-AVERAGEIFS('01_원자료'!$S$2:$S$976,'01_원자료'!$A$2:$A$976,$A66,'01_원자료'!$B$2:$B$976,"qwen3_6")-AVERAGEIFS('01_원자료'!$S$2:$S$976,'01_원자료'!$A$2:$A$976,$A66,'01_원자료'!$C$2:$C$976,"qwen")+AVERAGEIFS('01_원자료'!$S$2:$S$976,'01_원자료'!$A$2:$A$976,$A66)</f>
        <v>4.8262389515630888E-3</v>
      </c>
      <c r="E66" s="48">
        <f>AVERAGEIFS('01_원자료'!$S$2:$S$976,'01_원자료'!$A$2:$A$976,$A66,'01_원자료'!$B$2:$B$976,"mistral",'01_원자료'!$C$2:$C$976,"ministral")-AVERAGEIFS('01_원자료'!$S$2:$S$976,'01_원자료'!$A$2:$A$976,$A66,'01_원자료'!$B$2:$B$976,"mistral")-AVERAGEIFS('01_원자료'!$S$2:$S$976,'01_원자료'!$A$2:$A$976,$A66,'01_원자료'!$C$2:$C$976,"ministral")+AVERAGEIFS('01_원자료'!$S$2:$S$976,'01_원자료'!$A$2:$A$976,$A66)</f>
        <v>5.9668277055350272E-2</v>
      </c>
      <c r="F66" s="2">
        <f t="shared" si="5"/>
        <v>1</v>
      </c>
      <c r="G66" s="2">
        <f t="shared" si="6"/>
        <v>1</v>
      </c>
      <c r="H66" s="2">
        <f t="shared" si="7"/>
        <v>1</v>
      </c>
    </row>
    <row r="67" spans="1:8">
      <c r="A67" s="15" t="s">
        <v>185</v>
      </c>
      <c r="B67" s="5" t="str">
        <f t="shared" si="4"/>
        <v>보고서</v>
      </c>
      <c r="C67" s="48">
        <f>AVERAGEIFS('01_원자료'!$S$2:$S$976,'01_원자료'!$A$2:$A$976,$A67,'01_원자료'!$B$2:$B$976,"gemini",'01_원자료'!$C$2:$C$976,"gemma")-AVERAGEIFS('01_원자료'!$S$2:$S$976,'01_원자료'!$A$2:$A$976,$A67,'01_원자료'!$B$2:$B$976,"gemini")-AVERAGEIFS('01_원자료'!$S$2:$S$976,'01_원자료'!$A$2:$A$976,$A67,'01_원자료'!$C$2:$C$976,"gemma")+AVERAGEIFS('01_원자료'!$S$2:$S$976,'01_원자료'!$A$2:$A$976,$A67)</f>
        <v>3.0028581987222247E-2</v>
      </c>
      <c r="D67" s="48">
        <f>AVERAGEIFS('01_원자료'!$S$2:$S$976,'01_원자료'!$A$2:$A$976,$A67,'01_원자료'!$B$2:$B$976,"qwen3_6",'01_원자료'!$C$2:$C$976,"qwen")-AVERAGEIFS('01_원자료'!$S$2:$S$976,'01_원자료'!$A$2:$A$976,$A67,'01_원자료'!$B$2:$B$976,"qwen3_6")-AVERAGEIFS('01_원자료'!$S$2:$S$976,'01_원자료'!$A$2:$A$976,$A67,'01_원자료'!$C$2:$C$976,"qwen")+AVERAGEIFS('01_원자료'!$S$2:$S$976,'01_원자료'!$A$2:$A$976,$A67)</f>
        <v>5.7909342894868487E-3</v>
      </c>
      <c r="E67" s="48">
        <f>AVERAGEIFS('01_원자료'!$S$2:$S$976,'01_원자료'!$A$2:$A$976,$A67,'01_원자료'!$B$2:$B$976,"mistral",'01_원자료'!$C$2:$C$976,"ministral")-AVERAGEIFS('01_원자료'!$S$2:$S$976,'01_원자료'!$A$2:$A$976,$A67,'01_원자료'!$B$2:$B$976,"mistral")-AVERAGEIFS('01_원자료'!$S$2:$S$976,'01_원자료'!$A$2:$A$976,$A67,'01_원자료'!$C$2:$C$976,"ministral")+AVERAGEIFS('01_원자료'!$S$2:$S$976,'01_원자료'!$A$2:$A$976,$A67)</f>
        <v>1.9350240410009656E-2</v>
      </c>
      <c r="F67" s="2">
        <f t="shared" si="5"/>
        <v>1</v>
      </c>
      <c r="G67" s="2">
        <f t="shared" si="6"/>
        <v>1</v>
      </c>
      <c r="H67" s="2">
        <f t="shared" si="7"/>
        <v>1</v>
      </c>
    </row>
    <row r="68" spans="1:8">
      <c r="A68" s="15" t="s">
        <v>186</v>
      </c>
      <c r="B68" s="5" t="str">
        <f t="shared" si="4"/>
        <v>보고서</v>
      </c>
      <c r="C68" s="48">
        <f>AVERAGEIFS('01_원자료'!$S$2:$S$976,'01_원자료'!$A$2:$A$976,$A68,'01_원자료'!$B$2:$B$976,"gemini",'01_원자료'!$C$2:$C$976,"gemma")-AVERAGEIFS('01_원자료'!$S$2:$S$976,'01_원자료'!$A$2:$A$976,$A68,'01_원자료'!$B$2:$B$976,"gemini")-AVERAGEIFS('01_원자료'!$S$2:$S$976,'01_원자료'!$A$2:$A$976,$A68,'01_원자료'!$C$2:$C$976,"gemma")+AVERAGEIFS('01_원자료'!$S$2:$S$976,'01_원자료'!$A$2:$A$976,$A68)</f>
        <v>1.4253389276695727E-2</v>
      </c>
      <c r="D68" s="48">
        <f>AVERAGEIFS('01_원자료'!$S$2:$S$976,'01_원자료'!$A$2:$A$976,$A68,'01_원자료'!$B$2:$B$976,"qwen3_6",'01_원자료'!$C$2:$C$976,"qwen")-AVERAGEIFS('01_원자료'!$S$2:$S$976,'01_원자료'!$A$2:$A$976,$A68,'01_원자료'!$B$2:$B$976,"qwen3_6")-AVERAGEIFS('01_원자료'!$S$2:$S$976,'01_원자료'!$A$2:$A$976,$A68,'01_원자료'!$C$2:$C$976,"qwen")+AVERAGEIFS('01_원자료'!$S$2:$S$976,'01_원자료'!$A$2:$A$976,$A68)</f>
        <v>1.7738669575601551E-2</v>
      </c>
      <c r="E68" s="48">
        <f>AVERAGEIFS('01_원자료'!$S$2:$S$976,'01_원자료'!$A$2:$A$976,$A68,'01_원자료'!$B$2:$B$976,"mistral",'01_원자료'!$C$2:$C$976,"ministral")-AVERAGEIFS('01_원자료'!$S$2:$S$976,'01_원자료'!$A$2:$A$976,$A68,'01_원자료'!$B$2:$B$976,"mistral")-AVERAGEIFS('01_원자료'!$S$2:$S$976,'01_원자료'!$A$2:$A$976,$A68,'01_원자료'!$C$2:$C$976,"ministral")+AVERAGEIFS('01_원자료'!$S$2:$S$976,'01_원자료'!$A$2:$A$976,$A68)</f>
        <v>2.2915012724548878E-2</v>
      </c>
      <c r="F68" s="2">
        <f t="shared" si="5"/>
        <v>1</v>
      </c>
      <c r="G68" s="2">
        <f t="shared" si="6"/>
        <v>1</v>
      </c>
      <c r="H68" s="2">
        <f t="shared" si="7"/>
        <v>1</v>
      </c>
    </row>
    <row r="69" spans="1:8">
      <c r="A69" s="15" t="s">
        <v>187</v>
      </c>
      <c r="B69" s="5" t="str">
        <f t="shared" ref="B69:B100" si="8">IF(LEFT(A69,3)="PAT","특허","보고서")</f>
        <v>보고서</v>
      </c>
      <c r="C69" s="48">
        <f>AVERAGEIFS('01_원자료'!$S$2:$S$976,'01_원자료'!$A$2:$A$976,$A69,'01_원자료'!$B$2:$B$976,"gemini",'01_원자료'!$C$2:$C$976,"gemma")-AVERAGEIFS('01_원자료'!$S$2:$S$976,'01_원자료'!$A$2:$A$976,$A69,'01_원자료'!$B$2:$B$976,"gemini")-AVERAGEIFS('01_원자료'!$S$2:$S$976,'01_원자료'!$A$2:$A$976,$A69,'01_원자료'!$C$2:$C$976,"gemma")+AVERAGEIFS('01_원자료'!$S$2:$S$976,'01_원자료'!$A$2:$A$976,$A69)</f>
        <v>3.6142536909328227E-2</v>
      </c>
      <c r="D69" s="48">
        <f>AVERAGEIFS('01_원자료'!$S$2:$S$976,'01_원자료'!$A$2:$A$976,$A69,'01_원자료'!$B$2:$B$976,"qwen3_6",'01_원자료'!$C$2:$C$976,"qwen")-AVERAGEIFS('01_원자료'!$S$2:$S$976,'01_원자료'!$A$2:$A$976,$A69,'01_원자료'!$B$2:$B$976,"qwen3_6")-AVERAGEIFS('01_원자료'!$S$2:$S$976,'01_원자료'!$A$2:$A$976,$A69,'01_원자료'!$C$2:$C$976,"qwen")+AVERAGEIFS('01_원자료'!$S$2:$S$976,'01_원자료'!$A$2:$A$976,$A69)</f>
        <v>3.7934043888955937E-2</v>
      </c>
      <c r="E69" s="48">
        <f>AVERAGEIFS('01_원자료'!$S$2:$S$976,'01_원자료'!$A$2:$A$976,$A69,'01_원자료'!$B$2:$B$976,"mistral",'01_원자료'!$C$2:$C$976,"ministral")-AVERAGEIFS('01_원자료'!$S$2:$S$976,'01_원자료'!$A$2:$A$976,$A69,'01_원자료'!$B$2:$B$976,"mistral")-AVERAGEIFS('01_원자료'!$S$2:$S$976,'01_원자료'!$A$2:$A$976,$A69,'01_원자료'!$C$2:$C$976,"ministral")+AVERAGEIFS('01_원자료'!$S$2:$S$976,'01_원자료'!$A$2:$A$976,$A69)</f>
        <v>0.13097722694631198</v>
      </c>
      <c r="F69" s="2">
        <f t="shared" si="5"/>
        <v>1</v>
      </c>
      <c r="G69" s="2">
        <f t="shared" si="6"/>
        <v>1</v>
      </c>
      <c r="H69" s="2">
        <f t="shared" si="7"/>
        <v>1</v>
      </c>
    </row>
    <row r="72" spans="1:8">
      <c r="A72" s="3" t="s">
        <v>505</v>
      </c>
    </row>
    <row r="73" spans="1:8">
      <c r="A73" s="10" t="s">
        <v>473</v>
      </c>
      <c r="B73" s="10" t="s">
        <v>506</v>
      </c>
      <c r="C73" s="14" t="s">
        <v>507</v>
      </c>
      <c r="D73" s="10" t="s">
        <v>508</v>
      </c>
    </row>
    <row r="74" spans="1:8">
      <c r="A74" s="6" t="s">
        <v>477</v>
      </c>
      <c r="B74" s="52">
        <f>AVERAGE(C$5:C$69)</f>
        <v>2.7563069476704592E-2</v>
      </c>
      <c r="C74" s="53">
        <f>'10_계열편향'!C16</f>
        <v>2.7563069476704727E-2</v>
      </c>
      <c r="D74" s="54">
        <f>B74-C74</f>
        <v>-1.3530843112619095E-16</v>
      </c>
    </row>
    <row r="75" spans="1:8">
      <c r="A75" s="6" t="s">
        <v>478</v>
      </c>
      <c r="B75" s="52">
        <f>AVERAGE(D$5:D$69)</f>
        <v>7.0912268506129047E-3</v>
      </c>
      <c r="C75" s="53">
        <f>'10_계열편향'!C17</f>
        <v>7.0912268506123644E-3</v>
      </c>
      <c r="D75" s="54">
        <f>B75-C75</f>
        <v>5.4036636276677541E-16</v>
      </c>
    </row>
    <row r="76" spans="1:8">
      <c r="A76" s="6" t="s">
        <v>271</v>
      </c>
      <c r="B76" s="52">
        <f>AVERAGE(E$5:E$69)</f>
        <v>2.2953705834163476E-2</v>
      </c>
      <c r="C76" s="53">
        <f>'10_계열편향'!C18</f>
        <v>2.295370583416334E-2</v>
      </c>
      <c r="D76" s="54">
        <f>B76-C76</f>
        <v>1.3530843112619095E-16</v>
      </c>
    </row>
    <row r="78" spans="1:8">
      <c r="A78" s="2" t="s">
        <v>509</v>
      </c>
    </row>
    <row r="80" spans="1:8">
      <c r="A80" s="3" t="s">
        <v>510</v>
      </c>
    </row>
    <row r="81" spans="1:5">
      <c r="A81" s="2" t="s">
        <v>511</v>
      </c>
    </row>
    <row r="82" spans="1:5">
      <c r="A82" s="10" t="s">
        <v>107</v>
      </c>
      <c r="B82" s="10" t="s">
        <v>512</v>
      </c>
      <c r="C82" s="10" t="s">
        <v>513</v>
      </c>
      <c r="D82" s="10" t="s">
        <v>218</v>
      </c>
      <c r="E82" s="10" t="s">
        <v>514</v>
      </c>
    </row>
    <row r="83" spans="1:5">
      <c r="A83" s="4" t="s">
        <v>515</v>
      </c>
      <c r="B83" s="33">
        <f>COUNTIFS($B$5:$B$69,$A83)*3-C83</f>
        <v>20</v>
      </c>
      <c r="C83" s="33">
        <f>SUMPRODUCT(($B$5:$B$69=$A83)*($F$5:$H$69))</f>
        <v>73</v>
      </c>
      <c r="D83" s="33">
        <f>B83+C83</f>
        <v>93</v>
      </c>
      <c r="E83" s="12">
        <f>C83/D83</f>
        <v>0.78494623655913975</v>
      </c>
    </row>
    <row r="84" spans="1:5">
      <c r="A84" s="4" t="s">
        <v>516</v>
      </c>
      <c r="B84" s="33">
        <f>COUNTIFS($B$5:$B$69,$A84)*3-C84</f>
        <v>15</v>
      </c>
      <c r="C84" s="33">
        <f>SUMPRODUCT(($B$5:$B$69=$A84)*($F$5:$H$69))</f>
        <v>87</v>
      </c>
      <c r="D84" s="33">
        <f>B84+C84</f>
        <v>102</v>
      </c>
      <c r="E84" s="12">
        <f>C84/D84</f>
        <v>0.8529411764705882</v>
      </c>
    </row>
    <row r="85" spans="1:5">
      <c r="A85" s="4" t="s">
        <v>218</v>
      </c>
      <c r="B85" s="13">
        <f>SUM(B83:B84)</f>
        <v>35</v>
      </c>
      <c r="C85" s="13">
        <f>SUM(C83:C84)</f>
        <v>160</v>
      </c>
      <c r="D85" s="13">
        <f>SUM(D83:D84)</f>
        <v>195</v>
      </c>
    </row>
    <row r="87" spans="1:5">
      <c r="A87" s="3" t="s">
        <v>517</v>
      </c>
    </row>
    <row r="88" spans="1:5">
      <c r="A88" s="10" t="s">
        <v>107</v>
      </c>
      <c r="B88" s="10" t="s">
        <v>518</v>
      </c>
      <c r="C88" s="10" t="s">
        <v>519</v>
      </c>
    </row>
    <row r="89" spans="1:5">
      <c r="A89" s="4" t="str">
        <f>A83</f>
        <v>특허</v>
      </c>
      <c r="B89" s="34">
        <f>$D83*B$85/$D$85</f>
        <v>16.692307692307693</v>
      </c>
      <c r="C89" s="34">
        <f>$D83*C$85/$D$85</f>
        <v>76.307692307692307</v>
      </c>
    </row>
    <row r="90" spans="1:5">
      <c r="A90" s="4" t="str">
        <f>A84</f>
        <v>보고서</v>
      </c>
      <c r="B90" s="34">
        <f>$D84*B$85/$D$85</f>
        <v>18.307692307692307</v>
      </c>
      <c r="C90" s="34">
        <f>$D84*C$85/$D$85</f>
        <v>83.692307692307693</v>
      </c>
    </row>
    <row r="92" spans="1:5">
      <c r="A92" s="4" t="s">
        <v>520</v>
      </c>
      <c r="B92" s="40">
        <f>(ABS(B83-B89)-0.5)^2/B89+(ABS(C83-C89)-0.5)^2/C89+(ABS(B84-B90)-0.5)^2/B90+(ABS(C84-C90)-0.5)^2/C90</f>
        <v>1.1003521872458653</v>
      </c>
    </row>
    <row r="93" spans="1:5">
      <c r="A93" s="4" t="s">
        <v>433</v>
      </c>
      <c r="B93" s="55">
        <f>(2-1)*(2-1)</f>
        <v>1</v>
      </c>
    </row>
    <row r="94" spans="1:5">
      <c r="A94" s="6" t="s">
        <v>295</v>
      </c>
      <c r="B94" s="40">
        <f>CHIDIST(B92,B93)</f>
        <v>0.29418882692521159</v>
      </c>
    </row>
    <row r="96" spans="1:5">
      <c r="A96" s="11" t="s">
        <v>521</v>
      </c>
    </row>
    <row r="97" spans="1:1">
      <c r="A97" s="2" t="s">
        <v>522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3"/>
  <sheetViews>
    <sheetView zoomScaleNormal="100" workbookViewId="0">
      <pane xSplit="1" ySplit="4" topLeftCell="B44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/>
  <cols>
    <col min="1" max="1" width="26" customWidth="1"/>
    <col min="2" max="2" width="15" customWidth="1"/>
    <col min="3" max="3" width="13" customWidth="1"/>
    <col min="4" max="4" width="20" customWidth="1"/>
    <col min="5" max="5" width="16" customWidth="1"/>
    <col min="6" max="7" width="19" customWidth="1"/>
    <col min="8" max="9" width="12" customWidth="1"/>
    <col min="10" max="10" width="19" customWidth="1"/>
    <col min="11" max="11" width="11" customWidth="1"/>
  </cols>
  <sheetData>
    <row r="1" spans="1:16" ht="17.399999999999999">
      <c r="A1" s="21" t="s">
        <v>523</v>
      </c>
    </row>
    <row r="2" spans="1:16">
      <c r="A2" s="2" t="s">
        <v>524</v>
      </c>
    </row>
    <row r="4" spans="1:16" ht="39.6">
      <c r="A4" s="14" t="s">
        <v>87</v>
      </c>
      <c r="B4" s="14" t="s">
        <v>525</v>
      </c>
      <c r="C4" s="14" t="s">
        <v>526</v>
      </c>
      <c r="D4" s="14" t="s">
        <v>527</v>
      </c>
      <c r="E4" s="10" t="s">
        <v>528</v>
      </c>
      <c r="F4" s="10" t="s">
        <v>529</v>
      </c>
      <c r="G4" s="10" t="s">
        <v>530</v>
      </c>
      <c r="H4" s="10" t="s">
        <v>531</v>
      </c>
      <c r="I4" s="10" t="s">
        <v>532</v>
      </c>
      <c r="J4" s="10" t="s">
        <v>533</v>
      </c>
      <c r="K4" s="10" t="s">
        <v>107</v>
      </c>
      <c r="L4" s="10" t="s">
        <v>534</v>
      </c>
      <c r="M4" s="10" t="s">
        <v>535</v>
      </c>
      <c r="N4" s="10" t="s">
        <v>536</v>
      </c>
      <c r="O4" s="10" t="s">
        <v>537</v>
      </c>
      <c r="P4" s="10" t="s">
        <v>538</v>
      </c>
    </row>
    <row r="5" spans="1:16">
      <c r="A5" s="15" t="s">
        <v>115</v>
      </c>
      <c r="B5" s="17">
        <f>AVERAGEIFS('01_원자료'!$S$2:$S$976,'01_원자료'!$A$2:$A$976,$A5)</f>
        <v>0.61271229246027659</v>
      </c>
      <c r="C5" s="17">
        <f>AVERAGEIFS('01_원자료'!$O$2:$O$976,'01_원자료'!$A$2:$A$976,$A5)</f>
        <v>1</v>
      </c>
      <c r="D5" s="17">
        <f>SQRT(SUMPRODUCT(('01_원자료'!$A$2:$A$976=$A5)*('01_원자료'!$O$2:$O$976-$C5)^2)/14)</f>
        <v>0</v>
      </c>
      <c r="E5" s="56">
        <v>926.33333333333303</v>
      </c>
      <c r="F5" s="16">
        <v>1</v>
      </c>
      <c r="G5" s="16">
        <v>0</v>
      </c>
      <c r="H5" s="17">
        <f>AVERAGEIFS('01_원자료'!$P$2:$P$976,'01_원자료'!$A$2:$A$976,$A5)</f>
        <v>0.24735121033212665</v>
      </c>
      <c r="I5" s="17">
        <f>AVERAGEIFS('01_원자료'!$Q$2:$Q$976,'01_원자료'!$A$2:$A$976,$A5)</f>
        <v>0.7164179215899662</v>
      </c>
      <c r="J5" s="17">
        <f>('02_지표정의'!$C$22*H5+'02_지표정의'!$C$23*I5)/('02_지표정의'!$C$22+'02_지표정의'!$C$23)</f>
        <v>0.57208970274140014</v>
      </c>
      <c r="K5" s="5" t="str">
        <f t="shared" ref="K5:K36" si="0">IF(LEFT(A5,3)="PAT","특허","보고서")</f>
        <v>특허</v>
      </c>
      <c r="L5" s="31">
        <f t="shared" ref="L5:L36" si="1">COUNTIF($B$5:$B$69,"&lt;"&amp;B5)+(COUNTIF($B$5:$B$69,"="&amp;B5)+1)/2</f>
        <v>24</v>
      </c>
      <c r="M5" s="31">
        <f t="shared" ref="M5:M36" si="2">COUNTIF($D$5:$D$69,"&lt;"&amp;D5)+(COUNTIF($D$5:$D$69,"="&amp;D5)+1)/2</f>
        <v>15.5</v>
      </c>
      <c r="N5" s="31">
        <f t="shared" ref="N5:N36" si="3">COUNTIF($E$5:$E$69,"&lt;"&amp;E5)+(COUNTIF($E$5:$E$69,"="&amp;E5)+1)/2</f>
        <v>45</v>
      </c>
      <c r="O5" s="31">
        <f t="shared" ref="O5:O36" si="4">COUNTIF($F$5:$F$69,"&lt;"&amp;F5)+(COUNTIF($F$5:$F$69,"="&amp;F5)+1)/2</f>
        <v>48</v>
      </c>
      <c r="P5" s="31">
        <f t="shared" ref="P5:P36" si="5">COUNTIF($J$5:$J$69,"&lt;"&amp;J5)+(COUNTIF($J$5:$J$69,"="&amp;J5)+1)/2</f>
        <v>2</v>
      </c>
    </row>
    <row r="6" spans="1:16">
      <c r="A6" s="15" t="s">
        <v>124</v>
      </c>
      <c r="B6" s="17">
        <f>AVERAGEIFS('01_원자료'!$S$2:$S$976,'01_원자료'!$A$2:$A$976,$A6)</f>
        <v>0.60442266366747366</v>
      </c>
      <c r="C6" s="17">
        <f>AVERAGEIFS('01_원자료'!$O$2:$O$976,'01_원자료'!$A$2:$A$976,$A6)</f>
        <v>0.88210526315789484</v>
      </c>
      <c r="D6" s="17">
        <f>SQRT(SUMPRODUCT(('01_원자료'!$A$2:$A$976=$A6)*('01_원자료'!$O$2:$O$976-$C6)^2)/14)</f>
        <v>0.1725905416105501</v>
      </c>
      <c r="E6" s="56">
        <v>902.66666666666697</v>
      </c>
      <c r="F6" s="16">
        <v>0.76578947368421102</v>
      </c>
      <c r="G6" s="16">
        <v>0.202870672339032</v>
      </c>
      <c r="H6" s="17">
        <f>AVERAGEIFS('01_원자료'!$P$2:$P$976,'01_원자료'!$A$2:$A$976,$A6)</f>
        <v>0.24869109197040906</v>
      </c>
      <c r="I6" s="17">
        <f>AVERAGEIFS('01_원자료'!$Q$2:$Q$976,'01_원자료'!$A$2:$A$976,$A6)</f>
        <v>0.74779252464512491</v>
      </c>
      <c r="J6" s="17">
        <f>('02_지표정의'!$C$22*H6+'02_지표정의'!$C$23*I6)/('02_지표정의'!$C$22+'02_지표정의'!$C$23)</f>
        <v>0.59422285305290468</v>
      </c>
      <c r="K6" s="5" t="str">
        <f t="shared" si="0"/>
        <v>특허</v>
      </c>
      <c r="L6" s="31">
        <f t="shared" si="1"/>
        <v>20</v>
      </c>
      <c r="M6" s="31">
        <f t="shared" si="2"/>
        <v>35</v>
      </c>
      <c r="N6" s="31">
        <f t="shared" si="3"/>
        <v>40</v>
      </c>
      <c r="O6" s="31">
        <f t="shared" si="4"/>
        <v>28</v>
      </c>
      <c r="P6" s="31">
        <f t="shared" si="5"/>
        <v>24</v>
      </c>
    </row>
    <row r="7" spans="1:16">
      <c r="A7" s="15" t="s">
        <v>125</v>
      </c>
      <c r="B7" s="17">
        <f>AVERAGEIFS('01_원자료'!$S$2:$S$976,'01_원자료'!$A$2:$A$976,$A7)</f>
        <v>0.59479696156019812</v>
      </c>
      <c r="C7" s="17">
        <f>AVERAGEIFS('01_원자료'!$O$2:$O$976,'01_원자료'!$A$2:$A$976,$A7)</f>
        <v>0.78947368421052622</v>
      </c>
      <c r="D7" s="17">
        <f>SQRT(SUMPRODUCT(('01_원자료'!$A$2:$A$976=$A7)*('01_원자료'!$O$2:$O$976-$C7)^2)/14)</f>
        <v>0.20384122874775892</v>
      </c>
      <c r="E7" s="56">
        <v>821</v>
      </c>
      <c r="F7" s="16">
        <v>0.66447368421052599</v>
      </c>
      <c r="G7" s="16">
        <v>0.161553015234325</v>
      </c>
      <c r="H7" s="17">
        <f>AVERAGEIFS('01_원자료'!$P$2:$P$976,'01_원자료'!$A$2:$A$976,$A7)</f>
        <v>0.2575943725479713</v>
      </c>
      <c r="I7" s="17">
        <f>AVERAGEIFS('01_원자료'!$Q$2:$Q$976,'01_원자료'!$A$2:$A$976,$A7)</f>
        <v>0.73059280433066254</v>
      </c>
      <c r="J7" s="17">
        <f>('02_지표정의'!$C$22*H7+'02_지표정의'!$C$23*I7)/('02_지표정의'!$C$22+'02_지표정의'!$C$23)</f>
        <v>0.58505482532060371</v>
      </c>
      <c r="K7" s="5" t="str">
        <f t="shared" si="0"/>
        <v>특허</v>
      </c>
      <c r="L7" s="31">
        <f t="shared" si="1"/>
        <v>10</v>
      </c>
      <c r="M7" s="31">
        <f t="shared" si="2"/>
        <v>44</v>
      </c>
      <c r="N7" s="31">
        <f t="shared" si="3"/>
        <v>21</v>
      </c>
      <c r="O7" s="31">
        <f t="shared" si="4"/>
        <v>2</v>
      </c>
      <c r="P7" s="31">
        <f t="shared" si="5"/>
        <v>5</v>
      </c>
    </row>
    <row r="8" spans="1:16">
      <c r="A8" s="15" t="s">
        <v>126</v>
      </c>
      <c r="B8" s="17">
        <f>AVERAGEIFS('01_원자료'!$S$2:$S$976,'01_원자료'!$A$2:$A$976,$A8)</f>
        <v>0.63572087556589341</v>
      </c>
      <c r="C8" s="17">
        <f>AVERAGEIFS('01_원자료'!$O$2:$O$976,'01_원자료'!$A$2:$A$976,$A8)</f>
        <v>0.90526315789473677</v>
      </c>
      <c r="D8" s="17">
        <f>SQRT(SUMPRODUCT(('01_원자료'!$A$2:$A$976=$A8)*('01_원자료'!$O$2:$O$976-$C8)^2)/14)</f>
        <v>0.19612389581309028</v>
      </c>
      <c r="E8" s="56">
        <v>906.66666666666697</v>
      </c>
      <c r="F8" s="16">
        <v>1</v>
      </c>
      <c r="G8" s="16">
        <v>0</v>
      </c>
      <c r="H8" s="17">
        <f>AVERAGEIFS('01_원자료'!$P$2:$P$976,'01_원자료'!$A$2:$A$976,$A8)</f>
        <v>0.25937581761651984</v>
      </c>
      <c r="I8" s="17">
        <f>AVERAGEIFS('01_원자료'!$Q$2:$Q$976,'01_원자료'!$A$2:$A$976,$A8)</f>
        <v>0.76958176991814775</v>
      </c>
      <c r="J8" s="17">
        <f>('02_지표정의'!$C$22*H8+'02_지표정의'!$C$23*I8)/('02_지표정의'!$C$22+'02_지표정의'!$C$23)</f>
        <v>0.61259532305610842</v>
      </c>
      <c r="K8" s="5" t="str">
        <f t="shared" si="0"/>
        <v>특허</v>
      </c>
      <c r="L8" s="31">
        <f t="shared" si="1"/>
        <v>50</v>
      </c>
      <c r="M8" s="31">
        <f t="shared" si="2"/>
        <v>41</v>
      </c>
      <c r="N8" s="31">
        <f t="shared" si="3"/>
        <v>41</v>
      </c>
      <c r="O8" s="31">
        <f t="shared" si="4"/>
        <v>48</v>
      </c>
      <c r="P8" s="31">
        <f t="shared" si="5"/>
        <v>54</v>
      </c>
    </row>
    <row r="9" spans="1:16">
      <c r="A9" s="15" t="s">
        <v>127</v>
      </c>
      <c r="B9" s="17">
        <f>AVERAGEIFS('01_원자료'!$S$2:$S$976,'01_원자료'!$A$2:$A$976,$A9)</f>
        <v>0.5994649942881326</v>
      </c>
      <c r="C9" s="17">
        <f>AVERAGEIFS('01_원자료'!$O$2:$O$976,'01_원자료'!$A$2:$A$976,$A9)</f>
        <v>0.81052631578947354</v>
      </c>
      <c r="D9" s="17">
        <f>SQRT(SUMPRODUCT(('01_원자료'!$A$2:$A$976=$A9)*('01_원자료'!$O$2:$O$976-$C9)^2)/14)</f>
        <v>0.24020173555442068</v>
      </c>
      <c r="E9" s="56">
        <v>899.66666666666697</v>
      </c>
      <c r="F9" s="16">
        <v>0.68421052631579005</v>
      </c>
      <c r="G9" s="16">
        <v>0.27348170645824399</v>
      </c>
      <c r="H9" s="17">
        <f>AVERAGEIFS('01_원자료'!$P$2:$P$976,'01_원자료'!$A$2:$A$976,$A9)</f>
        <v>0.27816489653751403</v>
      </c>
      <c r="I9" s="17">
        <f>AVERAGEIFS('01_원자료'!$Q$2:$Q$976,'01_원자료'!$A$2:$A$976,$A9)</f>
        <v>0.75933526734451107</v>
      </c>
      <c r="J9" s="17">
        <f>('02_지표정의'!$C$22*H9+'02_지표정의'!$C$23*I9)/('02_지표정의'!$C$22+'02_지표정의'!$C$23)</f>
        <v>0.61128284555774282</v>
      </c>
      <c r="K9" s="5" t="str">
        <f t="shared" si="0"/>
        <v>특허</v>
      </c>
      <c r="L9" s="31">
        <f t="shared" si="1"/>
        <v>14</v>
      </c>
      <c r="M9" s="31">
        <f t="shared" si="2"/>
        <v>62.5</v>
      </c>
      <c r="N9" s="31">
        <f t="shared" si="3"/>
        <v>39</v>
      </c>
      <c r="O9" s="31">
        <f t="shared" si="4"/>
        <v>11.5</v>
      </c>
      <c r="P9" s="31">
        <f t="shared" si="5"/>
        <v>51</v>
      </c>
    </row>
    <row r="10" spans="1:16">
      <c r="A10" s="15" t="s">
        <v>128</v>
      </c>
      <c r="B10" s="17">
        <f>AVERAGEIFS('01_원자료'!$S$2:$S$976,'01_원자료'!$A$2:$A$976,$A10)</f>
        <v>0.60744564231236964</v>
      </c>
      <c r="C10" s="17">
        <f>AVERAGEIFS('01_원자료'!$O$2:$O$976,'01_원자료'!$A$2:$A$976,$A10)</f>
        <v>0.8295546558704453</v>
      </c>
      <c r="D10" s="17">
        <f>SQRT(SUMPRODUCT(('01_원자료'!$A$2:$A$976=$A10)*('01_원자료'!$O$2:$O$976-$C10)^2)/14)</f>
        <v>0.21148489335883749</v>
      </c>
      <c r="E10" s="56">
        <v>885</v>
      </c>
      <c r="F10" s="16">
        <v>0.73684210526315796</v>
      </c>
      <c r="G10" s="16">
        <v>0.227901422048536</v>
      </c>
      <c r="H10" s="17">
        <f>AVERAGEIFS('01_원자료'!$P$2:$P$976,'01_원자료'!$A$2:$A$976,$A10)</f>
        <v>0.27548498889110523</v>
      </c>
      <c r="I10" s="17">
        <f>AVERAGEIFS('01_원자료'!$Q$2:$Q$976,'01_원자료'!$A$2:$A$976,$A10)</f>
        <v>0.76508142837025295</v>
      </c>
      <c r="J10" s="17">
        <f>('02_지표정의'!$C$22*H10+'02_지표정의'!$C$23*I10)/('02_지표정의'!$C$22+'02_지표정의'!$C$23)</f>
        <v>0.61443637006897678</v>
      </c>
      <c r="K10" s="5" t="str">
        <f t="shared" si="0"/>
        <v>특허</v>
      </c>
      <c r="L10" s="31">
        <f t="shared" si="1"/>
        <v>21</v>
      </c>
      <c r="M10" s="31">
        <f t="shared" si="2"/>
        <v>45</v>
      </c>
      <c r="N10" s="31">
        <f t="shared" si="3"/>
        <v>33</v>
      </c>
      <c r="O10" s="31">
        <f t="shared" si="4"/>
        <v>22.5</v>
      </c>
      <c r="P10" s="31">
        <f t="shared" si="5"/>
        <v>56</v>
      </c>
    </row>
    <row r="11" spans="1:16">
      <c r="A11" s="15" t="s">
        <v>129</v>
      </c>
      <c r="B11" s="17">
        <f>AVERAGEIFS('01_원자료'!$S$2:$S$976,'01_원자료'!$A$2:$A$976,$A11)</f>
        <v>0.65144276654711553</v>
      </c>
      <c r="C11" s="17">
        <f>AVERAGEIFS('01_원자료'!$O$2:$O$976,'01_원자료'!$A$2:$A$976,$A11)</f>
        <v>1</v>
      </c>
      <c r="D11" s="17">
        <f>SQRT(SUMPRODUCT(('01_원자료'!$A$2:$A$976=$A11)*('01_원자료'!$O$2:$O$976-$C11)^2)/14)</f>
        <v>0</v>
      </c>
      <c r="E11" s="56">
        <v>987.33333333333303</v>
      </c>
      <c r="F11" s="16">
        <v>1</v>
      </c>
      <c r="G11" s="16">
        <v>0</v>
      </c>
      <c r="H11" s="17">
        <f>AVERAGEIFS('01_원자료'!$P$2:$P$976,'01_원자료'!$A$2:$A$976,$A11)</f>
        <v>0.27139980497926069</v>
      </c>
      <c r="I11" s="17">
        <f>AVERAGEIFS('01_원자료'!$Q$2:$Q$976,'01_원자료'!$A$2:$A$976,$A11)</f>
        <v>0.77336575297660659</v>
      </c>
      <c r="J11" s="17">
        <f>('02_지표정의'!$C$22*H11+'02_지표정의'!$C$23*I11)/('02_지표정의'!$C$22+'02_지표정의'!$C$23)</f>
        <v>0.61891469205434624</v>
      </c>
      <c r="K11" s="5" t="str">
        <f t="shared" si="0"/>
        <v>특허</v>
      </c>
      <c r="L11" s="31">
        <f t="shared" si="1"/>
        <v>62</v>
      </c>
      <c r="M11" s="31">
        <f t="shared" si="2"/>
        <v>15.5</v>
      </c>
      <c r="N11" s="31">
        <f t="shared" si="3"/>
        <v>61</v>
      </c>
      <c r="O11" s="31">
        <f t="shared" si="4"/>
        <v>48</v>
      </c>
      <c r="P11" s="31">
        <f t="shared" si="5"/>
        <v>59</v>
      </c>
    </row>
    <row r="12" spans="1:16">
      <c r="A12" s="15" t="s">
        <v>130</v>
      </c>
      <c r="B12" s="17">
        <f>AVERAGEIFS('01_원자료'!$S$2:$S$976,'01_원자료'!$A$2:$A$976,$A12)</f>
        <v>0.62957020694355159</v>
      </c>
      <c r="C12" s="17">
        <f>AVERAGEIFS('01_원자료'!$O$2:$O$976,'01_원자료'!$A$2:$A$976,$A12)</f>
        <v>0.90526315789473677</v>
      </c>
      <c r="D12" s="17">
        <f>SQRT(SUMPRODUCT(('01_원자료'!$A$2:$A$976=$A12)*('01_원자료'!$O$2:$O$976-$C12)^2)/14)</f>
        <v>0.19612389581309028</v>
      </c>
      <c r="E12" s="56">
        <v>887.33333333333303</v>
      </c>
      <c r="F12" s="16">
        <v>1</v>
      </c>
      <c r="G12" s="16">
        <v>0</v>
      </c>
      <c r="H12" s="17">
        <f>AVERAGEIFS('01_원자료'!$P$2:$P$976,'01_원자료'!$A$2:$A$976,$A12)</f>
        <v>0.2944718659400084</v>
      </c>
      <c r="I12" s="17">
        <f>AVERAGEIFS('01_원자료'!$Q$2:$Q$976,'01_원자료'!$A$2:$A$976,$A12)</f>
        <v>0.76368325939701076</v>
      </c>
      <c r="J12" s="17">
        <f>('02_지표정의'!$C$22*H12+'02_지표정의'!$C$23*I12)/('02_지표정의'!$C$22+'02_지표정의'!$C$23)</f>
        <v>0.61931052294870226</v>
      </c>
      <c r="K12" s="5" t="str">
        <f t="shared" si="0"/>
        <v>특허</v>
      </c>
      <c r="L12" s="31">
        <f t="shared" si="1"/>
        <v>41</v>
      </c>
      <c r="M12" s="31">
        <f t="shared" si="2"/>
        <v>41</v>
      </c>
      <c r="N12" s="31">
        <f t="shared" si="3"/>
        <v>36</v>
      </c>
      <c r="O12" s="31">
        <f t="shared" si="4"/>
        <v>48</v>
      </c>
      <c r="P12" s="31">
        <f t="shared" si="5"/>
        <v>60</v>
      </c>
    </row>
    <row r="13" spans="1:16">
      <c r="A13" s="15" t="s">
        <v>131</v>
      </c>
      <c r="B13" s="17">
        <f>AVERAGEIFS('01_원자료'!$S$2:$S$976,'01_원자료'!$A$2:$A$976,$A13)</f>
        <v>0.61060970423730809</v>
      </c>
      <c r="C13" s="17">
        <f>AVERAGEIFS('01_원자료'!$O$2:$O$976,'01_원자료'!$A$2:$A$976,$A13)</f>
        <v>0.84210526315789447</v>
      </c>
      <c r="D13" s="17">
        <f>SQRT(SUMPRODUCT(('01_원자료'!$A$2:$A$976=$A13)*('01_원자료'!$O$2:$O$976-$C13)^2)/14)</f>
        <v>0.23113422780360013</v>
      </c>
      <c r="E13" s="56">
        <v>895.66666666666697</v>
      </c>
      <c r="F13" s="16">
        <v>0.68421052631579005</v>
      </c>
      <c r="G13" s="16">
        <v>0.27348170645824399</v>
      </c>
      <c r="H13" s="17">
        <f>AVERAGEIFS('01_원자료'!$P$2:$P$976,'01_원자료'!$A$2:$A$976,$A13)</f>
        <v>0.26851511679847867</v>
      </c>
      <c r="I13" s="17">
        <f>AVERAGEIFS('01_원자료'!$Q$2:$Q$976,'01_원자료'!$A$2:$A$976,$A13)</f>
        <v>0.75215974014049747</v>
      </c>
      <c r="J13" s="17">
        <f>('02_지표정의'!$C$22*H13+'02_지표정의'!$C$23*I13)/('02_지표정의'!$C$22+'02_지표정의'!$C$23)</f>
        <v>0.60334600988141474</v>
      </c>
      <c r="K13" s="5" t="str">
        <f t="shared" si="0"/>
        <v>특허</v>
      </c>
      <c r="L13" s="31">
        <f t="shared" si="1"/>
        <v>23</v>
      </c>
      <c r="M13" s="31">
        <f t="shared" si="2"/>
        <v>55</v>
      </c>
      <c r="N13" s="31">
        <f t="shared" si="3"/>
        <v>38</v>
      </c>
      <c r="O13" s="31">
        <f t="shared" si="4"/>
        <v>11.5</v>
      </c>
      <c r="P13" s="31">
        <f t="shared" si="5"/>
        <v>43</v>
      </c>
    </row>
    <row r="14" spans="1:16">
      <c r="A14" s="15" t="s">
        <v>132</v>
      </c>
      <c r="B14" s="17">
        <f>AVERAGEIFS('01_원자료'!$S$2:$S$976,'01_원자료'!$A$2:$A$976,$A14)</f>
        <v>0.64189413366999526</v>
      </c>
      <c r="C14" s="17">
        <f>AVERAGEIFS('01_원자료'!$O$2:$O$976,'01_원자료'!$A$2:$A$976,$A14)</f>
        <v>1</v>
      </c>
      <c r="D14" s="17">
        <f>SQRT(SUMPRODUCT(('01_원자료'!$A$2:$A$976=$A14)*('01_원자료'!$O$2:$O$976-$C14)^2)/14)</f>
        <v>0</v>
      </c>
      <c r="E14" s="56">
        <v>774.66666666666697</v>
      </c>
      <c r="F14" s="16">
        <v>1</v>
      </c>
      <c r="G14" s="16">
        <v>0</v>
      </c>
      <c r="H14" s="17">
        <f>AVERAGEIFS('01_원자료'!$P$2:$P$976,'01_원자료'!$A$2:$A$976,$A14)</f>
        <v>0.26717770808935126</v>
      </c>
      <c r="I14" s="17">
        <f>AVERAGEIFS('01_원자료'!$Q$2:$Q$976,'01_원자료'!$A$2:$A$976,$A14)</f>
        <v>0.72879140720258917</v>
      </c>
      <c r="J14" s="17">
        <f>('02_지표정의'!$C$22*H14+'02_지표정의'!$C$23*I14)/('02_지표정의'!$C$22+'02_지표정의'!$C$23)</f>
        <v>0.58675642286005436</v>
      </c>
      <c r="K14" s="5" t="str">
        <f t="shared" si="0"/>
        <v>특허</v>
      </c>
      <c r="L14" s="31">
        <f t="shared" si="1"/>
        <v>54</v>
      </c>
      <c r="M14" s="31">
        <f t="shared" si="2"/>
        <v>15.5</v>
      </c>
      <c r="N14" s="31">
        <f t="shared" si="3"/>
        <v>8</v>
      </c>
      <c r="O14" s="31">
        <f t="shared" si="4"/>
        <v>48</v>
      </c>
      <c r="P14" s="31">
        <f t="shared" si="5"/>
        <v>8</v>
      </c>
    </row>
    <row r="15" spans="1:16">
      <c r="A15" s="15" t="s">
        <v>133</v>
      </c>
      <c r="B15" s="17">
        <f>AVERAGEIFS('01_원자료'!$S$2:$S$976,'01_원자료'!$A$2:$A$976,$A15)</f>
        <v>0.621552208003885</v>
      </c>
      <c r="C15" s="17">
        <f>AVERAGEIFS('01_원자료'!$O$2:$O$976,'01_원자료'!$A$2:$A$976,$A15)</f>
        <v>0.90526315789473677</v>
      </c>
      <c r="D15" s="17">
        <f>SQRT(SUMPRODUCT(('01_원자료'!$A$2:$A$976=$A15)*('01_원자료'!$O$2:$O$976-$C15)^2)/14)</f>
        <v>0.19612389581309028</v>
      </c>
      <c r="E15" s="56">
        <v>798</v>
      </c>
      <c r="F15" s="16">
        <v>1</v>
      </c>
      <c r="G15" s="16">
        <v>0</v>
      </c>
      <c r="H15" s="17">
        <f>AVERAGEIFS('01_원자료'!$P$2:$P$976,'01_원자료'!$A$2:$A$976,$A15)</f>
        <v>0.31138433699684503</v>
      </c>
      <c r="I15" s="17">
        <f>AVERAGEIFS('01_원자료'!$Q$2:$Q$976,'01_원자료'!$A$2:$A$976,$A15)</f>
        <v>0.7535402487064401</v>
      </c>
      <c r="J15" s="17">
        <f>('02_지표정의'!$C$22*H15+'02_지표정의'!$C$23*I15)/('02_지표정의'!$C$22+'02_지표정의'!$C$23)</f>
        <v>0.61749227587271849</v>
      </c>
      <c r="K15" s="5" t="str">
        <f t="shared" si="0"/>
        <v>특허</v>
      </c>
      <c r="L15" s="31">
        <f t="shared" si="1"/>
        <v>32</v>
      </c>
      <c r="M15" s="31">
        <f t="shared" si="2"/>
        <v>41</v>
      </c>
      <c r="N15" s="31">
        <f t="shared" si="3"/>
        <v>15</v>
      </c>
      <c r="O15" s="31">
        <f t="shared" si="4"/>
        <v>48</v>
      </c>
      <c r="P15" s="31">
        <f t="shared" si="5"/>
        <v>58</v>
      </c>
    </row>
    <row r="16" spans="1:16">
      <c r="A16" s="15" t="s">
        <v>134</v>
      </c>
      <c r="B16" s="17">
        <f>AVERAGEIFS('01_원자료'!$S$2:$S$976,'01_원자료'!$A$2:$A$976,$A16)</f>
        <v>0.65887005092639805</v>
      </c>
      <c r="C16" s="17">
        <f>AVERAGEIFS('01_원자료'!$O$2:$O$976,'01_원자료'!$A$2:$A$976,$A16)</f>
        <v>1</v>
      </c>
      <c r="D16" s="17">
        <f>SQRT(SUMPRODUCT(('01_원자료'!$A$2:$A$976=$A16)*('01_원자료'!$O$2:$O$976-$C16)^2)/14)</f>
        <v>0</v>
      </c>
      <c r="E16" s="56">
        <v>666.33333333333303</v>
      </c>
      <c r="F16" s="16">
        <v>1</v>
      </c>
      <c r="G16" s="16">
        <v>0</v>
      </c>
      <c r="H16" s="17">
        <f>AVERAGEIFS('01_원자료'!$P$2:$P$976,'01_원자료'!$A$2:$A$976,$A16)</f>
        <v>0.29744905640113095</v>
      </c>
      <c r="I16" s="17">
        <f>AVERAGEIFS('01_원자료'!$Q$2:$Q$976,'01_원자료'!$A$2:$A$976,$A16)</f>
        <v>0.77445702330078381</v>
      </c>
      <c r="J16" s="17">
        <f>('02_지표정의'!$C$22*H16+'02_지표정의'!$C$23*I16)/('02_지표정의'!$C$22+'02_지표정의'!$C$23)</f>
        <v>0.6276853411778136</v>
      </c>
      <c r="K16" s="5" t="str">
        <f t="shared" si="0"/>
        <v>특허</v>
      </c>
      <c r="L16" s="31">
        <f t="shared" si="1"/>
        <v>65</v>
      </c>
      <c r="M16" s="31">
        <f t="shared" si="2"/>
        <v>15.5</v>
      </c>
      <c r="N16" s="31">
        <f t="shared" si="3"/>
        <v>1</v>
      </c>
      <c r="O16" s="31">
        <f t="shared" si="4"/>
        <v>48</v>
      </c>
      <c r="P16" s="31">
        <f t="shared" si="5"/>
        <v>65</v>
      </c>
    </row>
    <row r="17" spans="1:16">
      <c r="A17" s="15" t="s">
        <v>135</v>
      </c>
      <c r="B17" s="17">
        <f>AVERAGEIFS('01_원자료'!$S$2:$S$976,'01_원자료'!$A$2:$A$976,$A17)</f>
        <v>0.63943858012705557</v>
      </c>
      <c r="C17" s="17">
        <f>AVERAGEIFS('01_원자료'!$O$2:$O$976,'01_원자료'!$A$2:$A$976,$A17)</f>
        <v>1</v>
      </c>
      <c r="D17" s="17">
        <f>SQRT(SUMPRODUCT(('01_원자료'!$A$2:$A$976=$A17)*('01_원자료'!$O$2:$O$976-$C17)^2)/14)</f>
        <v>0</v>
      </c>
      <c r="E17" s="56">
        <v>822</v>
      </c>
      <c r="F17" s="16">
        <v>1</v>
      </c>
      <c r="G17" s="16">
        <v>0</v>
      </c>
      <c r="H17" s="17">
        <f>AVERAGEIFS('01_원자료'!$P$2:$P$976,'01_원자료'!$A$2:$A$976,$A17)</f>
        <v>0.29692055899734682</v>
      </c>
      <c r="I17" s="17">
        <f>AVERAGEIFS('01_원자료'!$Q$2:$Q$976,'01_원자료'!$A$2:$A$976,$A17)</f>
        <v>0.73951242955597563</v>
      </c>
      <c r="J17" s="17">
        <f>('02_지표정의'!$C$22*H17+'02_지표정의'!$C$23*I17)/('02_지표정의'!$C$22+'02_지표정의'!$C$23)</f>
        <v>0.60333031553793592</v>
      </c>
      <c r="K17" s="5" t="str">
        <f t="shared" si="0"/>
        <v>특허</v>
      </c>
      <c r="L17" s="31">
        <f t="shared" si="1"/>
        <v>51</v>
      </c>
      <c r="M17" s="31">
        <f t="shared" si="2"/>
        <v>15.5</v>
      </c>
      <c r="N17" s="31">
        <f t="shared" si="3"/>
        <v>23</v>
      </c>
      <c r="O17" s="31">
        <f t="shared" si="4"/>
        <v>48</v>
      </c>
      <c r="P17" s="31">
        <f t="shared" si="5"/>
        <v>42</v>
      </c>
    </row>
    <row r="18" spans="1:16">
      <c r="A18" s="15" t="s">
        <v>136</v>
      </c>
      <c r="B18" s="17">
        <f>AVERAGEIFS('01_원자료'!$S$2:$S$976,'01_원자료'!$A$2:$A$976,$A18)</f>
        <v>0.48558985835392343</v>
      </c>
      <c r="C18" s="17">
        <f>AVERAGEIFS('01_원자료'!$O$2:$O$976,'01_원자료'!$A$2:$A$976,$A18)</f>
        <v>0.50877192982456132</v>
      </c>
      <c r="D18" s="17">
        <f>SQRT(SUMPRODUCT(('01_원자료'!$A$2:$A$976=$A18)*('01_원자료'!$O$2:$O$976-$C18)^2)/14)</f>
        <v>0.4227721779757822</v>
      </c>
      <c r="E18" s="56">
        <v>792.66666666666697</v>
      </c>
      <c r="F18" s="16">
        <v>0.175438596491228</v>
      </c>
      <c r="G18" s="16">
        <v>0.30386856273138202</v>
      </c>
      <c r="H18" s="17">
        <f>AVERAGEIFS('01_원자료'!$P$2:$P$976,'01_원자료'!$A$2:$A$976,$A18)</f>
        <v>0.18453674024741479</v>
      </c>
      <c r="I18" s="17">
        <f>AVERAGEIFS('01_원자료'!$Q$2:$Q$976,'01_원자료'!$A$2:$A$976,$A18)</f>
        <v>0.69604548361833229</v>
      </c>
      <c r="J18" s="17">
        <f>('02_지표정의'!$C$22*H18+'02_지표정의'!$C$23*I18)/('02_지표정의'!$C$22+'02_지표정의'!$C$23)</f>
        <v>0.53865817796574234</v>
      </c>
      <c r="K18" s="5" t="str">
        <f t="shared" si="0"/>
        <v>특허</v>
      </c>
      <c r="L18" s="31">
        <f t="shared" si="1"/>
        <v>1</v>
      </c>
      <c r="M18" s="31">
        <f t="shared" si="2"/>
        <v>65</v>
      </c>
      <c r="N18" s="31">
        <f t="shared" si="3"/>
        <v>13</v>
      </c>
      <c r="O18" s="31">
        <f t="shared" si="4"/>
        <v>1</v>
      </c>
      <c r="P18" s="31">
        <f t="shared" si="5"/>
        <v>1</v>
      </c>
    </row>
    <row r="19" spans="1:16">
      <c r="A19" s="15" t="s">
        <v>137</v>
      </c>
      <c r="B19" s="17">
        <f>AVERAGEIFS('01_원자료'!$S$2:$S$976,'01_원자료'!$A$2:$A$976,$A19)</f>
        <v>0.64052740119690621</v>
      </c>
      <c r="C19" s="17">
        <f>AVERAGEIFS('01_원자료'!$O$2:$O$976,'01_원자료'!$A$2:$A$976,$A19)</f>
        <v>1</v>
      </c>
      <c r="D19" s="17">
        <f>SQRT(SUMPRODUCT(('01_원자료'!$A$2:$A$976=$A19)*('01_원자료'!$O$2:$O$976-$C19)^2)/14)</f>
        <v>0</v>
      </c>
      <c r="E19" s="56">
        <v>818.66666666666697</v>
      </c>
      <c r="F19" s="16">
        <v>1</v>
      </c>
      <c r="G19" s="16">
        <v>0</v>
      </c>
      <c r="H19" s="17">
        <f>AVERAGEIFS('01_원자료'!$P$2:$P$976,'01_원자료'!$A$2:$A$976,$A19)</f>
        <v>0.27504250214957793</v>
      </c>
      <c r="I19" s="17">
        <f>AVERAGEIFS('01_원자료'!$Q$2:$Q$976,'01_원자료'!$A$2:$A$976,$A19)</f>
        <v>0.74001652411483687</v>
      </c>
      <c r="J19" s="17">
        <f>('02_지표정의'!$C$22*H19+'02_지표정의'!$C$23*I19)/('02_지표정의'!$C$22+'02_지표정의'!$C$23)</f>
        <v>0.5969475942793725</v>
      </c>
      <c r="K19" s="5" t="str">
        <f t="shared" si="0"/>
        <v>특허</v>
      </c>
      <c r="L19" s="31">
        <f t="shared" si="1"/>
        <v>52</v>
      </c>
      <c r="M19" s="31">
        <f t="shared" si="2"/>
        <v>15.5</v>
      </c>
      <c r="N19" s="31">
        <f t="shared" si="3"/>
        <v>20</v>
      </c>
      <c r="O19" s="31">
        <f t="shared" si="4"/>
        <v>48</v>
      </c>
      <c r="P19" s="31">
        <f t="shared" si="5"/>
        <v>29</v>
      </c>
    </row>
    <row r="20" spans="1:16">
      <c r="A20" s="15" t="s">
        <v>138</v>
      </c>
      <c r="B20" s="17">
        <f>AVERAGEIFS('01_원자료'!$S$2:$S$976,'01_원자료'!$A$2:$A$976,$A20)</f>
        <v>0.59382134477724402</v>
      </c>
      <c r="C20" s="17">
        <f>AVERAGEIFS('01_원자료'!$O$2:$O$976,'01_원자료'!$A$2:$A$976,$A20)</f>
        <v>0.84210526315789447</v>
      </c>
      <c r="D20" s="17">
        <f>SQRT(SUMPRODUCT(('01_원자료'!$A$2:$A$976=$A20)*('01_원자료'!$O$2:$O$976-$C20)^2)/14)</f>
        <v>0.23113422780360013</v>
      </c>
      <c r="E20" s="56">
        <v>934.33333333333303</v>
      </c>
      <c r="F20" s="16">
        <v>0.68421052631579005</v>
      </c>
      <c r="G20" s="16">
        <v>0.27348170645824399</v>
      </c>
      <c r="H20" s="17">
        <f>AVERAGEIFS('01_원자료'!$P$2:$P$976,'01_원자료'!$A$2:$A$976,$A20)</f>
        <v>0.24977276939492218</v>
      </c>
      <c r="I20" s="17">
        <f>AVERAGEIFS('01_원자료'!$Q$2:$Q$976,'01_원자료'!$A$2:$A$976,$A20)</f>
        <v>0.7439651733216015</v>
      </c>
      <c r="J20" s="17">
        <f>('02_지표정의'!$C$22*H20+'02_지표정의'!$C$23*I20)/('02_지표정의'!$C$22+'02_지표정의'!$C$23)</f>
        <v>0.59190597211339246</v>
      </c>
      <c r="K20" s="5" t="str">
        <f t="shared" si="0"/>
        <v>특허</v>
      </c>
      <c r="L20" s="31">
        <f t="shared" si="1"/>
        <v>7</v>
      </c>
      <c r="M20" s="31">
        <f t="shared" si="2"/>
        <v>55</v>
      </c>
      <c r="N20" s="31">
        <f t="shared" si="3"/>
        <v>47</v>
      </c>
      <c r="O20" s="31">
        <f t="shared" si="4"/>
        <v>11.5</v>
      </c>
      <c r="P20" s="31">
        <f t="shared" si="5"/>
        <v>19</v>
      </c>
    </row>
    <row r="21" spans="1:16">
      <c r="A21" s="15" t="s">
        <v>139</v>
      </c>
      <c r="B21" s="17">
        <f>AVERAGEIFS('01_원자료'!$S$2:$S$976,'01_원자료'!$A$2:$A$976,$A21)</f>
        <v>0.5939511809260658</v>
      </c>
      <c r="C21" s="17">
        <f>AVERAGEIFS('01_원자료'!$O$2:$O$976,'01_원자료'!$A$2:$A$976,$A21)</f>
        <v>0.81619433198380553</v>
      </c>
      <c r="D21" s="17">
        <f>SQRT(SUMPRODUCT(('01_원자료'!$A$2:$A$976=$A21)*('01_원자료'!$O$2:$O$976-$C21)^2)/14)</f>
        <v>0.21438275059439979</v>
      </c>
      <c r="E21" s="56">
        <v>907.33333333333303</v>
      </c>
      <c r="F21" s="16">
        <v>0.68421052631579005</v>
      </c>
      <c r="G21" s="16">
        <v>0.27348170645824399</v>
      </c>
      <c r="H21" s="17">
        <f>AVERAGEIFS('01_원자료'!$P$2:$P$976,'01_원자료'!$A$2:$A$976,$A21)</f>
        <v>0.26318492289636636</v>
      </c>
      <c r="I21" s="17">
        <f>AVERAGEIFS('01_원자료'!$Q$2:$Q$976,'01_원자료'!$A$2:$A$976,$A21)</f>
        <v>0.75991286964742033</v>
      </c>
      <c r="J21" s="17">
        <f>('02_지표정의'!$C$22*H21+'02_지표정의'!$C$23*I21)/('02_지표정의'!$C$22+'02_지표정의'!$C$23)</f>
        <v>0.60707350141632688</v>
      </c>
      <c r="K21" s="5" t="str">
        <f t="shared" si="0"/>
        <v>특허</v>
      </c>
      <c r="L21" s="31">
        <f t="shared" si="1"/>
        <v>8</v>
      </c>
      <c r="M21" s="31">
        <f t="shared" si="2"/>
        <v>46.5</v>
      </c>
      <c r="N21" s="31">
        <f t="shared" si="3"/>
        <v>42</v>
      </c>
      <c r="O21" s="31">
        <f t="shared" si="4"/>
        <v>11.5</v>
      </c>
      <c r="P21" s="31">
        <f t="shared" si="5"/>
        <v>48</v>
      </c>
    </row>
    <row r="22" spans="1:16">
      <c r="A22" s="15" t="s">
        <v>140</v>
      </c>
      <c r="B22" s="17">
        <f>AVERAGEIFS('01_원자료'!$S$2:$S$976,'01_원자료'!$A$2:$A$976,$A22)</f>
        <v>0.64238970789599703</v>
      </c>
      <c r="C22" s="17">
        <f>AVERAGEIFS('01_원자료'!$O$2:$O$976,'01_원자료'!$A$2:$A$976,$A22)</f>
        <v>1</v>
      </c>
      <c r="D22" s="17">
        <f>SQRT(SUMPRODUCT(('01_원자료'!$A$2:$A$976=$A22)*('01_원자료'!$O$2:$O$976-$C22)^2)/14)</f>
        <v>0</v>
      </c>
      <c r="E22" s="56">
        <v>887</v>
      </c>
      <c r="F22" s="16">
        <v>1</v>
      </c>
      <c r="G22" s="16">
        <v>0</v>
      </c>
      <c r="H22" s="17">
        <f>AVERAGEIFS('01_원자료'!$P$2:$P$976,'01_원자료'!$A$2:$A$976,$A22)</f>
        <v>0.25939589332448842</v>
      </c>
      <c r="I22" s="17">
        <f>AVERAGEIFS('01_원자료'!$Q$2:$Q$976,'01_원자료'!$A$2:$A$976,$A22)</f>
        <v>0.75349445732396358</v>
      </c>
      <c r="J22" s="17">
        <f>('02_지표정의'!$C$22*H22+'02_지표정의'!$C$23*I22)/('02_지표정의'!$C$22+'02_지표정의'!$C$23)</f>
        <v>0.60146412993950971</v>
      </c>
      <c r="K22" s="5" t="str">
        <f t="shared" si="0"/>
        <v>특허</v>
      </c>
      <c r="L22" s="31">
        <f t="shared" si="1"/>
        <v>55</v>
      </c>
      <c r="M22" s="31">
        <f t="shared" si="2"/>
        <v>15.5</v>
      </c>
      <c r="N22" s="31">
        <f t="shared" si="3"/>
        <v>35</v>
      </c>
      <c r="O22" s="31">
        <f t="shared" si="4"/>
        <v>48</v>
      </c>
      <c r="P22" s="31">
        <f t="shared" si="5"/>
        <v>37</v>
      </c>
    </row>
    <row r="23" spans="1:16">
      <c r="A23" s="15" t="s">
        <v>141</v>
      </c>
      <c r="B23" s="17">
        <f>AVERAGEIFS('01_원자료'!$S$2:$S$976,'01_원자료'!$A$2:$A$976,$A23)</f>
        <v>0.59461603706533439</v>
      </c>
      <c r="C23" s="17">
        <f>AVERAGEIFS('01_원자료'!$O$2:$O$976,'01_원자료'!$A$2:$A$976,$A23)</f>
        <v>0.87048872180451131</v>
      </c>
      <c r="D23" s="17">
        <f>SQRT(SUMPRODUCT(('01_원자료'!$A$2:$A$976=$A23)*('01_원자료'!$O$2:$O$976-$C23)^2)/14)</f>
        <v>0.18964619116232062</v>
      </c>
      <c r="E23" s="56">
        <v>957</v>
      </c>
      <c r="F23" s="16">
        <v>0.74060150375939904</v>
      </c>
      <c r="G23" s="16">
        <v>0.224716453141029</v>
      </c>
      <c r="H23" s="17">
        <f>AVERAGEIFS('01_원자료'!$P$2:$P$976,'01_원자료'!$A$2:$A$976,$A23)</f>
        <v>0.23736636901456151</v>
      </c>
      <c r="I23" s="17">
        <f>AVERAGEIFS('01_원자료'!$Q$2:$Q$976,'01_원자료'!$A$2:$A$976,$A23)</f>
        <v>0.74131216571905167</v>
      </c>
      <c r="J23" s="17">
        <f>('02_지표정의'!$C$22*H23+'02_지표정의'!$C$23*I23)/('02_지표정의'!$C$22+'02_지표정의'!$C$23)</f>
        <v>0.58625192057920861</v>
      </c>
      <c r="K23" s="5" t="str">
        <f t="shared" si="0"/>
        <v>특허</v>
      </c>
      <c r="L23" s="31">
        <f t="shared" si="1"/>
        <v>9</v>
      </c>
      <c r="M23" s="31">
        <f t="shared" si="2"/>
        <v>37</v>
      </c>
      <c r="N23" s="31">
        <f t="shared" si="3"/>
        <v>54</v>
      </c>
      <c r="O23" s="31">
        <f t="shared" si="4"/>
        <v>24</v>
      </c>
      <c r="P23" s="31">
        <f t="shared" si="5"/>
        <v>7</v>
      </c>
    </row>
    <row r="24" spans="1:16">
      <c r="A24" s="15" t="s">
        <v>142</v>
      </c>
      <c r="B24" s="17">
        <f>AVERAGEIFS('01_원자료'!$S$2:$S$976,'01_원자료'!$A$2:$A$976,$A24)</f>
        <v>0.63131976742516516</v>
      </c>
      <c r="C24" s="17">
        <f>AVERAGEIFS('01_원자료'!$O$2:$O$976,'01_원자료'!$A$2:$A$976,$A24)</f>
        <v>1</v>
      </c>
      <c r="D24" s="17">
        <f>SQRT(SUMPRODUCT(('01_원자료'!$A$2:$A$976=$A24)*('01_원자료'!$O$2:$O$976-$C24)^2)/14)</f>
        <v>0</v>
      </c>
      <c r="E24" s="56">
        <v>922.33333333333303</v>
      </c>
      <c r="F24" s="16">
        <v>1</v>
      </c>
      <c r="G24" s="16">
        <v>0</v>
      </c>
      <c r="H24" s="17">
        <f>AVERAGEIFS('01_원자료'!$P$2:$P$976,'01_원자료'!$A$2:$A$976,$A24)</f>
        <v>0.25734399463157981</v>
      </c>
      <c r="I24" s="17">
        <f>AVERAGEIFS('01_원자료'!$Q$2:$Q$976,'01_원자료'!$A$2:$A$976,$A24)</f>
        <v>0.74943168528949378</v>
      </c>
      <c r="J24" s="17">
        <f>('02_지표정의'!$C$22*H24+'02_지표정의'!$C$23*I24)/('02_지표정의'!$C$22+'02_지표정의'!$C$23)</f>
        <v>0.59802008816398178</v>
      </c>
      <c r="K24" s="5" t="str">
        <f t="shared" si="0"/>
        <v>특허</v>
      </c>
      <c r="L24" s="31">
        <f t="shared" si="1"/>
        <v>45</v>
      </c>
      <c r="M24" s="31">
        <f t="shared" si="2"/>
        <v>15.5</v>
      </c>
      <c r="N24" s="31">
        <f t="shared" si="3"/>
        <v>44</v>
      </c>
      <c r="O24" s="31">
        <f t="shared" si="4"/>
        <v>48</v>
      </c>
      <c r="P24" s="31">
        <f t="shared" si="5"/>
        <v>33</v>
      </c>
    </row>
    <row r="25" spans="1:16">
      <c r="A25" s="15" t="s">
        <v>143</v>
      </c>
      <c r="B25" s="17">
        <f>AVERAGEIFS('01_원자료'!$S$2:$S$976,'01_원자료'!$A$2:$A$976,$A25)</f>
        <v>0.63128016382674224</v>
      </c>
      <c r="C25" s="17">
        <f>AVERAGEIFS('01_원자료'!$O$2:$O$976,'01_원자료'!$A$2:$A$976,$A25)</f>
        <v>1</v>
      </c>
      <c r="D25" s="17">
        <f>SQRT(SUMPRODUCT(('01_원자료'!$A$2:$A$976=$A25)*('01_원자료'!$O$2:$O$976-$C25)^2)/14)</f>
        <v>0</v>
      </c>
      <c r="E25" s="56">
        <v>872.66666666666697</v>
      </c>
      <c r="F25" s="16">
        <v>1</v>
      </c>
      <c r="G25" s="16">
        <v>0</v>
      </c>
      <c r="H25" s="17">
        <f>AVERAGEIFS('01_원자료'!$P$2:$P$976,'01_원자료'!$A$2:$A$976,$A25)</f>
        <v>0.25388944461519203</v>
      </c>
      <c r="I25" s="17">
        <f>AVERAGEIFS('01_원자료'!$Q$2:$Q$976,'01_원자료'!$A$2:$A$976,$A25)</f>
        <v>0.74949937411250345</v>
      </c>
      <c r="J25" s="17">
        <f>('02_지표정의'!$C$22*H25+'02_지표정의'!$C$23*I25)/('02_지표정의'!$C$22+'02_지표정의'!$C$23)</f>
        <v>0.59700401119025381</v>
      </c>
      <c r="K25" s="5" t="str">
        <f t="shared" si="0"/>
        <v>특허</v>
      </c>
      <c r="L25" s="31">
        <f t="shared" si="1"/>
        <v>44</v>
      </c>
      <c r="M25" s="31">
        <f t="shared" si="2"/>
        <v>15.5</v>
      </c>
      <c r="N25" s="31">
        <f t="shared" si="3"/>
        <v>30</v>
      </c>
      <c r="O25" s="31">
        <f t="shared" si="4"/>
        <v>48</v>
      </c>
      <c r="P25" s="31">
        <f t="shared" si="5"/>
        <v>31</v>
      </c>
    </row>
    <row r="26" spans="1:16">
      <c r="A26" s="15" t="s">
        <v>144</v>
      </c>
      <c r="B26" s="17">
        <f>AVERAGEIFS('01_원자료'!$S$2:$S$976,'01_원자료'!$A$2:$A$976,$A26)</f>
        <v>0.6140033879260367</v>
      </c>
      <c r="C26" s="17">
        <f>AVERAGEIFS('01_원자료'!$O$2:$O$976,'01_원자료'!$A$2:$A$976,$A26)</f>
        <v>0.93684210526315792</v>
      </c>
      <c r="D26" s="17">
        <f>SQRT(SUMPRODUCT(('01_원자료'!$A$2:$A$976=$A26)*('01_원자료'!$O$2:$O$976-$C26)^2)/14)</f>
        <v>0.13074926387539318</v>
      </c>
      <c r="E26" s="56">
        <v>951.66666666666697</v>
      </c>
      <c r="F26" s="16">
        <v>1</v>
      </c>
      <c r="G26" s="16">
        <v>0</v>
      </c>
      <c r="H26" s="17">
        <f>AVERAGEIFS('01_원자료'!$P$2:$P$976,'01_원자료'!$A$2:$A$976,$A26)</f>
        <v>0.23984318906291763</v>
      </c>
      <c r="I26" s="17">
        <f>AVERAGEIFS('01_원자료'!$Q$2:$Q$976,'01_원자료'!$A$2:$A$976,$A26)</f>
        <v>0.75089795508005086</v>
      </c>
      <c r="J26" s="17">
        <f>('02_지표정의'!$C$22*H26+'02_지표정의'!$C$23*I26)/('02_지표정의'!$C$22+'02_지표정의'!$C$23)</f>
        <v>0.59365033476708673</v>
      </c>
      <c r="K26" s="5" t="str">
        <f t="shared" si="0"/>
        <v>특허</v>
      </c>
      <c r="L26" s="31">
        <f t="shared" si="1"/>
        <v>26</v>
      </c>
      <c r="M26" s="31">
        <f t="shared" si="2"/>
        <v>32.5</v>
      </c>
      <c r="N26" s="31">
        <f t="shared" si="3"/>
        <v>52</v>
      </c>
      <c r="O26" s="31">
        <f t="shared" si="4"/>
        <v>48</v>
      </c>
      <c r="P26" s="31">
        <f t="shared" si="5"/>
        <v>23</v>
      </c>
    </row>
    <row r="27" spans="1:16">
      <c r="A27" s="15" t="s">
        <v>145</v>
      </c>
      <c r="B27" s="17">
        <f>AVERAGEIFS('01_원자료'!$S$2:$S$976,'01_원자료'!$A$2:$A$976,$A27)</f>
        <v>0.58731326498605807</v>
      </c>
      <c r="C27" s="17">
        <f>AVERAGEIFS('01_원자료'!$O$2:$O$976,'01_원자료'!$A$2:$A$976,$A27)</f>
        <v>0.81619433198380553</v>
      </c>
      <c r="D27" s="17">
        <f>SQRT(SUMPRODUCT(('01_원자료'!$A$2:$A$976=$A27)*('01_원자료'!$O$2:$O$976-$C27)^2)/14)</f>
        <v>0.21438275059439979</v>
      </c>
      <c r="E27" s="56">
        <v>985</v>
      </c>
      <c r="F27" s="16">
        <v>0.68421052631579005</v>
      </c>
      <c r="G27" s="16">
        <v>0.27348170645824399</v>
      </c>
      <c r="H27" s="17">
        <f>AVERAGEIFS('01_원자료'!$P$2:$P$976,'01_원자료'!$A$2:$A$976,$A27)</f>
        <v>0.24505197614006111</v>
      </c>
      <c r="I27" s="17">
        <f>AVERAGEIFS('01_원자료'!$Q$2:$Q$976,'01_원자료'!$A$2:$A$976,$A27)</f>
        <v>0.73898882355508633</v>
      </c>
      <c r="J27" s="17">
        <f>('02_지표정의'!$C$22*H27+'02_지표정의'!$C$23*I27)/('02_지표정의'!$C$22+'02_지표정의'!$C$23)</f>
        <v>0.58700825511969401</v>
      </c>
      <c r="K27" s="5" t="str">
        <f t="shared" si="0"/>
        <v>특허</v>
      </c>
      <c r="L27" s="31">
        <f t="shared" si="1"/>
        <v>4</v>
      </c>
      <c r="M27" s="31">
        <f t="shared" si="2"/>
        <v>46.5</v>
      </c>
      <c r="N27" s="31">
        <f t="shared" si="3"/>
        <v>60</v>
      </c>
      <c r="O27" s="31">
        <f t="shared" si="4"/>
        <v>11.5</v>
      </c>
      <c r="P27" s="31">
        <f t="shared" si="5"/>
        <v>9</v>
      </c>
    </row>
    <row r="28" spans="1:16">
      <c r="A28" s="15" t="s">
        <v>146</v>
      </c>
      <c r="B28" s="17">
        <f>AVERAGEIFS('01_원자료'!$S$2:$S$976,'01_원자료'!$A$2:$A$976,$A28)</f>
        <v>0.62462759434668802</v>
      </c>
      <c r="C28" s="17">
        <f>AVERAGEIFS('01_원자료'!$O$2:$O$976,'01_원자료'!$A$2:$A$976,$A28)</f>
        <v>0.84210526315789447</v>
      </c>
      <c r="D28" s="17">
        <f>SQRT(SUMPRODUCT(('01_원자료'!$A$2:$A$976=$A28)*('01_원자료'!$O$2:$O$976-$C28)^2)/14)</f>
        <v>0.23113422780360013</v>
      </c>
      <c r="E28" s="56">
        <v>828.66666666666697</v>
      </c>
      <c r="F28" s="16">
        <v>0.68421052631579005</v>
      </c>
      <c r="G28" s="16">
        <v>0.27348170645824399</v>
      </c>
      <c r="H28" s="17">
        <f>AVERAGEIFS('01_원자료'!$P$2:$P$976,'01_원자료'!$A$2:$A$976,$A28)</f>
        <v>0.29418574822622839</v>
      </c>
      <c r="I28" s="17">
        <f>AVERAGEIFS('01_원자료'!$Q$2:$Q$976,'01_원자료'!$A$2:$A$976,$A28)</f>
        <v>0.75257944699573298</v>
      </c>
      <c r="J28" s="17">
        <f>('02_지표정의'!$C$22*H28+'02_지표정의'!$C$23*I28)/('02_지표정의'!$C$22+'02_지표정의'!$C$23)</f>
        <v>0.61153523198973159</v>
      </c>
      <c r="K28" s="5" t="str">
        <f t="shared" si="0"/>
        <v>특허</v>
      </c>
      <c r="L28" s="31">
        <f t="shared" si="1"/>
        <v>35</v>
      </c>
      <c r="M28" s="31">
        <f t="shared" si="2"/>
        <v>55</v>
      </c>
      <c r="N28" s="31">
        <f t="shared" si="3"/>
        <v>24</v>
      </c>
      <c r="O28" s="31">
        <f t="shared" si="4"/>
        <v>11.5</v>
      </c>
      <c r="P28" s="31">
        <f t="shared" si="5"/>
        <v>52</v>
      </c>
    </row>
    <row r="29" spans="1:16">
      <c r="A29" s="15" t="s">
        <v>147</v>
      </c>
      <c r="B29" s="17">
        <f>AVERAGEIFS('01_원자료'!$S$2:$S$976,'01_원자료'!$A$2:$A$976,$A29)</f>
        <v>0.62733371967004181</v>
      </c>
      <c r="C29" s="17">
        <f>AVERAGEIFS('01_원자료'!$O$2:$O$976,'01_원자료'!$A$2:$A$976,$A29)</f>
        <v>1</v>
      </c>
      <c r="D29" s="17">
        <f>SQRT(SUMPRODUCT(('01_원자료'!$A$2:$A$976=$A29)*('01_원자료'!$O$2:$O$976-$C29)^2)/14)</f>
        <v>0</v>
      </c>
      <c r="E29" s="56">
        <v>878</v>
      </c>
      <c r="F29" s="16">
        <v>1</v>
      </c>
      <c r="G29" s="16">
        <v>0</v>
      </c>
      <c r="H29" s="17">
        <f>AVERAGEIFS('01_원자료'!$P$2:$P$976,'01_원자료'!$A$2:$A$976,$A29)</f>
        <v>0.27557344269558276</v>
      </c>
      <c r="I29" s="17">
        <f>AVERAGEIFS('01_원자료'!$Q$2:$Q$976,'01_원자료'!$A$2:$A$976,$A29)</f>
        <v>0.75767713263685121</v>
      </c>
      <c r="J29" s="17">
        <f>('02_지표정의'!$C$22*H29+'02_지표정의'!$C$23*I29)/('02_지표정의'!$C$22+'02_지표정의'!$C$23)</f>
        <v>0.60933753573184546</v>
      </c>
      <c r="K29" s="5" t="str">
        <f t="shared" si="0"/>
        <v>특허</v>
      </c>
      <c r="L29" s="31">
        <f t="shared" si="1"/>
        <v>40</v>
      </c>
      <c r="M29" s="31">
        <f t="shared" si="2"/>
        <v>15.5</v>
      </c>
      <c r="N29" s="31">
        <f t="shared" si="3"/>
        <v>32</v>
      </c>
      <c r="O29" s="31">
        <f t="shared" si="4"/>
        <v>48</v>
      </c>
      <c r="P29" s="31">
        <f t="shared" si="5"/>
        <v>50</v>
      </c>
    </row>
    <row r="30" spans="1:16">
      <c r="A30" s="15" t="s">
        <v>148</v>
      </c>
      <c r="B30" s="17">
        <f>AVERAGEIFS('01_원자료'!$S$2:$S$976,'01_원자료'!$A$2:$A$976,$A30)</f>
        <v>0.64684629118588055</v>
      </c>
      <c r="C30" s="17">
        <f>AVERAGEIFS('01_원자료'!$O$2:$O$976,'01_원자료'!$A$2:$A$976,$A30)</f>
        <v>1</v>
      </c>
      <c r="D30" s="17">
        <f>SQRT(SUMPRODUCT(('01_원자료'!$A$2:$A$976=$A30)*('01_원자료'!$O$2:$O$976-$C30)^2)/14)</f>
        <v>0</v>
      </c>
      <c r="E30" s="56">
        <v>886</v>
      </c>
      <c r="F30" s="16">
        <v>1</v>
      </c>
      <c r="G30" s="16">
        <v>0</v>
      </c>
      <c r="H30" s="17">
        <f>AVERAGEIFS('01_원자료'!$P$2:$P$976,'01_원자료'!$A$2:$A$976,$A30)</f>
        <v>0.22526959239076566</v>
      </c>
      <c r="I30" s="17">
        <f>AVERAGEIFS('01_원자료'!$Q$2:$Q$976,'01_원자료'!$A$2:$A$976,$A30)</f>
        <v>0.75891405603923412</v>
      </c>
      <c r="J30" s="17">
        <f>('02_지표정의'!$C$22*H30+'02_지표정의'!$C$23*I30)/('02_지표정의'!$C$22+'02_지표정의'!$C$23)</f>
        <v>0.59471575953201306</v>
      </c>
      <c r="K30" s="5" t="str">
        <f t="shared" si="0"/>
        <v>특허</v>
      </c>
      <c r="L30" s="31">
        <f t="shared" si="1"/>
        <v>58</v>
      </c>
      <c r="M30" s="31">
        <f t="shared" si="2"/>
        <v>15.5</v>
      </c>
      <c r="N30" s="31">
        <f t="shared" si="3"/>
        <v>34</v>
      </c>
      <c r="O30" s="31">
        <f t="shared" si="4"/>
        <v>48</v>
      </c>
      <c r="P30" s="31">
        <f t="shared" si="5"/>
        <v>25</v>
      </c>
    </row>
    <row r="31" spans="1:16">
      <c r="A31" s="15" t="s">
        <v>149</v>
      </c>
      <c r="B31" s="17">
        <f>AVERAGEIFS('01_원자료'!$S$2:$S$976,'01_원자료'!$A$2:$A$976,$A31)</f>
        <v>0.65036546777674686</v>
      </c>
      <c r="C31" s="17">
        <f>AVERAGEIFS('01_원자료'!$O$2:$O$976,'01_원자료'!$A$2:$A$976,$A31)</f>
        <v>1</v>
      </c>
      <c r="D31" s="17">
        <f>SQRT(SUMPRODUCT(('01_원자료'!$A$2:$A$976=$A31)*('01_원자료'!$O$2:$O$976-$C31)^2)/14)</f>
        <v>0</v>
      </c>
      <c r="E31" s="56">
        <v>717.33333333333303</v>
      </c>
      <c r="F31" s="16">
        <v>1</v>
      </c>
      <c r="G31" s="16">
        <v>0</v>
      </c>
      <c r="H31" s="17">
        <f>AVERAGEIFS('01_원자료'!$P$2:$P$976,'01_원자료'!$A$2:$A$976,$A31)</f>
        <v>0.27512281390468141</v>
      </c>
      <c r="I31" s="17">
        <f>AVERAGEIFS('01_원자료'!$Q$2:$Q$976,'01_원자료'!$A$2:$A$976,$A31)</f>
        <v>0.76396612085325566</v>
      </c>
      <c r="J31" s="17">
        <f>('02_지표정의'!$C$22*H31+'02_지표정의'!$C$23*I31)/('02_지표정의'!$C$22+'02_지표정의'!$C$23)</f>
        <v>0.61355279563830967</v>
      </c>
      <c r="K31" s="5" t="str">
        <f t="shared" si="0"/>
        <v>특허</v>
      </c>
      <c r="L31" s="31">
        <f t="shared" si="1"/>
        <v>60</v>
      </c>
      <c r="M31" s="31">
        <f t="shared" si="2"/>
        <v>15.5</v>
      </c>
      <c r="N31" s="31">
        <f t="shared" si="3"/>
        <v>2</v>
      </c>
      <c r="O31" s="31">
        <f t="shared" si="4"/>
        <v>48</v>
      </c>
      <c r="P31" s="31">
        <f t="shared" si="5"/>
        <v>55</v>
      </c>
    </row>
    <row r="32" spans="1:16">
      <c r="A32" s="15" t="s">
        <v>150</v>
      </c>
      <c r="B32" s="17">
        <f>AVERAGEIFS('01_원자료'!$S$2:$S$976,'01_원자료'!$A$2:$A$976,$A32)</f>
        <v>0.63031381224665428</v>
      </c>
      <c r="C32" s="17">
        <f>AVERAGEIFS('01_원자료'!$O$2:$O$976,'01_원자료'!$A$2:$A$976,$A32)</f>
        <v>1</v>
      </c>
      <c r="D32" s="17">
        <f>SQRT(SUMPRODUCT(('01_원자료'!$A$2:$A$976=$A32)*('01_원자료'!$O$2:$O$976-$C32)^2)/14)</f>
        <v>0</v>
      </c>
      <c r="E32" s="56">
        <v>944</v>
      </c>
      <c r="F32" s="16">
        <v>1</v>
      </c>
      <c r="G32" s="16">
        <v>0</v>
      </c>
      <c r="H32" s="17">
        <f>AVERAGEIFS('01_원자료'!$P$2:$P$976,'01_원자료'!$A$2:$A$976,$A32)</f>
        <v>0.28270787000837139</v>
      </c>
      <c r="I32" s="17">
        <f>AVERAGEIFS('01_원자료'!$Q$2:$Q$976,'01_원자료'!$A$2:$A$976,$A32)</f>
        <v>0.77001127765221056</v>
      </c>
      <c r="J32" s="17">
        <f>('02_지표정의'!$C$22*H32+'02_지표정의'!$C$23*I32)/('02_지표정의'!$C$22+'02_지표정의'!$C$23)</f>
        <v>0.62007176760795235</v>
      </c>
      <c r="K32" s="5" t="str">
        <f t="shared" si="0"/>
        <v>특허</v>
      </c>
      <c r="L32" s="31">
        <f t="shared" si="1"/>
        <v>43</v>
      </c>
      <c r="M32" s="31">
        <f t="shared" si="2"/>
        <v>15.5</v>
      </c>
      <c r="N32" s="31">
        <f t="shared" si="3"/>
        <v>50</v>
      </c>
      <c r="O32" s="31">
        <f t="shared" si="4"/>
        <v>48</v>
      </c>
      <c r="P32" s="31">
        <f t="shared" si="5"/>
        <v>63</v>
      </c>
    </row>
    <row r="33" spans="1:16">
      <c r="A33" s="15" t="s">
        <v>151</v>
      </c>
      <c r="B33" s="17">
        <f>AVERAGEIFS('01_원자료'!$S$2:$S$976,'01_원자료'!$A$2:$A$976,$A33)</f>
        <v>0.64803325116362698</v>
      </c>
      <c r="C33" s="17">
        <f>AVERAGEIFS('01_원자료'!$O$2:$O$976,'01_원자료'!$A$2:$A$976,$A33)</f>
        <v>1</v>
      </c>
      <c r="D33" s="17">
        <f>SQRT(SUMPRODUCT(('01_원자료'!$A$2:$A$976=$A33)*('01_원자료'!$O$2:$O$976-$C33)^2)/14)</f>
        <v>0</v>
      </c>
      <c r="E33" s="56">
        <v>748.66666666666697</v>
      </c>
      <c r="F33" s="16">
        <v>1</v>
      </c>
      <c r="G33" s="16">
        <v>0</v>
      </c>
      <c r="H33" s="17">
        <f>AVERAGEIFS('01_원자료'!$P$2:$P$976,'01_원자료'!$A$2:$A$976,$A33)</f>
        <v>0.27437226335845627</v>
      </c>
      <c r="I33" s="17">
        <f>AVERAGEIFS('01_원자료'!$Q$2:$Q$976,'01_원자료'!$A$2:$A$976,$A33)</f>
        <v>0.75012008598969537</v>
      </c>
      <c r="J33" s="17">
        <f>('02_지표정의'!$C$22*H33+'02_지표정의'!$C$23*I33)/('02_지표정의'!$C$22+'02_지표정의'!$C$23)</f>
        <v>0.60373614056469882</v>
      </c>
      <c r="K33" s="5" t="str">
        <f t="shared" si="0"/>
        <v>특허</v>
      </c>
      <c r="L33" s="31">
        <f t="shared" si="1"/>
        <v>59</v>
      </c>
      <c r="M33" s="31">
        <f t="shared" si="2"/>
        <v>15.5</v>
      </c>
      <c r="N33" s="31">
        <f t="shared" si="3"/>
        <v>5</v>
      </c>
      <c r="O33" s="31">
        <f t="shared" si="4"/>
        <v>48</v>
      </c>
      <c r="P33" s="31">
        <f t="shared" si="5"/>
        <v>44</v>
      </c>
    </row>
    <row r="34" spans="1:16">
      <c r="A34" s="15" t="s">
        <v>152</v>
      </c>
      <c r="B34" s="17">
        <f>AVERAGEIFS('01_원자료'!$S$2:$S$976,'01_원자료'!$A$2:$A$976,$A34)</f>
        <v>0.62072186933414597</v>
      </c>
      <c r="C34" s="17">
        <f>AVERAGEIFS('01_원자료'!$O$2:$O$976,'01_원자료'!$A$2:$A$976,$A34)</f>
        <v>0.84210526315789447</v>
      </c>
      <c r="D34" s="17">
        <f>SQRT(SUMPRODUCT(('01_원자료'!$A$2:$A$976=$A34)*('01_원자료'!$O$2:$O$976-$C34)^2)/14)</f>
        <v>0.23113422780360013</v>
      </c>
      <c r="E34" s="56">
        <v>768.33333333333303</v>
      </c>
      <c r="F34" s="16">
        <v>0.68421052631579005</v>
      </c>
      <c r="G34" s="16">
        <v>0.27348170645824399</v>
      </c>
      <c r="H34" s="17">
        <f>AVERAGEIFS('01_원자료'!$P$2:$P$976,'01_원자료'!$A$2:$A$976,$A34)</f>
        <v>0.30376642773482765</v>
      </c>
      <c r="I34" s="17">
        <f>AVERAGEIFS('01_원자료'!$Q$2:$Q$976,'01_원자료'!$A$2:$A$976,$A34)</f>
        <v>0.75270316440265173</v>
      </c>
      <c r="J34" s="17">
        <f>('02_지표정의'!$C$22*H34+'02_지표정의'!$C$23*I34)/('02_지표정의'!$C$22+'02_지표정의'!$C$23)</f>
        <v>0.61456878388947511</v>
      </c>
      <c r="K34" s="5" t="str">
        <f t="shared" si="0"/>
        <v>특허</v>
      </c>
      <c r="L34" s="31">
        <f t="shared" si="1"/>
        <v>31</v>
      </c>
      <c r="M34" s="31">
        <f t="shared" si="2"/>
        <v>55</v>
      </c>
      <c r="N34" s="31">
        <f t="shared" si="3"/>
        <v>7</v>
      </c>
      <c r="O34" s="31">
        <f t="shared" si="4"/>
        <v>11.5</v>
      </c>
      <c r="P34" s="31">
        <f t="shared" si="5"/>
        <v>57</v>
      </c>
    </row>
    <row r="35" spans="1:16">
      <c r="A35" s="15" t="s">
        <v>153</v>
      </c>
      <c r="B35" s="17">
        <f>AVERAGEIFS('01_원자료'!$S$2:$S$976,'01_원자료'!$A$2:$A$976,$A35)</f>
        <v>0.62524417480814987</v>
      </c>
      <c r="C35" s="17">
        <f>AVERAGEIFS('01_원자료'!$O$2:$O$976,'01_원자료'!$A$2:$A$976,$A35)</f>
        <v>1</v>
      </c>
      <c r="D35" s="17">
        <f>SQRT(SUMPRODUCT(('01_원자료'!$A$2:$A$976=$A35)*('01_원자료'!$O$2:$O$976-$C35)^2)/14)</f>
        <v>0</v>
      </c>
      <c r="E35" s="56">
        <v>847.33333333333303</v>
      </c>
      <c r="F35" s="16">
        <v>1</v>
      </c>
      <c r="G35" s="16">
        <v>0</v>
      </c>
      <c r="H35" s="17">
        <f>AVERAGEIFS('01_원자료'!$P$2:$P$976,'01_원자료'!$A$2:$A$976,$A35)</f>
        <v>0.24151764180998009</v>
      </c>
      <c r="I35" s="17">
        <f>AVERAGEIFS('01_원자료'!$Q$2:$Q$976,'01_원자료'!$A$2:$A$976,$A35)</f>
        <v>0.74339711135184339</v>
      </c>
      <c r="J35" s="17">
        <f>('02_지표정의'!$C$22*H35+'02_지표정의'!$C$23*I35)/('02_지표정의'!$C$22+'02_지표정의'!$C$23)</f>
        <v>0.58897265918511621</v>
      </c>
      <c r="K35" s="5" t="str">
        <f t="shared" si="0"/>
        <v>특허</v>
      </c>
      <c r="L35" s="31">
        <f t="shared" si="1"/>
        <v>36</v>
      </c>
      <c r="M35" s="31">
        <f t="shared" si="2"/>
        <v>15.5</v>
      </c>
      <c r="N35" s="31">
        <f t="shared" si="3"/>
        <v>29</v>
      </c>
      <c r="O35" s="31">
        <f t="shared" si="4"/>
        <v>48</v>
      </c>
      <c r="P35" s="31">
        <f t="shared" si="5"/>
        <v>12</v>
      </c>
    </row>
    <row r="36" spans="1:16">
      <c r="A36" s="15" t="s">
        <v>154</v>
      </c>
      <c r="B36" s="17">
        <f>AVERAGEIFS('01_원자료'!$S$2:$S$976,'01_원자료'!$A$2:$A$976,$A36)</f>
        <v>0.65410233648359395</v>
      </c>
      <c r="C36" s="17">
        <f>AVERAGEIFS('01_원자료'!$O$2:$O$976,'01_원자료'!$A$2:$A$976,$A36)</f>
        <v>1</v>
      </c>
      <c r="D36" s="17">
        <f>SQRT(SUMPRODUCT(('01_원자료'!$A$2:$A$976=$A36)*('01_원자료'!$O$2:$O$976-$C36)^2)/14)</f>
        <v>0</v>
      </c>
      <c r="E36" s="56">
        <v>813</v>
      </c>
      <c r="F36" s="16">
        <v>1</v>
      </c>
      <c r="G36" s="16">
        <v>0</v>
      </c>
      <c r="H36" s="17">
        <f>AVERAGEIFS('01_원자료'!$P$2:$P$976,'01_원자료'!$A$2:$A$976,$A36)</f>
        <v>0.29374386279398262</v>
      </c>
      <c r="I36" s="17">
        <f>AVERAGEIFS('01_원자료'!$Q$2:$Q$976,'01_원자료'!$A$2:$A$976,$A36)</f>
        <v>0.75315828501836302</v>
      </c>
      <c r="J36" s="17">
        <f>('02_지표정의'!$C$22*H36+'02_지표정의'!$C$23*I36)/('02_지표정의'!$C$22+'02_지표정의'!$C$23)</f>
        <v>0.61180000125701517</v>
      </c>
      <c r="K36" s="5" t="str">
        <f t="shared" si="0"/>
        <v>보고서</v>
      </c>
      <c r="L36" s="31">
        <f t="shared" si="1"/>
        <v>64</v>
      </c>
      <c r="M36" s="31">
        <f t="shared" si="2"/>
        <v>15.5</v>
      </c>
      <c r="N36" s="31">
        <f t="shared" si="3"/>
        <v>18</v>
      </c>
      <c r="O36" s="31">
        <f t="shared" si="4"/>
        <v>48</v>
      </c>
      <c r="P36" s="31">
        <f t="shared" si="5"/>
        <v>53</v>
      </c>
    </row>
    <row r="37" spans="1:16">
      <c r="A37" s="15" t="s">
        <v>155</v>
      </c>
      <c r="B37" s="17">
        <f>AVERAGEIFS('01_원자료'!$S$2:$S$976,'01_원자료'!$A$2:$A$976,$A37)</f>
        <v>0.62665583414514892</v>
      </c>
      <c r="C37" s="17">
        <f>AVERAGEIFS('01_원자료'!$O$2:$O$976,'01_원자료'!$A$2:$A$976,$A37)</f>
        <v>0.90328947368421064</v>
      </c>
      <c r="D37" s="17">
        <f>SQRT(SUMPRODUCT(('01_원자료'!$A$2:$A$976=$A37)*('01_원자료'!$O$2:$O$976-$C37)^2)/14)</f>
        <v>0.11772587304081106</v>
      </c>
      <c r="E37" s="56">
        <v>728.33333333333303</v>
      </c>
      <c r="F37" s="16">
        <v>0.89473684210526305</v>
      </c>
      <c r="G37" s="16">
        <v>9.1160568819414603E-2</v>
      </c>
      <c r="H37" s="17">
        <f>AVERAGEIFS('01_원자료'!$P$2:$P$976,'01_원자료'!$A$2:$A$976,$A37)</f>
        <v>0.24958078799588149</v>
      </c>
      <c r="I37" s="17">
        <f>AVERAGEIFS('01_원자료'!$Q$2:$Q$976,'01_원자료'!$A$2:$A$976,$A37)</f>
        <v>0.73514462010648596</v>
      </c>
      <c r="J37" s="17">
        <f>('02_지표정의'!$C$22*H37+'02_지표정의'!$C$23*I37)/('02_지표정의'!$C$22+'02_지표정의'!$C$23)</f>
        <v>0.58574036407245378</v>
      </c>
      <c r="K37" s="5" t="str">
        <f t="shared" ref="K37:K69" si="6">IF(LEFT(A37,3)="PAT","특허","보고서")</f>
        <v>보고서</v>
      </c>
      <c r="L37" s="31">
        <f t="shared" ref="L37:L69" si="7">COUNTIF($B$5:$B$69,"&lt;"&amp;B37)+(COUNTIF($B$5:$B$69,"="&amp;B37)+1)/2</f>
        <v>38</v>
      </c>
      <c r="M37" s="31">
        <f t="shared" ref="M37:M69" si="8">COUNTIF($D$5:$D$69,"&lt;"&amp;D37)+(COUNTIF($D$5:$D$69,"="&amp;D37)+1)/2</f>
        <v>31</v>
      </c>
      <c r="N37" s="31">
        <f t="shared" ref="N37:N69" si="9">COUNTIF($E$5:$E$69,"&lt;"&amp;E37)+(COUNTIF($E$5:$E$69,"="&amp;E37)+1)/2</f>
        <v>3</v>
      </c>
      <c r="O37" s="31">
        <f t="shared" ref="O37:O69" si="10">COUNTIF($F$5:$F$69,"&lt;"&amp;F37)+(COUNTIF($F$5:$F$69,"="&amp;F37)+1)/2</f>
        <v>30</v>
      </c>
      <c r="P37" s="31">
        <f t="shared" ref="P37:P69" si="11">COUNTIF($J$5:$J$69,"&lt;"&amp;J37)+(COUNTIF($J$5:$J$69,"="&amp;J37)+1)/2</f>
        <v>6</v>
      </c>
    </row>
    <row r="38" spans="1:16">
      <c r="A38" s="15" t="s">
        <v>156</v>
      </c>
      <c r="B38" s="17">
        <f>AVERAGEIFS('01_원자료'!$S$2:$S$976,'01_원자료'!$A$2:$A$976,$A38)</f>
        <v>0.6466655530699873</v>
      </c>
      <c r="C38" s="17">
        <f>AVERAGEIFS('01_원자료'!$O$2:$O$976,'01_원자료'!$A$2:$A$976,$A38)</f>
        <v>1</v>
      </c>
      <c r="D38" s="17">
        <f>SQRT(SUMPRODUCT(('01_원자료'!$A$2:$A$976=$A38)*('01_원자료'!$O$2:$O$976-$C38)^2)/14)</f>
        <v>0</v>
      </c>
      <c r="E38" s="56">
        <v>806.33333333333303</v>
      </c>
      <c r="F38" s="16">
        <v>0.68421052631579005</v>
      </c>
      <c r="G38" s="16">
        <v>0.27348170645824399</v>
      </c>
      <c r="H38" s="17">
        <f>AVERAGEIFS('01_원자료'!$P$2:$P$976,'01_원자료'!$A$2:$A$976,$A38)</f>
        <v>0.25511373258797437</v>
      </c>
      <c r="I38" s="17">
        <f>AVERAGEIFS('01_원자료'!$Q$2:$Q$976,'01_원자료'!$A$2:$A$976,$A38)</f>
        <v>0.76250785418037348</v>
      </c>
      <c r="J38" s="17">
        <f>('02_지표정의'!$C$22*H38+'02_지표정의'!$C$23*I38)/('02_지표정의'!$C$22+'02_지표정의'!$C$23)</f>
        <v>0.60638658599809681</v>
      </c>
      <c r="K38" s="5" t="str">
        <f t="shared" si="6"/>
        <v>보고서</v>
      </c>
      <c r="L38" s="31">
        <f t="shared" si="7"/>
        <v>57</v>
      </c>
      <c r="M38" s="31">
        <f t="shared" si="8"/>
        <v>15.5</v>
      </c>
      <c r="N38" s="31">
        <f t="shared" si="9"/>
        <v>16</v>
      </c>
      <c r="O38" s="31">
        <f t="shared" si="10"/>
        <v>11.5</v>
      </c>
      <c r="P38" s="31">
        <f t="shared" si="11"/>
        <v>47</v>
      </c>
    </row>
    <row r="39" spans="1:16">
      <c r="A39" s="15" t="s">
        <v>157</v>
      </c>
      <c r="B39" s="17">
        <f>AVERAGEIFS('01_원자료'!$S$2:$S$976,'01_원자료'!$A$2:$A$976,$A39)</f>
        <v>0.59079009450712017</v>
      </c>
      <c r="C39" s="17">
        <f>AVERAGEIFS('01_원자료'!$O$2:$O$976,'01_원자료'!$A$2:$A$976,$A39)</f>
        <v>0.84210526315789447</v>
      </c>
      <c r="D39" s="17">
        <f>SQRT(SUMPRODUCT(('01_원자료'!$A$2:$A$976=$A39)*('01_원자료'!$O$2:$O$976-$C39)^2)/14)</f>
        <v>0.23113422780360013</v>
      </c>
      <c r="E39" s="56">
        <v>891.66666666666697</v>
      </c>
      <c r="F39" s="16">
        <v>1</v>
      </c>
      <c r="G39" s="16">
        <v>0</v>
      </c>
      <c r="H39" s="17">
        <f>AVERAGEIFS('01_원자료'!$P$2:$P$976,'01_원자료'!$A$2:$A$976,$A39)</f>
        <v>0.25299826189185254</v>
      </c>
      <c r="I39" s="17">
        <f>AVERAGEIFS('01_원자료'!$Q$2:$Q$976,'01_원자료'!$A$2:$A$976,$A39)</f>
        <v>0.74352136162711635</v>
      </c>
      <c r="J39" s="17">
        <f>('02_지표정의'!$C$22*H39+'02_지표정의'!$C$23*I39)/('02_지표정의'!$C$22+'02_지표정의'!$C$23)</f>
        <v>0.59259117709318898</v>
      </c>
      <c r="K39" s="5" t="str">
        <f t="shared" si="6"/>
        <v>보고서</v>
      </c>
      <c r="L39" s="31">
        <f t="shared" si="7"/>
        <v>5</v>
      </c>
      <c r="M39" s="31">
        <f t="shared" si="8"/>
        <v>55</v>
      </c>
      <c r="N39" s="31">
        <f t="shared" si="9"/>
        <v>37</v>
      </c>
      <c r="O39" s="31">
        <f t="shared" si="10"/>
        <v>48</v>
      </c>
      <c r="P39" s="31">
        <f t="shared" si="11"/>
        <v>20</v>
      </c>
    </row>
    <row r="40" spans="1:16">
      <c r="A40" s="15" t="s">
        <v>158</v>
      </c>
      <c r="B40" s="17">
        <f>AVERAGEIFS('01_원자료'!$S$2:$S$976,'01_원자료'!$A$2:$A$976,$A40)</f>
        <v>0.59549529608768192</v>
      </c>
      <c r="C40" s="17">
        <f>AVERAGEIFS('01_원자료'!$O$2:$O$976,'01_원자료'!$A$2:$A$976,$A40)</f>
        <v>0.82778947368421063</v>
      </c>
      <c r="D40" s="17">
        <f>SQRT(SUMPRODUCT(('01_원자료'!$A$2:$A$976=$A40)*('01_원자료'!$O$2:$O$976-$C40)^2)/14)</f>
        <v>0.20230910772689417</v>
      </c>
      <c r="E40" s="56">
        <v>912.33333333333303</v>
      </c>
      <c r="F40" s="16">
        <v>0.74561403508771895</v>
      </c>
      <c r="G40" s="16">
        <v>0.220697291673844</v>
      </c>
      <c r="H40" s="17">
        <f>AVERAGEIFS('01_원자료'!$P$2:$P$976,'01_원자료'!$A$2:$A$976,$A40)</f>
        <v>0.26949774303187168</v>
      </c>
      <c r="I40" s="17">
        <f>AVERAGEIFS('01_원자료'!$Q$2:$Q$976,'01_원자료'!$A$2:$A$976,$A40)</f>
        <v>0.74670715499535545</v>
      </c>
      <c r="J40" s="17">
        <f>('02_지표정의'!$C$22*H40+'02_지표정의'!$C$23*I40)/('02_지표정의'!$C$22+'02_지표정의'!$C$23)</f>
        <v>0.599873489775822</v>
      </c>
      <c r="K40" s="5" t="str">
        <f t="shared" si="6"/>
        <v>보고서</v>
      </c>
      <c r="L40" s="31">
        <f t="shared" si="7"/>
        <v>11</v>
      </c>
      <c r="M40" s="31">
        <f t="shared" si="8"/>
        <v>43</v>
      </c>
      <c r="N40" s="31">
        <f t="shared" si="9"/>
        <v>43</v>
      </c>
      <c r="O40" s="31">
        <f t="shared" si="10"/>
        <v>26</v>
      </c>
      <c r="P40" s="31">
        <f t="shared" si="11"/>
        <v>35</v>
      </c>
    </row>
    <row r="41" spans="1:16">
      <c r="A41" s="15" t="s">
        <v>159</v>
      </c>
      <c r="B41" s="17">
        <f>AVERAGEIFS('01_원자료'!$S$2:$S$976,'01_원자료'!$A$2:$A$976,$A41)</f>
        <v>0.60323865925983933</v>
      </c>
      <c r="C41" s="17">
        <f>AVERAGEIFS('01_원자료'!$O$2:$O$976,'01_원자료'!$A$2:$A$976,$A41)</f>
        <v>0.89157894736842114</v>
      </c>
      <c r="D41" s="17">
        <f>SQRT(SUMPRODUCT(('01_원자료'!$A$2:$A$976=$A41)*('01_원자료'!$O$2:$O$976-$C41)^2)/14)</f>
        <v>0.15901912770149684</v>
      </c>
      <c r="E41" s="56">
        <v>928.33333333333303</v>
      </c>
      <c r="F41" s="16">
        <v>0.785406698564593</v>
      </c>
      <c r="G41" s="16">
        <v>0.186607011363705</v>
      </c>
      <c r="H41" s="17">
        <f>AVERAGEIFS('01_원자료'!$P$2:$P$976,'01_원자료'!$A$2:$A$976,$A41)</f>
        <v>0.26714108700287215</v>
      </c>
      <c r="I41" s="17">
        <f>AVERAGEIFS('01_원자료'!$Q$2:$Q$976,'01_원자료'!$A$2:$A$976,$A41)</f>
        <v>0.74433244512279628</v>
      </c>
      <c r="J41" s="17">
        <f>('02_지표정의'!$C$22*H41+'02_지표정의'!$C$23*I41)/('02_지표정의'!$C$22+'02_지표정의'!$C$23)</f>
        <v>0.59750433493205046</v>
      </c>
      <c r="K41" s="5" t="str">
        <f t="shared" si="6"/>
        <v>보고서</v>
      </c>
      <c r="L41" s="31">
        <f t="shared" si="7"/>
        <v>18</v>
      </c>
      <c r="M41" s="31">
        <f t="shared" si="8"/>
        <v>34</v>
      </c>
      <c r="N41" s="31">
        <f t="shared" si="9"/>
        <v>46</v>
      </c>
      <c r="O41" s="31">
        <f t="shared" si="10"/>
        <v>29</v>
      </c>
      <c r="P41" s="31">
        <f t="shared" si="11"/>
        <v>32</v>
      </c>
    </row>
    <row r="42" spans="1:16">
      <c r="A42" s="15" t="s">
        <v>160</v>
      </c>
      <c r="B42" s="17">
        <f>AVERAGEIFS('01_원자료'!$S$2:$S$976,'01_원자료'!$A$2:$A$976,$A42)</f>
        <v>0.61618621855916977</v>
      </c>
      <c r="C42" s="17">
        <f>AVERAGEIFS('01_원자료'!$O$2:$O$976,'01_원자료'!$A$2:$A$976,$A42)</f>
        <v>0.86947368421052618</v>
      </c>
      <c r="D42" s="17">
        <f>SQRT(SUMPRODUCT(('01_원자료'!$A$2:$A$976=$A42)*('01_원자료'!$O$2:$O$976-$C42)^2)/14)</f>
        <v>0.19110823772903848</v>
      </c>
      <c r="E42" s="56">
        <v>954.33333333333303</v>
      </c>
      <c r="F42" s="16">
        <v>0.73684210526315796</v>
      </c>
      <c r="G42" s="16">
        <v>0.227901422048536</v>
      </c>
      <c r="H42" s="17">
        <f>AVERAGEIFS('01_원자료'!$P$2:$P$976,'01_원자료'!$A$2:$A$976,$A42)</f>
        <v>0.25395250570627131</v>
      </c>
      <c r="I42" s="17">
        <f>AVERAGEIFS('01_원자료'!$Q$2:$Q$976,'01_원자료'!$A$2:$A$976,$A42)</f>
        <v>0.74457577680743181</v>
      </c>
      <c r="J42" s="17">
        <f>('02_지표정의'!$C$22*H42+'02_지표정의'!$C$23*I42)/('02_지표정의'!$C$22+'02_지표정의'!$C$23)</f>
        <v>0.59361477031476706</v>
      </c>
      <c r="K42" s="5" t="str">
        <f t="shared" si="6"/>
        <v>보고서</v>
      </c>
      <c r="L42" s="31">
        <f t="shared" si="7"/>
        <v>28</v>
      </c>
      <c r="M42" s="31">
        <f t="shared" si="8"/>
        <v>38.5</v>
      </c>
      <c r="N42" s="31">
        <f t="shared" si="9"/>
        <v>53</v>
      </c>
      <c r="O42" s="31">
        <f t="shared" si="10"/>
        <v>22.5</v>
      </c>
      <c r="P42" s="31">
        <f t="shared" si="11"/>
        <v>22</v>
      </c>
    </row>
    <row r="43" spans="1:16">
      <c r="A43" s="15" t="s">
        <v>161</v>
      </c>
      <c r="B43" s="17">
        <f>AVERAGEIFS('01_원자료'!$S$2:$S$976,'01_원자료'!$A$2:$A$976,$A43)</f>
        <v>0.65262924115103382</v>
      </c>
      <c r="C43" s="17">
        <f>AVERAGEIFS('01_원자료'!$O$2:$O$976,'01_원자료'!$A$2:$A$976,$A43)</f>
        <v>1</v>
      </c>
      <c r="D43" s="17">
        <f>SQRT(SUMPRODUCT(('01_원자료'!$A$2:$A$976=$A43)*('01_원자료'!$O$2:$O$976-$C43)^2)/14)</f>
        <v>0</v>
      </c>
      <c r="E43" s="56">
        <v>752</v>
      </c>
      <c r="F43" s="16">
        <v>1</v>
      </c>
      <c r="G43" s="16">
        <v>0</v>
      </c>
      <c r="H43" s="17">
        <f>AVERAGEIFS('01_원자료'!$P$2:$P$976,'01_원자료'!$A$2:$A$976,$A43)</f>
        <v>0.26647390617907668</v>
      </c>
      <c r="I43" s="17">
        <f>AVERAGEIFS('01_원자료'!$Q$2:$Q$976,'01_원자료'!$A$2:$A$976,$A43)</f>
        <v>0.75150817757110944</v>
      </c>
      <c r="J43" s="17">
        <f>('02_지표정의'!$C$22*H43+'02_지표정의'!$C$23*I43)/('02_지표정의'!$C$22+'02_지표정의'!$C$23)</f>
        <v>0.60226686329663781</v>
      </c>
      <c r="K43" s="5" t="str">
        <f t="shared" si="6"/>
        <v>보고서</v>
      </c>
      <c r="L43" s="31">
        <f t="shared" si="7"/>
        <v>63</v>
      </c>
      <c r="M43" s="31">
        <f t="shared" si="8"/>
        <v>15.5</v>
      </c>
      <c r="N43" s="31">
        <f t="shared" si="9"/>
        <v>6</v>
      </c>
      <c r="O43" s="31">
        <f t="shared" si="10"/>
        <v>48</v>
      </c>
      <c r="P43" s="31">
        <f t="shared" si="11"/>
        <v>39</v>
      </c>
    </row>
    <row r="44" spans="1:16">
      <c r="A44" s="15" t="s">
        <v>162</v>
      </c>
      <c r="B44" s="17">
        <f>AVERAGEIFS('01_원자료'!$S$2:$S$976,'01_원자료'!$A$2:$A$976,$A44)</f>
        <v>0.63306378873524649</v>
      </c>
      <c r="C44" s="17">
        <f>AVERAGEIFS('01_원자료'!$O$2:$O$976,'01_원자료'!$A$2:$A$976,$A44)</f>
        <v>1</v>
      </c>
      <c r="D44" s="17">
        <f>SQRT(SUMPRODUCT(('01_원자료'!$A$2:$A$976=$A44)*('01_원자료'!$O$2:$O$976-$C44)^2)/14)</f>
        <v>0</v>
      </c>
      <c r="E44" s="56">
        <v>777</v>
      </c>
      <c r="F44" s="16">
        <v>1</v>
      </c>
      <c r="G44" s="16">
        <v>0</v>
      </c>
      <c r="H44" s="17">
        <f>AVERAGEIFS('01_원자료'!$P$2:$P$976,'01_원자료'!$A$2:$A$976,$A44)</f>
        <v>0.26846265053452556</v>
      </c>
      <c r="I44" s="17">
        <f>AVERAGEIFS('01_원자료'!$Q$2:$Q$976,'01_원자료'!$A$2:$A$976,$A44)</f>
        <v>0.74296862846672418</v>
      </c>
      <c r="J44" s="17">
        <f>('02_지표정의'!$C$22*H44+'02_지표정의'!$C$23*I44)/('02_지표정의'!$C$22+'02_지표정의'!$C$23)</f>
        <v>0.59696678910297074</v>
      </c>
      <c r="K44" s="5" t="str">
        <f t="shared" si="6"/>
        <v>보고서</v>
      </c>
      <c r="L44" s="31">
        <f t="shared" si="7"/>
        <v>48</v>
      </c>
      <c r="M44" s="31">
        <f t="shared" si="8"/>
        <v>15.5</v>
      </c>
      <c r="N44" s="31">
        <f t="shared" si="9"/>
        <v>9</v>
      </c>
      <c r="O44" s="31">
        <f t="shared" si="10"/>
        <v>48</v>
      </c>
      <c r="P44" s="31">
        <f t="shared" si="11"/>
        <v>30</v>
      </c>
    </row>
    <row r="45" spans="1:16">
      <c r="A45" s="15" t="s">
        <v>163</v>
      </c>
      <c r="B45" s="17">
        <f>AVERAGEIFS('01_원자료'!$S$2:$S$976,'01_원자료'!$A$2:$A$976,$A45)</f>
        <v>0.58067903779987018</v>
      </c>
      <c r="C45" s="17">
        <f>AVERAGEIFS('01_원자료'!$O$2:$O$976,'01_원자료'!$A$2:$A$976,$A45)</f>
        <v>0.84210526315789447</v>
      </c>
      <c r="D45" s="17">
        <f>SQRT(SUMPRODUCT(('01_원자료'!$A$2:$A$976=$A45)*('01_원자료'!$O$2:$O$976-$C45)^2)/14)</f>
        <v>0.23113422780360013</v>
      </c>
      <c r="E45" s="56">
        <v>958.33333333333303</v>
      </c>
      <c r="F45" s="16">
        <v>0.68421052631579005</v>
      </c>
      <c r="G45" s="16">
        <v>0.27348170645824399</v>
      </c>
      <c r="H45" s="17">
        <f>AVERAGEIFS('01_원자료'!$P$2:$P$976,'01_원자료'!$A$2:$A$976,$A45)</f>
        <v>0.26735957193560045</v>
      </c>
      <c r="I45" s="17">
        <f>AVERAGEIFS('01_원자료'!$Q$2:$Q$976,'01_원자료'!$A$2:$A$976,$A45)</f>
        <v>0.73194063507815366</v>
      </c>
      <c r="J45" s="17">
        <f>('02_지표정의'!$C$22*H45+'02_지표정의'!$C$23*I45)/('02_지표정의'!$C$22+'02_지표정의'!$C$23)</f>
        <v>0.58899261564967587</v>
      </c>
      <c r="K45" s="5" t="str">
        <f t="shared" si="6"/>
        <v>보고서</v>
      </c>
      <c r="L45" s="31">
        <f t="shared" si="7"/>
        <v>3</v>
      </c>
      <c r="M45" s="31">
        <f t="shared" si="8"/>
        <v>55</v>
      </c>
      <c r="N45" s="31">
        <f t="shared" si="9"/>
        <v>55</v>
      </c>
      <c r="O45" s="31">
        <f t="shared" si="10"/>
        <v>11.5</v>
      </c>
      <c r="P45" s="31">
        <f t="shared" si="11"/>
        <v>13</v>
      </c>
    </row>
    <row r="46" spans="1:16">
      <c r="A46" s="15" t="s">
        <v>164</v>
      </c>
      <c r="B46" s="17">
        <f>AVERAGEIFS('01_원자료'!$S$2:$S$976,'01_원자료'!$A$2:$A$976,$A46)</f>
        <v>0.64062613178467609</v>
      </c>
      <c r="C46" s="17">
        <f>AVERAGEIFS('01_원자료'!$O$2:$O$976,'01_원자료'!$A$2:$A$976,$A46)</f>
        <v>0.88157894736842102</v>
      </c>
      <c r="D46" s="17">
        <f>SQRT(SUMPRODUCT(('01_원자료'!$A$2:$A$976=$A46)*('01_원자료'!$O$2:$O$976-$C46)^2)/14)</f>
        <v>0.17335067085270003</v>
      </c>
      <c r="E46" s="56">
        <v>780.66666666666697</v>
      </c>
      <c r="F46" s="16">
        <v>0.76315789473684204</v>
      </c>
      <c r="G46" s="16">
        <v>0.20511127984368299</v>
      </c>
      <c r="H46" s="17">
        <f>AVERAGEIFS('01_원자료'!$P$2:$P$976,'01_원자료'!$A$2:$A$976,$A46)</f>
        <v>0.27058481348412167</v>
      </c>
      <c r="I46" s="17">
        <f>AVERAGEIFS('01_원자료'!$Q$2:$Q$976,'01_원자료'!$A$2:$A$976,$A46)</f>
        <v>0.77436136234200392</v>
      </c>
      <c r="J46" s="17">
        <f>('02_지표정의'!$C$22*H46+'02_지표정의'!$C$23*I46)/('02_지표정의'!$C$22+'02_지표정의'!$C$23)</f>
        <v>0.61935319346265549</v>
      </c>
      <c r="K46" s="5" t="str">
        <f t="shared" si="6"/>
        <v>보고서</v>
      </c>
      <c r="L46" s="31">
        <f t="shared" si="7"/>
        <v>53</v>
      </c>
      <c r="M46" s="31">
        <f t="shared" si="8"/>
        <v>36</v>
      </c>
      <c r="N46" s="31">
        <f t="shared" si="9"/>
        <v>11</v>
      </c>
      <c r="O46" s="31">
        <f t="shared" si="10"/>
        <v>27</v>
      </c>
      <c r="P46" s="31">
        <f t="shared" si="11"/>
        <v>61</v>
      </c>
    </row>
    <row r="47" spans="1:16">
      <c r="A47" s="15" t="s">
        <v>165</v>
      </c>
      <c r="B47" s="17">
        <f>AVERAGEIFS('01_원자료'!$S$2:$S$976,'01_원자료'!$A$2:$A$976,$A47)</f>
        <v>0.60283894027502083</v>
      </c>
      <c r="C47" s="17">
        <f>AVERAGEIFS('01_원자료'!$O$2:$O$976,'01_원자료'!$A$2:$A$976,$A47)</f>
        <v>0.84210526315789447</v>
      </c>
      <c r="D47" s="17">
        <f>SQRT(SUMPRODUCT(('01_원자료'!$A$2:$A$976=$A47)*('01_원자료'!$O$2:$O$976-$C47)^2)/14)</f>
        <v>0.23113422780360013</v>
      </c>
      <c r="E47" s="56">
        <v>847</v>
      </c>
      <c r="F47" s="16">
        <v>0.68421052631579005</v>
      </c>
      <c r="G47" s="16">
        <v>0.27348170645824399</v>
      </c>
      <c r="H47" s="17">
        <f>AVERAGEIFS('01_원자료'!$P$2:$P$976,'01_원자료'!$A$2:$A$976,$A47)</f>
        <v>0.27513619274762363</v>
      </c>
      <c r="I47" s="17">
        <f>AVERAGEIFS('01_원자료'!$Q$2:$Q$976,'01_원자료'!$A$2:$A$976,$A47)</f>
        <v>0.73754071900657925</v>
      </c>
      <c r="J47" s="17">
        <f>('02_지표정의'!$C$22*H47+'02_지표정의'!$C$23*I47)/('02_지표정의'!$C$22+'02_지표정의'!$C$23)</f>
        <v>0.59526240323459301</v>
      </c>
      <c r="K47" s="5" t="str">
        <f t="shared" si="6"/>
        <v>보고서</v>
      </c>
      <c r="L47" s="31">
        <f t="shared" si="7"/>
        <v>17</v>
      </c>
      <c r="M47" s="31">
        <f t="shared" si="8"/>
        <v>55</v>
      </c>
      <c r="N47" s="31">
        <f t="shared" si="9"/>
        <v>28</v>
      </c>
      <c r="O47" s="31">
        <f t="shared" si="10"/>
        <v>11.5</v>
      </c>
      <c r="P47" s="31">
        <f t="shared" si="11"/>
        <v>27</v>
      </c>
    </row>
    <row r="48" spans="1:16">
      <c r="A48" s="15" t="s">
        <v>166</v>
      </c>
      <c r="B48" s="17">
        <f>AVERAGEIFS('01_원자료'!$S$2:$S$976,'01_원자료'!$A$2:$A$976,$A48)</f>
        <v>0.62318659423723</v>
      </c>
      <c r="C48" s="17">
        <f>AVERAGEIFS('01_원자료'!$O$2:$O$976,'01_원자료'!$A$2:$A$976,$A48)</f>
        <v>0.84210526315789447</v>
      </c>
      <c r="D48" s="17">
        <f>SQRT(SUMPRODUCT(('01_원자료'!$A$2:$A$976=$A48)*('01_원자료'!$O$2:$O$976-$C48)^2)/14)</f>
        <v>0.23113422780360013</v>
      </c>
      <c r="E48" s="56">
        <v>939.33333333333303</v>
      </c>
      <c r="F48" s="16">
        <v>0.68421052631579005</v>
      </c>
      <c r="G48" s="16">
        <v>0.27348170645824399</v>
      </c>
      <c r="H48" s="17">
        <f>AVERAGEIFS('01_원자료'!$P$2:$P$976,'01_원자료'!$A$2:$A$976,$A48)</f>
        <v>0.30922105623413781</v>
      </c>
      <c r="I48" s="17">
        <f>AVERAGEIFS('01_원자료'!$Q$2:$Q$976,'01_원자료'!$A$2:$A$976,$A48)</f>
        <v>0.75963141204498608</v>
      </c>
      <c r="J48" s="17">
        <f>('02_지표정의'!$C$22*H48+'02_지표정의'!$C$23*I48)/('02_지표정의'!$C$22+'02_지표정의'!$C$23)</f>
        <v>0.62104361025703281</v>
      </c>
      <c r="K48" s="5" t="str">
        <f t="shared" si="6"/>
        <v>보고서</v>
      </c>
      <c r="L48" s="31">
        <f t="shared" si="7"/>
        <v>34</v>
      </c>
      <c r="M48" s="31">
        <f t="shared" si="8"/>
        <v>55</v>
      </c>
      <c r="N48" s="31">
        <f t="shared" si="9"/>
        <v>48</v>
      </c>
      <c r="O48" s="31">
        <f t="shared" si="10"/>
        <v>11.5</v>
      </c>
      <c r="P48" s="31">
        <f t="shared" si="11"/>
        <v>64</v>
      </c>
    </row>
    <row r="49" spans="1:16">
      <c r="A49" s="15" t="s">
        <v>167</v>
      </c>
      <c r="B49" s="17">
        <f>AVERAGEIFS('01_원자료'!$S$2:$S$976,'01_원자료'!$A$2:$A$976,$A49)</f>
        <v>0.60280726112571659</v>
      </c>
      <c r="C49" s="17">
        <f>AVERAGEIFS('01_원자료'!$O$2:$O$976,'01_원자료'!$A$2:$A$976,$A49)</f>
        <v>0.84210526315789447</v>
      </c>
      <c r="D49" s="17">
        <f>SQRT(SUMPRODUCT(('01_원자료'!$A$2:$A$976=$A49)*('01_원자료'!$O$2:$O$976-$C49)^2)/14)</f>
        <v>0.23113422780360013</v>
      </c>
      <c r="E49" s="56">
        <v>811.33333333333303</v>
      </c>
      <c r="F49" s="16">
        <v>0.68421052631579005</v>
      </c>
      <c r="G49" s="16">
        <v>0.27348170645824399</v>
      </c>
      <c r="H49" s="17">
        <f>AVERAGEIFS('01_원자료'!$P$2:$P$976,'01_원자료'!$A$2:$A$976,$A49)</f>
        <v>0.26819986775698251</v>
      </c>
      <c r="I49" s="17">
        <f>AVERAGEIFS('01_원자료'!$Q$2:$Q$976,'01_원자료'!$A$2:$A$976,$A49)</f>
        <v>0.7404296897489383</v>
      </c>
      <c r="J49" s="17">
        <f>('02_지표정의'!$C$22*H49+'02_지표정의'!$C$23*I49)/('02_지표정의'!$C$22+'02_지표정의'!$C$23)</f>
        <v>0.59512820605910577</v>
      </c>
      <c r="K49" s="5" t="str">
        <f t="shared" si="6"/>
        <v>보고서</v>
      </c>
      <c r="L49" s="31">
        <f t="shared" si="7"/>
        <v>16</v>
      </c>
      <c r="M49" s="31">
        <f t="shared" si="8"/>
        <v>55</v>
      </c>
      <c r="N49" s="31">
        <f t="shared" si="9"/>
        <v>17</v>
      </c>
      <c r="O49" s="31">
        <f t="shared" si="10"/>
        <v>11.5</v>
      </c>
      <c r="P49" s="31">
        <f t="shared" si="11"/>
        <v>26</v>
      </c>
    </row>
    <row r="50" spans="1:16">
      <c r="A50" s="15" t="s">
        <v>168</v>
      </c>
      <c r="B50" s="17">
        <f>AVERAGEIFS('01_원자료'!$S$2:$S$976,'01_원자료'!$A$2:$A$976,$A50)</f>
        <v>0.62570745946327455</v>
      </c>
      <c r="C50" s="17">
        <f>AVERAGEIFS('01_원자료'!$O$2:$O$976,'01_원자료'!$A$2:$A$976,$A50)</f>
        <v>1</v>
      </c>
      <c r="D50" s="17">
        <f>SQRT(SUMPRODUCT(('01_원자료'!$A$2:$A$976=$A50)*('01_원자료'!$O$2:$O$976-$C50)^2)/14)</f>
        <v>0</v>
      </c>
      <c r="E50" s="56">
        <v>846</v>
      </c>
      <c r="F50" s="16">
        <v>1</v>
      </c>
      <c r="G50" s="16">
        <v>0</v>
      </c>
      <c r="H50" s="17">
        <f>AVERAGEIFS('01_원자료'!$P$2:$P$976,'01_원자료'!$A$2:$A$976,$A50)</f>
        <v>0.23541251362207335</v>
      </c>
      <c r="I50" s="17">
        <f>AVERAGEIFS('01_원자료'!$Q$2:$Q$976,'01_원자료'!$A$2:$A$976,$A50)</f>
        <v>0.73088226225679886</v>
      </c>
      <c r="J50" s="17">
        <f>('02_지표정의'!$C$22*H50+'02_지표정의'!$C$23*I50)/('02_지표정의'!$C$22+'02_지표정의'!$C$23)</f>
        <v>0.57843003190765252</v>
      </c>
      <c r="K50" s="5" t="str">
        <f t="shared" si="6"/>
        <v>보고서</v>
      </c>
      <c r="L50" s="31">
        <f t="shared" si="7"/>
        <v>37</v>
      </c>
      <c r="M50" s="31">
        <f t="shared" si="8"/>
        <v>15.5</v>
      </c>
      <c r="N50" s="31">
        <f t="shared" si="9"/>
        <v>27</v>
      </c>
      <c r="O50" s="31">
        <f t="shared" si="10"/>
        <v>48</v>
      </c>
      <c r="P50" s="31">
        <f t="shared" si="11"/>
        <v>3</v>
      </c>
    </row>
    <row r="51" spans="1:16">
      <c r="A51" s="15" t="s">
        <v>169</v>
      </c>
      <c r="B51" s="17">
        <f>AVERAGEIFS('01_원자료'!$S$2:$S$976,'01_원자료'!$A$2:$A$976,$A51)</f>
        <v>0.60418924677967389</v>
      </c>
      <c r="C51" s="17">
        <f>AVERAGEIFS('01_원자료'!$O$2:$O$976,'01_원자료'!$A$2:$A$976,$A51)</f>
        <v>0.84210526315789447</v>
      </c>
      <c r="D51" s="17">
        <f>SQRT(SUMPRODUCT(('01_원자료'!$A$2:$A$976=$A51)*('01_원자료'!$O$2:$O$976-$C51)^2)/14)</f>
        <v>0.23113422780360013</v>
      </c>
      <c r="E51" s="56">
        <v>821.33333333333303</v>
      </c>
      <c r="F51" s="16">
        <v>0.68421052631579005</v>
      </c>
      <c r="G51" s="16">
        <v>0.27348170645824399</v>
      </c>
      <c r="H51" s="17">
        <f>AVERAGEIFS('01_원자료'!$P$2:$P$976,'01_원자료'!$A$2:$A$976,$A51)</f>
        <v>0.2805148280417798</v>
      </c>
      <c r="I51" s="17">
        <f>AVERAGEIFS('01_원자료'!$Q$2:$Q$976,'01_원자료'!$A$2:$A$976,$A51)</f>
        <v>0.7535301445978132</v>
      </c>
      <c r="J51" s="17">
        <f>('02_지표정의'!$C$22*H51+'02_지표정의'!$C$23*I51)/('02_지표정의'!$C$22+'02_지표정의'!$C$23)</f>
        <v>0.60798697027287996</v>
      </c>
      <c r="K51" s="5" t="str">
        <f t="shared" si="6"/>
        <v>보고서</v>
      </c>
      <c r="L51" s="31">
        <f t="shared" si="7"/>
        <v>19</v>
      </c>
      <c r="M51" s="31">
        <f t="shared" si="8"/>
        <v>55</v>
      </c>
      <c r="N51" s="31">
        <f t="shared" si="9"/>
        <v>22</v>
      </c>
      <c r="O51" s="31">
        <f t="shared" si="10"/>
        <v>11.5</v>
      </c>
      <c r="P51" s="31">
        <f t="shared" si="11"/>
        <v>49</v>
      </c>
    </row>
    <row r="52" spans="1:16">
      <c r="A52" s="15" t="s">
        <v>170</v>
      </c>
      <c r="B52" s="17">
        <f>AVERAGEIFS('01_원자료'!$S$2:$S$976,'01_원자료'!$A$2:$A$976,$A52)</f>
        <v>0.62970429380504178</v>
      </c>
      <c r="C52" s="17">
        <f>AVERAGEIFS('01_원자료'!$O$2:$O$976,'01_원자료'!$A$2:$A$976,$A52)</f>
        <v>1</v>
      </c>
      <c r="D52" s="17">
        <f>SQRT(SUMPRODUCT(('01_원자료'!$A$2:$A$976=$A52)*('01_원자료'!$O$2:$O$976-$C52)^2)/14)</f>
        <v>0</v>
      </c>
      <c r="E52" s="56">
        <v>982.33333333333303</v>
      </c>
      <c r="F52" s="16">
        <v>1</v>
      </c>
      <c r="G52" s="16">
        <v>0</v>
      </c>
      <c r="H52" s="17">
        <f>AVERAGEIFS('01_원자료'!$P$2:$P$976,'01_원자료'!$A$2:$A$976,$A52)</f>
        <v>0.24823589415751002</v>
      </c>
      <c r="I52" s="17">
        <f>AVERAGEIFS('01_원자료'!$Q$2:$Q$976,'01_원자료'!$A$2:$A$976,$A52)</f>
        <v>0.74695470014807086</v>
      </c>
      <c r="J52" s="17">
        <f>('02_지표정의'!$C$22*H52+'02_지표정의'!$C$23*I52)/('02_지표정의'!$C$22+'02_지표정의'!$C$23)</f>
        <v>0.59350275984328293</v>
      </c>
      <c r="K52" s="5" t="str">
        <f t="shared" si="6"/>
        <v>보고서</v>
      </c>
      <c r="L52" s="31">
        <f t="shared" si="7"/>
        <v>42</v>
      </c>
      <c r="M52" s="31">
        <f t="shared" si="8"/>
        <v>15.5</v>
      </c>
      <c r="N52" s="31">
        <f t="shared" si="9"/>
        <v>58</v>
      </c>
      <c r="O52" s="31">
        <f t="shared" si="10"/>
        <v>48</v>
      </c>
      <c r="P52" s="31">
        <f t="shared" si="11"/>
        <v>21</v>
      </c>
    </row>
    <row r="53" spans="1:16">
      <c r="A53" s="15" t="s">
        <v>171</v>
      </c>
      <c r="B53" s="17">
        <f>AVERAGEIFS('01_원자료'!$S$2:$S$976,'01_원자료'!$A$2:$A$976,$A53)</f>
        <v>0.59187892617329463</v>
      </c>
      <c r="C53" s="17">
        <f>AVERAGEIFS('01_원자료'!$O$2:$O$976,'01_원자료'!$A$2:$A$976,$A53)</f>
        <v>0.84210526315789447</v>
      </c>
      <c r="D53" s="17">
        <f>SQRT(SUMPRODUCT(('01_원자료'!$A$2:$A$976=$A53)*('01_원자료'!$O$2:$O$976-$C53)^2)/14)</f>
        <v>0.23113422780360013</v>
      </c>
      <c r="E53" s="56">
        <v>947.33333333333303</v>
      </c>
      <c r="F53" s="16">
        <v>0.68421052631579005</v>
      </c>
      <c r="G53" s="16">
        <v>0.27348170645824399</v>
      </c>
      <c r="H53" s="17">
        <f>AVERAGEIFS('01_원자료'!$P$2:$P$976,'01_원자료'!$A$2:$A$976,$A53)</f>
        <v>0.25150167879767743</v>
      </c>
      <c r="I53" s="17">
        <f>AVERAGEIFS('01_원자료'!$Q$2:$Q$976,'01_원자료'!$A$2:$A$976,$A53)</f>
        <v>0.75266824643597041</v>
      </c>
      <c r="J53" s="17">
        <f>('02_지표정의'!$C$22*H53+'02_지표정의'!$C$23*I53)/('02_지표정의'!$C$22+'02_지표정의'!$C$23)</f>
        <v>0.59846314870111106</v>
      </c>
      <c r="K53" s="5" t="str">
        <f t="shared" si="6"/>
        <v>보고서</v>
      </c>
      <c r="L53" s="31">
        <f t="shared" si="7"/>
        <v>6</v>
      </c>
      <c r="M53" s="31">
        <f t="shared" si="8"/>
        <v>55</v>
      </c>
      <c r="N53" s="31">
        <f t="shared" si="9"/>
        <v>51</v>
      </c>
      <c r="O53" s="31">
        <f t="shared" si="10"/>
        <v>11.5</v>
      </c>
      <c r="P53" s="31">
        <f t="shared" si="11"/>
        <v>34</v>
      </c>
    </row>
    <row r="54" spans="1:16">
      <c r="A54" s="15" t="s">
        <v>172</v>
      </c>
      <c r="B54" s="17">
        <f>AVERAGEIFS('01_원자료'!$S$2:$S$976,'01_원자료'!$A$2:$A$976,$A54)</f>
        <v>0.61304855840170958</v>
      </c>
      <c r="C54" s="17">
        <f>AVERAGEIFS('01_원자료'!$O$2:$O$976,'01_원자료'!$A$2:$A$976,$A54)</f>
        <v>0.84210526315789447</v>
      </c>
      <c r="D54" s="17">
        <f>SQRT(SUMPRODUCT(('01_원자료'!$A$2:$A$976=$A54)*('01_원자료'!$O$2:$O$976-$C54)^2)/14)</f>
        <v>0.23113422780360013</v>
      </c>
      <c r="E54" s="56">
        <v>794.33333333333303</v>
      </c>
      <c r="F54" s="16">
        <v>0.68421052631579005</v>
      </c>
      <c r="G54" s="16">
        <v>0.27348170645824399</v>
      </c>
      <c r="H54" s="17">
        <f>AVERAGEIFS('01_원자료'!$P$2:$P$976,'01_원자료'!$A$2:$A$976,$A54)</f>
        <v>0.28937210750212494</v>
      </c>
      <c r="I54" s="17">
        <f>AVERAGEIFS('01_원자료'!$Q$2:$Q$976,'01_원자료'!$A$2:$A$976,$A54)</f>
        <v>0.74120781333149466</v>
      </c>
      <c r="J54" s="17">
        <f>('02_지표정의'!$C$22*H54+'02_지표정의'!$C$23*I54)/('02_지표정의'!$C$22+'02_지표정의'!$C$23)</f>
        <v>0.60218144230707316</v>
      </c>
      <c r="K54" s="5" t="str">
        <f t="shared" si="6"/>
        <v>보고서</v>
      </c>
      <c r="L54" s="31">
        <f t="shared" si="7"/>
        <v>25</v>
      </c>
      <c r="M54" s="31">
        <f t="shared" si="8"/>
        <v>55</v>
      </c>
      <c r="N54" s="31">
        <f t="shared" si="9"/>
        <v>14</v>
      </c>
      <c r="O54" s="31">
        <f t="shared" si="10"/>
        <v>11.5</v>
      </c>
      <c r="P54" s="31">
        <f t="shared" si="11"/>
        <v>38</v>
      </c>
    </row>
    <row r="55" spans="1:16">
      <c r="A55" s="15" t="s">
        <v>173</v>
      </c>
      <c r="B55" s="17">
        <f>AVERAGEIFS('01_원자료'!$S$2:$S$976,'01_원자료'!$A$2:$A$976,$A55)</f>
        <v>0.61748510840631665</v>
      </c>
      <c r="C55" s="17">
        <f>AVERAGEIFS('01_원자료'!$O$2:$O$976,'01_원자료'!$A$2:$A$976,$A55)</f>
        <v>1</v>
      </c>
      <c r="D55" s="17">
        <f>SQRT(SUMPRODUCT(('01_원자료'!$A$2:$A$976=$A55)*('01_원자료'!$O$2:$O$976-$C55)^2)/14)</f>
        <v>0</v>
      </c>
      <c r="E55" s="56">
        <v>1026</v>
      </c>
      <c r="F55" s="16">
        <v>1</v>
      </c>
      <c r="G55" s="16">
        <v>0</v>
      </c>
      <c r="H55" s="17">
        <f>AVERAGEIFS('01_원자료'!$P$2:$P$976,'01_원자료'!$A$2:$A$976,$A55)</f>
        <v>0.251492013302345</v>
      </c>
      <c r="I55" s="17">
        <f>AVERAGEIFS('01_원자료'!$Q$2:$Q$976,'01_원자료'!$A$2:$A$976,$A55)</f>
        <v>0.75948100455090262</v>
      </c>
      <c r="J55" s="17">
        <f>('02_지표정의'!$C$22*H55+'02_지표정의'!$C$23*I55)/('02_지표정의'!$C$22+'02_지표정의'!$C$23)</f>
        <v>0.60317669955134634</v>
      </c>
      <c r="K55" s="5" t="str">
        <f t="shared" si="6"/>
        <v>보고서</v>
      </c>
      <c r="L55" s="31">
        <f t="shared" si="7"/>
        <v>29</v>
      </c>
      <c r="M55" s="31">
        <f t="shared" si="8"/>
        <v>15.5</v>
      </c>
      <c r="N55" s="31">
        <f t="shared" si="9"/>
        <v>63</v>
      </c>
      <c r="O55" s="31">
        <f t="shared" si="10"/>
        <v>48</v>
      </c>
      <c r="P55" s="31">
        <f t="shared" si="11"/>
        <v>41</v>
      </c>
    </row>
    <row r="56" spans="1:16">
      <c r="A56" s="15" t="s">
        <v>174</v>
      </c>
      <c r="B56" s="17">
        <f>AVERAGEIFS('01_원자료'!$S$2:$S$976,'01_원자료'!$A$2:$A$976,$A56)</f>
        <v>0.63196430597032061</v>
      </c>
      <c r="C56" s="17">
        <f>AVERAGEIFS('01_원자료'!$O$2:$O$976,'01_원자료'!$A$2:$A$976,$A56)</f>
        <v>1</v>
      </c>
      <c r="D56" s="17">
        <f>SQRT(SUMPRODUCT(('01_원자료'!$A$2:$A$976=$A56)*('01_원자료'!$O$2:$O$976-$C56)^2)/14)</f>
        <v>0</v>
      </c>
      <c r="E56" s="56">
        <v>830.33333333333303</v>
      </c>
      <c r="F56" s="16">
        <v>1</v>
      </c>
      <c r="G56" s="16">
        <v>0</v>
      </c>
      <c r="H56" s="17">
        <f>AVERAGEIFS('01_원자료'!$P$2:$P$976,'01_원자료'!$A$2:$A$976,$A56)</f>
        <v>0.24852883366837722</v>
      </c>
      <c r="I56" s="17">
        <f>AVERAGEIFS('01_원자료'!$Q$2:$Q$976,'01_원자료'!$A$2:$A$976,$A56)</f>
        <v>0.74075795487590823</v>
      </c>
      <c r="J56" s="17">
        <f>('02_지표정의'!$C$22*H56+'02_지표정의'!$C$23*I56)/('02_지표정의'!$C$22+'02_지표정의'!$C$23)</f>
        <v>0.58930284065820637</v>
      </c>
      <c r="K56" s="5" t="str">
        <f t="shared" si="6"/>
        <v>보고서</v>
      </c>
      <c r="L56" s="31">
        <f t="shared" si="7"/>
        <v>46</v>
      </c>
      <c r="M56" s="31">
        <f t="shared" si="8"/>
        <v>15.5</v>
      </c>
      <c r="N56" s="31">
        <f t="shared" si="9"/>
        <v>25</v>
      </c>
      <c r="O56" s="31">
        <f t="shared" si="10"/>
        <v>48</v>
      </c>
      <c r="P56" s="31">
        <f t="shared" si="11"/>
        <v>14</v>
      </c>
    </row>
    <row r="57" spans="1:16">
      <c r="A57" s="15" t="s">
        <v>175</v>
      </c>
      <c r="B57" s="17">
        <f>AVERAGEIFS('01_원자료'!$S$2:$S$976,'01_원자료'!$A$2:$A$976,$A57)</f>
        <v>0.63289562029772095</v>
      </c>
      <c r="C57" s="17">
        <f>AVERAGEIFS('01_원자료'!$O$2:$O$976,'01_원자료'!$A$2:$A$976,$A57)</f>
        <v>1</v>
      </c>
      <c r="D57" s="17">
        <f>SQRT(SUMPRODUCT(('01_원자료'!$A$2:$A$976=$A57)*('01_원자료'!$O$2:$O$976-$C57)^2)/14)</f>
        <v>0</v>
      </c>
      <c r="E57" s="56">
        <v>743</v>
      </c>
      <c r="F57" s="16">
        <v>1</v>
      </c>
      <c r="G57" s="16">
        <v>0</v>
      </c>
      <c r="H57" s="17">
        <f>AVERAGEIFS('01_원자료'!$P$2:$P$976,'01_원자료'!$A$2:$A$976,$A57)</f>
        <v>0.27718028598652605</v>
      </c>
      <c r="I57" s="17">
        <f>AVERAGEIFS('01_원자료'!$Q$2:$Q$976,'01_원자료'!$A$2:$A$976,$A57)</f>
        <v>0.74741383481852586</v>
      </c>
      <c r="J57" s="17">
        <f>('02_지표정의'!$C$22*H57+'02_지표정의'!$C$23*I57)/('02_지표정의'!$C$22+'02_지표정의'!$C$23)</f>
        <v>0.6027265890240644</v>
      </c>
      <c r="K57" s="5" t="str">
        <f t="shared" si="6"/>
        <v>보고서</v>
      </c>
      <c r="L57" s="31">
        <f t="shared" si="7"/>
        <v>47</v>
      </c>
      <c r="M57" s="31">
        <f t="shared" si="8"/>
        <v>15.5</v>
      </c>
      <c r="N57" s="31">
        <f t="shared" si="9"/>
        <v>4</v>
      </c>
      <c r="O57" s="31">
        <f t="shared" si="10"/>
        <v>48</v>
      </c>
      <c r="P57" s="31">
        <f t="shared" si="11"/>
        <v>40</v>
      </c>
    </row>
    <row r="58" spans="1:16">
      <c r="A58" s="15" t="s">
        <v>176</v>
      </c>
      <c r="B58" s="17">
        <f>AVERAGEIFS('01_원자료'!$S$2:$S$976,'01_원자료'!$A$2:$A$976,$A58)</f>
        <v>0.62669076617666686</v>
      </c>
      <c r="C58" s="17">
        <f>AVERAGEIFS('01_원자료'!$O$2:$O$976,'01_원자료'!$A$2:$A$976,$A58)</f>
        <v>1</v>
      </c>
      <c r="D58" s="17">
        <f>SQRT(SUMPRODUCT(('01_원자료'!$A$2:$A$976=$A58)*('01_원자료'!$O$2:$O$976-$C58)^2)/14)</f>
        <v>0</v>
      </c>
      <c r="E58" s="56">
        <v>1045.3333333333301</v>
      </c>
      <c r="F58" s="16">
        <v>1</v>
      </c>
      <c r="G58" s="16">
        <v>0</v>
      </c>
      <c r="H58" s="17">
        <f>AVERAGEIFS('01_원자료'!$P$2:$P$976,'01_원자료'!$A$2:$A$976,$A58)</f>
        <v>0.24075829929103801</v>
      </c>
      <c r="I58" s="17">
        <f>AVERAGEIFS('01_원자료'!$Q$2:$Q$976,'01_원자료'!$A$2:$A$976,$A58)</f>
        <v>0.74119808575549784</v>
      </c>
      <c r="J58" s="17">
        <f>('02_지표정의'!$C$22*H58+'02_지표정의'!$C$23*I58)/('02_지표정의'!$C$22+'02_지표정의'!$C$23)</f>
        <v>0.58721661299720251</v>
      </c>
      <c r="K58" s="5" t="str">
        <f t="shared" si="6"/>
        <v>보고서</v>
      </c>
      <c r="L58" s="31">
        <f t="shared" si="7"/>
        <v>39</v>
      </c>
      <c r="M58" s="31">
        <f t="shared" si="8"/>
        <v>15.5</v>
      </c>
      <c r="N58" s="31">
        <f t="shared" si="9"/>
        <v>64</v>
      </c>
      <c r="O58" s="31">
        <f t="shared" si="10"/>
        <v>48</v>
      </c>
      <c r="P58" s="31">
        <f t="shared" si="11"/>
        <v>10</v>
      </c>
    </row>
    <row r="59" spans="1:16">
      <c r="A59" s="15" t="s">
        <v>177</v>
      </c>
      <c r="B59" s="17">
        <f>AVERAGEIFS('01_원자료'!$S$2:$S$976,'01_원자료'!$A$2:$A$976,$A59)</f>
        <v>0.59648836236733849</v>
      </c>
      <c r="C59" s="17">
        <f>AVERAGEIFS('01_원자료'!$O$2:$O$976,'01_원자료'!$A$2:$A$976,$A59)</f>
        <v>0.81859649122806988</v>
      </c>
      <c r="D59" s="17">
        <f>SQRT(SUMPRODUCT(('01_원자료'!$A$2:$A$976=$A59)*('01_원자료'!$O$2:$O$976-$C59)^2)/14)</f>
        <v>0.21609062670557147</v>
      </c>
      <c r="E59" s="56">
        <v>942.66666666666697</v>
      </c>
      <c r="F59" s="16">
        <v>0.68530701754386003</v>
      </c>
      <c r="G59" s="16">
        <v>0.20826118325901999</v>
      </c>
      <c r="H59" s="17">
        <f>AVERAGEIFS('01_원자료'!$P$2:$P$976,'01_원자료'!$A$2:$A$976,$A59)</f>
        <v>0.30938572811480769</v>
      </c>
      <c r="I59" s="17">
        <f>AVERAGEIFS('01_원자료'!$Q$2:$Q$976,'01_원자료'!$A$2:$A$976,$A59)</f>
        <v>0.73546898782644621</v>
      </c>
      <c r="J59" s="17">
        <f>('02_지표정의'!$C$22*H59+'02_지표정의'!$C$23*I59)/('02_지표정의'!$C$22+'02_지표정의'!$C$23)</f>
        <v>0.60436644637671122</v>
      </c>
      <c r="K59" s="5" t="str">
        <f t="shared" si="6"/>
        <v>보고서</v>
      </c>
      <c r="L59" s="31">
        <f t="shared" si="7"/>
        <v>13</v>
      </c>
      <c r="M59" s="31">
        <f t="shared" si="8"/>
        <v>48</v>
      </c>
      <c r="N59" s="31">
        <f t="shared" si="9"/>
        <v>49</v>
      </c>
      <c r="O59" s="31">
        <f t="shared" si="10"/>
        <v>21</v>
      </c>
      <c r="P59" s="31">
        <f t="shared" si="11"/>
        <v>45</v>
      </c>
    </row>
    <row r="60" spans="1:16">
      <c r="A60" s="15" t="s">
        <v>178</v>
      </c>
      <c r="B60" s="17">
        <f>AVERAGEIFS('01_원자료'!$S$2:$S$976,'01_원자료'!$A$2:$A$976,$A60)</f>
        <v>0.65101721971000137</v>
      </c>
      <c r="C60" s="17">
        <f>AVERAGEIFS('01_원자료'!$O$2:$O$976,'01_원자료'!$A$2:$A$976,$A60)</f>
        <v>1</v>
      </c>
      <c r="D60" s="17">
        <f>SQRT(SUMPRODUCT(('01_원자료'!$A$2:$A$976=$A60)*('01_원자료'!$O$2:$O$976-$C60)^2)/14)</f>
        <v>0</v>
      </c>
      <c r="E60" s="56">
        <v>789.66666666666697</v>
      </c>
      <c r="F60" s="16">
        <v>1</v>
      </c>
      <c r="G60" s="16">
        <v>0</v>
      </c>
      <c r="H60" s="17">
        <f>AVERAGEIFS('01_원자료'!$P$2:$P$976,'01_원자료'!$A$2:$A$976,$A60)</f>
        <v>0.30763584640073627</v>
      </c>
      <c r="I60" s="17">
        <f>AVERAGEIFS('01_원자료'!$Q$2:$Q$976,'01_원자료'!$A$2:$A$976,$A60)</f>
        <v>0.7589219888690677</v>
      </c>
      <c r="J60" s="17">
        <f>('02_지표정의'!$C$22*H60+'02_지표정의'!$C$23*I60)/('02_지표정의'!$C$22+'02_지표정의'!$C$23)</f>
        <v>0.62006471426342724</v>
      </c>
      <c r="K60" s="5" t="str">
        <f t="shared" si="6"/>
        <v>보고서</v>
      </c>
      <c r="L60" s="31">
        <f t="shared" si="7"/>
        <v>61</v>
      </c>
      <c r="M60" s="31">
        <f t="shared" si="8"/>
        <v>15.5</v>
      </c>
      <c r="N60" s="31">
        <f t="shared" si="9"/>
        <v>12</v>
      </c>
      <c r="O60" s="31">
        <f t="shared" si="10"/>
        <v>48</v>
      </c>
      <c r="P60" s="31">
        <f t="shared" si="11"/>
        <v>62</v>
      </c>
    </row>
    <row r="61" spans="1:16">
      <c r="A61" s="15" t="s">
        <v>179</v>
      </c>
      <c r="B61" s="17">
        <f>AVERAGEIFS('01_원자료'!$S$2:$S$976,'01_원자료'!$A$2:$A$976,$A61)</f>
        <v>0.55198664104283635</v>
      </c>
      <c r="C61" s="17">
        <f>AVERAGEIFS('01_원자료'!$O$2:$O$976,'01_원자료'!$A$2:$A$976,$A61)</f>
        <v>0.67368421052631566</v>
      </c>
      <c r="D61" s="17">
        <f>SQRT(SUMPRODUCT(('01_원자료'!$A$2:$A$976=$A61)*('01_원자료'!$O$2:$O$976-$C61)^2)/14)</f>
        <v>0.40534614910418149</v>
      </c>
      <c r="E61" s="56">
        <v>976.33333333333303</v>
      </c>
      <c r="F61" s="16">
        <v>0.68421052631579005</v>
      </c>
      <c r="G61" s="16">
        <v>0.27348170645824399</v>
      </c>
      <c r="H61" s="17">
        <f>AVERAGEIFS('01_원자료'!$P$2:$P$976,'01_원자료'!$A$2:$A$976,$A61)</f>
        <v>0.24093919731914343</v>
      </c>
      <c r="I61" s="17">
        <f>AVERAGEIFS('01_원자료'!$Q$2:$Q$976,'01_원자료'!$A$2:$A$976,$A61)</f>
        <v>0.73539321961770765</v>
      </c>
      <c r="J61" s="17">
        <f>('02_지표정의'!$C$22*H61+'02_지표정의'!$C$23*I61)/('02_지표정의'!$C$22+'02_지표정의'!$C$23)</f>
        <v>0.58325352044891876</v>
      </c>
      <c r="K61" s="5" t="str">
        <f t="shared" si="6"/>
        <v>보고서</v>
      </c>
      <c r="L61" s="31">
        <f t="shared" si="7"/>
        <v>2</v>
      </c>
      <c r="M61" s="31">
        <f t="shared" si="8"/>
        <v>64</v>
      </c>
      <c r="N61" s="31">
        <f t="shared" si="9"/>
        <v>57</v>
      </c>
      <c r="O61" s="31">
        <f t="shared" si="10"/>
        <v>11.5</v>
      </c>
      <c r="P61" s="31">
        <f t="shared" si="11"/>
        <v>4</v>
      </c>
    </row>
    <row r="62" spans="1:16">
      <c r="A62" s="15" t="s">
        <v>180</v>
      </c>
      <c r="B62" s="17">
        <f>AVERAGEIFS('01_원자료'!$S$2:$S$976,'01_원자료'!$A$2:$A$976,$A62)</f>
        <v>0.62226060959893992</v>
      </c>
      <c r="C62" s="17">
        <f>AVERAGEIFS('01_원자료'!$O$2:$O$976,'01_원자료'!$A$2:$A$976,$A62)</f>
        <v>1</v>
      </c>
      <c r="D62" s="17">
        <f>SQRT(SUMPRODUCT(('01_원자료'!$A$2:$A$976=$A62)*('01_원자료'!$O$2:$O$976-$C62)^2)/14)</f>
        <v>0</v>
      </c>
      <c r="E62" s="56">
        <v>1014</v>
      </c>
      <c r="F62" s="16">
        <v>1</v>
      </c>
      <c r="G62" s="16">
        <v>0</v>
      </c>
      <c r="H62" s="17">
        <f>AVERAGEIFS('01_원자료'!$P$2:$P$976,'01_원자료'!$A$2:$A$976,$A62)</f>
        <v>0.24741206938530624</v>
      </c>
      <c r="I62" s="17">
        <f>AVERAGEIFS('01_원자료'!$Q$2:$Q$976,'01_원자료'!$A$2:$A$976,$A62)</f>
        <v>0.74420397135244798</v>
      </c>
      <c r="J62" s="17">
        <f>('02_지표정의'!$C$22*H62+'02_지표정의'!$C$23*I62)/('02_지표정의'!$C$22+'02_지표정의'!$C$23)</f>
        <v>0.59134492459332755</v>
      </c>
      <c r="K62" s="5" t="str">
        <f t="shared" si="6"/>
        <v>보고서</v>
      </c>
      <c r="L62" s="31">
        <f t="shared" si="7"/>
        <v>33</v>
      </c>
      <c r="M62" s="31">
        <f t="shared" si="8"/>
        <v>15.5</v>
      </c>
      <c r="N62" s="31">
        <f t="shared" si="9"/>
        <v>62</v>
      </c>
      <c r="O62" s="31">
        <f t="shared" si="10"/>
        <v>48</v>
      </c>
      <c r="P62" s="31">
        <f t="shared" si="11"/>
        <v>18</v>
      </c>
    </row>
    <row r="63" spans="1:16">
      <c r="A63" s="15" t="s">
        <v>181</v>
      </c>
      <c r="B63" s="17">
        <f>AVERAGEIFS('01_원자료'!$S$2:$S$976,'01_원자료'!$A$2:$A$976,$A63)</f>
        <v>0.63414830485344598</v>
      </c>
      <c r="C63" s="17">
        <f>AVERAGEIFS('01_원자료'!$O$2:$O$976,'01_원자료'!$A$2:$A$976,$A63)</f>
        <v>1</v>
      </c>
      <c r="D63" s="17">
        <f>SQRT(SUMPRODUCT(('01_원자료'!$A$2:$A$976=$A63)*('01_원자료'!$O$2:$O$976-$C63)^2)/14)</f>
        <v>0</v>
      </c>
      <c r="E63" s="56">
        <v>960.33333333333303</v>
      </c>
      <c r="F63" s="16">
        <v>1</v>
      </c>
      <c r="G63" s="16">
        <v>0</v>
      </c>
      <c r="H63" s="17">
        <f>AVERAGEIFS('01_원자료'!$P$2:$P$976,'01_원자료'!$A$2:$A$976,$A63)</f>
        <v>0.25641999360434548</v>
      </c>
      <c r="I63" s="17">
        <f>AVERAGEIFS('01_원자료'!$Q$2:$Q$976,'01_원자료'!$A$2:$A$976,$A63)</f>
        <v>0.74754258051680311</v>
      </c>
      <c r="J63" s="17">
        <f>('02_지표정의'!$C$22*H63+'02_지표정의'!$C$23*I63)/('02_지표정의'!$C$22+'02_지표정의'!$C$23)</f>
        <v>0.59642793838989305</v>
      </c>
      <c r="K63" s="5" t="str">
        <f t="shared" si="6"/>
        <v>보고서</v>
      </c>
      <c r="L63" s="31">
        <f t="shared" si="7"/>
        <v>49</v>
      </c>
      <c r="M63" s="31">
        <f t="shared" si="8"/>
        <v>15.5</v>
      </c>
      <c r="N63" s="31">
        <f t="shared" si="9"/>
        <v>56</v>
      </c>
      <c r="O63" s="31">
        <f t="shared" si="10"/>
        <v>48</v>
      </c>
      <c r="P63" s="31">
        <f t="shared" si="11"/>
        <v>28</v>
      </c>
    </row>
    <row r="64" spans="1:16">
      <c r="A64" s="15" t="s">
        <v>182</v>
      </c>
      <c r="B64" s="17">
        <f>AVERAGEIFS('01_원자료'!$S$2:$S$976,'01_원자료'!$A$2:$A$976,$A64)</f>
        <v>0.61879995419595202</v>
      </c>
      <c r="C64" s="17">
        <f>AVERAGEIFS('01_원자료'!$O$2:$O$976,'01_원자료'!$A$2:$A$976,$A64)</f>
        <v>1</v>
      </c>
      <c r="D64" s="17">
        <f>SQRT(SUMPRODUCT(('01_원자료'!$A$2:$A$976=$A64)*('01_원자료'!$O$2:$O$976-$C64)^2)/14)</f>
        <v>0</v>
      </c>
      <c r="E64" s="56">
        <v>1074.3333333333301</v>
      </c>
      <c r="F64" s="16">
        <v>1</v>
      </c>
      <c r="G64" s="16">
        <v>0</v>
      </c>
      <c r="H64" s="17">
        <f>AVERAGEIFS('01_원자료'!$P$2:$P$976,'01_원자료'!$A$2:$A$976,$A64)</f>
        <v>0.24155409847355488</v>
      </c>
      <c r="I64" s="17">
        <f>AVERAGEIFS('01_원자료'!$Q$2:$Q$976,'01_원자료'!$A$2:$A$976,$A64)</f>
        <v>0.74212966286101711</v>
      </c>
      <c r="J64" s="17">
        <f>('02_지표정의'!$C$22*H64+'02_지표정의'!$C$23*I64)/('02_지표정의'!$C$22+'02_지표정의'!$C$23)</f>
        <v>0.58810641228025939</v>
      </c>
      <c r="K64" s="5" t="str">
        <f t="shared" si="6"/>
        <v>보고서</v>
      </c>
      <c r="L64" s="31">
        <f t="shared" si="7"/>
        <v>30</v>
      </c>
      <c r="M64" s="31">
        <f t="shared" si="8"/>
        <v>15.5</v>
      </c>
      <c r="N64" s="31">
        <f t="shared" si="9"/>
        <v>65</v>
      </c>
      <c r="O64" s="31">
        <f t="shared" si="10"/>
        <v>48</v>
      </c>
      <c r="P64" s="31">
        <f t="shared" si="11"/>
        <v>11</v>
      </c>
    </row>
    <row r="65" spans="1:16">
      <c r="A65" s="15" t="s">
        <v>183</v>
      </c>
      <c r="B65" s="17">
        <f>AVERAGEIFS('01_원자료'!$S$2:$S$976,'01_원자료'!$A$2:$A$976,$A65)</f>
        <v>0.59645974942993663</v>
      </c>
      <c r="C65" s="17">
        <f>AVERAGEIFS('01_원자료'!$O$2:$O$976,'01_원자료'!$A$2:$A$976,$A65)</f>
        <v>0.84210526315789447</v>
      </c>
      <c r="D65" s="17">
        <f>SQRT(SUMPRODUCT(('01_원자료'!$A$2:$A$976=$A65)*('01_원자료'!$O$2:$O$976-$C65)^2)/14)</f>
        <v>0.23113422780360013</v>
      </c>
      <c r="E65" s="56">
        <v>874.33333333333303</v>
      </c>
      <c r="F65" s="16">
        <v>0.68421052631579005</v>
      </c>
      <c r="G65" s="16">
        <v>0.27348170645824399</v>
      </c>
      <c r="H65" s="17">
        <f>AVERAGEIFS('01_원자료'!$P$2:$P$976,'01_원자료'!$A$2:$A$976,$A65)</f>
        <v>0.24862190668694689</v>
      </c>
      <c r="I65" s="17">
        <f>AVERAGEIFS('01_원자료'!$Q$2:$Q$976,'01_원자료'!$A$2:$A$976,$A65)</f>
        <v>0.74128065143468702</v>
      </c>
      <c r="J65" s="17">
        <f>('02_지표정의'!$C$22*H65+'02_지표정의'!$C$23*I65)/('02_지표정의'!$C$22+'02_지표정의'!$C$23)</f>
        <v>0.5896933453584593</v>
      </c>
      <c r="K65" s="5" t="str">
        <f t="shared" si="6"/>
        <v>보고서</v>
      </c>
      <c r="L65" s="31">
        <f t="shared" si="7"/>
        <v>12</v>
      </c>
      <c r="M65" s="31">
        <f t="shared" si="8"/>
        <v>55</v>
      </c>
      <c r="N65" s="31">
        <f t="shared" si="9"/>
        <v>31</v>
      </c>
      <c r="O65" s="31">
        <f t="shared" si="10"/>
        <v>11.5</v>
      </c>
      <c r="P65" s="31">
        <f t="shared" si="11"/>
        <v>16</v>
      </c>
    </row>
    <row r="66" spans="1:16">
      <c r="A66" s="15" t="s">
        <v>184</v>
      </c>
      <c r="B66" s="17">
        <f>AVERAGEIFS('01_원자료'!$S$2:$S$976,'01_원자료'!$A$2:$A$976,$A66)</f>
        <v>0.64405276467468509</v>
      </c>
      <c r="C66" s="17">
        <f>AVERAGEIFS('01_원자료'!$O$2:$O$976,'01_원자료'!$A$2:$A$976,$A66)</f>
        <v>1</v>
      </c>
      <c r="D66" s="17">
        <f>SQRT(SUMPRODUCT(('01_원자료'!$A$2:$A$976=$A66)*('01_원자료'!$O$2:$O$976-$C66)^2)/14)</f>
        <v>0</v>
      </c>
      <c r="E66" s="56">
        <v>779.33333333333303</v>
      </c>
      <c r="F66" s="16">
        <v>1</v>
      </c>
      <c r="G66" s="16">
        <v>0</v>
      </c>
      <c r="H66" s="17">
        <f>AVERAGEIFS('01_원자료'!$P$2:$P$976,'01_원자료'!$A$2:$A$976,$A66)</f>
        <v>0.29952272726189139</v>
      </c>
      <c r="I66" s="17">
        <f>AVERAGEIFS('01_원자료'!$Q$2:$Q$976,'01_원자료'!$A$2:$A$976,$A66)</f>
        <v>0.74254446532018437</v>
      </c>
      <c r="J66" s="17">
        <f>('02_지표정의'!$C$22*H66+'02_지표정의'!$C$23*I66)/('02_지표정의'!$C$22+'02_지표정의'!$C$23)</f>
        <v>0.60623008437917114</v>
      </c>
      <c r="K66" s="5" t="str">
        <f t="shared" si="6"/>
        <v>보고서</v>
      </c>
      <c r="L66" s="31">
        <f t="shared" si="7"/>
        <v>56</v>
      </c>
      <c r="M66" s="31">
        <f t="shared" si="8"/>
        <v>15.5</v>
      </c>
      <c r="N66" s="31">
        <f t="shared" si="9"/>
        <v>10</v>
      </c>
      <c r="O66" s="31">
        <f t="shared" si="10"/>
        <v>48</v>
      </c>
      <c r="P66" s="31">
        <f t="shared" si="11"/>
        <v>46</v>
      </c>
    </row>
    <row r="67" spans="1:16">
      <c r="A67" s="15" t="s">
        <v>185</v>
      </c>
      <c r="B67" s="17">
        <f>AVERAGEIFS('01_원자료'!$S$2:$S$976,'01_원자료'!$A$2:$A$976,$A67)</f>
        <v>0.61507461565100918</v>
      </c>
      <c r="C67" s="17">
        <f>AVERAGEIFS('01_원자료'!$O$2:$O$976,'01_원자료'!$A$2:$A$976,$A67)</f>
        <v>0.93684210526315792</v>
      </c>
      <c r="D67" s="17">
        <f>SQRT(SUMPRODUCT(('01_원자료'!$A$2:$A$976=$A67)*('01_원자료'!$O$2:$O$976-$C67)^2)/14)</f>
        <v>0.13074926387539318</v>
      </c>
      <c r="E67" s="56">
        <v>834.33333333333303</v>
      </c>
      <c r="F67" s="16">
        <v>1</v>
      </c>
      <c r="G67" s="16">
        <v>0</v>
      </c>
      <c r="H67" s="17">
        <f>AVERAGEIFS('01_원자료'!$P$2:$P$976,'01_원자료'!$A$2:$A$976,$A67)</f>
        <v>0.26248150031440565</v>
      </c>
      <c r="I67" s="17">
        <f>AVERAGEIFS('01_원자료'!$Q$2:$Q$976,'01_원자료'!$A$2:$A$976,$A67)</f>
        <v>0.73466422310576751</v>
      </c>
      <c r="J67" s="17">
        <f>('02_지표정의'!$C$22*H67+'02_지표정의'!$C$23*I67)/('02_지표정의'!$C$22+'02_지표정의'!$C$23)</f>
        <v>0.58937723147765619</v>
      </c>
      <c r="K67" s="5" t="str">
        <f t="shared" si="6"/>
        <v>보고서</v>
      </c>
      <c r="L67" s="31">
        <f t="shared" si="7"/>
        <v>27</v>
      </c>
      <c r="M67" s="31">
        <f t="shared" si="8"/>
        <v>32.5</v>
      </c>
      <c r="N67" s="31">
        <f t="shared" si="9"/>
        <v>26</v>
      </c>
      <c r="O67" s="31">
        <f t="shared" si="10"/>
        <v>48</v>
      </c>
      <c r="P67" s="31">
        <f t="shared" si="11"/>
        <v>15</v>
      </c>
    </row>
    <row r="68" spans="1:16">
      <c r="A68" s="15" t="s">
        <v>186</v>
      </c>
      <c r="B68" s="17">
        <f>AVERAGEIFS('01_원자료'!$S$2:$S$976,'01_원자료'!$A$2:$A$976,$A68)</f>
        <v>0.60889575563148102</v>
      </c>
      <c r="C68" s="17">
        <f>AVERAGEIFS('01_원자료'!$O$2:$O$976,'01_원자료'!$A$2:$A$976,$A68)</f>
        <v>0.86947368421052618</v>
      </c>
      <c r="D68" s="17">
        <f>SQRT(SUMPRODUCT(('01_원자료'!$A$2:$A$976=$A68)*('01_원자료'!$O$2:$O$976-$C68)^2)/14)</f>
        <v>0.19110823772903848</v>
      </c>
      <c r="E68" s="56">
        <v>815.66666666666697</v>
      </c>
      <c r="F68" s="16">
        <v>0.74210526315789505</v>
      </c>
      <c r="G68" s="16">
        <v>0.223482881532233</v>
      </c>
      <c r="H68" s="17">
        <f>AVERAGEIFS('01_원자료'!$P$2:$P$976,'01_원자료'!$A$2:$A$976,$A68)</f>
        <v>0.29026610838203126</v>
      </c>
      <c r="I68" s="17">
        <f>AVERAGEIFS('01_원자료'!$Q$2:$Q$976,'01_원자료'!$A$2:$A$976,$A68)</f>
        <v>0.7375645516016136</v>
      </c>
      <c r="J68" s="17">
        <f>('02_지표정의'!$C$22*H68+'02_지표정의'!$C$23*I68)/('02_지표정의'!$C$22+'02_지표정의'!$C$23)</f>
        <v>0.59993426138020367</v>
      </c>
      <c r="K68" s="5" t="str">
        <f t="shared" si="6"/>
        <v>보고서</v>
      </c>
      <c r="L68" s="31">
        <f t="shared" si="7"/>
        <v>22</v>
      </c>
      <c r="M68" s="31">
        <f t="shared" si="8"/>
        <v>38.5</v>
      </c>
      <c r="N68" s="31">
        <f t="shared" si="9"/>
        <v>19</v>
      </c>
      <c r="O68" s="31">
        <f t="shared" si="10"/>
        <v>25</v>
      </c>
      <c r="P68" s="31">
        <f t="shared" si="11"/>
        <v>36</v>
      </c>
    </row>
    <row r="69" spans="1:16">
      <c r="A69" s="15" t="s">
        <v>187</v>
      </c>
      <c r="B69" s="17">
        <f>AVERAGEIFS('01_원자료'!$S$2:$S$976,'01_원자료'!$A$2:$A$976,$A69)</f>
        <v>0.60169584010639265</v>
      </c>
      <c r="C69" s="17">
        <f>AVERAGEIFS('01_원자료'!$O$2:$O$976,'01_원자료'!$A$2:$A$976,$A69)</f>
        <v>0.81052631578947354</v>
      </c>
      <c r="D69" s="17">
        <f>SQRT(SUMPRODUCT(('01_원자료'!$A$2:$A$976=$A69)*('01_원자료'!$O$2:$O$976-$C69)^2)/14)</f>
        <v>0.24020173555442068</v>
      </c>
      <c r="E69" s="56">
        <v>983.66666666666697</v>
      </c>
      <c r="F69" s="16">
        <v>0.68421052631579005</v>
      </c>
      <c r="G69" s="16">
        <v>0.27348170645824399</v>
      </c>
      <c r="H69" s="17">
        <f>AVERAGEIFS('01_원자료'!$P$2:$P$976,'01_원자료'!$A$2:$A$976,$A69)</f>
        <v>0.26154797024740045</v>
      </c>
      <c r="I69" s="17">
        <f>AVERAGEIFS('01_원자료'!$Q$2:$Q$976,'01_원자료'!$A$2:$A$976,$A69)</f>
        <v>0.73631411756805865</v>
      </c>
      <c r="J69" s="17">
        <f>('02_지표정의'!$C$22*H69+'02_지표정의'!$C$23*I69)/('02_지표정의'!$C$22+'02_지표정의'!$C$23)</f>
        <v>0.59023222608477921</v>
      </c>
      <c r="K69" s="5" t="str">
        <f t="shared" si="6"/>
        <v>보고서</v>
      </c>
      <c r="L69" s="31">
        <f t="shared" si="7"/>
        <v>15</v>
      </c>
      <c r="M69" s="31">
        <f t="shared" si="8"/>
        <v>62.5</v>
      </c>
      <c r="N69" s="31">
        <f t="shared" si="9"/>
        <v>59</v>
      </c>
      <c r="O69" s="31">
        <f t="shared" si="10"/>
        <v>11.5</v>
      </c>
      <c r="P69" s="31">
        <f t="shared" si="11"/>
        <v>17</v>
      </c>
    </row>
    <row r="72" spans="1:16">
      <c r="A72" s="3" t="s">
        <v>539</v>
      </c>
    </row>
    <row r="73" spans="1:16">
      <c r="A73" s="11" t="s">
        <v>540</v>
      </c>
    </row>
    <row r="74" spans="1:16">
      <c r="A74" s="11" t="s">
        <v>541</v>
      </c>
    </row>
    <row r="75" spans="1:16">
      <c r="A75" s="11" t="s">
        <v>542</v>
      </c>
    </row>
    <row r="76" spans="1:16">
      <c r="A76" s="2" t="s">
        <v>543</v>
      </c>
    </row>
    <row r="78" spans="1:16">
      <c r="A78" s="3" t="s">
        <v>544</v>
      </c>
    </row>
    <row r="79" spans="1:16">
      <c r="A79" s="10" t="s">
        <v>487</v>
      </c>
      <c r="B79" s="14" t="s">
        <v>329</v>
      </c>
      <c r="C79" s="10" t="s">
        <v>488</v>
      </c>
      <c r="D79" s="10" t="s">
        <v>489</v>
      </c>
      <c r="E79" s="14" t="s">
        <v>447</v>
      </c>
      <c r="F79" s="14" t="s">
        <v>448</v>
      </c>
      <c r="G79" s="14" t="s">
        <v>295</v>
      </c>
    </row>
    <row r="80" spans="1:16">
      <c r="A80" s="4" t="s">
        <v>515</v>
      </c>
      <c r="B80" s="33">
        <f>COUNTIF($K$5:$K$69,"특허")</f>
        <v>31</v>
      </c>
      <c r="C80" s="28">
        <f>AVERAGEIFS($B$5:$B$69,$K$5:$K$69,"특허")</f>
        <v>0.61923352823293742</v>
      </c>
      <c r="D80" s="33">
        <f>SUMPRODUCT(($K$5:$K$69="특허")*(COUNTIF($B$5:$B$69,"&lt;"&amp;$B$5:$B$69)+1))</f>
        <v>1080</v>
      </c>
      <c r="E80" s="13">
        <f>D80-B80*(B80+1)/2</f>
        <v>584</v>
      </c>
      <c r="F80" s="34">
        <f>(E80-B80*B81/2)/SQRT(B80*B81*(B80+B81+1)/12)</f>
        <v>0.74864030621546929</v>
      </c>
      <c r="G80" s="40">
        <f>2*(1-NORMSDIST(ABS(F80)))</f>
        <v>0.45407403158251913</v>
      </c>
    </row>
    <row r="81" spans="1:3">
      <c r="A81" s="4" t="s">
        <v>516</v>
      </c>
      <c r="B81" s="33">
        <f>COUNTIF($K$5:$K$69,"보고서")</f>
        <v>34</v>
      </c>
      <c r="C81" s="28">
        <f>AVERAGEIFS($B$5:$B$69,$K$5:$K$69,"보고서")</f>
        <v>0.61715909088109921</v>
      </c>
    </row>
    <row r="83" spans="1:3">
      <c r="A83" s="2" t="s">
        <v>545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10"/>
  <sheetViews>
    <sheetView zoomScaleNormal="100" workbookViewId="0"/>
  </sheetViews>
  <sheetFormatPr defaultColWidth="8.6640625" defaultRowHeight="14.4"/>
  <cols>
    <col min="1" max="1" width="26" customWidth="1"/>
    <col min="2" max="5" width="15" customWidth="1"/>
    <col min="6" max="9" width="14" customWidth="1"/>
  </cols>
  <sheetData>
    <row r="1" spans="1:9" ht="17.399999999999999">
      <c r="A1" s="21" t="s">
        <v>546</v>
      </c>
    </row>
    <row r="2" spans="1:9">
      <c r="A2" s="2" t="s">
        <v>547</v>
      </c>
    </row>
    <row r="4" spans="1:9" ht="26.4">
      <c r="A4" s="14" t="s">
        <v>87</v>
      </c>
      <c r="B4" s="14" t="s">
        <v>548</v>
      </c>
      <c r="C4" s="14" t="s">
        <v>549</v>
      </c>
      <c r="D4" s="10" t="s">
        <v>550</v>
      </c>
      <c r="E4" s="14" t="s">
        <v>551</v>
      </c>
      <c r="F4" s="14" t="s">
        <v>552</v>
      </c>
      <c r="G4" s="14" t="s">
        <v>553</v>
      </c>
      <c r="H4" s="14" t="s">
        <v>554</v>
      </c>
      <c r="I4" s="14" t="s">
        <v>555</v>
      </c>
    </row>
    <row r="5" spans="1:9">
      <c r="A5" s="2" t="str">
        <f>'11_문서단위'!A5</f>
        <v>PAT-01</v>
      </c>
      <c r="B5" s="33">
        <v>1</v>
      </c>
      <c r="C5" s="17">
        <f>'11_문서단위'!D5</f>
        <v>0</v>
      </c>
      <c r="D5" s="17">
        <f>'11_문서단위'!E5</f>
        <v>926.33333333333303</v>
      </c>
      <c r="E5" s="17">
        <f>'11_문서단위'!B5</f>
        <v>0.61271229246027659</v>
      </c>
      <c r="F5" s="17">
        <f t="shared" ref="F5:F36" si="0">$B5*$B$89+$C5*$B$90+$D5*$B$91</f>
        <v>0.63572601834072251</v>
      </c>
      <c r="G5" s="17">
        <f t="shared" ref="G5:G36" si="1">E5-F5</f>
        <v>-2.3013725880445923E-2</v>
      </c>
      <c r="H5" s="57">
        <f t="shared" ref="H5:H36" si="2">SUMPRODUCT(MMULT(B5:D5,$B$79:$D$81),B5:D5)</f>
        <v>3.8983792313404958E-2</v>
      </c>
      <c r="I5" s="35">
        <f t="shared" ref="I5:I36" si="3">(G5/(1-H5))^2</f>
        <v>5.7347230264865288E-4</v>
      </c>
    </row>
    <row r="6" spans="1:9">
      <c r="A6" s="2" t="str">
        <f>'11_문서단위'!A6</f>
        <v>PAT-02</v>
      </c>
      <c r="B6" s="33">
        <v>1</v>
      </c>
      <c r="C6" s="17">
        <f>'11_문서단위'!D6</f>
        <v>0.1725905416105501</v>
      </c>
      <c r="D6" s="17">
        <f>'11_문서단위'!E6</f>
        <v>902.66666666666697</v>
      </c>
      <c r="E6" s="17">
        <f>'11_문서단위'!B6</f>
        <v>0.60442266366747366</v>
      </c>
      <c r="F6" s="17">
        <f t="shared" si="0"/>
        <v>0.60645338254670111</v>
      </c>
      <c r="G6" s="17">
        <f t="shared" si="1"/>
        <v>-2.0307188792274555E-3</v>
      </c>
      <c r="H6" s="57">
        <f t="shared" si="2"/>
        <v>2.0070125236407096E-2</v>
      </c>
      <c r="I6" s="35">
        <f t="shared" si="3"/>
        <v>4.2944704298319968E-6</v>
      </c>
    </row>
    <row r="7" spans="1:9">
      <c r="A7" s="2" t="str">
        <f>'11_문서단위'!A7</f>
        <v>PAT-03</v>
      </c>
      <c r="B7" s="33">
        <v>1</v>
      </c>
      <c r="C7" s="17">
        <f>'11_문서단위'!D7</f>
        <v>0.20384122874775892</v>
      </c>
      <c r="D7" s="17">
        <f>'11_문서단위'!E7</f>
        <v>821</v>
      </c>
      <c r="E7" s="17">
        <f>'11_문서단위'!B7</f>
        <v>0.59479696156019812</v>
      </c>
      <c r="F7" s="17">
        <f t="shared" si="0"/>
        <v>0.60605461768135838</v>
      </c>
      <c r="G7" s="17">
        <f t="shared" si="1"/>
        <v>-1.1257656121160253E-2</v>
      </c>
      <c r="H7" s="57">
        <f t="shared" si="2"/>
        <v>3.1360609583606328E-2</v>
      </c>
      <c r="I7" s="35">
        <f t="shared" si="3"/>
        <v>1.3507398258959388E-4</v>
      </c>
    </row>
    <row r="8" spans="1:9">
      <c r="A8" s="2" t="str">
        <f>'11_문서단위'!A8</f>
        <v>PAT-04</v>
      </c>
      <c r="B8" s="33">
        <v>1</v>
      </c>
      <c r="C8" s="17">
        <f>'11_문서단위'!D8</f>
        <v>0.19612389581309028</v>
      </c>
      <c r="D8" s="17">
        <f>'11_문서단위'!E8</f>
        <v>906.66666666666697</v>
      </c>
      <c r="E8" s="17">
        <f>'11_문서단위'!B8</f>
        <v>0.63572087556589341</v>
      </c>
      <c r="F8" s="17">
        <f t="shared" si="0"/>
        <v>0.60200416759175013</v>
      </c>
      <c r="G8" s="17">
        <f t="shared" si="1"/>
        <v>3.3716707974143278E-2</v>
      </c>
      <c r="H8" s="57">
        <f t="shared" si="2"/>
        <v>2.386152525292138E-2</v>
      </c>
      <c r="I8" s="35">
        <f t="shared" si="3"/>
        <v>1.1930742350653404E-3</v>
      </c>
    </row>
    <row r="9" spans="1:9">
      <c r="A9" s="2" t="str">
        <f>'11_문서단위'!A9</f>
        <v>PAT-05</v>
      </c>
      <c r="B9" s="33">
        <v>1</v>
      </c>
      <c r="C9" s="17">
        <f>'11_문서단위'!D9</f>
        <v>0.24020173555442068</v>
      </c>
      <c r="D9" s="17">
        <f>'11_문서단위'!E9</f>
        <v>899.66666666666697</v>
      </c>
      <c r="E9" s="17">
        <f>'11_문서단위'!B9</f>
        <v>0.5994649942881326</v>
      </c>
      <c r="F9" s="17">
        <f t="shared" si="0"/>
        <v>0.59458878111746361</v>
      </c>
      <c r="G9" s="17">
        <f t="shared" si="1"/>
        <v>4.8762131706689971E-3</v>
      </c>
      <c r="H9" s="57">
        <f t="shared" si="2"/>
        <v>3.3012595796805509E-2</v>
      </c>
      <c r="I9" s="35">
        <f t="shared" si="3"/>
        <v>2.5428675057868895E-5</v>
      </c>
    </row>
    <row r="10" spans="1:9">
      <c r="A10" s="2" t="str">
        <f>'11_문서단위'!A10</f>
        <v>PAT-06</v>
      </c>
      <c r="B10" s="33">
        <v>1</v>
      </c>
      <c r="C10" s="17">
        <f>'11_문서단위'!D10</f>
        <v>0.21148489335883749</v>
      </c>
      <c r="D10" s="17">
        <f>'11_문서단위'!E10</f>
        <v>885</v>
      </c>
      <c r="E10" s="17">
        <f>'11_문서단위'!B10</f>
        <v>0.60744564231236964</v>
      </c>
      <c r="F10" s="17">
        <f t="shared" si="0"/>
        <v>0.6006378385457154</v>
      </c>
      <c r="G10" s="17">
        <f t="shared" si="1"/>
        <v>6.8078037666542413E-3</v>
      </c>
      <c r="H10" s="57">
        <f t="shared" si="2"/>
        <v>2.5467648222354106E-2</v>
      </c>
      <c r="I10" s="35">
        <f t="shared" si="3"/>
        <v>4.8800192540002158E-5</v>
      </c>
    </row>
    <row r="11" spans="1:9">
      <c r="A11" s="2" t="str">
        <f>'11_문서단위'!A11</f>
        <v>PAT-07</v>
      </c>
      <c r="B11" s="33">
        <v>1</v>
      </c>
      <c r="C11" s="17">
        <f>'11_문서단위'!D11</f>
        <v>0</v>
      </c>
      <c r="D11" s="17">
        <f>'11_문서단위'!E11</f>
        <v>987.33333333333303</v>
      </c>
      <c r="E11" s="17">
        <f>'11_문서단위'!B11</f>
        <v>0.65144276654711553</v>
      </c>
      <c r="F11" s="17">
        <f t="shared" si="0"/>
        <v>0.63186208387329146</v>
      </c>
      <c r="G11" s="17">
        <f t="shared" si="1"/>
        <v>1.9580682673824068E-2</v>
      </c>
      <c r="H11" s="57">
        <f t="shared" si="2"/>
        <v>6.2447659201764205E-2</v>
      </c>
      <c r="I11" s="35">
        <f t="shared" si="3"/>
        <v>4.3617886051249184E-4</v>
      </c>
    </row>
    <row r="12" spans="1:9">
      <c r="A12" s="2" t="str">
        <f>'11_문서단위'!A12</f>
        <v>PAT-08</v>
      </c>
      <c r="B12" s="33">
        <v>1</v>
      </c>
      <c r="C12" s="17">
        <f>'11_문서단위'!D12</f>
        <v>0.19612389581309028</v>
      </c>
      <c r="D12" s="17">
        <f>'11_문서단위'!E12</f>
        <v>887.33333333333303</v>
      </c>
      <c r="E12" s="17">
        <f>'11_문서단위'!B12</f>
        <v>0.62957020694355159</v>
      </c>
      <c r="F12" s="17">
        <f t="shared" si="0"/>
        <v>0.60322880255956979</v>
      </c>
      <c r="G12" s="17">
        <f t="shared" si="1"/>
        <v>2.6341404383981804E-2</v>
      </c>
      <c r="H12" s="57">
        <f t="shared" si="2"/>
        <v>2.2532103620806196E-2</v>
      </c>
      <c r="I12" s="35">
        <f t="shared" si="3"/>
        <v>7.2622776051850079E-4</v>
      </c>
    </row>
    <row r="13" spans="1:9">
      <c r="A13" s="2" t="str">
        <f>'11_문서단위'!A13</f>
        <v>PAT-09</v>
      </c>
      <c r="B13" s="33">
        <v>1</v>
      </c>
      <c r="C13" s="17">
        <f>'11_문서단위'!D13</f>
        <v>0.23113422780360013</v>
      </c>
      <c r="D13" s="17">
        <f>'11_문서단위'!E13</f>
        <v>895.66666666666697</v>
      </c>
      <c r="E13" s="17">
        <f>'11_문서단위'!B13</f>
        <v>0.61060970423730809</v>
      </c>
      <c r="F13" s="17">
        <f t="shared" si="0"/>
        <v>0.59645883083648221</v>
      </c>
      <c r="G13" s="17">
        <f t="shared" si="1"/>
        <v>1.4150873400825881E-2</v>
      </c>
      <c r="H13" s="57">
        <f t="shared" si="2"/>
        <v>3.0392391474135298E-2</v>
      </c>
      <c r="I13" s="35">
        <f t="shared" si="3"/>
        <v>2.1299747826128938E-4</v>
      </c>
    </row>
    <row r="14" spans="1:9">
      <c r="A14" s="2" t="str">
        <f>'11_문서단위'!A14</f>
        <v>PAT-10</v>
      </c>
      <c r="B14" s="33">
        <v>1</v>
      </c>
      <c r="C14" s="17">
        <f>'11_문서단위'!D14</f>
        <v>0</v>
      </c>
      <c r="D14" s="17">
        <f>'11_문서단위'!E14</f>
        <v>774.66666666666697</v>
      </c>
      <c r="E14" s="17">
        <f>'11_문서단위'!B14</f>
        <v>0.64189413366999526</v>
      </c>
      <c r="F14" s="17">
        <f t="shared" si="0"/>
        <v>0.64533306851930772</v>
      </c>
      <c r="G14" s="17">
        <f t="shared" si="1"/>
        <v>-3.4389348493124583E-3</v>
      </c>
      <c r="H14" s="57">
        <f t="shared" si="2"/>
        <v>4.7531904632089922E-2</v>
      </c>
      <c r="I14" s="35">
        <f t="shared" si="3"/>
        <v>1.3036080154478111E-5</v>
      </c>
    </row>
    <row r="15" spans="1:9">
      <c r="A15" s="2" t="str">
        <f>'11_문서단위'!A15</f>
        <v>PAT-11</v>
      </c>
      <c r="B15" s="33">
        <v>1</v>
      </c>
      <c r="C15" s="17">
        <f>'11_문서단위'!D15</f>
        <v>0.19612389581309028</v>
      </c>
      <c r="D15" s="17">
        <f>'11_문서단위'!E15</f>
        <v>798</v>
      </c>
      <c r="E15" s="17">
        <f>'11_문서단위'!B15</f>
        <v>0.621552208003885</v>
      </c>
      <c r="F15" s="17">
        <f t="shared" si="0"/>
        <v>0.60888746068673649</v>
      </c>
      <c r="G15" s="17">
        <f t="shared" si="1"/>
        <v>1.2664747317148506E-2</v>
      </c>
      <c r="H15" s="57">
        <f t="shared" si="2"/>
        <v>3.6520175988411785E-2</v>
      </c>
      <c r="I15" s="35">
        <f t="shared" si="3"/>
        <v>1.7278570500455434E-4</v>
      </c>
    </row>
    <row r="16" spans="1:9">
      <c r="A16" s="2" t="str">
        <f>'11_문서단위'!A16</f>
        <v>PAT-12</v>
      </c>
      <c r="B16" s="33">
        <v>1</v>
      </c>
      <c r="C16" s="17">
        <f>'11_문서단위'!D16</f>
        <v>0</v>
      </c>
      <c r="D16" s="17">
        <f>'11_문서단위'!E16</f>
        <v>666.33333333333303</v>
      </c>
      <c r="E16" s="17">
        <f>'11_문서단위'!B16</f>
        <v>0.65887005092639805</v>
      </c>
      <c r="F16" s="17">
        <f t="shared" si="0"/>
        <v>0.65219524721829725</v>
      </c>
      <c r="G16" s="17">
        <f t="shared" si="1"/>
        <v>6.6748037081008071E-3</v>
      </c>
      <c r="H16" s="57">
        <f t="shared" si="2"/>
        <v>0.11204795802336948</v>
      </c>
      <c r="I16" s="35">
        <f t="shared" si="3"/>
        <v>5.6506443851522685E-5</v>
      </c>
    </row>
    <row r="17" spans="1:9">
      <c r="A17" s="2" t="str">
        <f>'11_문서단위'!A17</f>
        <v>PAT-13</v>
      </c>
      <c r="B17" s="33">
        <v>1</v>
      </c>
      <c r="C17" s="17">
        <f>'11_문서단위'!D17</f>
        <v>0</v>
      </c>
      <c r="D17" s="17">
        <f>'11_문서단위'!E17</f>
        <v>822</v>
      </c>
      <c r="E17" s="17">
        <f>'11_문서단위'!B17</f>
        <v>0.63943858012705557</v>
      </c>
      <c r="F17" s="17">
        <f t="shared" si="0"/>
        <v>0.64233482428774924</v>
      </c>
      <c r="G17" s="17">
        <f t="shared" si="1"/>
        <v>-2.8962441606936729E-3</v>
      </c>
      <c r="H17" s="57">
        <f t="shared" si="2"/>
        <v>3.4623107131550077E-2</v>
      </c>
      <c r="I17" s="35">
        <f t="shared" si="3"/>
        <v>9.0007053264637117E-6</v>
      </c>
    </row>
    <row r="18" spans="1:9">
      <c r="A18" s="2" t="str">
        <f>'11_문서단위'!A18</f>
        <v>PAT-14</v>
      </c>
      <c r="B18" s="33">
        <v>1</v>
      </c>
      <c r="C18" s="17">
        <f>'11_문서단위'!D18</f>
        <v>0.4227721779757822</v>
      </c>
      <c r="D18" s="17">
        <f>'11_문서단위'!E18</f>
        <v>792.66666666666697</v>
      </c>
      <c r="E18" s="17">
        <f>'11_문서단위'!B18</f>
        <v>0.48558985835392343</v>
      </c>
      <c r="F18" s="17">
        <f t="shared" si="0"/>
        <v>0.56881539367663092</v>
      </c>
      <c r="G18" s="17">
        <f t="shared" si="1"/>
        <v>-8.3225535322707489E-2</v>
      </c>
      <c r="H18" s="57">
        <f t="shared" si="2"/>
        <v>0.1446855644684327</v>
      </c>
      <c r="I18" s="35">
        <f t="shared" si="3"/>
        <v>9.4680728500082956E-3</v>
      </c>
    </row>
    <row r="19" spans="1:9">
      <c r="A19" s="2" t="str">
        <f>'11_문서단위'!A19</f>
        <v>PAT-15</v>
      </c>
      <c r="B19" s="33">
        <v>1</v>
      </c>
      <c r="C19" s="17">
        <f>'11_문서단위'!D19</f>
        <v>0</v>
      </c>
      <c r="D19" s="17">
        <f>'11_문서단위'!E19</f>
        <v>818.66666666666697</v>
      </c>
      <c r="E19" s="17">
        <f>'11_문서단위'!B19</f>
        <v>0.64052740119690621</v>
      </c>
      <c r="F19" s="17">
        <f t="shared" si="0"/>
        <v>0.64254596824771815</v>
      </c>
      <c r="G19" s="17">
        <f t="shared" si="1"/>
        <v>-2.0185670508119369E-3</v>
      </c>
      <c r="H19" s="57">
        <f t="shared" si="2"/>
        <v>3.5228029284501416E-2</v>
      </c>
      <c r="I19" s="35">
        <f t="shared" si="3"/>
        <v>4.377609365774434E-6</v>
      </c>
    </row>
    <row r="20" spans="1:9">
      <c r="A20" s="2" t="str">
        <f>'11_문서단위'!A20</f>
        <v>PAT-16</v>
      </c>
      <c r="B20" s="33">
        <v>1</v>
      </c>
      <c r="C20" s="17">
        <f>'11_문서단위'!D20</f>
        <v>0.23113422780360013</v>
      </c>
      <c r="D20" s="17">
        <f>'11_문서단위'!E20</f>
        <v>934.33333333333303</v>
      </c>
      <c r="E20" s="17">
        <f>'11_문서단위'!B20</f>
        <v>0.59382134477724402</v>
      </c>
      <c r="F20" s="17">
        <f t="shared" si="0"/>
        <v>0.594009560900843</v>
      </c>
      <c r="G20" s="17">
        <f t="shared" si="1"/>
        <v>-1.8821612359898321E-4</v>
      </c>
      <c r="H20" s="57">
        <f t="shared" si="2"/>
        <v>3.5470352683386358E-2</v>
      </c>
      <c r="I20" s="35">
        <f t="shared" si="3"/>
        <v>3.8078732740494679E-8</v>
      </c>
    </row>
    <row r="21" spans="1:9">
      <c r="A21" s="2" t="str">
        <f>'11_문서단위'!A21</f>
        <v>PAT-17</v>
      </c>
      <c r="B21" s="33">
        <v>1</v>
      </c>
      <c r="C21" s="17">
        <f>'11_문서단위'!D21</f>
        <v>0.21438275059439979</v>
      </c>
      <c r="D21" s="17">
        <f>'11_문서단위'!E21</f>
        <v>907.33333333333303</v>
      </c>
      <c r="E21" s="17">
        <f>'11_문서단위'!B21</f>
        <v>0.5939511809260658</v>
      </c>
      <c r="F21" s="17">
        <f t="shared" si="0"/>
        <v>0.59870650513695178</v>
      </c>
      <c r="G21" s="17">
        <f t="shared" si="1"/>
        <v>-4.7553242108859806E-3</v>
      </c>
      <c r="H21" s="57">
        <f t="shared" si="2"/>
        <v>2.7410305034339753E-2</v>
      </c>
      <c r="I21" s="35">
        <f t="shared" si="3"/>
        <v>2.3905670888944126E-5</v>
      </c>
    </row>
    <row r="22" spans="1:9">
      <c r="A22" s="2" t="str">
        <f>'11_문서단위'!A22</f>
        <v>PAT-18</v>
      </c>
      <c r="B22" s="33">
        <v>1</v>
      </c>
      <c r="C22" s="17">
        <f>'11_문서단위'!D22</f>
        <v>0</v>
      </c>
      <c r="D22" s="17">
        <f>'11_문서단위'!E22</f>
        <v>887</v>
      </c>
      <c r="E22" s="17">
        <f>'11_문서단위'!B22</f>
        <v>0.64238970789599703</v>
      </c>
      <c r="F22" s="17">
        <f t="shared" si="0"/>
        <v>0.6382175170683555</v>
      </c>
      <c r="G22" s="17">
        <f t="shared" si="1"/>
        <v>4.1721908276415309E-3</v>
      </c>
      <c r="H22" s="57">
        <f t="shared" si="2"/>
        <v>3.2037973664365636E-2</v>
      </c>
      <c r="I22" s="35">
        <f t="shared" si="3"/>
        <v>1.8578544535239769E-5</v>
      </c>
    </row>
    <row r="23" spans="1:9">
      <c r="A23" s="2" t="str">
        <f>'11_문서단위'!A23</f>
        <v>PAT-19</v>
      </c>
      <c r="B23" s="33">
        <v>1</v>
      </c>
      <c r="C23" s="17">
        <f>'11_문서단위'!D23</f>
        <v>0.18964619116232062</v>
      </c>
      <c r="D23" s="17">
        <f>'11_문서단위'!E23</f>
        <v>957</v>
      </c>
      <c r="E23" s="17">
        <f>'11_문서단위'!B23</f>
        <v>0.59461603706533439</v>
      </c>
      <c r="F23" s="17">
        <f t="shared" si="0"/>
        <v>0.59997082591164497</v>
      </c>
      <c r="G23" s="17">
        <f t="shared" si="1"/>
        <v>-5.3547888463105764E-3</v>
      </c>
      <c r="H23" s="57">
        <f t="shared" si="2"/>
        <v>3.3656233647457803E-2</v>
      </c>
      <c r="I23" s="35">
        <f t="shared" si="3"/>
        <v>3.070586960181725E-5</v>
      </c>
    </row>
    <row r="24" spans="1:9">
      <c r="A24" s="2" t="str">
        <f>'11_문서단위'!A24</f>
        <v>PAT-20</v>
      </c>
      <c r="B24" s="33">
        <v>1</v>
      </c>
      <c r="C24" s="17">
        <f>'11_문서단위'!D24</f>
        <v>0</v>
      </c>
      <c r="D24" s="17">
        <f>'11_문서단위'!E24</f>
        <v>922.33333333333303</v>
      </c>
      <c r="E24" s="17">
        <f>'11_문서단위'!B24</f>
        <v>0.63131976742516516</v>
      </c>
      <c r="F24" s="17">
        <f t="shared" si="0"/>
        <v>0.6359793910926852</v>
      </c>
      <c r="G24" s="17">
        <f t="shared" si="1"/>
        <v>-4.6596236675200409E-3</v>
      </c>
      <c r="H24" s="57">
        <f t="shared" si="2"/>
        <v>3.7984349711629006E-2</v>
      </c>
      <c r="I24" s="35">
        <f t="shared" si="3"/>
        <v>2.3460507922878472E-5</v>
      </c>
    </row>
    <row r="25" spans="1:9">
      <c r="A25" s="2" t="str">
        <f>'11_문서단위'!A25</f>
        <v>PAT-21</v>
      </c>
      <c r="B25" s="33">
        <v>1</v>
      </c>
      <c r="C25" s="17">
        <f>'11_문서단위'!D25</f>
        <v>0</v>
      </c>
      <c r="D25" s="17">
        <f>'11_문서단위'!E25</f>
        <v>872.66666666666697</v>
      </c>
      <c r="E25" s="17">
        <f>'11_문서단위'!B25</f>
        <v>0.63128016382674224</v>
      </c>
      <c r="F25" s="17">
        <f t="shared" si="0"/>
        <v>0.63912543609622186</v>
      </c>
      <c r="G25" s="17">
        <f t="shared" si="1"/>
        <v>-7.8452722694796195E-3</v>
      </c>
      <c r="H25" s="57">
        <f t="shared" si="2"/>
        <v>3.1102034843022208E-2</v>
      </c>
      <c r="I25" s="35">
        <f t="shared" si="3"/>
        <v>6.5563171412185087E-5</v>
      </c>
    </row>
    <row r="26" spans="1:9">
      <c r="A26" s="2" t="str">
        <f>'11_문서단위'!A26</f>
        <v>PAT-22</v>
      </c>
      <c r="B26" s="33">
        <v>1</v>
      </c>
      <c r="C26" s="17">
        <f>'11_문서단위'!D26</f>
        <v>0.13074926387539318</v>
      </c>
      <c r="D26" s="17">
        <f>'11_문서단위'!E26</f>
        <v>951.66666666666697</v>
      </c>
      <c r="E26" s="17">
        <f>'11_문서단위'!B26</f>
        <v>0.6140033879260367</v>
      </c>
      <c r="F26" s="17">
        <f t="shared" si="0"/>
        <v>0.61080959083643294</v>
      </c>
      <c r="G26" s="17">
        <f t="shared" si="1"/>
        <v>3.1937970896037671E-3</v>
      </c>
      <c r="H26" s="57">
        <f t="shared" si="2"/>
        <v>2.7787861044002285E-2</v>
      </c>
      <c r="I26" s="35">
        <f t="shared" si="3"/>
        <v>1.0791767069866037E-5</v>
      </c>
    </row>
    <row r="27" spans="1:9">
      <c r="A27" s="2" t="str">
        <f>'11_문서단위'!A27</f>
        <v>PAT-23</v>
      </c>
      <c r="B27" s="33">
        <v>1</v>
      </c>
      <c r="C27" s="17">
        <f>'11_문서단위'!D27</f>
        <v>0.21438275059439979</v>
      </c>
      <c r="D27" s="17">
        <f>'11_문서단위'!E27</f>
        <v>985</v>
      </c>
      <c r="E27" s="17">
        <f>'11_문서단위'!B27</f>
        <v>0.58731326498605807</v>
      </c>
      <c r="F27" s="17">
        <f t="shared" si="0"/>
        <v>0.5937868508696762</v>
      </c>
      <c r="G27" s="17">
        <f t="shared" si="1"/>
        <v>-6.473585883618127E-3</v>
      </c>
      <c r="H27" s="57">
        <f t="shared" si="2"/>
        <v>4.8098747674509529E-2</v>
      </c>
      <c r="I27" s="35">
        <f t="shared" si="3"/>
        <v>4.6249392419740004E-5</v>
      </c>
    </row>
    <row r="28" spans="1:9">
      <c r="A28" s="2" t="str">
        <f>'11_문서단위'!A28</f>
        <v>PAT-24</v>
      </c>
      <c r="B28" s="33">
        <v>1</v>
      </c>
      <c r="C28" s="17">
        <f>'11_문서단위'!D28</f>
        <v>0.23113422780360013</v>
      </c>
      <c r="D28" s="17">
        <f>'11_문서단위'!E28</f>
        <v>828.66666666666697</v>
      </c>
      <c r="E28" s="17">
        <f>'11_문서단위'!B28</f>
        <v>0.62462759434668802</v>
      </c>
      <c r="F28" s="17">
        <f t="shared" si="0"/>
        <v>0.6007028244318573</v>
      </c>
      <c r="G28" s="17">
        <f t="shared" si="1"/>
        <v>2.3924769914830724E-2</v>
      </c>
      <c r="H28" s="57">
        <f t="shared" si="2"/>
        <v>3.6274877138821562E-2</v>
      </c>
      <c r="I28" s="35">
        <f t="shared" si="3"/>
        <v>6.1629575822663555E-4</v>
      </c>
    </row>
    <row r="29" spans="1:9">
      <c r="A29" s="2" t="str">
        <f>'11_문서단위'!A29</f>
        <v>PAT-25</v>
      </c>
      <c r="B29" s="33">
        <v>1</v>
      </c>
      <c r="C29" s="17">
        <f>'11_문서단위'!D29</f>
        <v>0</v>
      </c>
      <c r="D29" s="17">
        <f>'11_문서단위'!E29</f>
        <v>878</v>
      </c>
      <c r="E29" s="17">
        <f>'11_문서단위'!B29</f>
        <v>0.62733371967004181</v>
      </c>
      <c r="F29" s="17">
        <f t="shared" si="0"/>
        <v>0.6387876057602716</v>
      </c>
      <c r="G29" s="17">
        <f t="shared" si="1"/>
        <v>-1.1453886090229792E-2</v>
      </c>
      <c r="H29" s="57">
        <f t="shared" si="2"/>
        <v>3.1350751772562344E-2</v>
      </c>
      <c r="I29" s="35">
        <f t="shared" si="3"/>
        <v>1.3982107213152806E-4</v>
      </c>
    </row>
    <row r="30" spans="1:9">
      <c r="A30" s="2" t="str">
        <f>'11_문서단위'!A30</f>
        <v>PAT-26</v>
      </c>
      <c r="B30" s="33">
        <v>1</v>
      </c>
      <c r="C30" s="17">
        <f>'11_문서단위'!D30</f>
        <v>0</v>
      </c>
      <c r="D30" s="17">
        <f>'11_문서단위'!E30</f>
        <v>886</v>
      </c>
      <c r="E30" s="17">
        <f>'11_문서단위'!B30</f>
        <v>0.64684629118588055</v>
      </c>
      <c r="F30" s="17">
        <f t="shared" si="0"/>
        <v>0.63828086025634623</v>
      </c>
      <c r="G30" s="17">
        <f t="shared" si="1"/>
        <v>8.5654309295343234E-3</v>
      </c>
      <c r="H30" s="57">
        <f t="shared" si="2"/>
        <v>3.1945025780374905E-2</v>
      </c>
      <c r="I30" s="35">
        <f t="shared" si="3"/>
        <v>7.8288575865623504E-5</v>
      </c>
    </row>
    <row r="31" spans="1:9">
      <c r="A31" s="2" t="str">
        <f>'11_문서단위'!A31</f>
        <v>PAT-27</v>
      </c>
      <c r="B31" s="33">
        <v>1</v>
      </c>
      <c r="C31" s="17">
        <f>'11_문서단위'!D31</f>
        <v>0</v>
      </c>
      <c r="D31" s="17">
        <f>'11_문서단위'!E31</f>
        <v>717.33333333333303</v>
      </c>
      <c r="E31" s="17">
        <f>'11_문서단위'!B31</f>
        <v>0.65036546777674686</v>
      </c>
      <c r="F31" s="17">
        <f t="shared" si="0"/>
        <v>0.64896474463077292</v>
      </c>
      <c r="G31" s="17">
        <f t="shared" si="1"/>
        <v>1.4007231459739478E-3</v>
      </c>
      <c r="H31" s="57">
        <f t="shared" si="2"/>
        <v>7.5612178203460445E-2</v>
      </c>
      <c r="I31" s="35">
        <f t="shared" si="3"/>
        <v>2.2961284497007793E-6</v>
      </c>
    </row>
    <row r="32" spans="1:9">
      <c r="A32" s="2" t="str">
        <f>'11_문서단위'!A32</f>
        <v>PAT-28</v>
      </c>
      <c r="B32" s="33">
        <v>1</v>
      </c>
      <c r="C32" s="17">
        <f>'11_문서단위'!D32</f>
        <v>0</v>
      </c>
      <c r="D32" s="17">
        <f>'11_문서단위'!E32</f>
        <v>944</v>
      </c>
      <c r="E32" s="17">
        <f>'11_문서단위'!B32</f>
        <v>0.63031381224665428</v>
      </c>
      <c r="F32" s="17">
        <f t="shared" si="0"/>
        <v>0.63460695535288725</v>
      </c>
      <c r="G32" s="17">
        <f t="shared" si="1"/>
        <v>-4.2931431062329661E-3</v>
      </c>
      <c r="H32" s="57">
        <f t="shared" si="2"/>
        <v>4.4191777579076663E-2</v>
      </c>
      <c r="I32" s="35">
        <f t="shared" si="3"/>
        <v>2.0174798517748052E-5</v>
      </c>
    </row>
    <row r="33" spans="1:9">
      <c r="A33" s="2" t="str">
        <f>'11_문서단위'!A33</f>
        <v>PAT-29</v>
      </c>
      <c r="B33" s="33">
        <v>1</v>
      </c>
      <c r="C33" s="17">
        <f>'11_문서단위'!D33</f>
        <v>0</v>
      </c>
      <c r="D33" s="17">
        <f>'11_문서단위'!E33</f>
        <v>748.66666666666697</v>
      </c>
      <c r="E33" s="17">
        <f>'11_문서단위'!B33</f>
        <v>0.64803325116362698</v>
      </c>
      <c r="F33" s="17">
        <f t="shared" si="0"/>
        <v>0.64697999140706519</v>
      </c>
      <c r="G33" s="17">
        <f t="shared" si="1"/>
        <v>1.0532597565617863E-3</v>
      </c>
      <c r="H33" s="57">
        <f t="shared" si="2"/>
        <v>5.8576577771273897E-2</v>
      </c>
      <c r="I33" s="35">
        <f t="shared" si="3"/>
        <v>1.2517021067763652E-6</v>
      </c>
    </row>
    <row r="34" spans="1:9">
      <c r="A34" s="2" t="str">
        <f>'11_문서단위'!A34</f>
        <v>PAT-30</v>
      </c>
      <c r="B34" s="33">
        <v>1</v>
      </c>
      <c r="C34" s="17">
        <f>'11_문서단위'!D34</f>
        <v>0.23113422780360013</v>
      </c>
      <c r="D34" s="17">
        <f>'11_문서단위'!E34</f>
        <v>768.33333333333303</v>
      </c>
      <c r="E34" s="17">
        <f>'11_문서단위'!B34</f>
        <v>0.62072186933414597</v>
      </c>
      <c r="F34" s="17">
        <f t="shared" si="0"/>
        <v>0.60452453010729457</v>
      </c>
      <c r="G34" s="17">
        <f t="shared" si="1"/>
        <v>1.6197339226851404E-2</v>
      </c>
      <c r="H34" s="57">
        <f t="shared" si="2"/>
        <v>5.7503410153876194E-2</v>
      </c>
      <c r="I34" s="35">
        <f t="shared" si="3"/>
        <v>2.9534374720118932E-4</v>
      </c>
    </row>
    <row r="35" spans="1:9">
      <c r="A35" s="2" t="str">
        <f>'11_문서단위'!A35</f>
        <v>PAT-31</v>
      </c>
      <c r="B35" s="33">
        <v>1</v>
      </c>
      <c r="C35" s="17">
        <f>'11_문서단위'!D35</f>
        <v>0</v>
      </c>
      <c r="D35" s="17">
        <f>'11_문서단위'!E35</f>
        <v>847.33333333333303</v>
      </c>
      <c r="E35" s="17">
        <f>'11_문서단위'!B35</f>
        <v>0.62524417480814987</v>
      </c>
      <c r="F35" s="17">
        <f t="shared" si="0"/>
        <v>0.64073013019198555</v>
      </c>
      <c r="G35" s="17">
        <f t="shared" si="1"/>
        <v>-1.5485955383835681E-2</v>
      </c>
      <c r="H35" s="57">
        <f t="shared" si="2"/>
        <v>3.1531692662714536E-2</v>
      </c>
      <c r="I35" s="35">
        <f t="shared" si="3"/>
        <v>2.5568495907874492E-4</v>
      </c>
    </row>
    <row r="36" spans="1:9">
      <c r="A36" s="2" t="str">
        <f>'11_문서단위'!A36</f>
        <v>RPT-01</v>
      </c>
      <c r="B36" s="33">
        <v>1</v>
      </c>
      <c r="C36" s="17">
        <f>'11_문서단위'!D36</f>
        <v>0</v>
      </c>
      <c r="D36" s="17">
        <f>'11_문서단위'!E36</f>
        <v>813</v>
      </c>
      <c r="E36" s="17">
        <f>'11_문서단위'!B36</f>
        <v>0.65410233648359395</v>
      </c>
      <c r="F36" s="17">
        <f t="shared" si="0"/>
        <v>0.64290491297966534</v>
      </c>
      <c r="G36" s="17">
        <f t="shared" si="1"/>
        <v>1.1197423503928605E-2</v>
      </c>
      <c r="H36" s="57">
        <f t="shared" si="2"/>
        <v>3.6362157531599382E-2</v>
      </c>
      <c r="I36" s="35">
        <f t="shared" si="3"/>
        <v>1.3502323694950845E-4</v>
      </c>
    </row>
    <row r="37" spans="1:9">
      <c r="A37" s="2" t="str">
        <f>'11_문서단위'!A37</f>
        <v>RPT-02</v>
      </c>
      <c r="B37" s="33">
        <v>1</v>
      </c>
      <c r="C37" s="17">
        <f>'11_문서단위'!D37</f>
        <v>0.11772587304081106</v>
      </c>
      <c r="D37" s="17">
        <f>'11_문서단위'!E37</f>
        <v>728.33333333333303</v>
      </c>
      <c r="E37" s="17">
        <f>'11_문서단위'!B37</f>
        <v>0.62665583414514892</v>
      </c>
      <c r="F37" s="17">
        <f t="shared" ref="F37:F69" si="4">$B37*$B$89+$C37*$B$90+$D37*$B$91</f>
        <v>0.62727822104521802</v>
      </c>
      <c r="G37" s="17">
        <f t="shared" ref="G37:G68" si="5">E37-F37</f>
        <v>-6.2238690006910513E-4</v>
      </c>
      <c r="H37" s="57">
        <f t="shared" ref="H37:H69" si="6">SUMPRODUCT(MMULT(B37:D37,$B$79:$D$81),B37:D37)</f>
        <v>5.9322001041287126E-2</v>
      </c>
      <c r="I37" s="35">
        <f t="shared" ref="I37:I68" si="7">(G37/(1-H37))^2</f>
        <v>4.3776285983587368E-7</v>
      </c>
    </row>
    <row r="38" spans="1:9">
      <c r="A38" s="2" t="str">
        <f>'11_문서단위'!A38</f>
        <v>RPT-03</v>
      </c>
      <c r="B38" s="33">
        <v>1</v>
      </c>
      <c r="C38" s="17">
        <f>'11_문서단위'!D38</f>
        <v>0</v>
      </c>
      <c r="D38" s="17">
        <f>'11_문서단위'!E38</f>
        <v>806.33333333333303</v>
      </c>
      <c r="E38" s="17">
        <f>'11_문서단위'!B38</f>
        <v>0.6466655530699873</v>
      </c>
      <c r="F38" s="17">
        <f t="shared" si="4"/>
        <v>0.64332720089960316</v>
      </c>
      <c r="G38" s="17">
        <f t="shared" si="5"/>
        <v>3.3383521703841401E-3</v>
      </c>
      <c r="H38" s="57">
        <f t="shared" si="6"/>
        <v>3.7866933322171933E-2</v>
      </c>
      <c r="I38" s="35">
        <f t="shared" si="7"/>
        <v>1.2039099876941039E-5</v>
      </c>
    </row>
    <row r="39" spans="1:9">
      <c r="A39" s="2" t="str">
        <f>'11_문서단위'!A39</f>
        <v>RPT-04</v>
      </c>
      <c r="B39" s="33">
        <v>1</v>
      </c>
      <c r="C39" s="17">
        <f>'11_문서단위'!D39</f>
        <v>0.23113422780360013</v>
      </c>
      <c r="D39" s="17">
        <f>'11_문서단위'!E39</f>
        <v>891.66666666666697</v>
      </c>
      <c r="E39" s="17">
        <f>'11_문서단위'!B39</f>
        <v>0.59079009450712017</v>
      </c>
      <c r="F39" s="17">
        <f t="shared" si="4"/>
        <v>0.5967122035884449</v>
      </c>
      <c r="G39" s="17">
        <f t="shared" si="5"/>
        <v>-5.9221090813247335E-3</v>
      </c>
      <c r="H39" s="57">
        <f t="shared" si="6"/>
        <v>3.022100292374745E-2</v>
      </c>
      <c r="I39" s="35">
        <f t="shared" si="7"/>
        <v>3.7291277099989377E-5</v>
      </c>
    </row>
    <row r="40" spans="1:9">
      <c r="A40" s="2" t="str">
        <f>'11_문서단위'!A40</f>
        <v>RPT-05</v>
      </c>
      <c r="B40" s="33">
        <v>1</v>
      </c>
      <c r="C40" s="17">
        <f>'11_문서단위'!D40</f>
        <v>0.20230910772689417</v>
      </c>
      <c r="D40" s="17">
        <f>'11_문서단위'!E40</f>
        <v>912.33333333333303</v>
      </c>
      <c r="E40" s="17">
        <f>'11_문서단위'!B40</f>
        <v>0.59549529608768192</v>
      </c>
      <c r="F40" s="17">
        <f t="shared" si="4"/>
        <v>0.60054244027475356</v>
      </c>
      <c r="G40" s="17">
        <f t="shared" si="5"/>
        <v>-5.0471441870716394E-3</v>
      </c>
      <c r="H40" s="57">
        <f t="shared" si="6"/>
        <v>2.5625893289052584E-2</v>
      </c>
      <c r="I40" s="35">
        <f t="shared" si="7"/>
        <v>2.6831191254316994E-5</v>
      </c>
    </row>
    <row r="41" spans="1:9">
      <c r="A41" s="2" t="str">
        <f>'11_문서단위'!A41</f>
        <v>RPT-06</v>
      </c>
      <c r="B41" s="33">
        <v>1</v>
      </c>
      <c r="C41" s="17">
        <f>'11_문서단위'!D41</f>
        <v>0.15901912770149684</v>
      </c>
      <c r="D41" s="17">
        <f>'11_문서단위'!E41</f>
        <v>928.33333333333303</v>
      </c>
      <c r="E41" s="17">
        <f>'11_문서단위'!B41</f>
        <v>0.60323865925983933</v>
      </c>
      <c r="F41" s="17">
        <f t="shared" si="4"/>
        <v>0.60724726785395211</v>
      </c>
      <c r="G41" s="17">
        <f t="shared" si="5"/>
        <v>-4.0086085941127836E-3</v>
      </c>
      <c r="H41" s="57">
        <f t="shared" si="6"/>
        <v>2.2756353861943579E-2</v>
      </c>
      <c r="I41" s="35">
        <f t="shared" si="7"/>
        <v>1.6826027548798218E-5</v>
      </c>
    </row>
    <row r="42" spans="1:9">
      <c r="A42" s="2" t="str">
        <f>'11_문서단위'!A42</f>
        <v>RPT-07</v>
      </c>
      <c r="B42" s="33">
        <v>1</v>
      </c>
      <c r="C42" s="17">
        <f>'11_문서단위'!D42</f>
        <v>0.19110823772903848</v>
      </c>
      <c r="D42" s="17">
        <f>'11_문서단위'!E42</f>
        <v>954.33333333333303</v>
      </c>
      <c r="E42" s="17">
        <f>'11_문서단위'!B42</f>
        <v>0.61618621855916977</v>
      </c>
      <c r="F42" s="17">
        <f t="shared" si="4"/>
        <v>0.59987906779715594</v>
      </c>
      <c r="G42" s="17">
        <f t="shared" si="5"/>
        <v>1.6307150762013833E-2</v>
      </c>
      <c r="H42" s="57">
        <f t="shared" si="6"/>
        <v>3.3022707542596536E-2</v>
      </c>
      <c r="I42" s="35">
        <f t="shared" si="7"/>
        <v>2.8439609008048037E-4</v>
      </c>
    </row>
    <row r="43" spans="1:9">
      <c r="A43" s="2" t="str">
        <f>'11_문서단위'!A43</f>
        <v>RPT-08</v>
      </c>
      <c r="B43" s="33">
        <v>1</v>
      </c>
      <c r="C43" s="17">
        <f>'11_문서단위'!D43</f>
        <v>0</v>
      </c>
      <c r="D43" s="17">
        <f>'11_문서단위'!E43</f>
        <v>752</v>
      </c>
      <c r="E43" s="17">
        <f>'11_문서단위'!B43</f>
        <v>0.65262924115103382</v>
      </c>
      <c r="F43" s="17">
        <f t="shared" si="4"/>
        <v>0.64676884744709628</v>
      </c>
      <c r="G43" s="17">
        <f t="shared" si="5"/>
        <v>5.8603937039375387E-3</v>
      </c>
      <c r="H43" s="57">
        <f t="shared" si="6"/>
        <v>5.7003911684250619E-2</v>
      </c>
      <c r="I43" s="35">
        <f t="shared" si="7"/>
        <v>3.8621915003879795E-5</v>
      </c>
    </row>
    <row r="44" spans="1:9">
      <c r="A44" s="2" t="str">
        <f>'11_문서단위'!A44</f>
        <v>RPT-09</v>
      </c>
      <c r="B44" s="33">
        <v>1</v>
      </c>
      <c r="C44" s="17">
        <f>'11_문서단위'!D44</f>
        <v>0</v>
      </c>
      <c r="D44" s="17">
        <f>'11_문서단위'!E44</f>
        <v>777</v>
      </c>
      <c r="E44" s="17">
        <f>'11_문서단위'!B44</f>
        <v>0.63306378873524649</v>
      </c>
      <c r="F44" s="17">
        <f t="shared" si="4"/>
        <v>0.64518526774732954</v>
      </c>
      <c r="G44" s="17">
        <f t="shared" si="5"/>
        <v>-1.2121479012083047E-2</v>
      </c>
      <c r="H44" s="57">
        <f t="shared" si="6"/>
        <v>4.6677813074361946E-2</v>
      </c>
      <c r="I44" s="35">
        <f t="shared" si="7"/>
        <v>1.6167088903545424E-4</v>
      </c>
    </row>
    <row r="45" spans="1:9">
      <c r="A45" s="2" t="str">
        <f>'11_문서단위'!A45</f>
        <v>RPT-10</v>
      </c>
      <c r="B45" s="33">
        <v>1</v>
      </c>
      <c r="C45" s="17">
        <f>'11_문서단위'!D45</f>
        <v>0.23113422780360013</v>
      </c>
      <c r="D45" s="17">
        <f>'11_문서단위'!E45</f>
        <v>958.33333333333303</v>
      </c>
      <c r="E45" s="17">
        <f>'11_문서단위'!B45</f>
        <v>0.58067903779987018</v>
      </c>
      <c r="F45" s="17">
        <f t="shared" si="4"/>
        <v>0.59248932438906687</v>
      </c>
      <c r="G45" s="17">
        <f t="shared" si="5"/>
        <v>-1.1810286589196695E-2</v>
      </c>
      <c r="H45" s="57">
        <f t="shared" si="6"/>
        <v>4.1741091125716251E-2</v>
      </c>
      <c r="I45" s="35">
        <f t="shared" si="7"/>
        <v>1.518990793395278E-4</v>
      </c>
    </row>
    <row r="46" spans="1:9">
      <c r="A46" s="2" t="str">
        <f>'11_문서단위'!A46</f>
        <v>RPT-11</v>
      </c>
      <c r="B46" s="33">
        <v>1</v>
      </c>
      <c r="C46" s="17">
        <f>'11_문서단위'!D46</f>
        <v>0.17335067085270003</v>
      </c>
      <c r="D46" s="17">
        <f>'11_문서단위'!E46</f>
        <v>780.66666666666697</v>
      </c>
      <c r="E46" s="17">
        <f>'11_문서단위'!B46</f>
        <v>0.64062613178467609</v>
      </c>
      <c r="F46" s="17">
        <f t="shared" si="4"/>
        <v>0.61404572543939806</v>
      </c>
      <c r="G46" s="17">
        <f t="shared" si="5"/>
        <v>2.6580406345278029E-2</v>
      </c>
      <c r="H46" s="57">
        <f t="shared" si="6"/>
        <v>3.8809324840032605E-2</v>
      </c>
      <c r="I46" s="35">
        <f t="shared" si="7"/>
        <v>7.6472296763719228E-4</v>
      </c>
    </row>
    <row r="47" spans="1:9">
      <c r="A47" s="2" t="str">
        <f>'11_문서단위'!A47</f>
        <v>RPT-12</v>
      </c>
      <c r="B47" s="33">
        <v>1</v>
      </c>
      <c r="C47" s="17">
        <f>'11_문서단위'!D47</f>
        <v>0.23113422780360013</v>
      </c>
      <c r="D47" s="17">
        <f>'11_문서단위'!E47</f>
        <v>847</v>
      </c>
      <c r="E47" s="17">
        <f>'11_문서단위'!B47</f>
        <v>0.60283894027502083</v>
      </c>
      <c r="F47" s="17">
        <f t="shared" si="4"/>
        <v>0.59954153265202836</v>
      </c>
      <c r="G47" s="17">
        <f t="shared" si="5"/>
        <v>3.2974076229924654E-3</v>
      </c>
      <c r="H47" s="57">
        <f t="shared" si="6"/>
        <v>3.2815007522080122E-2</v>
      </c>
      <c r="I47" s="35">
        <f t="shared" si="7"/>
        <v>1.1623212479555106E-5</v>
      </c>
    </row>
    <row r="48" spans="1:9">
      <c r="A48" s="2" t="str">
        <f>'11_문서단위'!A48</f>
        <v>RPT-13</v>
      </c>
      <c r="B48" s="33">
        <v>1</v>
      </c>
      <c r="C48" s="17">
        <f>'11_문서단위'!D48</f>
        <v>0.23113422780360013</v>
      </c>
      <c r="D48" s="17">
        <f>'11_문서단위'!E48</f>
        <v>939.33333333333303</v>
      </c>
      <c r="E48" s="17">
        <f>'11_문서단위'!B48</f>
        <v>0.62318659423723</v>
      </c>
      <c r="F48" s="17">
        <f t="shared" si="4"/>
        <v>0.59369284496088959</v>
      </c>
      <c r="G48" s="17">
        <f t="shared" si="5"/>
        <v>2.9493749276340409E-2</v>
      </c>
      <c r="H48" s="57">
        <f t="shared" si="6"/>
        <v>3.6579751510387948E-2</v>
      </c>
      <c r="I48" s="35">
        <f t="shared" si="7"/>
        <v>9.3719168877432098E-4</v>
      </c>
    </row>
    <row r="49" spans="1:9">
      <c r="A49" s="2" t="str">
        <f>'11_문서단위'!A49</f>
        <v>RPT-14</v>
      </c>
      <c r="B49" s="33">
        <v>1</v>
      </c>
      <c r="C49" s="17">
        <f>'11_문서단위'!D49</f>
        <v>0.23113422780360013</v>
      </c>
      <c r="D49" s="17">
        <f>'11_문서단위'!E49</f>
        <v>811.33333333333303</v>
      </c>
      <c r="E49" s="17">
        <f>'11_문서단위'!B49</f>
        <v>0.60280726112571659</v>
      </c>
      <c r="F49" s="17">
        <f t="shared" si="4"/>
        <v>0.60180077302369561</v>
      </c>
      <c r="G49" s="17">
        <f t="shared" si="5"/>
        <v>1.0064881020209748E-3</v>
      </c>
      <c r="H49" s="57">
        <f t="shared" si="6"/>
        <v>4.0828056892073417E-2</v>
      </c>
      <c r="I49" s="35">
        <f t="shared" si="7"/>
        <v>1.1010939017257354E-6</v>
      </c>
    </row>
    <row r="50" spans="1:9">
      <c r="A50" s="2" t="str">
        <f>'11_문서단위'!A50</f>
        <v>RPT-15</v>
      </c>
      <c r="B50" s="33">
        <v>1</v>
      </c>
      <c r="C50" s="17">
        <f>'11_문서단위'!D50</f>
        <v>0</v>
      </c>
      <c r="D50" s="17">
        <f>'11_문서단위'!E50</f>
        <v>846</v>
      </c>
      <c r="E50" s="17">
        <f>'11_문서단위'!B50</f>
        <v>0.62570745946327455</v>
      </c>
      <c r="F50" s="17">
        <f t="shared" si="4"/>
        <v>0.64081458777597311</v>
      </c>
      <c r="G50" s="17">
        <f t="shared" si="5"/>
        <v>-1.5107128312698559E-2</v>
      </c>
      <c r="H50" s="57">
        <f t="shared" si="6"/>
        <v>3.1628039103339327E-2</v>
      </c>
      <c r="I50" s="35">
        <f t="shared" si="7"/>
        <v>2.4337693856766416E-4</v>
      </c>
    </row>
    <row r="51" spans="1:9">
      <c r="A51" s="2" t="str">
        <f>'11_문서단위'!A51</f>
        <v>RPT-16</v>
      </c>
      <c r="B51" s="33">
        <v>1</v>
      </c>
      <c r="C51" s="17">
        <f>'11_문서단위'!D51</f>
        <v>0.23113422780360013</v>
      </c>
      <c r="D51" s="17">
        <f>'11_문서단위'!E51</f>
        <v>821.33333333333303</v>
      </c>
      <c r="E51" s="17">
        <f>'11_문서단위'!B51</f>
        <v>0.60418924677967389</v>
      </c>
      <c r="F51" s="17">
        <f t="shared" si="4"/>
        <v>0.60116734114378889</v>
      </c>
      <c r="G51" s="17">
        <f t="shared" si="5"/>
        <v>3.0219056358850027E-3</v>
      </c>
      <c r="H51" s="57">
        <f t="shared" si="6"/>
        <v>3.8049148372260783E-2</v>
      </c>
      <c r="I51" s="35">
        <f t="shared" si="7"/>
        <v>9.8686110004504732E-6</v>
      </c>
    </row>
    <row r="52" spans="1:9">
      <c r="A52" s="2" t="str">
        <f>'11_문서단위'!A52</f>
        <v>RPT-17</v>
      </c>
      <c r="B52" s="33">
        <v>1</v>
      </c>
      <c r="C52" s="17">
        <f>'11_문서단위'!D52</f>
        <v>0</v>
      </c>
      <c r="D52" s="17">
        <f>'11_문서단위'!E52</f>
        <v>982.33333333333303</v>
      </c>
      <c r="E52" s="17">
        <f>'11_문서단위'!B52</f>
        <v>0.62970429380504178</v>
      </c>
      <c r="F52" s="17">
        <f t="shared" si="4"/>
        <v>0.63217879981324487</v>
      </c>
      <c r="G52" s="17">
        <f t="shared" si="5"/>
        <v>-2.4745060082030923E-3</v>
      </c>
      <c r="H52" s="57">
        <f t="shared" si="6"/>
        <v>5.9943745063586601E-2</v>
      </c>
      <c r="I52" s="35">
        <f t="shared" si="7"/>
        <v>6.9289804874546984E-6</v>
      </c>
    </row>
    <row r="53" spans="1:9">
      <c r="A53" s="2" t="str">
        <f>'11_문서단위'!A53</f>
        <v>RPT-18</v>
      </c>
      <c r="B53" s="33">
        <v>1</v>
      </c>
      <c r="C53" s="17">
        <f>'11_문서단위'!D53</f>
        <v>0.23113422780360013</v>
      </c>
      <c r="D53" s="17">
        <f>'11_문서단위'!E53</f>
        <v>947.33333333333303</v>
      </c>
      <c r="E53" s="17">
        <f>'11_문서단위'!B53</f>
        <v>0.59187892617329463</v>
      </c>
      <c r="F53" s="17">
        <f t="shared" si="4"/>
        <v>0.59318609945696421</v>
      </c>
      <c r="G53" s="17">
        <f t="shared" si="5"/>
        <v>-1.3071732836695826E-3</v>
      </c>
      <c r="H53" s="57">
        <f t="shared" si="6"/>
        <v>3.8570458281755676E-2</v>
      </c>
      <c r="I53" s="35">
        <f t="shared" si="7"/>
        <v>1.8485508476505512E-6</v>
      </c>
    </row>
    <row r="54" spans="1:9">
      <c r="A54" s="2" t="str">
        <f>'11_문서단위'!A54</f>
        <v>RPT-19</v>
      </c>
      <c r="B54" s="33">
        <v>1</v>
      </c>
      <c r="C54" s="17">
        <f>'11_문서단위'!D54</f>
        <v>0.23113422780360013</v>
      </c>
      <c r="D54" s="17">
        <f>'11_문서단위'!E54</f>
        <v>794.33333333333303</v>
      </c>
      <c r="E54" s="17">
        <f>'11_문서단위'!B54</f>
        <v>0.61304855840170958</v>
      </c>
      <c r="F54" s="17">
        <f t="shared" si="4"/>
        <v>0.60287760721953709</v>
      </c>
      <c r="G54" s="17">
        <f t="shared" si="5"/>
        <v>1.0170951182172483E-2</v>
      </c>
      <c r="H54" s="57">
        <f t="shared" si="6"/>
        <v>4.6504046659481546E-2</v>
      </c>
      <c r="I54" s="35">
        <f t="shared" si="7"/>
        <v>1.1378510934175244E-4</v>
      </c>
    </row>
    <row r="55" spans="1:9">
      <c r="A55" s="2" t="str">
        <f>'11_문서단위'!A55</f>
        <v>RPT-20</v>
      </c>
      <c r="B55" s="33">
        <v>1</v>
      </c>
      <c r="C55" s="17">
        <f>'11_문서단위'!D55</f>
        <v>0</v>
      </c>
      <c r="D55" s="17">
        <f>'11_문서단위'!E55</f>
        <v>1026</v>
      </c>
      <c r="E55" s="17">
        <f>'11_문서단위'!B55</f>
        <v>0.61748510840631665</v>
      </c>
      <c r="F55" s="17">
        <f t="shared" si="4"/>
        <v>0.62941281393765214</v>
      </c>
      <c r="G55" s="17">
        <f t="shared" si="5"/>
        <v>-1.1927705531335486E-2</v>
      </c>
      <c r="H55" s="57">
        <f t="shared" si="6"/>
        <v>8.5312651589901423E-2</v>
      </c>
      <c r="I55" s="35">
        <f t="shared" si="7"/>
        <v>1.700468037965021E-4</v>
      </c>
    </row>
    <row r="56" spans="1:9">
      <c r="A56" s="2" t="str">
        <f>'11_문서단위'!A56</f>
        <v>RPT-21</v>
      </c>
      <c r="B56" s="33">
        <v>1</v>
      </c>
      <c r="C56" s="17">
        <f>'11_문서단위'!D56</f>
        <v>0</v>
      </c>
      <c r="D56" s="17">
        <f>'11_문서단위'!E56</f>
        <v>830.33333333333303</v>
      </c>
      <c r="E56" s="17">
        <f>'11_문서단위'!B56</f>
        <v>0.63196430597032061</v>
      </c>
      <c r="F56" s="17">
        <f t="shared" si="4"/>
        <v>0.64180696438782703</v>
      </c>
      <c r="G56" s="17">
        <f t="shared" si="5"/>
        <v>-9.8426584175064225E-3</v>
      </c>
      <c r="H56" s="57">
        <f t="shared" si="6"/>
        <v>3.3312415068770251E-2</v>
      </c>
      <c r="I56" s="35">
        <f t="shared" si="7"/>
        <v>1.0366986784474966E-4</v>
      </c>
    </row>
    <row r="57" spans="1:9">
      <c r="A57" s="2" t="str">
        <f>'11_문서단위'!A57</f>
        <v>RPT-22</v>
      </c>
      <c r="B57" s="33">
        <v>1</v>
      </c>
      <c r="C57" s="17">
        <f>'11_문서단위'!D57</f>
        <v>0</v>
      </c>
      <c r="D57" s="17">
        <f>'11_문서단위'!E57</f>
        <v>743</v>
      </c>
      <c r="E57" s="17">
        <f>'11_문서단위'!B57</f>
        <v>0.63289562029772095</v>
      </c>
      <c r="F57" s="17">
        <f t="shared" si="4"/>
        <v>0.64733893613901228</v>
      </c>
      <c r="G57" s="17">
        <f t="shared" si="5"/>
        <v>-1.4443315841291327E-2</v>
      </c>
      <c r="H57" s="57">
        <f t="shared" si="6"/>
        <v>6.1355870706295029E-2</v>
      </c>
      <c r="I57" s="35">
        <f t="shared" si="7"/>
        <v>2.367728382977634E-4</v>
      </c>
    </row>
    <row r="58" spans="1:9">
      <c r="A58" s="2" t="str">
        <f>'11_문서단위'!A58</f>
        <v>RPT-23</v>
      </c>
      <c r="B58" s="33">
        <v>1</v>
      </c>
      <c r="C58" s="17">
        <f>'11_문서단위'!D58</f>
        <v>0</v>
      </c>
      <c r="D58" s="17">
        <f>'11_문서단위'!E58</f>
        <v>1045.3333333333301</v>
      </c>
      <c r="E58" s="17">
        <f>'11_문서단위'!B58</f>
        <v>0.62669076617666686</v>
      </c>
      <c r="F58" s="17">
        <f t="shared" si="4"/>
        <v>0.6281881789698327</v>
      </c>
      <c r="G58" s="17">
        <f t="shared" si="5"/>
        <v>-1.4974127931658421E-3</v>
      </c>
      <c r="H58" s="57">
        <f t="shared" si="6"/>
        <v>9.907049820840963E-2</v>
      </c>
      <c r="I58" s="35">
        <f t="shared" si="7"/>
        <v>2.7624947500484893E-6</v>
      </c>
    </row>
    <row r="59" spans="1:9">
      <c r="A59" s="2" t="str">
        <f>'11_문서단위'!A59</f>
        <v>RPT-24</v>
      </c>
      <c r="B59" s="33">
        <v>1</v>
      </c>
      <c r="C59" s="17">
        <f>'11_문서단위'!D59</f>
        <v>0.21609062670557147</v>
      </c>
      <c r="D59" s="17">
        <f>'11_문서단위'!E59</f>
        <v>942.66666666666697</v>
      </c>
      <c r="E59" s="17">
        <f>'11_문서단위'!B59</f>
        <v>0.59648836236733849</v>
      </c>
      <c r="F59" s="17">
        <f t="shared" si="4"/>
        <v>0.59616387608861887</v>
      </c>
      <c r="G59" s="17">
        <f t="shared" si="5"/>
        <v>3.2448627871961566E-4</v>
      </c>
      <c r="H59" s="57">
        <f t="shared" si="6"/>
        <v>3.4063701376795194E-2</v>
      </c>
      <c r="I59" s="35">
        <f t="shared" si="7"/>
        <v>1.1284847656877017E-7</v>
      </c>
    </row>
    <row r="60" spans="1:9">
      <c r="A60" s="2" t="str">
        <f>'11_문서단위'!A60</f>
        <v>RPT-25</v>
      </c>
      <c r="B60" s="33">
        <v>1</v>
      </c>
      <c r="C60" s="17">
        <f>'11_문서단위'!D60</f>
        <v>0</v>
      </c>
      <c r="D60" s="17">
        <f>'11_문서단위'!E60</f>
        <v>789.66666666666697</v>
      </c>
      <c r="E60" s="17">
        <f>'11_문서단위'!B60</f>
        <v>0.65101721971000137</v>
      </c>
      <c r="F60" s="17">
        <f t="shared" si="4"/>
        <v>0.64438292069944758</v>
      </c>
      <c r="G60" s="17">
        <f t="shared" si="5"/>
        <v>6.6342990105537902E-3</v>
      </c>
      <c r="H60" s="57">
        <f t="shared" si="6"/>
        <v>4.2435326076995808E-2</v>
      </c>
      <c r="I60" s="35">
        <f t="shared" si="7"/>
        <v>4.8001394145153991E-5</v>
      </c>
    </row>
    <row r="61" spans="1:9">
      <c r="A61" s="2" t="str">
        <f>'11_문서단위'!A61</f>
        <v>RPT-26</v>
      </c>
      <c r="B61" s="33">
        <v>1</v>
      </c>
      <c r="C61" s="17">
        <f>'11_문서단위'!D61</f>
        <v>0.40534614910418149</v>
      </c>
      <c r="D61" s="17">
        <f>'11_문서단위'!E61</f>
        <v>976.33333333333303</v>
      </c>
      <c r="E61" s="17">
        <f>'11_문서단위'!B61</f>
        <v>0.55198664104283635</v>
      </c>
      <c r="F61" s="17">
        <f t="shared" si="4"/>
        <v>0.56028830776550775</v>
      </c>
      <c r="G61" s="17">
        <f t="shared" si="5"/>
        <v>-8.301666722671408E-3</v>
      </c>
      <c r="H61" s="57">
        <f t="shared" si="6"/>
        <v>0.12216886886110034</v>
      </c>
      <c r="I61" s="35">
        <f t="shared" si="7"/>
        <v>8.9435230703427065E-5</v>
      </c>
    </row>
    <row r="62" spans="1:9">
      <c r="A62" s="2" t="str">
        <f>'11_문서단위'!A62</f>
        <v>RPT-27</v>
      </c>
      <c r="B62" s="33">
        <v>1</v>
      </c>
      <c r="C62" s="17">
        <f>'11_문서단위'!D62</f>
        <v>0</v>
      </c>
      <c r="D62" s="17">
        <f>'11_문서단위'!E62</f>
        <v>1014</v>
      </c>
      <c r="E62" s="17">
        <f>'11_문서단위'!B62</f>
        <v>0.62226060959893992</v>
      </c>
      <c r="F62" s="17">
        <f t="shared" si="4"/>
        <v>0.6301729321935402</v>
      </c>
      <c r="G62" s="17">
        <f t="shared" si="5"/>
        <v>-7.9123225946002851E-3</v>
      </c>
      <c r="H62" s="57">
        <f t="shared" si="6"/>
        <v>7.75530236289384E-2</v>
      </c>
      <c r="I62" s="35">
        <f t="shared" si="7"/>
        <v>7.3574132138480033E-5</v>
      </c>
    </row>
    <row r="63" spans="1:9">
      <c r="A63" s="2" t="str">
        <f>'11_문서단위'!A63</f>
        <v>RPT-28</v>
      </c>
      <c r="B63" s="33">
        <v>1</v>
      </c>
      <c r="C63" s="17">
        <f>'11_문서단위'!D63</f>
        <v>0</v>
      </c>
      <c r="D63" s="17">
        <f>'11_문서단위'!E63</f>
        <v>960.33333333333303</v>
      </c>
      <c r="E63" s="17">
        <f>'11_문서단위'!B63</f>
        <v>0.63414830485344598</v>
      </c>
      <c r="F63" s="17">
        <f t="shared" si="4"/>
        <v>0.63357234994903966</v>
      </c>
      <c r="G63" s="17">
        <f t="shared" si="5"/>
        <v>5.7595490440631725E-4</v>
      </c>
      <c r="H63" s="57">
        <f t="shared" si="6"/>
        <v>5.0158322634545144E-2</v>
      </c>
      <c r="I63" s="35">
        <f t="shared" si="7"/>
        <v>3.6768381913358869E-7</v>
      </c>
    </row>
    <row r="64" spans="1:9">
      <c r="A64" s="2" t="str">
        <f>'11_문서단위'!A64</f>
        <v>RPT-29</v>
      </c>
      <c r="B64" s="33">
        <v>1</v>
      </c>
      <c r="C64" s="17">
        <f>'11_문서단위'!D64</f>
        <v>0</v>
      </c>
      <c r="D64" s="17">
        <f>'11_문서단위'!E64</f>
        <v>1074.3333333333301</v>
      </c>
      <c r="E64" s="17">
        <f>'11_문서단위'!B64</f>
        <v>0.61879995419595202</v>
      </c>
      <c r="F64" s="17">
        <f t="shared" si="4"/>
        <v>0.62635122651810315</v>
      </c>
      <c r="G64" s="17">
        <f t="shared" si="5"/>
        <v>-7.5512723221511369E-3</v>
      </c>
      <c r="H64" s="57">
        <f t="shared" si="6"/>
        <v>0.12261395616672816</v>
      </c>
      <c r="I64" s="35">
        <f t="shared" si="7"/>
        <v>7.4072810149624407E-5</v>
      </c>
    </row>
    <row r="65" spans="1:9">
      <c r="A65" s="2" t="str">
        <f>'11_문서단위'!A65</f>
        <v>RPT-30</v>
      </c>
      <c r="B65" s="33">
        <v>1</v>
      </c>
      <c r="C65" s="17">
        <f>'11_문서단위'!D65</f>
        <v>0.23113422780360013</v>
      </c>
      <c r="D65" s="17">
        <f>'11_문서단위'!E65</f>
        <v>874.33333333333303</v>
      </c>
      <c r="E65" s="17">
        <f>'11_문서단위'!B65</f>
        <v>0.59645974942993663</v>
      </c>
      <c r="F65" s="17">
        <f t="shared" si="4"/>
        <v>0.59781015218028333</v>
      </c>
      <c r="G65" s="17">
        <f t="shared" si="5"/>
        <v>-1.350402750346702E-3</v>
      </c>
      <c r="H65" s="57">
        <f t="shared" si="6"/>
        <v>3.0245141065540961E-2</v>
      </c>
      <c r="I65" s="35">
        <f t="shared" si="7"/>
        <v>1.939111129562774E-6</v>
      </c>
    </row>
    <row r="66" spans="1:9">
      <c r="A66" s="2" t="str">
        <f>'11_문서단위'!A66</f>
        <v>RPT-31</v>
      </c>
      <c r="B66" s="33">
        <v>1</v>
      </c>
      <c r="C66" s="17">
        <f>'11_문서단위'!D66</f>
        <v>0</v>
      </c>
      <c r="D66" s="17">
        <f>'11_문서단위'!E66</f>
        <v>779.33333333333303</v>
      </c>
      <c r="E66" s="17">
        <f>'11_문서단위'!B66</f>
        <v>0.64405276467468509</v>
      </c>
      <c r="F66" s="17">
        <f t="shared" si="4"/>
        <v>0.64503746697535125</v>
      </c>
      <c r="G66" s="17">
        <f t="shared" si="5"/>
        <v>-9.847023006661626E-4</v>
      </c>
      <c r="H66" s="57">
        <f t="shared" si="6"/>
        <v>4.5846302208428807E-2</v>
      </c>
      <c r="I66" s="35">
        <f t="shared" si="7"/>
        <v>1.0650579286629808E-6</v>
      </c>
    </row>
    <row r="67" spans="1:9">
      <c r="A67" s="2" t="str">
        <f>'11_문서단위'!A67</f>
        <v>RPT-32</v>
      </c>
      <c r="B67" s="33">
        <v>1</v>
      </c>
      <c r="C67" s="17">
        <f>'11_문서단위'!D67</f>
        <v>0.13074926387539318</v>
      </c>
      <c r="D67" s="17">
        <f>'11_문서단위'!E67</f>
        <v>834.33333333333303</v>
      </c>
      <c r="E67" s="17">
        <f>'11_문서단위'!B67</f>
        <v>0.61507461565100918</v>
      </c>
      <c r="F67" s="17">
        <f t="shared" si="4"/>
        <v>0.61824185822733857</v>
      </c>
      <c r="G67" s="17">
        <f t="shared" si="5"/>
        <v>-3.1672425763293877E-3</v>
      </c>
      <c r="H67" s="57">
        <f t="shared" si="6"/>
        <v>1.9017075138426723E-2</v>
      </c>
      <c r="I67" s="35">
        <f t="shared" si="7"/>
        <v>1.0424128531184264E-5</v>
      </c>
    </row>
    <row r="68" spans="1:9">
      <c r="A68" s="2" t="str">
        <f>'11_문서단위'!A68</f>
        <v>RPT-33</v>
      </c>
      <c r="B68" s="33">
        <v>1</v>
      </c>
      <c r="C68" s="17">
        <f>'11_문서단위'!D68</f>
        <v>0.19110823772903848</v>
      </c>
      <c r="D68" s="17">
        <f>'11_문서단위'!E68</f>
        <v>815.66666666666697</v>
      </c>
      <c r="E68" s="17">
        <f>'11_문서단위'!B68</f>
        <v>0.60889575563148102</v>
      </c>
      <c r="F68" s="17">
        <f t="shared" si="4"/>
        <v>0.60866265653186236</v>
      </c>
      <c r="G68" s="17">
        <f t="shared" si="5"/>
        <v>2.3309909961866104E-4</v>
      </c>
      <c r="H68" s="57">
        <f t="shared" si="6"/>
        <v>3.0148743390815219E-2</v>
      </c>
      <c r="I68" s="35">
        <f t="shared" si="7"/>
        <v>5.7765817828889575E-8</v>
      </c>
    </row>
    <row r="69" spans="1:9">
      <c r="A69" s="2" t="str">
        <f>'11_문서단위'!A69</f>
        <v>RPT-34</v>
      </c>
      <c r="B69" s="33">
        <v>1</v>
      </c>
      <c r="C69" s="17">
        <f>'11_문서단위'!D69</f>
        <v>0.24020173555442068</v>
      </c>
      <c r="D69" s="17">
        <f>'11_문서단위'!E69</f>
        <v>983.66666666666697</v>
      </c>
      <c r="E69" s="17">
        <f>'11_문서단위'!B69</f>
        <v>0.60169584010639265</v>
      </c>
      <c r="F69" s="17">
        <f t="shared" si="4"/>
        <v>0.58926795332624715</v>
      </c>
      <c r="G69" s="17">
        <f t="shared" ref="G69:G100" si="8">E69-F69</f>
        <v>1.2427886780145503E-2</v>
      </c>
      <c r="H69" s="57">
        <f t="shared" si="6"/>
        <v>5.3071320641250058E-2</v>
      </c>
      <c r="I69" s="35">
        <f t="shared" ref="I69:I100" si="9">(G69/(1-H69))^2</f>
        <v>1.7225031945495173E-4</v>
      </c>
    </row>
    <row r="72" spans="1:9">
      <c r="A72" s="26" t="s">
        <v>556</v>
      </c>
    </row>
    <row r="73" spans="1:9">
      <c r="A73" s="11" t="s">
        <v>557</v>
      </c>
    </row>
    <row r="74" spans="1:9">
      <c r="A74" s="11" t="s">
        <v>558</v>
      </c>
      <c r="B74" s="28">
        <f>SUMPRODUCT($B$5:$B$69,$B$5:$B$69)</f>
        <v>65</v>
      </c>
      <c r="C74" s="28">
        <f>SUMPRODUCT($B$5:$B$69,$C$5:$C$69)</f>
        <v>7.6201772123794784</v>
      </c>
      <c r="D74" s="28">
        <f>SUMPRODUCT($B$5:$B$69,$D$5:$D$69)</f>
        <v>56800.333333333343</v>
      </c>
    </row>
    <row r="75" spans="1:9">
      <c r="A75" s="11" t="s">
        <v>559</v>
      </c>
      <c r="B75" s="28">
        <f>SUMPRODUCT($C$5:$C$69,$B$5:$B$69)</f>
        <v>7.6201772123794784</v>
      </c>
      <c r="C75" s="28">
        <f>SUMPRODUCT($C$5:$C$69,$C$5:$C$69)</f>
        <v>1.7763354338914159</v>
      </c>
      <c r="D75" s="28">
        <f>SUMPRODUCT($C$5:$C$69,$D$5:$D$69)</f>
        <v>6732.4284306880409</v>
      </c>
    </row>
    <row r="76" spans="1:9">
      <c r="A76" s="11" t="s">
        <v>560</v>
      </c>
      <c r="B76" s="28">
        <f>SUMPRODUCT($D$5:$D$69,$B$5:$B$69)</f>
        <v>56800.333333333343</v>
      </c>
      <c r="C76" s="28">
        <f>SUMPRODUCT($D$5:$D$69,$C$5:$C$69)</f>
        <v>6732.4284306880409</v>
      </c>
      <c r="D76" s="28">
        <f>SUMPRODUCT($D$5:$D$69,$D$5:$D$69)</f>
        <v>50123387.888888858</v>
      </c>
    </row>
    <row r="78" spans="1:9">
      <c r="A78" s="26" t="s">
        <v>561</v>
      </c>
    </row>
    <row r="79" spans="1:9">
      <c r="B79" s="17">
        <f>INDEX(MINVERSE($B$74:$D$76),1,1)</f>
        <v>1.5793057828428982</v>
      </c>
      <c r="C79" s="17">
        <f>INDEX(MINVERSE($B$74:$D$76),1,2)</f>
        <v>1.6442596081526401E-2</v>
      </c>
      <c r="D79" s="17">
        <f>INDEX(MINVERSE($B$74:$D$76),1,3)</f>
        <v>-1.791893909908296E-3</v>
      </c>
    </row>
    <row r="80" spans="1:9">
      <c r="B80" s="17">
        <f>INDEX(MINVERSE($B$74:$D$76),2,1)</f>
        <v>1.6442596081525526E-2</v>
      </c>
      <c r="C80" s="17">
        <f>INDEX(MINVERSE($B$74:$D$76),2,2)</f>
        <v>1.146887684782582</v>
      </c>
      <c r="D80" s="17">
        <f>INDEX(MINVERSE($B$74:$D$76),2,3)</f>
        <v>-1.7267955257371814E-4</v>
      </c>
    </row>
    <row r="81" spans="1:4">
      <c r="B81" s="17">
        <f>INDEX(MINVERSE($B$74:$D$76),3,1)</f>
        <v>-1.7918939099082958E-3</v>
      </c>
      <c r="C81" s="17">
        <f>INDEX(MINVERSE($B$74:$D$76),3,2)</f>
        <v>-1.7267955257371911E-4</v>
      </c>
      <c r="D81" s="17">
        <f>INDEX(MINVERSE($B$74:$D$76),3,3)</f>
        <v>2.0737370015834181E-6</v>
      </c>
    </row>
    <row r="83" spans="1:4">
      <c r="A83" s="26" t="s">
        <v>562</v>
      </c>
    </row>
    <row r="84" spans="1:4">
      <c r="A84" s="11" t="s">
        <v>563</v>
      </c>
      <c r="B84" s="28">
        <f>SUMPRODUCT($B$5:$B$69,$E$5:$E$69)</f>
        <v>40.179648465178431</v>
      </c>
    </row>
    <row r="85" spans="1:4">
      <c r="A85" s="11" t="s">
        <v>564</v>
      </c>
      <c r="B85" s="28">
        <f>SUMPRODUCT($C$5:$C$69,$E$5:$E$69)</f>
        <v>4.5483109447386258</v>
      </c>
    </row>
    <row r="86" spans="1:4">
      <c r="A86" s="11" t="s">
        <v>565</v>
      </c>
      <c r="B86" s="28">
        <f>SUMPRODUCT($D$5:$D$69,$E$5:$E$69)</f>
        <v>35066.994726137724</v>
      </c>
    </row>
    <row r="89" spans="1:4">
      <c r="A89" s="6" t="s">
        <v>566</v>
      </c>
      <c r="B89" s="58">
        <f>INDEX(MMULT($B$79:$D$81,$B$84:$B$86),1,1)</f>
        <v>0.69440292481608168</v>
      </c>
    </row>
    <row r="90" spans="1:4">
      <c r="A90" s="6" t="s">
        <v>567</v>
      </c>
      <c r="B90" s="58">
        <f>INDEX(MMULT($B$79:$D$81,$B$84:$B$86),2,1)</f>
        <v>-0.17829341992121961</v>
      </c>
    </row>
    <row r="91" spans="1:4">
      <c r="A91" s="6" t="s">
        <v>568</v>
      </c>
      <c r="B91" s="58">
        <f>INDEX(MMULT($B$79:$D$81,$B$84:$B$86),3,1)</f>
        <v>-6.3343187990672067E-5</v>
      </c>
    </row>
    <row r="92" spans="1:4">
      <c r="A92" s="26" t="s">
        <v>569</v>
      </c>
    </row>
    <row r="93" spans="1:4">
      <c r="A93" s="6" t="s">
        <v>570</v>
      </c>
      <c r="B93" s="33">
        <f>COUNT($E$5:$E$69)</f>
        <v>65</v>
      </c>
      <c r="C93" s="11" t="s">
        <v>329</v>
      </c>
    </row>
    <row r="94" spans="1:4">
      <c r="A94" s="6" t="s">
        <v>571</v>
      </c>
      <c r="B94" s="33">
        <f>3</f>
        <v>3</v>
      </c>
      <c r="C94" s="11" t="s">
        <v>572</v>
      </c>
    </row>
    <row r="95" spans="1:4">
      <c r="A95" s="6" t="s">
        <v>354</v>
      </c>
      <c r="B95" s="17">
        <f>SUMPRODUCT(($E$5:$E$69-AVERAGE($E$5:$E$69))^2)</f>
        <v>4.7082181430463735E-2</v>
      </c>
      <c r="C95" s="11" t="s">
        <v>573</v>
      </c>
    </row>
    <row r="96" spans="1:4">
      <c r="A96" s="6" t="s">
        <v>574</v>
      </c>
      <c r="B96" s="17">
        <f>SUMPRODUCT($G$5:$G$69,$G$5:$G$69)</f>
        <v>1.5392856695375585E-2</v>
      </c>
      <c r="C96" s="11" t="s">
        <v>575</v>
      </c>
    </row>
    <row r="97" spans="1:3">
      <c r="A97" s="6" t="s">
        <v>576</v>
      </c>
      <c r="B97" s="29">
        <f>1-B96/B95</f>
        <v>0.67306407163590132</v>
      </c>
      <c r="C97" s="11" t="s">
        <v>577</v>
      </c>
    </row>
    <row r="98" spans="1:3">
      <c r="A98" s="6" t="s">
        <v>578</v>
      </c>
      <c r="B98" s="29">
        <f>1-(1-B97)*(B93-1)/(B93-B94)</f>
        <v>0.6625177513660917</v>
      </c>
      <c r="C98" s="11" t="s">
        <v>579</v>
      </c>
    </row>
    <row r="99" spans="1:3">
      <c r="A99" s="6" t="s">
        <v>294</v>
      </c>
      <c r="B99" s="18">
        <f>(B97/(B94-1))/((1-B97)/(B93-B94))</f>
        <v>63.819802017832181</v>
      </c>
      <c r="C99" s="11" t="s">
        <v>580</v>
      </c>
    </row>
    <row r="100" spans="1:3">
      <c r="A100" s="6" t="s">
        <v>581</v>
      </c>
      <c r="B100" s="35">
        <f>FDIST(B99,B94-1,B93-B94)</f>
        <v>8.8785519291721539E-16</v>
      </c>
      <c r="C100" s="11" t="s">
        <v>363</v>
      </c>
    </row>
    <row r="101" spans="1:3">
      <c r="A101" s="6" t="s">
        <v>582</v>
      </c>
      <c r="B101" s="17">
        <f>SUM($I$5:$I$69)</f>
        <v>1.8647813304566163E-2</v>
      </c>
      <c r="C101" s="11" t="s">
        <v>583</v>
      </c>
    </row>
    <row r="102" spans="1:3">
      <c r="A102" s="6" t="s">
        <v>584</v>
      </c>
      <c r="B102" s="29">
        <f>1-B101/B95</f>
        <v>0.60393055848299315</v>
      </c>
      <c r="C102" s="11" t="s">
        <v>585</v>
      </c>
    </row>
    <row r="104" spans="1:3">
      <c r="A104" s="26" t="s">
        <v>586</v>
      </c>
    </row>
    <row r="105" spans="1:3">
      <c r="A105" s="2" t="s">
        <v>587</v>
      </c>
    </row>
    <row r="106" spans="1:3">
      <c r="A106" s="11" t="s">
        <v>588</v>
      </c>
    </row>
    <row r="108" spans="1:3">
      <c r="A108" s="2" t="s">
        <v>589</v>
      </c>
    </row>
    <row r="109" spans="1:3">
      <c r="A109" s="2" t="s">
        <v>590</v>
      </c>
    </row>
    <row r="110" spans="1:3">
      <c r="A110" s="2" t="s">
        <v>591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14"/>
  <sheetViews>
    <sheetView zoomScaleNormal="100" workbookViewId="0"/>
  </sheetViews>
  <sheetFormatPr defaultColWidth="8.6640625" defaultRowHeight="14.4"/>
  <cols>
    <col min="1" max="1" width="26" customWidth="1"/>
    <col min="2" max="6" width="15" customWidth="1"/>
    <col min="7" max="10" width="14" customWidth="1"/>
  </cols>
  <sheetData>
    <row r="1" spans="1:10" ht="17.399999999999999">
      <c r="A1" s="21" t="s">
        <v>592</v>
      </c>
    </row>
    <row r="2" spans="1:10">
      <c r="A2" s="2" t="s">
        <v>593</v>
      </c>
    </row>
    <row r="4" spans="1:10">
      <c r="A4" s="14" t="s">
        <v>87</v>
      </c>
      <c r="B4" s="14" t="s">
        <v>548</v>
      </c>
      <c r="C4" s="10" t="s">
        <v>594</v>
      </c>
      <c r="D4" s="10" t="s">
        <v>595</v>
      </c>
      <c r="E4" s="10" t="s">
        <v>550</v>
      </c>
      <c r="F4" s="14" t="s">
        <v>551</v>
      </c>
      <c r="G4" s="14" t="s">
        <v>552</v>
      </c>
      <c r="H4" s="14" t="s">
        <v>553</v>
      </c>
      <c r="I4" s="14" t="s">
        <v>554</v>
      </c>
      <c r="J4" s="14" t="s">
        <v>555</v>
      </c>
    </row>
    <row r="5" spans="1:10">
      <c r="A5" s="2" t="str">
        <f>'11_문서단위'!A5</f>
        <v>PAT-01</v>
      </c>
      <c r="B5" s="33">
        <v>1</v>
      </c>
      <c r="C5" s="17">
        <f>'11_문서단위'!F5</f>
        <v>1</v>
      </c>
      <c r="D5" s="17">
        <f>'11_문서단위'!G5</f>
        <v>0</v>
      </c>
      <c r="E5" s="17">
        <f>'11_문서단위'!E5</f>
        <v>926.33333333333303</v>
      </c>
      <c r="F5" s="17">
        <f>'11_문서단위'!B5</f>
        <v>0.61271229246027659</v>
      </c>
      <c r="G5" s="17">
        <f t="shared" ref="G5:G36" si="0">$B5*$B$92+$C5*$B$93+$D5*$B$94+$E5*$B$95</f>
        <v>0.62755573259438235</v>
      </c>
      <c r="H5" s="17">
        <f t="shared" ref="H5:H36" si="1">F5-G5</f>
        <v>-1.4843440134105768E-2</v>
      </c>
      <c r="I5" s="57">
        <f t="shared" ref="I5:I36" si="2">SUMPRODUCT(MMULT(B5:E5,$B$80:$E$83),B5:E5)</f>
        <v>3.5435373104077073E-2</v>
      </c>
      <c r="J5" s="35">
        <f t="shared" ref="J5:J36" si="3">(H5/(1-I5))^2</f>
        <v>2.3681350633125966E-4</v>
      </c>
    </row>
    <row r="6" spans="1:10">
      <c r="A6" s="2" t="str">
        <f>'11_문서단위'!A6</f>
        <v>PAT-02</v>
      </c>
      <c r="B6" s="33">
        <v>1</v>
      </c>
      <c r="C6" s="17">
        <f>'11_문서단위'!F6</f>
        <v>0.76578947368421102</v>
      </c>
      <c r="D6" s="17">
        <f>'11_문서단위'!G6</f>
        <v>0.202870672339032</v>
      </c>
      <c r="E6" s="17">
        <f>'11_문서단위'!E6</f>
        <v>902.66666666666697</v>
      </c>
      <c r="F6" s="17">
        <f>'11_문서단위'!B6</f>
        <v>0.60442266366747366</v>
      </c>
      <c r="G6" s="17">
        <f t="shared" si="0"/>
        <v>0.60881536859515806</v>
      </c>
      <c r="H6" s="17">
        <f t="shared" si="1"/>
        <v>-4.3927049276843988E-3</v>
      </c>
      <c r="I6" s="57">
        <f t="shared" si="2"/>
        <v>2.5362598061534458E-2</v>
      </c>
      <c r="J6" s="35">
        <f t="shared" si="3"/>
        <v>2.0313179933550329E-5</v>
      </c>
    </row>
    <row r="7" spans="1:10">
      <c r="A7" s="2" t="str">
        <f>'11_문서단위'!A7</f>
        <v>PAT-03</v>
      </c>
      <c r="B7" s="33">
        <v>1</v>
      </c>
      <c r="C7" s="17">
        <f>'11_문서단위'!F7</f>
        <v>0.66447368421052599</v>
      </c>
      <c r="D7" s="17">
        <f>'11_문서단위'!G7</f>
        <v>0.161553015234325</v>
      </c>
      <c r="E7" s="17">
        <f>'11_문서단위'!E7</f>
        <v>821</v>
      </c>
      <c r="F7" s="17">
        <f>'11_문서단위'!B7</f>
        <v>0.59479696156019812</v>
      </c>
      <c r="G7" s="17">
        <f t="shared" si="0"/>
        <v>0.58380947341223366</v>
      </c>
      <c r="H7" s="17">
        <f t="shared" si="1"/>
        <v>1.0987488147964464E-2</v>
      </c>
      <c r="I7" s="57">
        <f t="shared" si="2"/>
        <v>9.539460546597589E-2</v>
      </c>
      <c r="J7" s="35">
        <f t="shared" si="3"/>
        <v>1.4752937163322515E-4</v>
      </c>
    </row>
    <row r="8" spans="1:10">
      <c r="A8" s="2" t="str">
        <f>'11_문서단위'!A8</f>
        <v>PAT-04</v>
      </c>
      <c r="B8" s="33">
        <v>1</v>
      </c>
      <c r="C8" s="17">
        <f>'11_문서단위'!F8</f>
        <v>1</v>
      </c>
      <c r="D8" s="17">
        <f>'11_문서단위'!G8</f>
        <v>0</v>
      </c>
      <c r="E8" s="17">
        <f>'11_문서단위'!E8</f>
        <v>906.66666666666697</v>
      </c>
      <c r="F8" s="17">
        <f>'11_문서단위'!B8</f>
        <v>0.63572087556589341</v>
      </c>
      <c r="G8" s="17">
        <f t="shared" si="0"/>
        <v>0.62946039749037486</v>
      </c>
      <c r="H8" s="17">
        <f t="shared" si="1"/>
        <v>6.2604780755185496E-3</v>
      </c>
      <c r="I8" s="57">
        <f t="shared" si="2"/>
        <v>3.1269417459556095E-2</v>
      </c>
      <c r="J8" s="35">
        <f t="shared" si="3"/>
        <v>4.1764662567549472E-5</v>
      </c>
    </row>
    <row r="9" spans="1:10">
      <c r="A9" s="2" t="str">
        <f>'11_문서단위'!A9</f>
        <v>PAT-05</v>
      </c>
      <c r="B9" s="33">
        <v>1</v>
      </c>
      <c r="C9" s="17">
        <f>'11_문서단위'!F9</f>
        <v>0.68421052631579005</v>
      </c>
      <c r="D9" s="17">
        <f>'11_문서단위'!G9</f>
        <v>0.27348170645824399</v>
      </c>
      <c r="E9" s="17">
        <f>'11_문서단위'!E9</f>
        <v>899.66666666666697</v>
      </c>
      <c r="F9" s="17">
        <f>'11_문서단위'!B9</f>
        <v>0.5994649942881326</v>
      </c>
      <c r="G9" s="17">
        <f t="shared" si="0"/>
        <v>0.60177045706437982</v>
      </c>
      <c r="H9" s="17">
        <f t="shared" si="1"/>
        <v>-2.3054627762472135E-3</v>
      </c>
      <c r="I9" s="57">
        <f t="shared" si="2"/>
        <v>4.3000596566625908E-2</v>
      </c>
      <c r="J9" s="35">
        <f t="shared" si="3"/>
        <v>5.8035388358840982E-6</v>
      </c>
    </row>
    <row r="10" spans="1:10">
      <c r="A10" s="2" t="str">
        <f>'11_문서단위'!A10</f>
        <v>PAT-06</v>
      </c>
      <c r="B10" s="33">
        <v>1</v>
      </c>
      <c r="C10" s="17">
        <f>'11_문서단위'!F10</f>
        <v>0.73684210526315796</v>
      </c>
      <c r="D10" s="17">
        <f>'11_문서단위'!G10</f>
        <v>0.227901422048536</v>
      </c>
      <c r="E10" s="17">
        <f>'11_문서단위'!E10</f>
        <v>885</v>
      </c>
      <c r="F10" s="17">
        <f>'11_문서단위'!B10</f>
        <v>0.60744564231236964</v>
      </c>
      <c r="G10" s="17">
        <f t="shared" si="0"/>
        <v>0.60791886378893223</v>
      </c>
      <c r="H10" s="17">
        <f t="shared" si="1"/>
        <v>-4.7322147656259084E-4</v>
      </c>
      <c r="I10" s="57">
        <f t="shared" si="2"/>
        <v>2.9904059499128718E-2</v>
      </c>
      <c r="J10" s="35">
        <f t="shared" si="3"/>
        <v>2.3795756609598176E-7</v>
      </c>
    </row>
    <row r="11" spans="1:10">
      <c r="A11" s="2" t="str">
        <f>'11_문서단위'!A11</f>
        <v>PAT-07</v>
      </c>
      <c r="B11" s="33">
        <v>1</v>
      </c>
      <c r="C11" s="17">
        <f>'11_문서단위'!F11</f>
        <v>1</v>
      </c>
      <c r="D11" s="17">
        <f>'11_문서단위'!G11</f>
        <v>0</v>
      </c>
      <c r="E11" s="17">
        <f>'11_문서단위'!E11</f>
        <v>987.33333333333303</v>
      </c>
      <c r="F11" s="17">
        <f>'11_문서단위'!B11</f>
        <v>0.65144276654711553</v>
      </c>
      <c r="G11" s="17">
        <f t="shared" si="0"/>
        <v>0.62164804317121902</v>
      </c>
      <c r="H11" s="17">
        <f t="shared" si="1"/>
        <v>2.9794723375896504E-2</v>
      </c>
      <c r="I11" s="57">
        <f t="shared" si="2"/>
        <v>5.8736875092710972E-2</v>
      </c>
      <c r="J11" s="35">
        <f t="shared" si="3"/>
        <v>1.0019743990833368E-3</v>
      </c>
    </row>
    <row r="12" spans="1:10">
      <c r="A12" s="2" t="str">
        <f>'11_문서단위'!A12</f>
        <v>PAT-08</v>
      </c>
      <c r="B12" s="33">
        <v>1</v>
      </c>
      <c r="C12" s="17">
        <f>'11_문서단위'!F12</f>
        <v>1</v>
      </c>
      <c r="D12" s="17">
        <f>'11_문서단위'!G12</f>
        <v>0</v>
      </c>
      <c r="E12" s="17">
        <f>'11_문서단위'!E12</f>
        <v>887.33333333333303</v>
      </c>
      <c r="F12" s="17">
        <f>'11_문서단위'!B12</f>
        <v>0.62957020694355159</v>
      </c>
      <c r="G12" s="17">
        <f t="shared" si="0"/>
        <v>0.63133277993050319</v>
      </c>
      <c r="H12" s="17">
        <f t="shared" si="1"/>
        <v>-1.7625729869515938E-3</v>
      </c>
      <c r="I12" s="57">
        <f t="shared" si="2"/>
        <v>2.8764608522908706E-2</v>
      </c>
      <c r="J12" s="35">
        <f t="shared" si="3"/>
        <v>3.2934056076504868E-6</v>
      </c>
    </row>
    <row r="13" spans="1:10">
      <c r="A13" s="2" t="str">
        <f>'11_문서단위'!A13</f>
        <v>PAT-09</v>
      </c>
      <c r="B13" s="33">
        <v>1</v>
      </c>
      <c r="C13" s="17">
        <f>'11_문서단위'!F13</f>
        <v>0.68421052631579005</v>
      </c>
      <c r="D13" s="17">
        <f>'11_문서단위'!G13</f>
        <v>0.27348170645824399</v>
      </c>
      <c r="E13" s="17">
        <f>'11_문서단위'!E13</f>
        <v>895.66666666666697</v>
      </c>
      <c r="F13" s="17">
        <f>'11_문서단위'!B13</f>
        <v>0.61060970423730809</v>
      </c>
      <c r="G13" s="17">
        <f t="shared" si="0"/>
        <v>0.60215784653475124</v>
      </c>
      <c r="H13" s="17">
        <f t="shared" si="1"/>
        <v>8.4518577025568531E-3</v>
      </c>
      <c r="I13" s="57">
        <f t="shared" si="2"/>
        <v>4.2866174843536373E-2</v>
      </c>
      <c r="J13" s="35">
        <f t="shared" si="3"/>
        <v>7.7975653670673929E-5</v>
      </c>
    </row>
    <row r="14" spans="1:10">
      <c r="A14" s="2" t="str">
        <f>'11_문서단위'!A14</f>
        <v>PAT-10</v>
      </c>
      <c r="B14" s="33">
        <v>1</v>
      </c>
      <c r="C14" s="17">
        <f>'11_문서단위'!F14</f>
        <v>1</v>
      </c>
      <c r="D14" s="17">
        <f>'11_문서단위'!G14</f>
        <v>0</v>
      </c>
      <c r="E14" s="17">
        <f>'11_문서단위'!E14</f>
        <v>774.66666666666697</v>
      </c>
      <c r="F14" s="17">
        <f>'11_문서단위'!B14</f>
        <v>0.64189413366999526</v>
      </c>
      <c r="G14" s="17">
        <f t="shared" si="0"/>
        <v>0.64224425001263008</v>
      </c>
      <c r="H14" s="17">
        <f t="shared" si="1"/>
        <v>-3.5011634263482083E-4</v>
      </c>
      <c r="I14" s="57">
        <f t="shared" si="2"/>
        <v>4.5539595408562811E-2</v>
      </c>
      <c r="J14" s="35">
        <f t="shared" si="3"/>
        <v>1.3455781711254768E-7</v>
      </c>
    </row>
    <row r="15" spans="1:10">
      <c r="A15" s="2" t="str">
        <f>'11_문서단위'!A15</f>
        <v>PAT-11</v>
      </c>
      <c r="B15" s="33">
        <v>1</v>
      </c>
      <c r="C15" s="17">
        <f>'11_문서단위'!F15</f>
        <v>1</v>
      </c>
      <c r="D15" s="17">
        <f>'11_문서단위'!G15</f>
        <v>0</v>
      </c>
      <c r="E15" s="17">
        <f>'11_문서단위'!E15</f>
        <v>798</v>
      </c>
      <c r="F15" s="17">
        <f>'11_문서단위'!B15</f>
        <v>0.621552208003885</v>
      </c>
      <c r="G15" s="17">
        <f t="shared" si="0"/>
        <v>0.63998447810213044</v>
      </c>
      <c r="H15" s="17">
        <f t="shared" si="1"/>
        <v>-1.843227009824544E-2</v>
      </c>
      <c r="I15" s="57">
        <f t="shared" si="2"/>
        <v>3.766842121817536E-2</v>
      </c>
      <c r="J15" s="35">
        <f t="shared" si="3"/>
        <v>3.6686660166548559E-4</v>
      </c>
    </row>
    <row r="16" spans="1:10">
      <c r="A16" s="2" t="str">
        <f>'11_문서단위'!A16</f>
        <v>PAT-12</v>
      </c>
      <c r="B16" s="33">
        <v>1</v>
      </c>
      <c r="C16" s="17">
        <f>'11_문서단위'!F16</f>
        <v>1</v>
      </c>
      <c r="D16" s="17">
        <f>'11_문서단위'!G16</f>
        <v>0</v>
      </c>
      <c r="E16" s="17">
        <f>'11_문서단위'!E16</f>
        <v>666.33333333333303</v>
      </c>
      <c r="F16" s="17">
        <f>'11_문서단위'!B16</f>
        <v>0.65887005092639805</v>
      </c>
      <c r="G16" s="17">
        <f t="shared" si="0"/>
        <v>0.65273604816852138</v>
      </c>
      <c r="H16" s="17">
        <f t="shared" si="1"/>
        <v>6.1340027578766776E-3</v>
      </c>
      <c r="I16" s="57">
        <f t="shared" si="2"/>
        <v>0.11217351996328301</v>
      </c>
      <c r="J16" s="35">
        <f t="shared" si="3"/>
        <v>4.7734430526759785E-5</v>
      </c>
    </row>
    <row r="17" spans="1:10">
      <c r="A17" s="2" t="str">
        <f>'11_문서단위'!A17</f>
        <v>PAT-13</v>
      </c>
      <c r="B17" s="33">
        <v>1</v>
      </c>
      <c r="C17" s="17">
        <f>'11_문서단위'!F17</f>
        <v>1</v>
      </c>
      <c r="D17" s="17">
        <f>'11_문서단위'!G17</f>
        <v>0</v>
      </c>
      <c r="E17" s="17">
        <f>'11_문서단위'!E17</f>
        <v>822</v>
      </c>
      <c r="F17" s="17">
        <f>'11_문서단위'!B17</f>
        <v>0.63943858012705557</v>
      </c>
      <c r="G17" s="17">
        <f t="shared" si="0"/>
        <v>0.63766014127990223</v>
      </c>
      <c r="H17" s="17">
        <f t="shared" si="1"/>
        <v>1.7784388471533408E-3</v>
      </c>
      <c r="I17" s="57">
        <f t="shared" si="2"/>
        <v>3.1968709601399442E-2</v>
      </c>
      <c r="J17" s="35">
        <f t="shared" si="3"/>
        <v>3.3751966506538618E-6</v>
      </c>
    </row>
    <row r="18" spans="1:10">
      <c r="A18" s="2" t="str">
        <f>'11_문서단위'!A18</f>
        <v>PAT-14</v>
      </c>
      <c r="B18" s="33">
        <v>1</v>
      </c>
      <c r="C18" s="17">
        <f>'11_문서단위'!F18</f>
        <v>0.175438596491228</v>
      </c>
      <c r="D18" s="17">
        <f>'11_문서단위'!G18</f>
        <v>0.30386856273138202</v>
      </c>
      <c r="E18" s="17">
        <f>'11_문서단위'!E18</f>
        <v>792.66666666666697</v>
      </c>
      <c r="F18" s="17">
        <f>'11_문서단위'!B18</f>
        <v>0.48558985835392343</v>
      </c>
      <c r="G18" s="17">
        <f t="shared" si="0"/>
        <v>0.49073620522701866</v>
      </c>
      <c r="H18" s="17">
        <f t="shared" si="1"/>
        <v>-5.1463468730952311E-3</v>
      </c>
      <c r="I18" s="57">
        <f t="shared" si="2"/>
        <v>0.89164562200901576</v>
      </c>
      <c r="J18" s="35">
        <f t="shared" si="3"/>
        <v>2.2558238468482093E-3</v>
      </c>
    </row>
    <row r="19" spans="1:10">
      <c r="A19" s="2" t="str">
        <f>'11_문서단위'!A19</f>
        <v>PAT-15</v>
      </c>
      <c r="B19" s="33">
        <v>1</v>
      </c>
      <c r="C19" s="17">
        <f>'11_문서단위'!F19</f>
        <v>1</v>
      </c>
      <c r="D19" s="17">
        <f>'11_문서단위'!G19</f>
        <v>0</v>
      </c>
      <c r="E19" s="17">
        <f>'11_문서단위'!E19</f>
        <v>818.66666666666697</v>
      </c>
      <c r="F19" s="17">
        <f>'11_문서단위'!B19</f>
        <v>0.64052740119690621</v>
      </c>
      <c r="G19" s="17">
        <f t="shared" si="0"/>
        <v>0.63798296583854497</v>
      </c>
      <c r="H19" s="17">
        <f t="shared" si="1"/>
        <v>2.5444353583612411E-3</v>
      </c>
      <c r="I19" s="57">
        <f t="shared" si="2"/>
        <v>3.2615017452696973E-2</v>
      </c>
      <c r="J19" s="35">
        <f t="shared" si="3"/>
        <v>6.9180574091720365E-6</v>
      </c>
    </row>
    <row r="20" spans="1:10">
      <c r="A20" s="2" t="str">
        <f>'11_문서단위'!A20</f>
        <v>PAT-16</v>
      </c>
      <c r="B20" s="33">
        <v>1</v>
      </c>
      <c r="C20" s="17">
        <f>'11_문서단위'!F20</f>
        <v>0.68421052631579005</v>
      </c>
      <c r="D20" s="17">
        <f>'11_문서단위'!G20</f>
        <v>0.27348170645824399</v>
      </c>
      <c r="E20" s="17">
        <f>'11_문서단위'!E20</f>
        <v>934.33333333333303</v>
      </c>
      <c r="F20" s="17">
        <f>'11_문서단위'!B20</f>
        <v>0.59382134477724402</v>
      </c>
      <c r="G20" s="17">
        <f t="shared" si="0"/>
        <v>0.59841308165449469</v>
      </c>
      <c r="H20" s="17">
        <f t="shared" si="1"/>
        <v>-4.5917368772506739E-3</v>
      </c>
      <c r="I20" s="57">
        <f t="shared" si="2"/>
        <v>4.6993206682593797E-2</v>
      </c>
      <c r="J20" s="35">
        <f t="shared" si="3"/>
        <v>2.3214642184985451E-5</v>
      </c>
    </row>
    <row r="21" spans="1:10">
      <c r="A21" s="2" t="str">
        <f>'11_문서단위'!A21</f>
        <v>PAT-17</v>
      </c>
      <c r="B21" s="33">
        <v>1</v>
      </c>
      <c r="C21" s="17">
        <f>'11_문서단위'!F21</f>
        <v>0.68421052631579005</v>
      </c>
      <c r="D21" s="17">
        <f>'11_문서단위'!G21</f>
        <v>0.27348170645824399</v>
      </c>
      <c r="E21" s="17">
        <f>'11_문서단위'!E21</f>
        <v>907.33333333333303</v>
      </c>
      <c r="F21" s="17">
        <f>'11_문서단위'!B21</f>
        <v>0.5939511809260658</v>
      </c>
      <c r="G21" s="17">
        <f t="shared" si="0"/>
        <v>0.60102796057950147</v>
      </c>
      <c r="H21" s="17">
        <f t="shared" si="1"/>
        <v>-7.0767796534356719E-3</v>
      </c>
      <c r="I21" s="57">
        <f t="shared" si="2"/>
        <v>4.344691820823382E-2</v>
      </c>
      <c r="J21" s="35">
        <f t="shared" si="3"/>
        <v>5.4733496945150062E-5</v>
      </c>
    </row>
    <row r="22" spans="1:10">
      <c r="A22" s="2" t="str">
        <f>'11_문서단위'!A22</f>
        <v>PAT-18</v>
      </c>
      <c r="B22" s="33">
        <v>1</v>
      </c>
      <c r="C22" s="17">
        <f>'11_문서단위'!F22</f>
        <v>1</v>
      </c>
      <c r="D22" s="17">
        <f>'11_문서단위'!G22</f>
        <v>0</v>
      </c>
      <c r="E22" s="17">
        <f>'11_문서단위'!E22</f>
        <v>887</v>
      </c>
      <c r="F22" s="17">
        <f>'11_문서단위'!B22</f>
        <v>0.64238970789599703</v>
      </c>
      <c r="G22" s="17">
        <f t="shared" si="0"/>
        <v>0.63136506238636747</v>
      </c>
      <c r="H22" s="17">
        <f t="shared" si="1"/>
        <v>1.102464550962956E-2</v>
      </c>
      <c r="I22" s="57">
        <f t="shared" si="2"/>
        <v>2.8735250882845426E-2</v>
      </c>
      <c r="J22" s="35">
        <f t="shared" si="3"/>
        <v>1.2884097840753033E-4</v>
      </c>
    </row>
    <row r="23" spans="1:10">
      <c r="A23" s="2" t="str">
        <f>'11_문서단위'!A23</f>
        <v>PAT-19</v>
      </c>
      <c r="B23" s="33">
        <v>1</v>
      </c>
      <c r="C23" s="17">
        <f>'11_문서단위'!F23</f>
        <v>0.74060150375939904</v>
      </c>
      <c r="D23" s="17">
        <f>'11_문서단위'!G23</f>
        <v>0.224716453141029</v>
      </c>
      <c r="E23" s="17">
        <f>'11_문서단위'!E23</f>
        <v>957</v>
      </c>
      <c r="F23" s="17">
        <f>'11_문서단위'!B23</f>
        <v>0.59461603706533439</v>
      </c>
      <c r="G23" s="17">
        <f t="shared" si="0"/>
        <v>0.60129662357313729</v>
      </c>
      <c r="H23" s="17">
        <f t="shared" si="1"/>
        <v>-6.6805865078028992E-3</v>
      </c>
      <c r="I23" s="57">
        <f t="shared" si="2"/>
        <v>3.9943667780787145E-2</v>
      </c>
      <c r="J23" s="35">
        <f t="shared" si="3"/>
        <v>4.8421222654859152E-5</v>
      </c>
    </row>
    <row r="24" spans="1:10">
      <c r="A24" s="2" t="str">
        <f>'11_문서단위'!A24</f>
        <v>PAT-20</v>
      </c>
      <c r="B24" s="33">
        <v>1</v>
      </c>
      <c r="C24" s="17">
        <f>'11_문서단위'!F24</f>
        <v>1</v>
      </c>
      <c r="D24" s="17">
        <f>'11_문서단위'!G24</f>
        <v>0</v>
      </c>
      <c r="E24" s="17">
        <f>'11_문서단위'!E24</f>
        <v>922.33333333333303</v>
      </c>
      <c r="F24" s="17">
        <f>'11_문서단위'!B24</f>
        <v>0.63131976742516516</v>
      </c>
      <c r="G24" s="17">
        <f t="shared" si="0"/>
        <v>0.62794312206475378</v>
      </c>
      <c r="H24" s="17">
        <f t="shared" si="1"/>
        <v>3.3766453604113789E-3</v>
      </c>
      <c r="I24" s="57">
        <f t="shared" si="2"/>
        <v>3.4455866895101883E-2</v>
      </c>
      <c r="J24" s="35">
        <f t="shared" si="3"/>
        <v>1.2230005208250677E-5</v>
      </c>
    </row>
    <row r="25" spans="1:10">
      <c r="A25" s="2" t="str">
        <f>'11_문서단위'!A25</f>
        <v>PAT-21</v>
      </c>
      <c r="B25" s="33">
        <v>1</v>
      </c>
      <c r="C25" s="17">
        <f>'11_문서단위'!F25</f>
        <v>1</v>
      </c>
      <c r="D25" s="17">
        <f>'11_문서단위'!G25</f>
        <v>0</v>
      </c>
      <c r="E25" s="17">
        <f>'11_문서단위'!E25</f>
        <v>872.66666666666697</v>
      </c>
      <c r="F25" s="17">
        <f>'11_문서단위'!B25</f>
        <v>0.63128016382674224</v>
      </c>
      <c r="G25" s="17">
        <f t="shared" si="0"/>
        <v>0.63275320798853152</v>
      </c>
      <c r="H25" s="17">
        <f t="shared" si="1"/>
        <v>-1.4730441617892831E-3</v>
      </c>
      <c r="I25" s="57">
        <f t="shared" si="2"/>
        <v>2.7916328969773183E-2</v>
      </c>
      <c r="J25" s="35">
        <f t="shared" si="3"/>
        <v>2.2962768021024345E-6</v>
      </c>
    </row>
    <row r="26" spans="1:10">
      <c r="A26" s="2" t="str">
        <f>'11_문서단위'!A26</f>
        <v>PAT-22</v>
      </c>
      <c r="B26" s="33">
        <v>1</v>
      </c>
      <c r="C26" s="17">
        <f>'11_문서단위'!F26</f>
        <v>1</v>
      </c>
      <c r="D26" s="17">
        <f>'11_문서단위'!G26</f>
        <v>0</v>
      </c>
      <c r="E26" s="17">
        <f>'11_문서단위'!E26</f>
        <v>951.66666666666697</v>
      </c>
      <c r="F26" s="17">
        <f>'11_문서단위'!B26</f>
        <v>0.6140033879260367</v>
      </c>
      <c r="G26" s="17">
        <f t="shared" si="0"/>
        <v>0.625102265948697</v>
      </c>
      <c r="H26" s="17">
        <f t="shared" si="1"/>
        <v>-1.1098878022660297E-2</v>
      </c>
      <c r="I26" s="57">
        <f t="shared" si="2"/>
        <v>4.3206479977936696E-2</v>
      </c>
      <c r="J26" s="35">
        <f t="shared" si="3"/>
        <v>1.3456177470158858E-4</v>
      </c>
    </row>
    <row r="27" spans="1:10">
      <c r="A27" s="2" t="str">
        <f>'11_문서단위'!A27</f>
        <v>PAT-23</v>
      </c>
      <c r="B27" s="33">
        <v>1</v>
      </c>
      <c r="C27" s="17">
        <f>'11_문서단위'!F27</f>
        <v>0.68421052631579005</v>
      </c>
      <c r="D27" s="17">
        <f>'11_문서단위'!G27</f>
        <v>0.27348170645824399</v>
      </c>
      <c r="E27" s="17">
        <f>'11_문서단위'!E27</f>
        <v>985</v>
      </c>
      <c r="F27" s="17">
        <f>'11_문서단위'!B27</f>
        <v>0.58731326498605807</v>
      </c>
      <c r="G27" s="17">
        <f t="shared" si="0"/>
        <v>0.59350614836312399</v>
      </c>
      <c r="H27" s="17">
        <f t="shared" si="1"/>
        <v>-6.1928833770659164E-3</v>
      </c>
      <c r="I27" s="57">
        <f t="shared" si="2"/>
        <v>6.1948952949211961E-2</v>
      </c>
      <c r="J27" s="35">
        <f t="shared" si="3"/>
        <v>4.3584579269811678E-5</v>
      </c>
    </row>
    <row r="28" spans="1:10">
      <c r="A28" s="2" t="str">
        <f>'11_문서단위'!A28</f>
        <v>PAT-24</v>
      </c>
      <c r="B28" s="33">
        <v>1</v>
      </c>
      <c r="C28" s="17">
        <f>'11_문서단위'!F28</f>
        <v>0.68421052631579005</v>
      </c>
      <c r="D28" s="17">
        <f>'11_문서단위'!G28</f>
        <v>0.27348170645824399</v>
      </c>
      <c r="E28" s="17">
        <f>'11_문서단위'!E28</f>
        <v>828.66666666666697</v>
      </c>
      <c r="F28" s="17">
        <f>'11_문서단위'!B28</f>
        <v>0.62462759434668802</v>
      </c>
      <c r="G28" s="17">
        <f t="shared" si="0"/>
        <v>0.6086466201634716</v>
      </c>
      <c r="H28" s="17">
        <f t="shared" si="1"/>
        <v>1.5980974183216423E-2</v>
      </c>
      <c r="I28" s="57">
        <f t="shared" si="2"/>
        <v>5.0649340277992977E-2</v>
      </c>
      <c r="J28" s="35">
        <f t="shared" si="3"/>
        <v>2.8336955409136025E-4</v>
      </c>
    </row>
    <row r="29" spans="1:10">
      <c r="A29" s="2" t="str">
        <f>'11_문서단위'!A29</f>
        <v>PAT-25</v>
      </c>
      <c r="B29" s="33">
        <v>1</v>
      </c>
      <c r="C29" s="17">
        <f>'11_문서단위'!F29</f>
        <v>1</v>
      </c>
      <c r="D29" s="17">
        <f>'11_문서단위'!G29</f>
        <v>0</v>
      </c>
      <c r="E29" s="17">
        <f>'11_문서단위'!E29</f>
        <v>878</v>
      </c>
      <c r="F29" s="17">
        <f>'11_문서단위'!B29</f>
        <v>0.62733371967004181</v>
      </c>
      <c r="G29" s="17">
        <f t="shared" si="0"/>
        <v>0.63223668869470306</v>
      </c>
      <c r="H29" s="17">
        <f t="shared" si="1"/>
        <v>-4.9029690246612523E-3</v>
      </c>
      <c r="I29" s="57">
        <f t="shared" si="2"/>
        <v>2.8119789736918852E-2</v>
      </c>
      <c r="J29" s="35">
        <f t="shared" si="3"/>
        <v>2.5450295023587678E-5</v>
      </c>
    </row>
    <row r="30" spans="1:10">
      <c r="A30" s="2" t="str">
        <f>'11_문서단위'!A30</f>
        <v>PAT-26</v>
      </c>
      <c r="B30" s="33">
        <v>1</v>
      </c>
      <c r="C30" s="17">
        <f>'11_문서단위'!F30</f>
        <v>1</v>
      </c>
      <c r="D30" s="17">
        <f>'11_문서단위'!G30</f>
        <v>0</v>
      </c>
      <c r="E30" s="17">
        <f>'11_문서단위'!E30</f>
        <v>886</v>
      </c>
      <c r="F30" s="17">
        <f>'11_문서단위'!B30</f>
        <v>0.64684629118588055</v>
      </c>
      <c r="G30" s="17">
        <f t="shared" si="0"/>
        <v>0.63146190975396033</v>
      </c>
      <c r="H30" s="17">
        <f t="shared" si="1"/>
        <v>1.5384381431920224E-2</v>
      </c>
      <c r="I30" s="57">
        <f t="shared" si="2"/>
        <v>2.8649990583859211E-2</v>
      </c>
      <c r="J30" s="35">
        <f t="shared" si="3"/>
        <v>2.5084680889926744E-4</v>
      </c>
    </row>
    <row r="31" spans="1:10">
      <c r="A31" s="2" t="str">
        <f>'11_문서단위'!A31</f>
        <v>PAT-27</v>
      </c>
      <c r="B31" s="33">
        <v>1</v>
      </c>
      <c r="C31" s="17">
        <f>'11_문서단위'!F31</f>
        <v>1</v>
      </c>
      <c r="D31" s="17">
        <f>'11_문서단위'!G31</f>
        <v>0</v>
      </c>
      <c r="E31" s="17">
        <f>'11_문서단위'!E31</f>
        <v>717.33333333333303</v>
      </c>
      <c r="F31" s="17">
        <f>'11_문서단위'!B31</f>
        <v>0.65036546777674686</v>
      </c>
      <c r="G31" s="17">
        <f t="shared" si="0"/>
        <v>0.64779683242128638</v>
      </c>
      <c r="H31" s="17">
        <f t="shared" si="1"/>
        <v>2.5686353554604802E-3</v>
      </c>
      <c r="I31" s="57">
        <f t="shared" si="2"/>
        <v>7.4636240259833314E-2</v>
      </c>
      <c r="J31" s="35">
        <f t="shared" si="3"/>
        <v>7.7051294204815354E-6</v>
      </c>
    </row>
    <row r="32" spans="1:10">
      <c r="A32" s="2" t="str">
        <f>'11_문서단위'!A32</f>
        <v>PAT-28</v>
      </c>
      <c r="B32" s="33">
        <v>1</v>
      </c>
      <c r="C32" s="17">
        <f>'11_문서단위'!F32</f>
        <v>1</v>
      </c>
      <c r="D32" s="17">
        <f>'11_문서단위'!G32</f>
        <v>0</v>
      </c>
      <c r="E32" s="17">
        <f>'11_문서단위'!E32</f>
        <v>944</v>
      </c>
      <c r="F32" s="17">
        <f>'11_문서단위'!B32</f>
        <v>0.63031381224665428</v>
      </c>
      <c r="G32" s="17">
        <f t="shared" si="0"/>
        <v>0.62584476243357545</v>
      </c>
      <c r="H32" s="17">
        <f t="shared" si="1"/>
        <v>4.4690498130788292E-3</v>
      </c>
      <c r="I32" s="57">
        <f t="shared" si="2"/>
        <v>4.0568982197349723E-2</v>
      </c>
      <c r="J32" s="35">
        <f t="shared" si="3"/>
        <v>2.1697159482078865E-5</v>
      </c>
    </row>
    <row r="33" spans="1:10">
      <c r="A33" s="2" t="str">
        <f>'11_문서단위'!A33</f>
        <v>PAT-29</v>
      </c>
      <c r="B33" s="33">
        <v>1</v>
      </c>
      <c r="C33" s="17">
        <f>'11_문서단위'!F33</f>
        <v>1</v>
      </c>
      <c r="D33" s="17">
        <f>'11_문서단위'!G33</f>
        <v>0</v>
      </c>
      <c r="E33" s="17">
        <f>'11_문서단위'!E33</f>
        <v>748.66666666666697</v>
      </c>
      <c r="F33" s="17">
        <f>'11_문서단위'!B33</f>
        <v>0.64803325116362698</v>
      </c>
      <c r="G33" s="17">
        <f t="shared" si="0"/>
        <v>0.64476228157004389</v>
      </c>
      <c r="H33" s="17">
        <f t="shared" si="1"/>
        <v>3.270969593583084E-3</v>
      </c>
      <c r="I33" s="57">
        <f t="shared" si="2"/>
        <v>5.7016073960637653E-2</v>
      </c>
      <c r="J33" s="35">
        <f t="shared" si="3"/>
        <v>1.2032183157430186E-5</v>
      </c>
    </row>
    <row r="34" spans="1:10">
      <c r="A34" s="2" t="str">
        <f>'11_문서단위'!A34</f>
        <v>PAT-30</v>
      </c>
      <c r="B34" s="33">
        <v>1</v>
      </c>
      <c r="C34" s="17">
        <f>'11_문서단위'!F34</f>
        <v>0.68421052631579005</v>
      </c>
      <c r="D34" s="17">
        <f>'11_문서단위'!G34</f>
        <v>0.27348170645824399</v>
      </c>
      <c r="E34" s="17">
        <f>'11_문서단위'!E34</f>
        <v>768.33333333333303</v>
      </c>
      <c r="F34" s="17">
        <f>'11_문서단위'!B34</f>
        <v>0.62072186933414597</v>
      </c>
      <c r="G34" s="17">
        <f t="shared" si="0"/>
        <v>0.61448974467490647</v>
      </c>
      <c r="H34" s="17">
        <f t="shared" si="1"/>
        <v>6.2321246592395019E-3</v>
      </c>
      <c r="I34" s="57">
        <f t="shared" si="2"/>
        <v>7.3863915990812157E-2</v>
      </c>
      <c r="J34" s="35">
        <f t="shared" si="3"/>
        <v>4.5281692658558008E-5</v>
      </c>
    </row>
    <row r="35" spans="1:10">
      <c r="A35" s="2" t="str">
        <f>'11_문서단위'!A35</f>
        <v>PAT-31</v>
      </c>
      <c r="B35" s="33">
        <v>1</v>
      </c>
      <c r="C35" s="17">
        <f>'11_문서단위'!F35</f>
        <v>1</v>
      </c>
      <c r="D35" s="17">
        <f>'11_문서단위'!G35</f>
        <v>0</v>
      </c>
      <c r="E35" s="17">
        <f>'11_문서단위'!E35</f>
        <v>847.33333333333303</v>
      </c>
      <c r="F35" s="17">
        <f>'11_문서단위'!B35</f>
        <v>0.62524417480814987</v>
      </c>
      <c r="G35" s="17">
        <f t="shared" si="0"/>
        <v>0.63520667463421687</v>
      </c>
      <c r="H35" s="17">
        <f t="shared" si="1"/>
        <v>-9.9624998260670061E-3</v>
      </c>
      <c r="I35" s="57">
        <f t="shared" si="2"/>
        <v>2.8588710946649817E-2</v>
      </c>
      <c r="J35" s="35">
        <f t="shared" si="3"/>
        <v>1.0517932060015624E-4</v>
      </c>
    </row>
    <row r="36" spans="1:10">
      <c r="A36" s="2" t="str">
        <f>'11_문서단위'!A36</f>
        <v>RPT-01</v>
      </c>
      <c r="B36" s="33">
        <v>1</v>
      </c>
      <c r="C36" s="17">
        <f>'11_문서단위'!F36</f>
        <v>1</v>
      </c>
      <c r="D36" s="17">
        <f>'11_문서단위'!G36</f>
        <v>0</v>
      </c>
      <c r="E36" s="17">
        <f>'11_문서단위'!E36</f>
        <v>813</v>
      </c>
      <c r="F36" s="17">
        <f>'11_문서단위'!B36</f>
        <v>0.65410233648359395</v>
      </c>
      <c r="G36" s="17">
        <f t="shared" si="0"/>
        <v>0.63853176758823782</v>
      </c>
      <c r="H36" s="17">
        <f t="shared" si="1"/>
        <v>1.5570568895356129E-2</v>
      </c>
      <c r="I36" s="57">
        <f t="shared" si="2"/>
        <v>3.3821323560909264E-2</v>
      </c>
      <c r="J36" s="35">
        <f t="shared" si="3"/>
        <v>2.597132244560146E-4</v>
      </c>
    </row>
    <row r="37" spans="1:10">
      <c r="A37" s="2" t="str">
        <f>'11_문서단위'!A37</f>
        <v>RPT-02</v>
      </c>
      <c r="B37" s="33">
        <v>1</v>
      </c>
      <c r="C37" s="17">
        <f>'11_문서단위'!F37</f>
        <v>0.89473684210526305</v>
      </c>
      <c r="D37" s="17">
        <f>'11_문서단위'!G37</f>
        <v>9.1160568819414603E-2</v>
      </c>
      <c r="E37" s="17">
        <f>'11_문서단위'!E37</f>
        <v>728.33333333333303</v>
      </c>
      <c r="F37" s="17">
        <f>'11_문서단위'!B37</f>
        <v>0.62665583414514892</v>
      </c>
      <c r="G37" s="17">
        <f t="shared" ref="G37:G69" si="4">$B37*$B$92+$C37*$B$93+$D37*$B$94+$E37*$B$95</f>
        <v>0.6372755540447167</v>
      </c>
      <c r="H37" s="17">
        <f t="shared" ref="H37:H68" si="5">F37-G37</f>
        <v>-1.0619719899567781E-2</v>
      </c>
      <c r="I37" s="57">
        <f t="shared" ref="I37:I69" si="6">SUMPRODUCT(MMULT(B37:E37,$B$80:$E$83),B37:E37)</f>
        <v>6.1003808798249681E-2</v>
      </c>
      <c r="J37" s="35">
        <f t="shared" ref="J37:J68" si="7">(H37/(1-I37))^2</f>
        <v>1.2790822228471349E-4</v>
      </c>
    </row>
    <row r="38" spans="1:10">
      <c r="A38" s="2" t="str">
        <f>'11_문서단위'!A38</f>
        <v>RPT-03</v>
      </c>
      <c r="B38" s="33">
        <v>1</v>
      </c>
      <c r="C38" s="17">
        <f>'11_문서단위'!F38</f>
        <v>0.68421052631579005</v>
      </c>
      <c r="D38" s="17">
        <f>'11_문서단위'!G38</f>
        <v>0.27348170645824399</v>
      </c>
      <c r="E38" s="17">
        <f>'11_문서단위'!E38</f>
        <v>806.33333333333303</v>
      </c>
      <c r="F38" s="17">
        <f>'11_문서단위'!B38</f>
        <v>0.6466655530699873</v>
      </c>
      <c r="G38" s="17">
        <f t="shared" si="4"/>
        <v>0.61080954470637849</v>
      </c>
      <c r="H38" s="17">
        <f t="shared" si="5"/>
        <v>3.5856008363608805E-2</v>
      </c>
      <c r="I38" s="57">
        <f t="shared" si="6"/>
        <v>5.7452347615900123E-2</v>
      </c>
      <c r="J38" s="35">
        <f t="shared" si="7"/>
        <v>1.4471623288694448E-3</v>
      </c>
    </row>
    <row r="39" spans="1:10">
      <c r="A39" s="2" t="str">
        <f>'11_문서단위'!A39</f>
        <v>RPT-04</v>
      </c>
      <c r="B39" s="33">
        <v>1</v>
      </c>
      <c r="C39" s="17">
        <f>'11_문서단위'!F39</f>
        <v>1</v>
      </c>
      <c r="D39" s="17">
        <f>'11_문서단위'!G39</f>
        <v>0</v>
      </c>
      <c r="E39" s="17">
        <f>'11_문서단위'!E39</f>
        <v>891.66666666666697</v>
      </c>
      <c r="F39" s="17">
        <f>'11_문서단위'!B39</f>
        <v>0.59079009450712017</v>
      </c>
      <c r="G39" s="17">
        <f t="shared" si="4"/>
        <v>0.63091310800426748</v>
      </c>
      <c r="H39" s="17">
        <f t="shared" si="5"/>
        <v>-4.0123013497147308E-2</v>
      </c>
      <c r="I39" s="57">
        <f t="shared" si="6"/>
        <v>2.9188915931970143E-2</v>
      </c>
      <c r="J39" s="35">
        <f t="shared" si="7"/>
        <v>1.7081170803353119E-3</v>
      </c>
    </row>
    <row r="40" spans="1:10">
      <c r="A40" s="2" t="str">
        <f>'11_문서단위'!A40</f>
        <v>RPT-05</v>
      </c>
      <c r="B40" s="33">
        <v>1</v>
      </c>
      <c r="C40" s="17">
        <f>'11_문서단위'!F40</f>
        <v>0.74561403508771895</v>
      </c>
      <c r="D40" s="17">
        <f>'11_문서단위'!G40</f>
        <v>0.220697291673844</v>
      </c>
      <c r="E40" s="17">
        <f>'11_문서단위'!E40</f>
        <v>912.33333333333303</v>
      </c>
      <c r="F40" s="17">
        <f>'11_문서단위'!B40</f>
        <v>0.59549529608768192</v>
      </c>
      <c r="G40" s="17">
        <f t="shared" si="4"/>
        <v>0.60613213730433513</v>
      </c>
      <c r="H40" s="17">
        <f t="shared" si="5"/>
        <v>-1.0636841216653203E-2</v>
      </c>
      <c r="I40" s="57">
        <f t="shared" si="6"/>
        <v>2.9873935060375653E-2</v>
      </c>
      <c r="J40" s="35">
        <f t="shared" si="7"/>
        <v>1.2021786370257268E-4</v>
      </c>
    </row>
    <row r="41" spans="1:10">
      <c r="A41" s="2" t="str">
        <f>'11_문서단위'!A41</f>
        <v>RPT-06</v>
      </c>
      <c r="B41" s="33">
        <v>1</v>
      </c>
      <c r="C41" s="17">
        <f>'11_문서단위'!F41</f>
        <v>0.785406698564593</v>
      </c>
      <c r="D41" s="17">
        <f>'11_문서단위'!G41</f>
        <v>0.186607011363705</v>
      </c>
      <c r="E41" s="17">
        <f>'11_문서단위'!E41</f>
        <v>928.33333333333303</v>
      </c>
      <c r="F41" s="17">
        <f>'11_문서단위'!B41</f>
        <v>0.60323865925983933</v>
      </c>
      <c r="G41" s="17">
        <f t="shared" si="4"/>
        <v>0.60822570641393026</v>
      </c>
      <c r="H41" s="17">
        <f t="shared" si="5"/>
        <v>-4.9870471540909289E-3</v>
      </c>
      <c r="I41" s="57">
        <f t="shared" si="6"/>
        <v>2.6396286271236399E-2</v>
      </c>
      <c r="J41" s="35">
        <f t="shared" si="7"/>
        <v>2.6237503265756949E-5</v>
      </c>
    </row>
    <row r="42" spans="1:10">
      <c r="A42" s="2" t="str">
        <f>'11_문서단위'!A42</f>
        <v>RPT-07</v>
      </c>
      <c r="B42" s="33">
        <v>1</v>
      </c>
      <c r="C42" s="17">
        <f>'11_문서단위'!F42</f>
        <v>0.73684210526315796</v>
      </c>
      <c r="D42" s="17">
        <f>'11_문서단위'!G42</f>
        <v>0.227901422048536</v>
      </c>
      <c r="E42" s="17">
        <f>'11_문서단위'!E42</f>
        <v>954.33333333333303</v>
      </c>
      <c r="F42" s="17">
        <f>'11_문서단위'!B42</f>
        <v>0.61618621855916977</v>
      </c>
      <c r="G42" s="17">
        <f t="shared" si="4"/>
        <v>0.60120411296916187</v>
      </c>
      <c r="H42" s="17">
        <f t="shared" si="5"/>
        <v>1.4982105590007899E-2</v>
      </c>
      <c r="I42" s="57">
        <f t="shared" si="6"/>
        <v>3.9810612503465598E-2</v>
      </c>
      <c r="J42" s="35">
        <f t="shared" si="7"/>
        <v>2.4346240278493684E-4</v>
      </c>
    </row>
    <row r="43" spans="1:10">
      <c r="A43" s="2" t="str">
        <f>'11_문서단위'!A43</f>
        <v>RPT-08</v>
      </c>
      <c r="B43" s="33">
        <v>1</v>
      </c>
      <c r="C43" s="17">
        <f>'11_문서단위'!F43</f>
        <v>1</v>
      </c>
      <c r="D43" s="17">
        <f>'11_문서단위'!G43</f>
        <v>0</v>
      </c>
      <c r="E43" s="17">
        <f>'11_문서단위'!E43</f>
        <v>752</v>
      </c>
      <c r="F43" s="17">
        <f>'11_문서단위'!B43</f>
        <v>0.65262924115103382</v>
      </c>
      <c r="G43" s="17">
        <f t="shared" si="4"/>
        <v>0.64443945701140115</v>
      </c>
      <c r="H43" s="17">
        <f t="shared" si="5"/>
        <v>8.189784139632672E-3</v>
      </c>
      <c r="I43" s="57">
        <f t="shared" si="6"/>
        <v>5.5385348688368363E-2</v>
      </c>
      <c r="J43" s="35">
        <f t="shared" si="7"/>
        <v>7.5168443153315499E-5</v>
      </c>
    </row>
    <row r="44" spans="1:10">
      <c r="A44" s="2" t="str">
        <f>'11_문서단위'!A44</f>
        <v>RPT-09</v>
      </c>
      <c r="B44" s="33">
        <v>1</v>
      </c>
      <c r="C44" s="17">
        <f>'11_문서단위'!F44</f>
        <v>1</v>
      </c>
      <c r="D44" s="17">
        <f>'11_문서단위'!G44</f>
        <v>0</v>
      </c>
      <c r="E44" s="17">
        <f>'11_문서단위'!E44</f>
        <v>777</v>
      </c>
      <c r="F44" s="17">
        <f>'11_문서단위'!B44</f>
        <v>0.63306378873524649</v>
      </c>
      <c r="G44" s="17">
        <f t="shared" si="4"/>
        <v>0.64201827282158008</v>
      </c>
      <c r="H44" s="17">
        <f t="shared" si="5"/>
        <v>-8.9544840863335917E-3</v>
      </c>
      <c r="I44" s="57">
        <f t="shared" si="6"/>
        <v>4.4649114160322301E-2</v>
      </c>
      <c r="J44" s="35">
        <f t="shared" si="7"/>
        <v>8.7852741137213705E-5</v>
      </c>
    </row>
    <row r="45" spans="1:10">
      <c r="A45" s="2" t="str">
        <f>'11_문서단위'!A45</f>
        <v>RPT-10</v>
      </c>
      <c r="B45" s="33">
        <v>1</v>
      </c>
      <c r="C45" s="17">
        <f>'11_문서단위'!F45</f>
        <v>0.68421052631579005</v>
      </c>
      <c r="D45" s="17">
        <f>'11_문서단위'!G45</f>
        <v>0.27348170645824399</v>
      </c>
      <c r="E45" s="17">
        <f>'11_문서단위'!E45</f>
        <v>958.33333333333303</v>
      </c>
      <c r="F45" s="17">
        <f>'11_문서단위'!B45</f>
        <v>0.58067903779987018</v>
      </c>
      <c r="G45" s="17">
        <f t="shared" si="4"/>
        <v>0.59608874483226648</v>
      </c>
      <c r="H45" s="17">
        <f t="shared" si="5"/>
        <v>-1.5409707032396303E-2</v>
      </c>
      <c r="I45" s="57">
        <f t="shared" si="6"/>
        <v>5.2727449368395921E-2</v>
      </c>
      <c r="J45" s="35">
        <f t="shared" si="7"/>
        <v>2.6462986694576751E-4</v>
      </c>
    </row>
    <row r="46" spans="1:10">
      <c r="A46" s="2" t="str">
        <f>'11_문서단위'!A46</f>
        <v>RPT-11</v>
      </c>
      <c r="B46" s="33">
        <v>1</v>
      </c>
      <c r="C46" s="17">
        <f>'11_문서단위'!F46</f>
        <v>0.76315789473684204</v>
      </c>
      <c r="D46" s="17">
        <f>'11_문서단위'!G46</f>
        <v>0.20511127984368299</v>
      </c>
      <c r="E46" s="17">
        <f>'11_문서단위'!E46</f>
        <v>780.66666666666697</v>
      </c>
      <c r="F46" s="17">
        <f>'11_문서단위'!B46</f>
        <v>0.64062613178467609</v>
      </c>
      <c r="G46" s="17">
        <f t="shared" si="4"/>
        <v>0.62038726180771409</v>
      </c>
      <c r="H46" s="17">
        <f t="shared" si="5"/>
        <v>2.0238869976962004E-2</v>
      </c>
      <c r="I46" s="57">
        <f t="shared" si="6"/>
        <v>4.7476261286219484E-2</v>
      </c>
      <c r="J46" s="35">
        <f t="shared" si="7"/>
        <v>4.5146169186112585E-4</v>
      </c>
    </row>
    <row r="47" spans="1:10">
      <c r="A47" s="2" t="str">
        <f>'11_문서단위'!A47</f>
        <v>RPT-12</v>
      </c>
      <c r="B47" s="33">
        <v>1</v>
      </c>
      <c r="C47" s="17">
        <f>'11_문서단위'!F47</f>
        <v>0.68421052631579005</v>
      </c>
      <c r="D47" s="17">
        <f>'11_문서단위'!G47</f>
        <v>0.27348170645824399</v>
      </c>
      <c r="E47" s="17">
        <f>'11_문서단위'!E47</f>
        <v>847</v>
      </c>
      <c r="F47" s="17">
        <f>'11_문서단위'!B47</f>
        <v>0.60283894027502083</v>
      </c>
      <c r="G47" s="17">
        <f t="shared" si="4"/>
        <v>0.60687108509093624</v>
      </c>
      <c r="H47" s="17">
        <f t="shared" si="5"/>
        <v>-4.0321448159154061E-3</v>
      </c>
      <c r="I47" s="57">
        <f t="shared" si="6"/>
        <v>4.6637506038084697E-2</v>
      </c>
      <c r="J47" s="35">
        <f t="shared" si="7"/>
        <v>1.7887766545794826E-5</v>
      </c>
    </row>
    <row r="48" spans="1:10">
      <c r="A48" s="2" t="str">
        <f>'11_문서단위'!A48</f>
        <v>RPT-13</v>
      </c>
      <c r="B48" s="33">
        <v>1</v>
      </c>
      <c r="C48" s="17">
        <f>'11_문서단위'!F48</f>
        <v>0.68421052631579005</v>
      </c>
      <c r="D48" s="17">
        <f>'11_문서단위'!G48</f>
        <v>0.27348170645824399</v>
      </c>
      <c r="E48" s="17">
        <f>'11_문서단위'!E48</f>
        <v>939.33333333333303</v>
      </c>
      <c r="F48" s="17">
        <f>'11_문서단위'!B48</f>
        <v>0.62318659423723</v>
      </c>
      <c r="G48" s="17">
        <f t="shared" si="4"/>
        <v>0.59792884481653052</v>
      </c>
      <c r="H48" s="17">
        <f t="shared" si="5"/>
        <v>2.5257749420699471E-2</v>
      </c>
      <c r="I48" s="57">
        <f t="shared" si="6"/>
        <v>4.7987441314771048E-2</v>
      </c>
      <c r="J48" s="35">
        <f t="shared" si="7"/>
        <v>7.0388862289963059E-4</v>
      </c>
    </row>
    <row r="49" spans="1:10">
      <c r="A49" s="2" t="str">
        <f>'11_문서단위'!A49</f>
        <v>RPT-14</v>
      </c>
      <c r="B49" s="33">
        <v>1</v>
      </c>
      <c r="C49" s="17">
        <f>'11_문서단위'!F49</f>
        <v>0.68421052631579005</v>
      </c>
      <c r="D49" s="17">
        <f>'11_문서단위'!G49</f>
        <v>0.27348170645824399</v>
      </c>
      <c r="E49" s="17">
        <f>'11_문서단위'!E49</f>
        <v>811.33333333333303</v>
      </c>
      <c r="F49" s="17">
        <f>'11_문서단위'!B49</f>
        <v>0.60280726112571659</v>
      </c>
      <c r="G49" s="17">
        <f t="shared" si="4"/>
        <v>0.61032530786841432</v>
      </c>
      <c r="H49" s="17">
        <f t="shared" si="5"/>
        <v>-7.5180467426977371E-3</v>
      </c>
      <c r="I49" s="57">
        <f t="shared" si="6"/>
        <v>5.5746465893412145E-2</v>
      </c>
      <c r="J49" s="35">
        <f t="shared" si="7"/>
        <v>6.3391759355959409E-5</v>
      </c>
    </row>
    <row r="50" spans="1:10">
      <c r="A50" s="2" t="str">
        <f>'11_문서단위'!A50</f>
        <v>RPT-15</v>
      </c>
      <c r="B50" s="33">
        <v>1</v>
      </c>
      <c r="C50" s="17">
        <f>'11_문서단위'!F50</f>
        <v>1</v>
      </c>
      <c r="D50" s="17">
        <f>'11_문서단위'!G50</f>
        <v>0</v>
      </c>
      <c r="E50" s="17">
        <f>'11_문서단위'!E50</f>
        <v>846</v>
      </c>
      <c r="F50" s="17">
        <f>'11_문서단위'!B50</f>
        <v>0.62570745946327455</v>
      </c>
      <c r="G50" s="17">
        <f t="shared" si="4"/>
        <v>0.63533580445767401</v>
      </c>
      <c r="H50" s="17">
        <f t="shared" si="5"/>
        <v>-9.6283449943994626E-3</v>
      </c>
      <c r="I50" s="57">
        <f t="shared" si="6"/>
        <v>2.8699102703822636E-2</v>
      </c>
      <c r="J50" s="35">
        <f t="shared" si="7"/>
        <v>9.8264286799754552E-5</v>
      </c>
    </row>
    <row r="51" spans="1:10">
      <c r="A51" s="2" t="str">
        <f>'11_문서단위'!A51</f>
        <v>RPT-16</v>
      </c>
      <c r="B51" s="33">
        <v>1</v>
      </c>
      <c r="C51" s="17">
        <f>'11_문서단위'!F51</f>
        <v>0.68421052631579005</v>
      </c>
      <c r="D51" s="17">
        <f>'11_문서단위'!G51</f>
        <v>0.27348170645824399</v>
      </c>
      <c r="E51" s="17">
        <f>'11_문서단위'!E51</f>
        <v>821.33333333333303</v>
      </c>
      <c r="F51" s="17">
        <f>'11_문서단위'!B51</f>
        <v>0.60418924677967389</v>
      </c>
      <c r="G51" s="17">
        <f t="shared" si="4"/>
        <v>0.60935683419248587</v>
      </c>
      <c r="H51" s="17">
        <f t="shared" si="5"/>
        <v>-5.1675874128119803E-3</v>
      </c>
      <c r="I51" s="57">
        <f t="shared" si="6"/>
        <v>5.2651122333748343E-2</v>
      </c>
      <c r="J51" s="35">
        <f t="shared" si="7"/>
        <v>2.9754713542604915E-5</v>
      </c>
    </row>
    <row r="52" spans="1:10">
      <c r="A52" s="2" t="str">
        <f>'11_문서단위'!A52</f>
        <v>RPT-17</v>
      </c>
      <c r="B52" s="33">
        <v>1</v>
      </c>
      <c r="C52" s="17">
        <f>'11_문서단위'!F52</f>
        <v>1</v>
      </c>
      <c r="D52" s="17">
        <f>'11_문서단위'!G52</f>
        <v>0</v>
      </c>
      <c r="E52" s="17">
        <f>'11_문서단위'!E52</f>
        <v>982.33333333333303</v>
      </c>
      <c r="F52" s="17">
        <f>'11_문서단위'!B52</f>
        <v>0.62970429380504178</v>
      </c>
      <c r="G52" s="17">
        <f t="shared" si="4"/>
        <v>0.62213228000918319</v>
      </c>
      <c r="H52" s="17">
        <f t="shared" si="5"/>
        <v>7.5720137958585898E-3</v>
      </c>
      <c r="I52" s="57">
        <f t="shared" si="6"/>
        <v>5.6236265460732016E-2</v>
      </c>
      <c r="J52" s="35">
        <f t="shared" si="7"/>
        <v>6.4371884477459017E-5</v>
      </c>
    </row>
    <row r="53" spans="1:10">
      <c r="A53" s="2" t="str">
        <f>'11_문서단위'!A53</f>
        <v>RPT-18</v>
      </c>
      <c r="B53" s="33">
        <v>1</v>
      </c>
      <c r="C53" s="17">
        <f>'11_문서단위'!F53</f>
        <v>0.68421052631579005</v>
      </c>
      <c r="D53" s="17">
        <f>'11_문서단위'!G53</f>
        <v>0.27348170645824399</v>
      </c>
      <c r="E53" s="17">
        <f>'11_문서단위'!E53</f>
        <v>947.33333333333303</v>
      </c>
      <c r="F53" s="17">
        <f>'11_문서단위'!B53</f>
        <v>0.59187892617329463</v>
      </c>
      <c r="G53" s="17">
        <f t="shared" si="4"/>
        <v>0.59715406587578779</v>
      </c>
      <c r="H53" s="17">
        <f t="shared" si="5"/>
        <v>-5.275139702493159E-3</v>
      </c>
      <c r="I53" s="57">
        <f t="shared" si="6"/>
        <v>4.9797601180072065E-2</v>
      </c>
      <c r="J53" s="35">
        <f t="shared" si="7"/>
        <v>3.0820216581579256E-5</v>
      </c>
    </row>
    <row r="54" spans="1:10">
      <c r="A54" s="2" t="str">
        <f>'11_문서단위'!A54</f>
        <v>RPT-19</v>
      </c>
      <c r="B54" s="33">
        <v>1</v>
      </c>
      <c r="C54" s="17">
        <f>'11_문서단위'!F54</f>
        <v>0.68421052631579005</v>
      </c>
      <c r="D54" s="17">
        <f>'11_문서단위'!G54</f>
        <v>0.27348170645824399</v>
      </c>
      <c r="E54" s="17">
        <f>'11_문서단위'!E54</f>
        <v>794.33333333333303</v>
      </c>
      <c r="F54" s="17">
        <f>'11_문서단위'!B54</f>
        <v>0.61304855840170958</v>
      </c>
      <c r="G54" s="17">
        <f t="shared" si="4"/>
        <v>0.61197171311749265</v>
      </c>
      <c r="H54" s="17">
        <f t="shared" si="5"/>
        <v>1.0768452842169207E-3</v>
      </c>
      <c r="I54" s="57">
        <f t="shared" si="6"/>
        <v>6.1976794793896312E-2</v>
      </c>
      <c r="J54" s="35">
        <f t="shared" si="7"/>
        <v>1.3178908917152617E-6</v>
      </c>
    </row>
    <row r="55" spans="1:10">
      <c r="A55" s="2" t="str">
        <f>'11_문서단위'!A55</f>
        <v>RPT-20</v>
      </c>
      <c r="B55" s="33">
        <v>1</v>
      </c>
      <c r="C55" s="17">
        <f>'11_문서단위'!F55</f>
        <v>1</v>
      </c>
      <c r="D55" s="17">
        <f>'11_문서단위'!G55</f>
        <v>0</v>
      </c>
      <c r="E55" s="17">
        <f>'11_문서단위'!E55</f>
        <v>1026</v>
      </c>
      <c r="F55" s="17">
        <f>'11_문서단위'!B55</f>
        <v>0.61748510840631665</v>
      </c>
      <c r="G55" s="17">
        <f t="shared" si="4"/>
        <v>0.61790327829096237</v>
      </c>
      <c r="H55" s="17">
        <f t="shared" si="5"/>
        <v>-4.1816988464571381E-4</v>
      </c>
      <c r="I55" s="57">
        <f t="shared" si="6"/>
        <v>8.1636638896467884E-2</v>
      </c>
      <c r="J55" s="35">
        <f t="shared" si="7"/>
        <v>2.0733680806580373E-7</v>
      </c>
    </row>
    <row r="56" spans="1:10">
      <c r="A56" s="2" t="str">
        <f>'11_문서단위'!A56</f>
        <v>RPT-21</v>
      </c>
      <c r="B56" s="33">
        <v>1</v>
      </c>
      <c r="C56" s="17">
        <f>'11_문서단위'!F56</f>
        <v>1</v>
      </c>
      <c r="D56" s="17">
        <f>'11_문서단위'!G56</f>
        <v>0</v>
      </c>
      <c r="E56" s="17">
        <f>'11_문서단위'!E56</f>
        <v>830.33333333333303</v>
      </c>
      <c r="F56" s="17">
        <f>'11_문서단위'!B56</f>
        <v>0.63196430597032061</v>
      </c>
      <c r="G56" s="17">
        <f t="shared" si="4"/>
        <v>0.6368530798832952</v>
      </c>
      <c r="H56" s="17">
        <f t="shared" si="5"/>
        <v>-4.8887739129745977E-3</v>
      </c>
      <c r="I56" s="57">
        <f t="shared" si="6"/>
        <v>3.0558026935857768E-2</v>
      </c>
      <c r="J56" s="35">
        <f t="shared" si="7"/>
        <v>2.5430580182588891E-5</v>
      </c>
    </row>
    <row r="57" spans="1:10">
      <c r="A57" s="2" t="str">
        <f>'11_문서단위'!A57</f>
        <v>RPT-22</v>
      </c>
      <c r="B57" s="33">
        <v>1</v>
      </c>
      <c r="C57" s="17">
        <f>'11_문서단위'!F57</f>
        <v>1</v>
      </c>
      <c r="D57" s="17">
        <f>'11_문서단위'!G57</f>
        <v>0</v>
      </c>
      <c r="E57" s="17">
        <f>'11_문서단위'!E57</f>
        <v>743</v>
      </c>
      <c r="F57" s="17">
        <f>'11_문서단위'!B57</f>
        <v>0.63289562029772095</v>
      </c>
      <c r="G57" s="17">
        <f t="shared" si="4"/>
        <v>0.64531108331973674</v>
      </c>
      <c r="H57" s="17">
        <f t="shared" si="5"/>
        <v>-1.2415463022015794E-2</v>
      </c>
      <c r="I57" s="57">
        <f t="shared" si="6"/>
        <v>5.9895889684501963E-2</v>
      </c>
      <c r="J57" s="35">
        <f t="shared" si="7"/>
        <v>1.7441102664670437E-4</v>
      </c>
    </row>
    <row r="58" spans="1:10">
      <c r="A58" s="2" t="str">
        <f>'11_문서단위'!A58</f>
        <v>RPT-23</v>
      </c>
      <c r="B58" s="33">
        <v>1</v>
      </c>
      <c r="C58" s="17">
        <f>'11_문서단위'!F58</f>
        <v>1</v>
      </c>
      <c r="D58" s="17">
        <f>'11_문서단위'!G58</f>
        <v>0</v>
      </c>
      <c r="E58" s="17">
        <f>'11_문서단위'!E58</f>
        <v>1045.3333333333301</v>
      </c>
      <c r="F58" s="17">
        <f>'11_문서단위'!B58</f>
        <v>0.62669076617666686</v>
      </c>
      <c r="G58" s="17">
        <f t="shared" si="4"/>
        <v>0.61603089585083448</v>
      </c>
      <c r="H58" s="17">
        <f t="shared" si="5"/>
        <v>1.0659870325832377E-2</v>
      </c>
      <c r="I58" s="57">
        <f t="shared" si="6"/>
        <v>9.5451935229878937E-2</v>
      </c>
      <c r="J58" s="35">
        <f t="shared" si="7"/>
        <v>1.3888026792981803E-4</v>
      </c>
    </row>
    <row r="59" spans="1:10">
      <c r="A59" s="2" t="str">
        <f>'11_문서단위'!A59</f>
        <v>RPT-24</v>
      </c>
      <c r="B59" s="33">
        <v>1</v>
      </c>
      <c r="C59" s="17">
        <f>'11_문서단위'!F59</f>
        <v>0.68530701754386003</v>
      </c>
      <c r="D59" s="17">
        <f>'11_문서단위'!G59</f>
        <v>0.20826118325901999</v>
      </c>
      <c r="E59" s="17">
        <f>'11_문서단위'!E59</f>
        <v>942.66666666666697</v>
      </c>
      <c r="F59" s="17">
        <f>'11_문서단위'!B59</f>
        <v>0.59648836236733849</v>
      </c>
      <c r="G59" s="17">
        <f t="shared" si="4"/>
        <v>0.58584542574045306</v>
      </c>
      <c r="H59" s="17">
        <f t="shared" si="5"/>
        <v>1.0642936626885424E-2</v>
      </c>
      <c r="I59" s="57">
        <f t="shared" si="6"/>
        <v>4.789261033801212E-2</v>
      </c>
      <c r="J59" s="35">
        <f t="shared" si="7"/>
        <v>1.2495426392795025E-4</v>
      </c>
    </row>
    <row r="60" spans="1:10">
      <c r="A60" s="2" t="str">
        <f>'11_문서단위'!A60</f>
        <v>RPT-25</v>
      </c>
      <c r="B60" s="33">
        <v>1</v>
      </c>
      <c r="C60" s="17">
        <f>'11_문서단위'!F60</f>
        <v>1</v>
      </c>
      <c r="D60" s="17">
        <f>'11_문서단위'!G60</f>
        <v>0</v>
      </c>
      <c r="E60" s="17">
        <f>'11_문서단위'!E60</f>
        <v>789.66666666666697</v>
      </c>
      <c r="F60" s="17">
        <f>'11_문서단위'!B60</f>
        <v>0.65101721971000137</v>
      </c>
      <c r="G60" s="17">
        <f t="shared" si="4"/>
        <v>0.64079153949873735</v>
      </c>
      <c r="H60" s="17">
        <f t="shared" si="5"/>
        <v>1.0225680211264021E-2</v>
      </c>
      <c r="I60" s="57">
        <f t="shared" si="6"/>
        <v>4.0215871619838972E-2</v>
      </c>
      <c r="J60" s="35">
        <f t="shared" si="7"/>
        <v>1.1351082652351504E-4</v>
      </c>
    </row>
    <row r="61" spans="1:10">
      <c r="A61" s="2" t="str">
        <f>'11_문서단위'!A61</f>
        <v>RPT-26</v>
      </c>
      <c r="B61" s="33">
        <v>1</v>
      </c>
      <c r="C61" s="17">
        <f>'11_문서단위'!F61</f>
        <v>0.68421052631579005</v>
      </c>
      <c r="D61" s="17">
        <f>'11_문서단위'!G61</f>
        <v>0.27348170645824399</v>
      </c>
      <c r="E61" s="17">
        <f>'11_문서단위'!E61</f>
        <v>976.33333333333303</v>
      </c>
      <c r="F61" s="17">
        <f>'11_문서단위'!B61</f>
        <v>0.55198664104283635</v>
      </c>
      <c r="G61" s="17">
        <f t="shared" si="4"/>
        <v>0.59434549221559529</v>
      </c>
      <c r="H61" s="17">
        <f t="shared" si="5"/>
        <v>-4.2358851172758949E-2</v>
      </c>
      <c r="I61" s="57">
        <f t="shared" si="6"/>
        <v>5.8622887604722007E-2</v>
      </c>
      <c r="J61" s="35">
        <f t="shared" si="7"/>
        <v>2.024701831162381E-3</v>
      </c>
    </row>
    <row r="62" spans="1:10">
      <c r="A62" s="2" t="str">
        <f>'11_문서단위'!A62</f>
        <v>RPT-27</v>
      </c>
      <c r="B62" s="33">
        <v>1</v>
      </c>
      <c r="C62" s="17">
        <f>'11_문서단위'!F62</f>
        <v>1</v>
      </c>
      <c r="D62" s="17">
        <f>'11_문서단위'!G62</f>
        <v>0</v>
      </c>
      <c r="E62" s="17">
        <f>'11_문서단위'!E62</f>
        <v>1014</v>
      </c>
      <c r="F62" s="17">
        <f>'11_문서단위'!B62</f>
        <v>0.62226060959893992</v>
      </c>
      <c r="G62" s="17">
        <f t="shared" si="4"/>
        <v>0.61906544670207653</v>
      </c>
      <c r="H62" s="17">
        <f t="shared" si="5"/>
        <v>3.1951628968633905E-3</v>
      </c>
      <c r="I62" s="57">
        <f t="shared" si="6"/>
        <v>7.3854786558359975E-2</v>
      </c>
      <c r="J62" s="35">
        <f t="shared" si="7"/>
        <v>1.1902216225867684E-5</v>
      </c>
    </row>
    <row r="63" spans="1:10">
      <c r="A63" s="2" t="str">
        <f>'11_문서단위'!A63</f>
        <v>RPT-28</v>
      </c>
      <c r="B63" s="33">
        <v>1</v>
      </c>
      <c r="C63" s="17">
        <f>'11_문서단위'!F63</f>
        <v>1</v>
      </c>
      <c r="D63" s="17">
        <f>'11_문서단위'!G63</f>
        <v>0</v>
      </c>
      <c r="E63" s="17">
        <f>'11_문서단위'!E63</f>
        <v>960.33333333333303</v>
      </c>
      <c r="F63" s="17">
        <f>'11_문서단위'!B63</f>
        <v>0.63414830485344598</v>
      </c>
      <c r="G63" s="17">
        <f t="shared" si="4"/>
        <v>0.62426292209622569</v>
      </c>
      <c r="H63" s="17">
        <f t="shared" si="5"/>
        <v>9.8853827572202846E-3</v>
      </c>
      <c r="I63" s="57">
        <f t="shared" si="6"/>
        <v>4.6486605825859811E-2</v>
      </c>
      <c r="J63" s="35">
        <f t="shared" si="7"/>
        <v>1.0748141695604091E-4</v>
      </c>
    </row>
    <row r="64" spans="1:10">
      <c r="A64" s="2" t="str">
        <f>'11_문서단위'!A64</f>
        <v>RPT-29</v>
      </c>
      <c r="B64" s="33">
        <v>1</v>
      </c>
      <c r="C64" s="17">
        <f>'11_문서단위'!F64</f>
        <v>1</v>
      </c>
      <c r="D64" s="17">
        <f>'11_문서단위'!G64</f>
        <v>0</v>
      </c>
      <c r="E64" s="17">
        <f>'11_문서단위'!E64</f>
        <v>1074.3333333333301</v>
      </c>
      <c r="F64" s="17">
        <f>'11_문서단위'!B64</f>
        <v>0.61879995419595202</v>
      </c>
      <c r="G64" s="17">
        <f t="shared" si="4"/>
        <v>0.61322232219064199</v>
      </c>
      <c r="H64" s="17">
        <f t="shared" si="5"/>
        <v>5.5776320053100292E-3</v>
      </c>
      <c r="I64" s="57">
        <f t="shared" si="6"/>
        <v>0.11913164776941815</v>
      </c>
      <c r="J64" s="35">
        <f t="shared" si="7"/>
        <v>4.0093844440841868E-5</v>
      </c>
    </row>
    <row r="65" spans="1:10">
      <c r="A65" s="2" t="str">
        <f>'11_문서단위'!A65</f>
        <v>RPT-30</v>
      </c>
      <c r="B65" s="33">
        <v>1</v>
      </c>
      <c r="C65" s="17">
        <f>'11_문서단위'!F65</f>
        <v>0.68421052631579005</v>
      </c>
      <c r="D65" s="17">
        <f>'11_문서단위'!G65</f>
        <v>0.27348170645824399</v>
      </c>
      <c r="E65" s="17">
        <f>'11_문서단위'!E65</f>
        <v>874.33333333333303</v>
      </c>
      <c r="F65" s="17">
        <f>'11_문서단위'!B65</f>
        <v>0.59645974942993663</v>
      </c>
      <c r="G65" s="17">
        <f t="shared" si="4"/>
        <v>0.60422392371006528</v>
      </c>
      <c r="H65" s="17">
        <f t="shared" si="5"/>
        <v>-7.7641742801286551E-3</v>
      </c>
      <c r="I65" s="57">
        <f t="shared" si="6"/>
        <v>4.3289308114584472E-2</v>
      </c>
      <c r="J65" s="35">
        <f t="shared" si="7"/>
        <v>6.5861147864511378E-5</v>
      </c>
    </row>
    <row r="66" spans="1:10">
      <c r="A66" s="2" t="str">
        <f>'11_문서단위'!A66</f>
        <v>RPT-31</v>
      </c>
      <c r="B66" s="33">
        <v>1</v>
      </c>
      <c r="C66" s="17">
        <f>'11_문서단위'!F66</f>
        <v>1</v>
      </c>
      <c r="D66" s="17">
        <f>'11_문서단위'!G66</f>
        <v>0</v>
      </c>
      <c r="E66" s="17">
        <f>'11_문서단위'!E66</f>
        <v>779.33333333333303</v>
      </c>
      <c r="F66" s="17">
        <f>'11_문서단위'!B66</f>
        <v>0.64405276467468509</v>
      </c>
      <c r="G66" s="17">
        <f t="shared" si="4"/>
        <v>0.6417922956305302</v>
      </c>
      <c r="H66" s="17">
        <f t="shared" si="5"/>
        <v>2.2604690441548891E-3</v>
      </c>
      <c r="I66" s="57">
        <f t="shared" si="6"/>
        <v>4.3781602651904311E-2</v>
      </c>
      <c r="J66" s="35">
        <f t="shared" si="7"/>
        <v>5.5883415001205909E-6</v>
      </c>
    </row>
    <row r="67" spans="1:10">
      <c r="A67" s="2" t="str">
        <f>'11_문서단위'!A67</f>
        <v>RPT-32</v>
      </c>
      <c r="B67" s="33">
        <v>1</v>
      </c>
      <c r="C67" s="17">
        <f>'11_문서단위'!F67</f>
        <v>1</v>
      </c>
      <c r="D67" s="17">
        <f>'11_문서단위'!G67</f>
        <v>0</v>
      </c>
      <c r="E67" s="17">
        <f>'11_문서단위'!E67</f>
        <v>834.33333333333303</v>
      </c>
      <c r="F67" s="17">
        <f>'11_문서단위'!B67</f>
        <v>0.61507461565100918</v>
      </c>
      <c r="G67" s="17">
        <f t="shared" si="4"/>
        <v>0.63646569041292378</v>
      </c>
      <c r="H67" s="17">
        <f t="shared" si="5"/>
        <v>-2.1391074761914597E-2</v>
      </c>
      <c r="I67" s="57">
        <f t="shared" si="6"/>
        <v>2.9984966240900683E-2</v>
      </c>
      <c r="J67" s="35">
        <f t="shared" si="7"/>
        <v>4.8630449149732625E-4</v>
      </c>
    </row>
    <row r="68" spans="1:10">
      <c r="A68" s="2" t="str">
        <f>'11_문서단위'!A68</f>
        <v>RPT-33</v>
      </c>
      <c r="B68" s="33">
        <v>1</v>
      </c>
      <c r="C68" s="17">
        <f>'11_문서단위'!F68</f>
        <v>0.74210526315789505</v>
      </c>
      <c r="D68" s="17">
        <f>'11_문서단위'!G68</f>
        <v>0.223482881532233</v>
      </c>
      <c r="E68" s="17">
        <f>'11_문서단위'!E68</f>
        <v>815.66666666666697</v>
      </c>
      <c r="F68" s="17">
        <f>'11_문서단위'!B68</f>
        <v>0.60889575563148102</v>
      </c>
      <c r="G68" s="17">
        <f t="shared" si="4"/>
        <v>0.61513215039947178</v>
      </c>
      <c r="H68" s="17">
        <f t="shared" si="5"/>
        <v>-6.2363947679907605E-3</v>
      </c>
      <c r="I68" s="57">
        <f t="shared" si="6"/>
        <v>3.917798429637491E-2</v>
      </c>
      <c r="J68" s="35">
        <f t="shared" si="7"/>
        <v>4.2129015048061819E-5</v>
      </c>
    </row>
    <row r="69" spans="1:10">
      <c r="A69" s="2" t="str">
        <f>'11_문서단위'!A69</f>
        <v>RPT-34</v>
      </c>
      <c r="B69" s="33">
        <v>1</v>
      </c>
      <c r="C69" s="17">
        <f>'11_문서단위'!F69</f>
        <v>0.68421052631579005</v>
      </c>
      <c r="D69" s="17">
        <f>'11_문서단위'!G69</f>
        <v>0.27348170645824399</v>
      </c>
      <c r="E69" s="17">
        <f>'11_문서단위'!E69</f>
        <v>983.66666666666697</v>
      </c>
      <c r="F69" s="17">
        <f>'11_문서단위'!B69</f>
        <v>0.60169584010639265</v>
      </c>
      <c r="G69" s="17">
        <f t="shared" si="4"/>
        <v>0.59363527818658113</v>
      </c>
      <c r="H69" s="17">
        <f t="shared" ref="H69:H100" si="8">F69-G69</f>
        <v>8.0605619198115264E-3</v>
      </c>
      <c r="I69" s="57">
        <f t="shared" si="6"/>
        <v>6.1416624699701133E-2</v>
      </c>
      <c r="J69" s="35">
        <f t="shared" ref="J69:J100" si="9">(H69/(1-I69))^2</f>
        <v>7.3753888436439404E-5</v>
      </c>
    </row>
    <row r="72" spans="1:10">
      <c r="A72" s="26" t="s">
        <v>596</v>
      </c>
    </row>
    <row r="73" spans="1:10">
      <c r="A73" s="11" t="s">
        <v>597</v>
      </c>
    </row>
    <row r="74" spans="1:10">
      <c r="A74" s="11" t="s">
        <v>558</v>
      </c>
      <c r="B74" s="28">
        <f>SUMPRODUCT($B$5:$B$69,$B$5:$B$69)</f>
        <v>65</v>
      </c>
      <c r="C74" s="28">
        <f>SUMPRODUCT($B$5:$B$69,$C$5:$C$69)</f>
        <v>55.752104693552056</v>
      </c>
      <c r="D74" s="28">
        <f>SUMPRODUCT($B$5:$B$69,$D$5:$D$69)</f>
        <v>7.406802480283134</v>
      </c>
      <c r="E74" s="28">
        <f>SUMPRODUCT($B$5:$B$69,$E$5:$E$69)</f>
        <v>56800.333333333343</v>
      </c>
    </row>
    <row r="75" spans="1:10">
      <c r="A75" s="11" t="s">
        <v>559</v>
      </c>
      <c r="B75" s="28">
        <f>SUMPRODUCT($C$5:$C$69,$B$5:$B$69)</f>
        <v>55.752104693552056</v>
      </c>
      <c r="C75" s="28">
        <f>SUMPRODUCT($C$5:$C$69,$C$5:$C$69)</f>
        <v>49.695827347775655</v>
      </c>
      <c r="D75" s="28">
        <f>SUMPRODUCT($C$5:$C$69,$D$5:$D$69)</f>
        <v>5.0442224986412105</v>
      </c>
      <c r="E75" s="28">
        <f>SUMPRODUCT($C$5:$C$69,$E$5:$E$69)</f>
        <v>48681.808629528387</v>
      </c>
    </row>
    <row r="76" spans="1:10">
      <c r="A76" s="11" t="s">
        <v>560</v>
      </c>
      <c r="B76" s="28">
        <f>SUMPRODUCT($D$5:$D$69,$B$5:$B$69)</f>
        <v>7.406802480283134</v>
      </c>
      <c r="C76" s="28">
        <f>SUMPRODUCT($D$5:$D$69,$C$5:$C$69)</f>
        <v>5.0442224986412105</v>
      </c>
      <c r="D76" s="28">
        <f>SUMPRODUCT($D$5:$D$69,$D$5:$D$69)</f>
        <v>1.8874556547696937</v>
      </c>
      <c r="E76" s="28">
        <f>SUMPRODUCT($D$5:$D$69,$E$5:$E$69)</f>
        <v>6540.4496918650029</v>
      </c>
    </row>
    <row r="77" spans="1:10">
      <c r="A77" s="11" t="s">
        <v>598</v>
      </c>
      <c r="B77" s="28">
        <f>SUMPRODUCT($E$5:$E$69,$B$5:$B$69)</f>
        <v>56800.333333333343</v>
      </c>
      <c r="C77" s="28">
        <f>SUMPRODUCT($E$5:$E$69,$C$5:$C$69)</f>
        <v>48681.808629528387</v>
      </c>
      <c r="D77" s="28">
        <f>SUMPRODUCT($E$5:$E$69,$D$5:$D$69)</f>
        <v>6540.4496918650029</v>
      </c>
      <c r="E77" s="28">
        <f>SUMPRODUCT($E$5:$E$69,$E$5:$E$69)</f>
        <v>50123387.888888858</v>
      </c>
    </row>
    <row r="79" spans="1:10">
      <c r="A79" s="26" t="s">
        <v>561</v>
      </c>
    </row>
    <row r="80" spans="1:10">
      <c r="B80" s="17">
        <f>INDEX(MINVERSE($B$74:$E$77),1,1)</f>
        <v>5.223629673420227</v>
      </c>
      <c r="C80" s="17">
        <f>INDEX(MINVERSE($B$74:$E$77),1,2)</f>
        <v>-3.9847890638736168</v>
      </c>
      <c r="D80" s="17">
        <f>INDEX(MINVERSE($B$74:$E$77),1,3)</f>
        <v>-5.0163601955774668</v>
      </c>
      <c r="E80" s="17">
        <f>INDEX(MINVERSE($B$74:$E$77),1,4)</f>
        <v>-1.3947165080530311E-3</v>
      </c>
    </row>
    <row r="81" spans="1:5">
      <c r="B81" s="17">
        <f>INDEX(MINVERSE($B$74:$E$77),2,1)</f>
        <v>-3.9847890638736212</v>
      </c>
      <c r="C81" s="17">
        <f>INDEX(MINVERSE($B$74:$E$77),2,2)</f>
        <v>4.3568491020694466</v>
      </c>
      <c r="D81" s="17">
        <f>INDEX(MINVERSE($B$74:$E$77),2,3)</f>
        <v>5.4929228275286333</v>
      </c>
      <c r="E81" s="17">
        <f>INDEX(MINVERSE($B$74:$E$77),2,4)</f>
        <v>-4.3269486464999989E-4</v>
      </c>
    </row>
    <row r="82" spans="1:5">
      <c r="B82" s="17">
        <f>INDEX(MINVERSE($B$74:$E$77),3,1)</f>
        <v>-5.016360195577473</v>
      </c>
      <c r="C82" s="17">
        <f>INDEX(MINVERSE($B$74:$E$77),3,2)</f>
        <v>5.4929228275286333</v>
      </c>
      <c r="D82" s="17">
        <f>INDEX(MINVERSE($B$74:$E$77),3,3)</f>
        <v>7.8923765338356366</v>
      </c>
      <c r="E82" s="17">
        <f>INDEX(MINVERSE($B$74:$E$77),3,4)</f>
        <v>-6.8020498578502697E-4</v>
      </c>
    </row>
    <row r="83" spans="1:5">
      <c r="B83" s="17">
        <f>INDEX(MINVERSE($B$74:$E$77),4,1)</f>
        <v>-1.3947165080530251E-3</v>
      </c>
      <c r="C83" s="17">
        <f>INDEX(MINVERSE($B$74:$E$77),4,2)</f>
        <v>-4.3269486465000607E-4</v>
      </c>
      <c r="D83" s="17">
        <f>INDEX(MINVERSE($B$74:$E$77),4,3)</f>
        <v>-6.8020498578503466E-4</v>
      </c>
      <c r="E83" s="17">
        <f>INDEX(MINVERSE($B$74:$E$77),4,4)</f>
        <v>2.1094659020825515E-6</v>
      </c>
    </row>
    <row r="85" spans="1:5">
      <c r="A85" s="26" t="s">
        <v>562</v>
      </c>
    </row>
    <row r="86" spans="1:5">
      <c r="A86" s="11" t="s">
        <v>563</v>
      </c>
      <c r="B86" s="28">
        <f>SUMPRODUCT($B$5:$B$69,$F$5:$F$69)</f>
        <v>40.179648465178431</v>
      </c>
    </row>
    <row r="87" spans="1:5">
      <c r="A87" s="11" t="s">
        <v>564</v>
      </c>
      <c r="B87" s="28">
        <f>SUMPRODUCT($C$5:$C$69,$F$5:$F$69)</f>
        <v>34.693461715202588</v>
      </c>
    </row>
    <row r="88" spans="1:5">
      <c r="A88" s="11" t="s">
        <v>565</v>
      </c>
      <c r="B88" s="28">
        <f>SUMPRODUCT($D$5:$D$69,$F$5:$F$69)</f>
        <v>4.4377435783622587</v>
      </c>
    </row>
    <row r="89" spans="1:5">
      <c r="A89" s="11" t="s">
        <v>599</v>
      </c>
      <c r="B89" s="28">
        <f>SUMPRODUCT($E$5:$E$69,$F$5:$F$69)</f>
        <v>35066.994726137724</v>
      </c>
    </row>
    <row r="92" spans="1:5">
      <c r="A92" s="6" t="s">
        <v>566</v>
      </c>
      <c r="B92" s="58">
        <f>INDEX(MMULT($B$80:$E$83,$B$86:$B$89),1,1)</f>
        <v>0.46764048261342595</v>
      </c>
    </row>
    <row r="93" spans="1:5">
      <c r="A93" s="6" t="s">
        <v>600</v>
      </c>
      <c r="B93" s="58">
        <f>INDEX(MMULT($B$80:$E$83,$B$86:$B$89),2,1)</f>
        <v>0.24962819482779253</v>
      </c>
    </row>
    <row r="94" spans="1:5">
      <c r="A94" s="6" t="s">
        <v>601</v>
      </c>
      <c r="B94" s="58">
        <f>INDEX(MMULT($B$80:$E$83,$B$86:$B$89),3,1)</f>
        <v>0.18451722024035178</v>
      </c>
    </row>
    <row r="95" spans="1:5">
      <c r="A95" s="6" t="s">
        <v>568</v>
      </c>
      <c r="B95" s="58">
        <f>INDEX(MMULT($B$80:$E$83,$B$86:$B$89),4,1)</f>
        <v>-9.6847367592842182E-5</v>
      </c>
    </row>
    <row r="96" spans="1:5">
      <c r="A96" s="26" t="s">
        <v>569</v>
      </c>
    </row>
    <row r="97" spans="1:3">
      <c r="A97" s="6" t="s">
        <v>570</v>
      </c>
      <c r="B97" s="33">
        <f>COUNT($F$5:$F$69)</f>
        <v>65</v>
      </c>
      <c r="C97" s="11" t="s">
        <v>329</v>
      </c>
    </row>
    <row r="98" spans="1:3">
      <c r="A98" s="6" t="s">
        <v>571</v>
      </c>
      <c r="B98" s="33">
        <f>4</f>
        <v>4</v>
      </c>
      <c r="C98" s="11" t="s">
        <v>572</v>
      </c>
    </row>
    <row r="99" spans="1:3">
      <c r="A99" s="6" t="s">
        <v>354</v>
      </c>
      <c r="B99" s="17">
        <f>SUMPRODUCT(($F$5:$F$69-AVERAGE($F$5:$F$69))^2)</f>
        <v>4.7082181430463735E-2</v>
      </c>
      <c r="C99" s="11" t="s">
        <v>573</v>
      </c>
    </row>
    <row r="100" spans="1:3">
      <c r="A100" s="6" t="s">
        <v>574</v>
      </c>
      <c r="B100" s="17">
        <f>SUMPRODUCT($H$5:$H$69,$H$5:$H$69)</f>
        <v>1.1278716200359066E-2</v>
      </c>
      <c r="C100" s="11" t="s">
        <v>575</v>
      </c>
    </row>
    <row r="101" spans="1:3">
      <c r="A101" s="6" t="s">
        <v>576</v>
      </c>
      <c r="B101" s="29">
        <f>1-B100/B99</f>
        <v>0.76044618457161461</v>
      </c>
      <c r="C101" s="11" t="s">
        <v>577</v>
      </c>
    </row>
    <row r="102" spans="1:3">
      <c r="A102" s="6" t="s">
        <v>578</v>
      </c>
      <c r="B102" s="29">
        <f>1-(1-B101)*(B97-1)/(B97-B98)</f>
        <v>0.74866484938661204</v>
      </c>
      <c r="C102" s="11" t="s">
        <v>579</v>
      </c>
    </row>
    <row r="103" spans="1:3">
      <c r="A103" s="6" t="s">
        <v>294</v>
      </c>
      <c r="B103" s="18">
        <f>(B101/(B98-1))/((1-B101)/(B97-B98))</f>
        <v>64.546689541576725</v>
      </c>
      <c r="C103" s="11" t="s">
        <v>580</v>
      </c>
    </row>
    <row r="104" spans="1:3">
      <c r="A104" s="6" t="s">
        <v>581</v>
      </c>
      <c r="B104" s="35">
        <f>FDIST(B103,B98-1,B97-B98)</f>
        <v>6.5218593845618051E-19</v>
      </c>
      <c r="C104" s="11" t="s">
        <v>363</v>
      </c>
    </row>
    <row r="105" spans="1:3">
      <c r="A105" s="6" t="s">
        <v>582</v>
      </c>
      <c r="B105" s="17">
        <f>SUM($J$5:$J$69)</f>
        <v>1.4672842490694725E-2</v>
      </c>
      <c r="C105" s="11" t="s">
        <v>583</v>
      </c>
    </row>
    <row r="106" spans="1:3">
      <c r="A106" s="6" t="s">
        <v>584</v>
      </c>
      <c r="B106" s="29">
        <f>1-B105/B99</f>
        <v>0.68835678286561064</v>
      </c>
      <c r="C106" s="11" t="s">
        <v>585</v>
      </c>
    </row>
    <row r="108" spans="1:3">
      <c r="A108" s="26" t="s">
        <v>586</v>
      </c>
    </row>
    <row r="109" spans="1:3">
      <c r="A109" s="2" t="s">
        <v>587</v>
      </c>
    </row>
    <row r="110" spans="1:3">
      <c r="A110" s="11" t="s">
        <v>588</v>
      </c>
    </row>
    <row r="112" spans="1:3">
      <c r="A112" s="2" t="s">
        <v>602</v>
      </c>
    </row>
    <row r="113" spans="1:1">
      <c r="A113" s="2" t="s">
        <v>603</v>
      </c>
    </row>
    <row r="114" spans="1:1">
      <c r="A114" s="2" t="s">
        <v>604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13"/>
  <sheetViews>
    <sheetView zoomScaleNormal="100" workbookViewId="0"/>
  </sheetViews>
  <sheetFormatPr defaultColWidth="8.6640625" defaultRowHeight="14.4"/>
  <cols>
    <col min="1" max="1" width="26" customWidth="1"/>
    <col min="2" max="6" width="15" customWidth="1"/>
    <col min="7" max="10" width="14" customWidth="1"/>
  </cols>
  <sheetData>
    <row r="1" spans="1:10" ht="17.399999999999999">
      <c r="A1" s="21" t="s">
        <v>605</v>
      </c>
    </row>
    <row r="2" spans="1:10">
      <c r="A2" s="2" t="s">
        <v>606</v>
      </c>
    </row>
    <row r="4" spans="1:10">
      <c r="A4" s="14" t="s">
        <v>87</v>
      </c>
      <c r="B4" s="14" t="s">
        <v>548</v>
      </c>
      <c r="C4" s="10" t="s">
        <v>594</v>
      </c>
      <c r="D4" s="10" t="s">
        <v>595</v>
      </c>
      <c r="E4" s="10" t="s">
        <v>550</v>
      </c>
      <c r="F4" s="14" t="s">
        <v>551</v>
      </c>
      <c r="G4" s="14" t="s">
        <v>552</v>
      </c>
      <c r="H4" s="14" t="s">
        <v>553</v>
      </c>
      <c r="I4" s="14" t="s">
        <v>554</v>
      </c>
      <c r="J4" s="14" t="s">
        <v>555</v>
      </c>
    </row>
    <row r="5" spans="1:10">
      <c r="A5" s="2" t="str">
        <f>'11_문서단위'!A5</f>
        <v>PAT-01</v>
      </c>
      <c r="B5" s="33">
        <v>1</v>
      </c>
      <c r="C5" s="17">
        <f>'11_문서단위'!F5</f>
        <v>1</v>
      </c>
      <c r="D5" s="17">
        <f>'11_문서단위'!G5</f>
        <v>0</v>
      </c>
      <c r="E5" s="17">
        <f>'11_문서단위'!E5</f>
        <v>926.33333333333303</v>
      </c>
      <c r="F5" s="17">
        <f>'11_문서단위'!J5</f>
        <v>0.57208970274140014</v>
      </c>
      <c r="G5" s="17">
        <f t="shared" ref="G5:G36" si="0">$B5*$B$92+$C5*$B$93+$D5*$B$94+$E5*$B$95</f>
        <v>0.59789907303972223</v>
      </c>
      <c r="H5" s="17">
        <f t="shared" ref="H5:H36" si="1">F5-G5</f>
        <v>-2.5809370298322087E-2</v>
      </c>
      <c r="I5" s="57">
        <f t="shared" ref="I5:I36" si="2">SUMPRODUCT(MMULT(B5:E5,$B$80:$E$83),B5:E5)</f>
        <v>3.5435373104077073E-2</v>
      </c>
      <c r="J5" s="35">
        <f t="shared" ref="J5:J36" si="3">(H5/(1-I5))^2</f>
        <v>7.1596559796276583E-4</v>
      </c>
    </row>
    <row r="6" spans="1:10">
      <c r="A6" s="2" t="str">
        <f>'11_문서단위'!A6</f>
        <v>PAT-02</v>
      </c>
      <c r="B6" s="33">
        <v>1</v>
      </c>
      <c r="C6" s="17">
        <f>'11_문서단위'!F6</f>
        <v>0.76578947368421102</v>
      </c>
      <c r="D6" s="17">
        <f>'11_문서단위'!G6</f>
        <v>0.202870672339032</v>
      </c>
      <c r="E6" s="17">
        <f>'11_문서단위'!E6</f>
        <v>902.66666666666697</v>
      </c>
      <c r="F6" s="17">
        <f>'11_문서단위'!J6</f>
        <v>0.59422285305290468</v>
      </c>
      <c r="G6" s="17">
        <f t="shared" si="0"/>
        <v>0.59968315744519796</v>
      </c>
      <c r="H6" s="17">
        <f t="shared" si="1"/>
        <v>-5.4603043922932804E-3</v>
      </c>
      <c r="I6" s="57">
        <f t="shared" si="2"/>
        <v>2.5362598061534458E-2</v>
      </c>
      <c r="J6" s="35">
        <f t="shared" si="3"/>
        <v>3.1386837609430567E-5</v>
      </c>
    </row>
    <row r="7" spans="1:10">
      <c r="A7" s="2" t="str">
        <f>'11_문서단위'!A7</f>
        <v>PAT-03</v>
      </c>
      <c r="B7" s="33">
        <v>1</v>
      </c>
      <c r="C7" s="17">
        <f>'11_문서단위'!F7</f>
        <v>0.66447368421052599</v>
      </c>
      <c r="D7" s="17">
        <f>'11_문서단위'!G7</f>
        <v>0.161553015234325</v>
      </c>
      <c r="E7" s="17">
        <f>'11_문서단위'!E7</f>
        <v>821</v>
      </c>
      <c r="F7" s="17">
        <f>'11_문서단위'!J7</f>
        <v>0.58505482532060371</v>
      </c>
      <c r="G7" s="17">
        <f t="shared" si="0"/>
        <v>0.58331146947406498</v>
      </c>
      <c r="H7" s="17">
        <f t="shared" si="1"/>
        <v>1.74335584653873E-3</v>
      </c>
      <c r="I7" s="57">
        <f t="shared" si="2"/>
        <v>9.539460546597589E-2</v>
      </c>
      <c r="J7" s="35">
        <f t="shared" si="3"/>
        <v>3.7141012469063678E-6</v>
      </c>
    </row>
    <row r="8" spans="1:10">
      <c r="A8" s="2" t="str">
        <f>'11_문서단위'!A8</f>
        <v>PAT-04</v>
      </c>
      <c r="B8" s="33">
        <v>1</v>
      </c>
      <c r="C8" s="17">
        <f>'11_문서단위'!F8</f>
        <v>1</v>
      </c>
      <c r="D8" s="17">
        <f>'11_문서단위'!G8</f>
        <v>0</v>
      </c>
      <c r="E8" s="17">
        <f>'11_문서단위'!E8</f>
        <v>906.66666666666697</v>
      </c>
      <c r="F8" s="17">
        <f>'11_문서단위'!J8</f>
        <v>0.61259532305610842</v>
      </c>
      <c r="G8" s="17">
        <f t="shared" si="0"/>
        <v>0.59877851902151746</v>
      </c>
      <c r="H8" s="17">
        <f t="shared" si="1"/>
        <v>1.3816804034590957E-2</v>
      </c>
      <c r="I8" s="57">
        <f t="shared" si="2"/>
        <v>3.1269417459556095E-2</v>
      </c>
      <c r="J8" s="35">
        <f t="shared" si="3"/>
        <v>2.0342727190663043E-4</v>
      </c>
    </row>
    <row r="9" spans="1:10">
      <c r="A9" s="2" t="str">
        <f>'11_문서단위'!A9</f>
        <v>PAT-05</v>
      </c>
      <c r="B9" s="33">
        <v>1</v>
      </c>
      <c r="C9" s="17">
        <f>'11_문서단위'!F9</f>
        <v>0.68421052631579005</v>
      </c>
      <c r="D9" s="17">
        <f>'11_문서단위'!G9</f>
        <v>0.27348170645824399</v>
      </c>
      <c r="E9" s="17">
        <f>'11_문서단위'!E9</f>
        <v>899.66666666666697</v>
      </c>
      <c r="F9" s="17">
        <f>'11_문서단위'!J9</f>
        <v>0.61128284555774282</v>
      </c>
      <c r="G9" s="17">
        <f t="shared" si="0"/>
        <v>0.60006194656992606</v>
      </c>
      <c r="H9" s="17">
        <f t="shared" si="1"/>
        <v>1.1220898987816752E-2</v>
      </c>
      <c r="I9" s="57">
        <f t="shared" si="2"/>
        <v>4.3000596566625908E-2</v>
      </c>
      <c r="J9" s="35">
        <f t="shared" si="3"/>
        <v>1.3747760937730307E-4</v>
      </c>
    </row>
    <row r="10" spans="1:10">
      <c r="A10" s="2" t="str">
        <f>'11_문서단위'!A10</f>
        <v>PAT-06</v>
      </c>
      <c r="B10" s="33">
        <v>1</v>
      </c>
      <c r="C10" s="17">
        <f>'11_문서단위'!F10</f>
        <v>0.73684210526315796</v>
      </c>
      <c r="D10" s="17">
        <f>'11_문서단위'!G10</f>
        <v>0.227901422048536</v>
      </c>
      <c r="E10" s="17">
        <f>'11_문서단위'!E10</f>
        <v>885</v>
      </c>
      <c r="F10" s="17">
        <f>'11_문서단위'!J10</f>
        <v>0.61443637006897678</v>
      </c>
      <c r="G10" s="17">
        <f t="shared" si="0"/>
        <v>0.60055607052319004</v>
      </c>
      <c r="H10" s="17">
        <f t="shared" si="1"/>
        <v>1.3880299545786734E-2</v>
      </c>
      <c r="I10" s="57">
        <f t="shared" si="2"/>
        <v>2.9904059499128718E-2</v>
      </c>
      <c r="J10" s="35">
        <f t="shared" si="3"/>
        <v>2.0472378517328172E-4</v>
      </c>
    </row>
    <row r="11" spans="1:10">
      <c r="A11" s="2" t="str">
        <f>'11_문서단위'!A11</f>
        <v>PAT-07</v>
      </c>
      <c r="B11" s="33">
        <v>1</v>
      </c>
      <c r="C11" s="17">
        <f>'11_문서단위'!F11</f>
        <v>1</v>
      </c>
      <c r="D11" s="17">
        <f>'11_문서단위'!G11</f>
        <v>0</v>
      </c>
      <c r="E11" s="17">
        <f>'11_문서단위'!E11</f>
        <v>987.33333333333303</v>
      </c>
      <c r="F11" s="17">
        <f>'11_문서단위'!J11</f>
        <v>0.61891469205434624</v>
      </c>
      <c r="G11" s="17">
        <f t="shared" si="0"/>
        <v>0.59517129990974726</v>
      </c>
      <c r="H11" s="17">
        <f t="shared" si="1"/>
        <v>2.3743392144598974E-2</v>
      </c>
      <c r="I11" s="57">
        <f t="shared" si="2"/>
        <v>5.8736875092710972E-2</v>
      </c>
      <c r="J11" s="35">
        <f t="shared" si="3"/>
        <v>6.3630222323539343E-4</v>
      </c>
    </row>
    <row r="12" spans="1:10">
      <c r="A12" s="2" t="str">
        <f>'11_문서단위'!A12</f>
        <v>PAT-08</v>
      </c>
      <c r="B12" s="33">
        <v>1</v>
      </c>
      <c r="C12" s="17">
        <f>'11_문서단위'!F12</f>
        <v>1</v>
      </c>
      <c r="D12" s="17">
        <f>'11_문서단위'!G12</f>
        <v>0</v>
      </c>
      <c r="E12" s="17">
        <f>'11_문서단위'!E12</f>
        <v>887.33333333333303</v>
      </c>
      <c r="F12" s="17">
        <f>'11_문서단위'!J12</f>
        <v>0.61931052294870226</v>
      </c>
      <c r="G12" s="17">
        <f t="shared" si="0"/>
        <v>0.59964305913921445</v>
      </c>
      <c r="H12" s="17">
        <f t="shared" si="1"/>
        <v>1.9667463809487806E-2</v>
      </c>
      <c r="I12" s="57">
        <f t="shared" si="2"/>
        <v>2.8764608522908706E-2</v>
      </c>
      <c r="J12" s="35">
        <f t="shared" si="3"/>
        <v>4.1006029543864004E-4</v>
      </c>
    </row>
    <row r="13" spans="1:10">
      <c r="A13" s="2" t="str">
        <f>'11_문서단위'!A13</f>
        <v>PAT-09</v>
      </c>
      <c r="B13" s="33">
        <v>1</v>
      </c>
      <c r="C13" s="17">
        <f>'11_문서단위'!F13</f>
        <v>0.68421052631579005</v>
      </c>
      <c r="D13" s="17">
        <f>'11_문서단위'!G13</f>
        <v>0.27348170645824399</v>
      </c>
      <c r="E13" s="17">
        <f>'11_문서단위'!E13</f>
        <v>895.66666666666697</v>
      </c>
      <c r="F13" s="17">
        <f>'11_문서단위'!J13</f>
        <v>0.60334600988141474</v>
      </c>
      <c r="G13" s="17">
        <f t="shared" si="0"/>
        <v>0.6002408169391048</v>
      </c>
      <c r="H13" s="17">
        <f t="shared" si="1"/>
        <v>3.1051929423099311E-3</v>
      </c>
      <c r="I13" s="57">
        <f t="shared" si="2"/>
        <v>4.2866174843536373E-2</v>
      </c>
      <c r="J13" s="35">
        <f t="shared" si="3"/>
        <v>1.0525236225909214E-5</v>
      </c>
    </row>
    <row r="14" spans="1:10">
      <c r="A14" s="2" t="str">
        <f>'11_문서단위'!A14</f>
        <v>PAT-10</v>
      </c>
      <c r="B14" s="33">
        <v>1</v>
      </c>
      <c r="C14" s="17">
        <f>'11_문서단위'!F14</f>
        <v>1</v>
      </c>
      <c r="D14" s="17">
        <f>'11_문서단위'!G14</f>
        <v>0</v>
      </c>
      <c r="E14" s="17">
        <f>'11_문서단위'!E14</f>
        <v>774.66666666666697</v>
      </c>
      <c r="F14" s="17">
        <f>'11_문서단위'!J14</f>
        <v>0.58675642286005436</v>
      </c>
      <c r="G14" s="17">
        <f t="shared" si="0"/>
        <v>0.60468124120441402</v>
      </c>
      <c r="H14" s="17">
        <f t="shared" si="1"/>
        <v>-1.7924818344359661E-2</v>
      </c>
      <c r="I14" s="57">
        <f t="shared" si="2"/>
        <v>4.5539595408562811E-2</v>
      </c>
      <c r="J14" s="35">
        <f t="shared" si="3"/>
        <v>3.5269044419120304E-4</v>
      </c>
    </row>
    <row r="15" spans="1:10">
      <c r="A15" s="2" t="str">
        <f>'11_문서단위'!A15</f>
        <v>PAT-11</v>
      </c>
      <c r="B15" s="33">
        <v>1</v>
      </c>
      <c r="C15" s="17">
        <f>'11_문서단위'!F15</f>
        <v>1</v>
      </c>
      <c r="D15" s="17">
        <f>'11_문서단위'!G15</f>
        <v>0</v>
      </c>
      <c r="E15" s="17">
        <f>'11_문서단위'!E15</f>
        <v>798</v>
      </c>
      <c r="F15" s="17">
        <f>'11_문서단위'!J15</f>
        <v>0.61749227587271849</v>
      </c>
      <c r="G15" s="17">
        <f t="shared" si="0"/>
        <v>0.6036378307175384</v>
      </c>
      <c r="H15" s="17">
        <f t="shared" si="1"/>
        <v>1.3854445155180084E-2</v>
      </c>
      <c r="I15" s="57">
        <f t="shared" si="2"/>
        <v>3.766842121817536E-2</v>
      </c>
      <c r="J15" s="35">
        <f t="shared" si="3"/>
        <v>2.0726635067210014E-4</v>
      </c>
    </row>
    <row r="16" spans="1:10">
      <c r="A16" s="2" t="str">
        <f>'11_문서단위'!A16</f>
        <v>PAT-12</v>
      </c>
      <c r="B16" s="33">
        <v>1</v>
      </c>
      <c r="C16" s="17">
        <f>'11_문서단위'!F16</f>
        <v>1</v>
      </c>
      <c r="D16" s="17">
        <f>'11_문서단위'!G16</f>
        <v>0</v>
      </c>
      <c r="E16" s="17">
        <f>'11_문서단위'!E16</f>
        <v>666.33333333333303</v>
      </c>
      <c r="F16" s="17">
        <f>'11_문서단위'!J16</f>
        <v>0.6276853411778136</v>
      </c>
      <c r="G16" s="17">
        <f t="shared" si="0"/>
        <v>0.60952564703633683</v>
      </c>
      <c r="H16" s="17">
        <f t="shared" si="1"/>
        <v>1.8159694141476779E-2</v>
      </c>
      <c r="I16" s="57">
        <f t="shared" si="2"/>
        <v>0.11217351996328301</v>
      </c>
      <c r="J16" s="35">
        <f t="shared" si="3"/>
        <v>4.1837032366803323E-4</v>
      </c>
    </row>
    <row r="17" spans="1:10">
      <c r="A17" s="2" t="str">
        <f>'11_문서단위'!A17</f>
        <v>PAT-13</v>
      </c>
      <c r="B17" s="33">
        <v>1</v>
      </c>
      <c r="C17" s="17">
        <f>'11_문서단위'!F17</f>
        <v>1</v>
      </c>
      <c r="D17" s="17">
        <f>'11_문서단위'!G17</f>
        <v>0</v>
      </c>
      <c r="E17" s="17">
        <f>'11_문서단위'!E17</f>
        <v>822</v>
      </c>
      <c r="F17" s="17">
        <f>'11_문서단위'!J17</f>
        <v>0.60333031553793592</v>
      </c>
      <c r="G17" s="17">
        <f t="shared" si="0"/>
        <v>0.60256460850246629</v>
      </c>
      <c r="H17" s="17">
        <f t="shared" si="1"/>
        <v>7.6570703546963159E-4</v>
      </c>
      <c r="I17" s="57">
        <f t="shared" si="2"/>
        <v>3.1968709601399442E-2</v>
      </c>
      <c r="J17" s="35">
        <f t="shared" si="3"/>
        <v>6.2567165994130189E-7</v>
      </c>
    </row>
    <row r="18" spans="1:10">
      <c r="A18" s="2" t="str">
        <f>'11_문서단위'!A18</f>
        <v>PAT-14</v>
      </c>
      <c r="B18" s="33">
        <v>1</v>
      </c>
      <c r="C18" s="17">
        <f>'11_문서단위'!F18</f>
        <v>0.175438596491228</v>
      </c>
      <c r="D18" s="17">
        <f>'11_문서단위'!G18</f>
        <v>0.30386856273138202</v>
      </c>
      <c r="E18" s="17">
        <f>'11_문서단위'!E18</f>
        <v>792.66666666666697</v>
      </c>
      <c r="F18" s="17">
        <f>'11_문서단위'!J18</f>
        <v>0.53865817796574234</v>
      </c>
      <c r="G18" s="17">
        <f t="shared" si="0"/>
        <v>0.54177448829278563</v>
      </c>
      <c r="H18" s="17">
        <f t="shared" si="1"/>
        <v>-3.1163103270432924E-3</v>
      </c>
      <c r="I18" s="57">
        <f t="shared" si="2"/>
        <v>0.89164562200901576</v>
      </c>
      <c r="J18" s="35">
        <f t="shared" si="3"/>
        <v>8.271579932991E-4</v>
      </c>
    </row>
    <row r="19" spans="1:10">
      <c r="A19" s="2" t="str">
        <f>'11_문서단위'!A19</f>
        <v>PAT-15</v>
      </c>
      <c r="B19" s="33">
        <v>1</v>
      </c>
      <c r="C19" s="17">
        <f>'11_문서단위'!F19</f>
        <v>1</v>
      </c>
      <c r="D19" s="17">
        <f>'11_문서단위'!G19</f>
        <v>0</v>
      </c>
      <c r="E19" s="17">
        <f>'11_문서단위'!E19</f>
        <v>818.66666666666697</v>
      </c>
      <c r="F19" s="17">
        <f>'11_문서단위'!J19</f>
        <v>0.5969475942793725</v>
      </c>
      <c r="G19" s="17">
        <f t="shared" si="0"/>
        <v>0.60271366714344854</v>
      </c>
      <c r="H19" s="17">
        <f t="shared" si="1"/>
        <v>-5.7660728640760439E-3</v>
      </c>
      <c r="I19" s="57">
        <f t="shared" si="2"/>
        <v>3.2615017452696973E-2</v>
      </c>
      <c r="J19" s="35">
        <f t="shared" si="3"/>
        <v>3.552724818036796E-5</v>
      </c>
    </row>
    <row r="20" spans="1:10">
      <c r="A20" s="2" t="str">
        <f>'11_문서단위'!A20</f>
        <v>PAT-16</v>
      </c>
      <c r="B20" s="33">
        <v>1</v>
      </c>
      <c r="C20" s="17">
        <f>'11_문서단위'!F20</f>
        <v>0.68421052631579005</v>
      </c>
      <c r="D20" s="17">
        <f>'11_문서단위'!G20</f>
        <v>0.27348170645824399</v>
      </c>
      <c r="E20" s="17">
        <f>'11_문서단위'!E20</f>
        <v>934.33333333333303</v>
      </c>
      <c r="F20" s="17">
        <f>'11_문서단위'!J20</f>
        <v>0.59190597211339246</v>
      </c>
      <c r="G20" s="17">
        <f t="shared" si="0"/>
        <v>0.59851173670371083</v>
      </c>
      <c r="H20" s="17">
        <f t="shared" si="1"/>
        <v>-6.6057645903183637E-3</v>
      </c>
      <c r="I20" s="57">
        <f t="shared" si="2"/>
        <v>4.6993206682593797E-2</v>
      </c>
      <c r="J20" s="35">
        <f t="shared" si="3"/>
        <v>4.8045663192298162E-5</v>
      </c>
    </row>
    <row r="21" spans="1:10">
      <c r="A21" s="2" t="str">
        <f>'11_문서단위'!A21</f>
        <v>PAT-17</v>
      </c>
      <c r="B21" s="33">
        <v>1</v>
      </c>
      <c r="C21" s="17">
        <f>'11_문서단위'!F21</f>
        <v>0.68421052631579005</v>
      </c>
      <c r="D21" s="17">
        <f>'11_문서단위'!G21</f>
        <v>0.27348170645824399</v>
      </c>
      <c r="E21" s="17">
        <f>'11_문서단위'!E21</f>
        <v>907.33333333333303</v>
      </c>
      <c r="F21" s="17">
        <f>'11_문서단위'!J21</f>
        <v>0.60707350141632688</v>
      </c>
      <c r="G21" s="17">
        <f t="shared" si="0"/>
        <v>0.59971911169566694</v>
      </c>
      <c r="H21" s="17">
        <f t="shared" si="1"/>
        <v>7.3543897206599373E-3</v>
      </c>
      <c r="I21" s="57">
        <f t="shared" si="2"/>
        <v>4.344691820823382E-2</v>
      </c>
      <c r="J21" s="35">
        <f t="shared" si="3"/>
        <v>5.9111928697993667E-5</v>
      </c>
    </row>
    <row r="22" spans="1:10">
      <c r="A22" s="2" t="str">
        <f>'11_문서단위'!A22</f>
        <v>PAT-18</v>
      </c>
      <c r="B22" s="33">
        <v>1</v>
      </c>
      <c r="C22" s="17">
        <f>'11_문서단위'!F22</f>
        <v>1</v>
      </c>
      <c r="D22" s="17">
        <f>'11_문서단위'!G22</f>
        <v>0</v>
      </c>
      <c r="E22" s="17">
        <f>'11_문서단위'!E22</f>
        <v>887</v>
      </c>
      <c r="F22" s="17">
        <f>'11_문서단위'!J22</f>
        <v>0.60146412993950971</v>
      </c>
      <c r="G22" s="17">
        <f t="shared" si="0"/>
        <v>0.59965796500331259</v>
      </c>
      <c r="H22" s="17">
        <f t="shared" si="1"/>
        <v>1.8061649361971188E-3</v>
      </c>
      <c r="I22" s="57">
        <f t="shared" si="2"/>
        <v>2.8735250882845426E-2</v>
      </c>
      <c r="J22" s="35">
        <f t="shared" si="3"/>
        <v>3.4581160226982112E-6</v>
      </c>
    </row>
    <row r="23" spans="1:10">
      <c r="A23" s="2" t="str">
        <f>'11_문서단위'!A23</f>
        <v>PAT-19</v>
      </c>
      <c r="B23" s="33">
        <v>1</v>
      </c>
      <c r="C23" s="17">
        <f>'11_문서단위'!F23</f>
        <v>0.74060150375939904</v>
      </c>
      <c r="D23" s="17">
        <f>'11_문서단위'!G23</f>
        <v>0.224716453141029</v>
      </c>
      <c r="E23" s="17">
        <f>'11_문서단위'!E23</f>
        <v>957</v>
      </c>
      <c r="F23" s="17">
        <f>'11_문서단위'!J23</f>
        <v>0.58625192057920861</v>
      </c>
      <c r="G23" s="17">
        <f t="shared" si="0"/>
        <v>0.59733600146033405</v>
      </c>
      <c r="H23" s="17">
        <f t="shared" si="1"/>
        <v>-1.1084080881125447E-2</v>
      </c>
      <c r="I23" s="57">
        <f t="shared" si="2"/>
        <v>3.9943667780787145E-2</v>
      </c>
      <c r="J23" s="35">
        <f t="shared" si="3"/>
        <v>1.3329256935457583E-4</v>
      </c>
    </row>
    <row r="24" spans="1:10">
      <c r="A24" s="2" t="str">
        <f>'11_문서단위'!A24</f>
        <v>PAT-20</v>
      </c>
      <c r="B24" s="33">
        <v>1</v>
      </c>
      <c r="C24" s="17">
        <f>'11_문서단위'!F24</f>
        <v>1</v>
      </c>
      <c r="D24" s="17">
        <f>'11_문서단위'!G24</f>
        <v>0</v>
      </c>
      <c r="E24" s="17">
        <f>'11_문서단위'!E24</f>
        <v>922.33333333333303</v>
      </c>
      <c r="F24" s="17">
        <f>'11_문서단위'!J24</f>
        <v>0.59802008816398178</v>
      </c>
      <c r="G24" s="17">
        <f t="shared" si="0"/>
        <v>0.59807794340890097</v>
      </c>
      <c r="H24" s="17">
        <f t="shared" si="1"/>
        <v>-5.7855244919191584E-5</v>
      </c>
      <c r="I24" s="57">
        <f t="shared" si="2"/>
        <v>3.4455866895101883E-2</v>
      </c>
      <c r="J24" s="35">
        <f t="shared" si="3"/>
        <v>3.5903865989141441E-9</v>
      </c>
    </row>
    <row r="25" spans="1:10">
      <c r="A25" s="2" t="str">
        <f>'11_문서단위'!A25</f>
        <v>PAT-21</v>
      </c>
      <c r="B25" s="33">
        <v>1</v>
      </c>
      <c r="C25" s="17">
        <f>'11_문서단위'!F25</f>
        <v>1</v>
      </c>
      <c r="D25" s="17">
        <f>'11_문서단위'!G25</f>
        <v>0</v>
      </c>
      <c r="E25" s="17">
        <f>'11_문서단위'!E25</f>
        <v>872.66666666666697</v>
      </c>
      <c r="F25" s="17">
        <f>'11_문서단위'!J25</f>
        <v>0.59700401119025381</v>
      </c>
      <c r="G25" s="17">
        <f t="shared" si="0"/>
        <v>0.60029891715953621</v>
      </c>
      <c r="H25" s="17">
        <f t="shared" si="1"/>
        <v>-3.2949059692823912E-3</v>
      </c>
      <c r="I25" s="57">
        <f t="shared" si="2"/>
        <v>2.7916328969773183E-2</v>
      </c>
      <c r="J25" s="35">
        <f t="shared" si="3"/>
        <v>1.1488908068514626E-5</v>
      </c>
    </row>
    <row r="26" spans="1:10">
      <c r="A26" s="2" t="str">
        <f>'11_문서단위'!A26</f>
        <v>PAT-22</v>
      </c>
      <c r="B26" s="33">
        <v>1</v>
      </c>
      <c r="C26" s="17">
        <f>'11_문서단위'!F26</f>
        <v>1</v>
      </c>
      <c r="D26" s="17">
        <f>'11_문서단위'!G26</f>
        <v>0</v>
      </c>
      <c r="E26" s="17">
        <f>'11_문서단위'!E26</f>
        <v>951.66666666666697</v>
      </c>
      <c r="F26" s="17">
        <f>'11_문서단위'!J26</f>
        <v>0.59365033476708673</v>
      </c>
      <c r="G26" s="17">
        <f t="shared" si="0"/>
        <v>0.59676622736825724</v>
      </c>
      <c r="H26" s="17">
        <f t="shared" si="1"/>
        <v>-3.1158926011705113E-3</v>
      </c>
      <c r="I26" s="57">
        <f t="shared" si="2"/>
        <v>4.3206479977936696E-2</v>
      </c>
      <c r="J26" s="35">
        <f t="shared" si="3"/>
        <v>1.0605435553685091E-5</v>
      </c>
    </row>
    <row r="27" spans="1:10">
      <c r="A27" s="2" t="str">
        <f>'11_문서단위'!A27</f>
        <v>PAT-23</v>
      </c>
      <c r="B27" s="33">
        <v>1</v>
      </c>
      <c r="C27" s="17">
        <f>'11_문서단위'!F27</f>
        <v>0.68421052631579005</v>
      </c>
      <c r="D27" s="17">
        <f>'11_문서단위'!G27</f>
        <v>0.27348170645824399</v>
      </c>
      <c r="E27" s="17">
        <f>'11_문서단위'!E27</f>
        <v>985</v>
      </c>
      <c r="F27" s="17">
        <f>'11_문서단위'!J27</f>
        <v>0.58700825511969401</v>
      </c>
      <c r="G27" s="17">
        <f t="shared" si="0"/>
        <v>0.59624604536078085</v>
      </c>
      <c r="H27" s="17">
        <f t="shared" si="1"/>
        <v>-9.2377902410868407E-3</v>
      </c>
      <c r="I27" s="57">
        <f t="shared" si="2"/>
        <v>6.1948952949211961E-2</v>
      </c>
      <c r="J27" s="35">
        <f t="shared" si="3"/>
        <v>9.6980238592430857E-5</v>
      </c>
    </row>
    <row r="28" spans="1:10">
      <c r="A28" s="2" t="str">
        <f>'11_문서단위'!A28</f>
        <v>PAT-24</v>
      </c>
      <c r="B28" s="33">
        <v>1</v>
      </c>
      <c r="C28" s="17">
        <f>'11_문서단위'!F28</f>
        <v>0.68421052631579005</v>
      </c>
      <c r="D28" s="17">
        <f>'11_문서단위'!G28</f>
        <v>0.27348170645824399</v>
      </c>
      <c r="E28" s="17">
        <f>'11_문서단위'!E28</f>
        <v>828.66666666666697</v>
      </c>
      <c r="F28" s="17">
        <f>'11_문서단위'!J28</f>
        <v>0.61153523198973159</v>
      </c>
      <c r="G28" s="17">
        <f t="shared" si="0"/>
        <v>0.60323689562284777</v>
      </c>
      <c r="H28" s="17">
        <f t="shared" si="1"/>
        <v>8.2983363668838184E-3</v>
      </c>
      <c r="I28" s="57">
        <f t="shared" si="2"/>
        <v>5.0649340277992977E-2</v>
      </c>
      <c r="J28" s="35">
        <f t="shared" si="3"/>
        <v>7.6406227323549524E-5</v>
      </c>
    </row>
    <row r="29" spans="1:10">
      <c r="A29" s="2" t="str">
        <f>'11_문서단위'!A29</f>
        <v>PAT-25</v>
      </c>
      <c r="B29" s="33">
        <v>1</v>
      </c>
      <c r="C29" s="17">
        <f>'11_문서단위'!F29</f>
        <v>1</v>
      </c>
      <c r="D29" s="17">
        <f>'11_문서단위'!G29</f>
        <v>0</v>
      </c>
      <c r="E29" s="17">
        <f>'11_문서단위'!E29</f>
        <v>878</v>
      </c>
      <c r="F29" s="17">
        <f>'11_문서단위'!J29</f>
        <v>0.60933753573184546</v>
      </c>
      <c r="G29" s="17">
        <f t="shared" si="0"/>
        <v>0.6000604233339647</v>
      </c>
      <c r="H29" s="17">
        <f t="shared" si="1"/>
        <v>9.2771123978807601E-3</v>
      </c>
      <c r="I29" s="57">
        <f t="shared" si="2"/>
        <v>2.8119789736918852E-2</v>
      </c>
      <c r="J29" s="35">
        <f t="shared" si="3"/>
        <v>9.1117156621458982E-5</v>
      </c>
    </row>
    <row r="30" spans="1:10">
      <c r="A30" s="2" t="str">
        <f>'11_문서단위'!A30</f>
        <v>PAT-26</v>
      </c>
      <c r="B30" s="33">
        <v>1</v>
      </c>
      <c r="C30" s="17">
        <f>'11_문서단위'!F30</f>
        <v>1</v>
      </c>
      <c r="D30" s="17">
        <f>'11_문서단위'!G30</f>
        <v>0</v>
      </c>
      <c r="E30" s="17">
        <f>'11_문서단위'!E30</f>
        <v>886</v>
      </c>
      <c r="F30" s="17">
        <f>'11_문서단위'!J30</f>
        <v>0.59471575953201306</v>
      </c>
      <c r="G30" s="17">
        <f t="shared" si="0"/>
        <v>0.59970268259560733</v>
      </c>
      <c r="H30" s="17">
        <f t="shared" si="1"/>
        <v>-4.986923063594273E-3</v>
      </c>
      <c r="I30" s="57">
        <f t="shared" si="2"/>
        <v>2.8649990583859211E-2</v>
      </c>
      <c r="J30" s="35">
        <f t="shared" si="3"/>
        <v>2.6358084068724402E-5</v>
      </c>
    </row>
    <row r="31" spans="1:10">
      <c r="A31" s="2" t="str">
        <f>'11_문서단위'!A31</f>
        <v>PAT-27</v>
      </c>
      <c r="B31" s="33">
        <v>1</v>
      </c>
      <c r="C31" s="17">
        <f>'11_문서단위'!F31</f>
        <v>1</v>
      </c>
      <c r="D31" s="17">
        <f>'11_문서단위'!G31</f>
        <v>0</v>
      </c>
      <c r="E31" s="17">
        <f>'11_문서단위'!E31</f>
        <v>717.33333333333303</v>
      </c>
      <c r="F31" s="17">
        <f>'11_문서단위'!J31</f>
        <v>0.61355279563830967</v>
      </c>
      <c r="G31" s="17">
        <f t="shared" si="0"/>
        <v>0.60724504982930849</v>
      </c>
      <c r="H31" s="17">
        <f t="shared" si="1"/>
        <v>6.3077458090011751E-3</v>
      </c>
      <c r="I31" s="57">
        <f t="shared" si="2"/>
        <v>7.4636240259833314E-2</v>
      </c>
      <c r="J31" s="35">
        <f t="shared" si="3"/>
        <v>4.6464727360672338E-5</v>
      </c>
    </row>
    <row r="32" spans="1:10">
      <c r="A32" s="2" t="str">
        <f>'11_문서단위'!A32</f>
        <v>PAT-28</v>
      </c>
      <c r="B32" s="33">
        <v>1</v>
      </c>
      <c r="C32" s="17">
        <f>'11_문서단위'!F32</f>
        <v>1</v>
      </c>
      <c r="D32" s="17">
        <f>'11_문서단위'!G32</f>
        <v>0</v>
      </c>
      <c r="E32" s="17">
        <f>'11_문서단위'!E32</f>
        <v>944</v>
      </c>
      <c r="F32" s="17">
        <f>'11_문서단위'!J32</f>
        <v>0.62007176760795235</v>
      </c>
      <c r="G32" s="17">
        <f t="shared" si="0"/>
        <v>0.59710906224251636</v>
      </c>
      <c r="H32" s="17">
        <f t="shared" si="1"/>
        <v>2.2962705365435987E-2</v>
      </c>
      <c r="I32" s="57">
        <f t="shared" si="2"/>
        <v>4.0568982197349723E-2</v>
      </c>
      <c r="J32" s="35">
        <f t="shared" si="3"/>
        <v>5.7282055954832405E-4</v>
      </c>
    </row>
    <row r="33" spans="1:10">
      <c r="A33" s="2" t="str">
        <f>'11_문서단위'!A33</f>
        <v>PAT-29</v>
      </c>
      <c r="B33" s="33">
        <v>1</v>
      </c>
      <c r="C33" s="17">
        <f>'11_문서단위'!F33</f>
        <v>1</v>
      </c>
      <c r="D33" s="17">
        <f>'11_문서단위'!G33</f>
        <v>0</v>
      </c>
      <c r="E33" s="17">
        <f>'11_문서단위'!E33</f>
        <v>748.66666666666697</v>
      </c>
      <c r="F33" s="17">
        <f>'11_문서단위'!J33</f>
        <v>0.60373614056469882</v>
      </c>
      <c r="G33" s="17">
        <f t="shared" si="0"/>
        <v>0.6058438986040755</v>
      </c>
      <c r="H33" s="17">
        <f t="shared" si="1"/>
        <v>-2.1077580393766837E-3</v>
      </c>
      <c r="I33" s="57">
        <f t="shared" si="2"/>
        <v>5.7016073960637653E-2</v>
      </c>
      <c r="J33" s="35">
        <f t="shared" si="3"/>
        <v>4.9961207840713527E-6</v>
      </c>
    </row>
    <row r="34" spans="1:10">
      <c r="A34" s="2" t="str">
        <f>'11_문서단위'!A34</f>
        <v>PAT-30</v>
      </c>
      <c r="B34" s="33">
        <v>1</v>
      </c>
      <c r="C34" s="17">
        <f>'11_문서단위'!F34</f>
        <v>0.68421052631579005</v>
      </c>
      <c r="D34" s="17">
        <f>'11_문서단위'!G34</f>
        <v>0.27348170645824399</v>
      </c>
      <c r="E34" s="17">
        <f>'11_문서단위'!E34</f>
        <v>768.33333333333303</v>
      </c>
      <c r="F34" s="17">
        <f>'11_문서단위'!J34</f>
        <v>0.61456878388947511</v>
      </c>
      <c r="G34" s="17">
        <f t="shared" si="0"/>
        <v>0.60593485702462624</v>
      </c>
      <c r="H34" s="17">
        <f t="shared" si="1"/>
        <v>8.6339268648488732E-3</v>
      </c>
      <c r="I34" s="57">
        <f t="shared" si="2"/>
        <v>7.3863915990812157E-2</v>
      </c>
      <c r="J34" s="35">
        <f t="shared" si="3"/>
        <v>8.6909473750064939E-5</v>
      </c>
    </row>
    <row r="35" spans="1:10">
      <c r="A35" s="2" t="str">
        <f>'11_문서단위'!A35</f>
        <v>PAT-31</v>
      </c>
      <c r="B35" s="33">
        <v>1</v>
      </c>
      <c r="C35" s="17">
        <f>'11_문서단위'!F35</f>
        <v>1</v>
      </c>
      <c r="D35" s="17">
        <f>'11_문서단위'!G35</f>
        <v>0</v>
      </c>
      <c r="E35" s="17">
        <f>'11_문서단위'!E35</f>
        <v>847.33333333333303</v>
      </c>
      <c r="F35" s="17">
        <f>'11_문서단위'!J35</f>
        <v>0.58897265918511621</v>
      </c>
      <c r="G35" s="17">
        <f t="shared" si="0"/>
        <v>0.6014317628310013</v>
      </c>
      <c r="H35" s="17">
        <f t="shared" si="1"/>
        <v>-1.2459103645885095E-2</v>
      </c>
      <c r="I35" s="57">
        <f t="shared" si="2"/>
        <v>2.8588710946649817E-2</v>
      </c>
      <c r="J35" s="35">
        <f t="shared" si="3"/>
        <v>1.6450053128594215E-4</v>
      </c>
    </row>
    <row r="36" spans="1:10">
      <c r="A36" s="2" t="str">
        <f>'11_문서단위'!A36</f>
        <v>RPT-01</v>
      </c>
      <c r="B36" s="33">
        <v>1</v>
      </c>
      <c r="C36" s="17">
        <f>'11_문서단위'!F36</f>
        <v>1</v>
      </c>
      <c r="D36" s="17">
        <f>'11_문서단위'!G36</f>
        <v>0</v>
      </c>
      <c r="E36" s="17">
        <f>'11_문서단위'!E36</f>
        <v>813</v>
      </c>
      <c r="F36" s="17">
        <f>'11_문서단위'!J36</f>
        <v>0.61180000125701517</v>
      </c>
      <c r="G36" s="17">
        <f t="shared" si="0"/>
        <v>0.60296706683311829</v>
      </c>
      <c r="H36" s="17">
        <f t="shared" si="1"/>
        <v>8.8329344238968766E-3</v>
      </c>
      <c r="I36" s="57">
        <f t="shared" si="2"/>
        <v>3.3821323560909264E-2</v>
      </c>
      <c r="J36" s="35">
        <f t="shared" si="3"/>
        <v>8.3578604535119547E-5</v>
      </c>
    </row>
    <row r="37" spans="1:10">
      <c r="A37" s="2" t="str">
        <f>'11_문서단위'!A37</f>
        <v>RPT-02</v>
      </c>
      <c r="B37" s="33">
        <v>1</v>
      </c>
      <c r="C37" s="17">
        <f>'11_문서단위'!F37</f>
        <v>0.89473684210526305</v>
      </c>
      <c r="D37" s="17">
        <f>'11_문서단위'!G37</f>
        <v>9.1160568819414603E-2</v>
      </c>
      <c r="E37" s="17">
        <f>'11_문서단위'!E37</f>
        <v>728.33333333333303</v>
      </c>
      <c r="F37" s="17">
        <f>'11_문서단위'!J37</f>
        <v>0.58574036407245378</v>
      </c>
      <c r="G37" s="17">
        <f t="shared" ref="G37:G69" si="4">$B37*$B$92+$C37*$B$93+$D37*$B$94+$E37*$B$95</f>
        <v>0.60707662444818233</v>
      </c>
      <c r="H37" s="17">
        <f t="shared" ref="H37:H68" si="5">F37-G37</f>
        <v>-2.1336260375728555E-2</v>
      </c>
      <c r="I37" s="57">
        <f t="shared" ref="I37:I69" si="6">SUMPRODUCT(MMULT(B37:E37,$B$80:$E$83),B37:E37)</f>
        <v>6.1003808798249681E-2</v>
      </c>
      <c r="J37" s="35">
        <f t="shared" ref="J37:J68" si="7">(H37/(1-I37))^2</f>
        <v>5.1630810644816467E-4</v>
      </c>
    </row>
    <row r="38" spans="1:10">
      <c r="A38" s="2" t="str">
        <f>'11_문서단위'!A38</f>
        <v>RPT-03</v>
      </c>
      <c r="B38" s="33">
        <v>1</v>
      </c>
      <c r="C38" s="17">
        <f>'11_문서단위'!F38</f>
        <v>0.68421052631579005</v>
      </c>
      <c r="D38" s="17">
        <f>'11_문서단위'!G38</f>
        <v>0.27348170645824399</v>
      </c>
      <c r="E38" s="17">
        <f>'11_문서단위'!E38</f>
        <v>806.33333333333303</v>
      </c>
      <c r="F38" s="17">
        <f>'11_문서단위'!J38</f>
        <v>0.60638658599809681</v>
      </c>
      <c r="G38" s="17">
        <f t="shared" si="4"/>
        <v>0.60423558851742876</v>
      </c>
      <c r="H38" s="17">
        <f t="shared" si="5"/>
        <v>2.1509974806680487E-3</v>
      </c>
      <c r="I38" s="57">
        <f t="shared" si="6"/>
        <v>5.7452347615900123E-2</v>
      </c>
      <c r="J38" s="35">
        <f t="shared" si="7"/>
        <v>5.2080263314392457E-6</v>
      </c>
    </row>
    <row r="39" spans="1:10">
      <c r="A39" s="2" t="str">
        <f>'11_문서단위'!A39</f>
        <v>RPT-04</v>
      </c>
      <c r="B39" s="33">
        <v>1</v>
      </c>
      <c r="C39" s="17">
        <f>'11_문서단위'!F39</f>
        <v>1</v>
      </c>
      <c r="D39" s="17">
        <f>'11_문서단위'!G39</f>
        <v>0</v>
      </c>
      <c r="E39" s="17">
        <f>'11_문서단위'!E39</f>
        <v>891.66666666666697</v>
      </c>
      <c r="F39" s="17">
        <f>'11_문서단위'!J39</f>
        <v>0.59259117709318898</v>
      </c>
      <c r="G39" s="17">
        <f t="shared" si="4"/>
        <v>0.59944928290593746</v>
      </c>
      <c r="H39" s="17">
        <f t="shared" si="5"/>
        <v>-6.8581058127484829E-3</v>
      </c>
      <c r="I39" s="57">
        <f t="shared" si="6"/>
        <v>2.9188915931970143E-2</v>
      </c>
      <c r="J39" s="35">
        <f t="shared" si="7"/>
        <v>4.9904408298555483E-5</v>
      </c>
    </row>
    <row r="40" spans="1:10">
      <c r="A40" s="2" t="str">
        <f>'11_문서단위'!A40</f>
        <v>RPT-05</v>
      </c>
      <c r="B40" s="33">
        <v>1</v>
      </c>
      <c r="C40" s="17">
        <f>'11_문서단위'!F40</f>
        <v>0.74561403508771895</v>
      </c>
      <c r="D40" s="17">
        <f>'11_문서단위'!G40</f>
        <v>0.220697291673844</v>
      </c>
      <c r="E40" s="17">
        <f>'11_문서단위'!E40</f>
        <v>912.33333333333303</v>
      </c>
      <c r="F40" s="17">
        <f>'11_문서단위'!J40</f>
        <v>0.599873489775822</v>
      </c>
      <c r="G40" s="17">
        <f t="shared" si="4"/>
        <v>0.5993686904363712</v>
      </c>
      <c r="H40" s="17">
        <f t="shared" si="5"/>
        <v>5.0479933945080102E-4</v>
      </c>
      <c r="I40" s="57">
        <f t="shared" si="6"/>
        <v>2.9873935060375653E-2</v>
      </c>
      <c r="J40" s="35">
        <f t="shared" si="7"/>
        <v>2.7075794518439323E-7</v>
      </c>
    </row>
    <row r="41" spans="1:10">
      <c r="A41" s="2" t="str">
        <f>'11_문서단위'!A41</f>
        <v>RPT-06</v>
      </c>
      <c r="B41" s="33">
        <v>1</v>
      </c>
      <c r="C41" s="17">
        <f>'11_문서단위'!F41</f>
        <v>0.785406698564593</v>
      </c>
      <c r="D41" s="17">
        <f>'11_문서단위'!G41</f>
        <v>0.186607011363705</v>
      </c>
      <c r="E41" s="17">
        <f>'11_문서단위'!E41</f>
        <v>928.33333333333303</v>
      </c>
      <c r="F41" s="17">
        <f>'11_문서단위'!J41</f>
        <v>0.59750433493205046</v>
      </c>
      <c r="G41" s="17">
        <f t="shared" si="4"/>
        <v>0.59858941178182745</v>
      </c>
      <c r="H41" s="17">
        <f t="shared" si="5"/>
        <v>-1.0850768497769891E-3</v>
      </c>
      <c r="I41" s="57">
        <f t="shared" si="6"/>
        <v>2.6396286271236399E-2</v>
      </c>
      <c r="J41" s="35">
        <f t="shared" si="7"/>
        <v>1.2420999723609801E-6</v>
      </c>
    </row>
    <row r="42" spans="1:10">
      <c r="A42" s="2" t="str">
        <f>'11_문서단위'!A42</f>
        <v>RPT-07</v>
      </c>
      <c r="B42" s="33">
        <v>1</v>
      </c>
      <c r="C42" s="17">
        <f>'11_문서단위'!F42</f>
        <v>0.73684210526315796</v>
      </c>
      <c r="D42" s="17">
        <f>'11_문서단위'!G42</f>
        <v>0.227901422048536</v>
      </c>
      <c r="E42" s="17">
        <f>'11_문서단위'!E42</f>
        <v>954.33333333333303</v>
      </c>
      <c r="F42" s="17">
        <f>'11_문서단위'!J42</f>
        <v>0.59361477031476706</v>
      </c>
      <c r="G42" s="17">
        <f t="shared" si="4"/>
        <v>0.59745565079075957</v>
      </c>
      <c r="H42" s="17">
        <f t="shared" si="5"/>
        <v>-3.8408804759925141E-3</v>
      </c>
      <c r="I42" s="57">
        <f t="shared" si="6"/>
        <v>3.9810612503465598E-2</v>
      </c>
      <c r="J42" s="35">
        <f t="shared" si="7"/>
        <v>1.6001024197727174E-5</v>
      </c>
    </row>
    <row r="43" spans="1:10">
      <c r="A43" s="2" t="str">
        <f>'11_문서단위'!A43</f>
        <v>RPT-08</v>
      </c>
      <c r="B43" s="33">
        <v>1</v>
      </c>
      <c r="C43" s="17">
        <f>'11_문서단위'!F43</f>
        <v>1</v>
      </c>
      <c r="D43" s="17">
        <f>'11_문서단위'!G43</f>
        <v>0</v>
      </c>
      <c r="E43" s="17">
        <f>'11_문서단위'!E43</f>
        <v>752</v>
      </c>
      <c r="F43" s="17">
        <f>'11_문서단위'!J43</f>
        <v>0.60226686329663781</v>
      </c>
      <c r="G43" s="17">
        <f t="shared" si="4"/>
        <v>0.60569483996309326</v>
      </c>
      <c r="H43" s="17">
        <f t="shared" si="5"/>
        <v>-3.4279766664554456E-3</v>
      </c>
      <c r="I43" s="57">
        <f t="shared" si="6"/>
        <v>5.5385348688368363E-2</v>
      </c>
      <c r="J43" s="35">
        <f t="shared" si="7"/>
        <v>1.3169411238426664E-5</v>
      </c>
    </row>
    <row r="44" spans="1:10">
      <c r="A44" s="2" t="str">
        <f>'11_문서단위'!A44</f>
        <v>RPT-09</v>
      </c>
      <c r="B44" s="33">
        <v>1</v>
      </c>
      <c r="C44" s="17">
        <f>'11_문서단위'!F44</f>
        <v>1</v>
      </c>
      <c r="D44" s="17">
        <f>'11_문서단위'!G44</f>
        <v>0</v>
      </c>
      <c r="E44" s="17">
        <f>'11_문서단위'!E44</f>
        <v>777</v>
      </c>
      <c r="F44" s="17">
        <f>'11_문서단위'!J44</f>
        <v>0.59696678910297074</v>
      </c>
      <c r="G44" s="17">
        <f t="shared" si="4"/>
        <v>0.60457690015572652</v>
      </c>
      <c r="H44" s="17">
        <f t="shared" si="5"/>
        <v>-7.6101110527557747E-3</v>
      </c>
      <c r="I44" s="57">
        <f t="shared" si="6"/>
        <v>4.4649114160322301E-2</v>
      </c>
      <c r="J44" s="35">
        <f t="shared" si="7"/>
        <v>6.3453585527102597E-5</v>
      </c>
    </row>
    <row r="45" spans="1:10">
      <c r="A45" s="2" t="str">
        <f>'11_문서단위'!A45</f>
        <v>RPT-10</v>
      </c>
      <c r="B45" s="33">
        <v>1</v>
      </c>
      <c r="C45" s="17">
        <f>'11_문서단위'!F45</f>
        <v>0.68421052631579005</v>
      </c>
      <c r="D45" s="17">
        <f>'11_문서단위'!G45</f>
        <v>0.27348170645824399</v>
      </c>
      <c r="E45" s="17">
        <f>'11_문서단위'!E45</f>
        <v>958.33333333333303</v>
      </c>
      <c r="F45" s="17">
        <f>'11_문서단위'!J45</f>
        <v>0.58899261564967587</v>
      </c>
      <c r="G45" s="17">
        <f t="shared" si="4"/>
        <v>0.59743851448863872</v>
      </c>
      <c r="H45" s="17">
        <f t="shared" si="5"/>
        <v>-8.4458988389628509E-3</v>
      </c>
      <c r="I45" s="57">
        <f t="shared" si="6"/>
        <v>5.2727449368395921E-2</v>
      </c>
      <c r="J45" s="35">
        <f t="shared" si="7"/>
        <v>7.9495371830156899E-5</v>
      </c>
    </row>
    <row r="46" spans="1:10">
      <c r="A46" s="2" t="str">
        <f>'11_문서단위'!A46</f>
        <v>RPT-11</v>
      </c>
      <c r="B46" s="33">
        <v>1</v>
      </c>
      <c r="C46" s="17">
        <f>'11_문서단위'!F46</f>
        <v>0.76315789473684204</v>
      </c>
      <c r="D46" s="17">
        <f>'11_문서단위'!G46</f>
        <v>0.20511127984368299</v>
      </c>
      <c r="E46" s="17">
        <f>'11_문서단위'!E46</f>
        <v>780.66666666666697</v>
      </c>
      <c r="F46" s="17">
        <f>'11_문서단위'!J46</f>
        <v>0.61935319346265549</v>
      </c>
      <c r="G46" s="17">
        <f t="shared" si="4"/>
        <v>0.60514073895240539</v>
      </c>
      <c r="H46" s="17">
        <f t="shared" si="5"/>
        <v>1.4212454510250105E-2</v>
      </c>
      <c r="I46" s="57">
        <f t="shared" si="6"/>
        <v>4.7476261286219484E-2</v>
      </c>
      <c r="J46" s="35">
        <f t="shared" si="7"/>
        <v>2.2263147284397574E-4</v>
      </c>
    </row>
    <row r="47" spans="1:10">
      <c r="A47" s="2" t="str">
        <f>'11_문서단위'!A47</f>
        <v>RPT-12</v>
      </c>
      <c r="B47" s="33">
        <v>1</v>
      </c>
      <c r="C47" s="17">
        <f>'11_문서단위'!F47</f>
        <v>0.68421052631579005</v>
      </c>
      <c r="D47" s="17">
        <f>'11_문서단위'!G47</f>
        <v>0.27348170645824399</v>
      </c>
      <c r="E47" s="17">
        <f>'11_문서단위'!E47</f>
        <v>847</v>
      </c>
      <c r="F47" s="17">
        <f>'11_문서단위'!J47</f>
        <v>0.59526240323459301</v>
      </c>
      <c r="G47" s="17">
        <f t="shared" si="4"/>
        <v>0.60241707309744541</v>
      </c>
      <c r="H47" s="17">
        <f t="shared" si="5"/>
        <v>-7.154669862852403E-3</v>
      </c>
      <c r="I47" s="57">
        <f t="shared" si="6"/>
        <v>4.6637506038084697E-2</v>
      </c>
      <c r="J47" s="35">
        <f t="shared" si="7"/>
        <v>5.6320055361443765E-5</v>
      </c>
    </row>
    <row r="48" spans="1:10">
      <c r="A48" s="2" t="str">
        <f>'11_문서단위'!A48</f>
        <v>RPT-13</v>
      </c>
      <c r="B48" s="33">
        <v>1</v>
      </c>
      <c r="C48" s="17">
        <f>'11_문서단위'!F48</f>
        <v>0.68421052631579005</v>
      </c>
      <c r="D48" s="17">
        <f>'11_문서단위'!G48</f>
        <v>0.27348170645824399</v>
      </c>
      <c r="E48" s="17">
        <f>'11_문서단위'!E48</f>
        <v>939.33333333333303</v>
      </c>
      <c r="F48" s="17">
        <f>'11_문서단위'!J48</f>
        <v>0.62104361025703281</v>
      </c>
      <c r="G48" s="17">
        <f t="shared" si="4"/>
        <v>0.59828814874223746</v>
      </c>
      <c r="H48" s="17">
        <f t="shared" si="5"/>
        <v>2.275546151479535E-2</v>
      </c>
      <c r="I48" s="57">
        <f t="shared" si="6"/>
        <v>4.7987441314771048E-2</v>
      </c>
      <c r="J48" s="35">
        <f t="shared" si="7"/>
        <v>5.7132856878368613E-4</v>
      </c>
    </row>
    <row r="49" spans="1:10">
      <c r="A49" s="2" t="str">
        <f>'11_문서단위'!A49</f>
        <v>RPT-14</v>
      </c>
      <c r="B49" s="33">
        <v>1</v>
      </c>
      <c r="C49" s="17">
        <f>'11_문서단위'!F49</f>
        <v>0.68421052631579005</v>
      </c>
      <c r="D49" s="17">
        <f>'11_문서단위'!G49</f>
        <v>0.27348170645824399</v>
      </c>
      <c r="E49" s="17">
        <f>'11_문서단위'!E49</f>
        <v>811.33333333333303</v>
      </c>
      <c r="F49" s="17">
        <f>'11_문서단위'!J49</f>
        <v>0.59512820605910577</v>
      </c>
      <c r="G49" s="17">
        <f t="shared" si="4"/>
        <v>0.60401200055595539</v>
      </c>
      <c r="H49" s="17">
        <f t="shared" si="5"/>
        <v>-8.8837944968496174E-3</v>
      </c>
      <c r="I49" s="57">
        <f t="shared" si="6"/>
        <v>5.5746465893412145E-2</v>
      </c>
      <c r="J49" s="35">
        <f t="shared" si="7"/>
        <v>8.8515590216427207E-5</v>
      </c>
    </row>
    <row r="50" spans="1:10">
      <c r="A50" s="2" t="str">
        <f>'11_문서단위'!A50</f>
        <v>RPT-15</v>
      </c>
      <c r="B50" s="33">
        <v>1</v>
      </c>
      <c r="C50" s="17">
        <f>'11_문서단위'!F50</f>
        <v>1</v>
      </c>
      <c r="D50" s="17">
        <f>'11_문서단위'!G50</f>
        <v>0</v>
      </c>
      <c r="E50" s="17">
        <f>'11_문서단위'!E50</f>
        <v>846</v>
      </c>
      <c r="F50" s="17">
        <f>'11_문서단위'!J50</f>
        <v>0.57843003190765252</v>
      </c>
      <c r="G50" s="17">
        <f t="shared" si="4"/>
        <v>0.60149138628739418</v>
      </c>
      <c r="H50" s="17">
        <f t="shared" si="5"/>
        <v>-2.3061354379741661E-2</v>
      </c>
      <c r="I50" s="57">
        <f t="shared" si="6"/>
        <v>2.8699102703822636E-2</v>
      </c>
      <c r="J50" s="35">
        <f t="shared" si="7"/>
        <v>5.6371817758512786E-4</v>
      </c>
    </row>
    <row r="51" spans="1:10">
      <c r="A51" s="2" t="str">
        <f>'11_문서단위'!A51</f>
        <v>RPT-16</v>
      </c>
      <c r="B51" s="33">
        <v>1</v>
      </c>
      <c r="C51" s="17">
        <f>'11_문서단위'!F51</f>
        <v>0.68421052631579005</v>
      </c>
      <c r="D51" s="17">
        <f>'11_문서단위'!G51</f>
        <v>0.27348170645824399</v>
      </c>
      <c r="E51" s="17">
        <f>'11_문서단위'!E51</f>
        <v>821.33333333333303</v>
      </c>
      <c r="F51" s="17">
        <f>'11_문서단위'!J51</f>
        <v>0.60798697027287996</v>
      </c>
      <c r="G51" s="17">
        <f t="shared" si="4"/>
        <v>0.60356482463300865</v>
      </c>
      <c r="H51" s="17">
        <f t="shared" si="5"/>
        <v>4.422145639871311E-3</v>
      </c>
      <c r="I51" s="57">
        <f t="shared" si="6"/>
        <v>5.2651122333748343E-2</v>
      </c>
      <c r="J51" s="35">
        <f t="shared" si="7"/>
        <v>2.1789446250011008E-5</v>
      </c>
    </row>
    <row r="52" spans="1:10">
      <c r="A52" s="2" t="str">
        <f>'11_문서단위'!A52</f>
        <v>RPT-17</v>
      </c>
      <c r="B52" s="33">
        <v>1</v>
      </c>
      <c r="C52" s="17">
        <f>'11_문서단위'!F52</f>
        <v>1</v>
      </c>
      <c r="D52" s="17">
        <f>'11_문서단위'!G52</f>
        <v>0</v>
      </c>
      <c r="E52" s="17">
        <f>'11_문서단위'!E52</f>
        <v>982.33333333333303</v>
      </c>
      <c r="F52" s="17">
        <f>'11_문서단위'!J52</f>
        <v>0.59350275984328293</v>
      </c>
      <c r="G52" s="17">
        <f t="shared" si="4"/>
        <v>0.59539488787122063</v>
      </c>
      <c r="H52" s="17">
        <f t="shared" si="5"/>
        <v>-1.8921280279377006E-3</v>
      </c>
      <c r="I52" s="57">
        <f t="shared" si="6"/>
        <v>5.6236265460732016E-2</v>
      </c>
      <c r="J52" s="35">
        <f t="shared" si="7"/>
        <v>4.0195225362835288E-6</v>
      </c>
    </row>
    <row r="53" spans="1:10">
      <c r="A53" s="2" t="str">
        <f>'11_문서단위'!A53</f>
        <v>RPT-18</v>
      </c>
      <c r="B53" s="33">
        <v>1</v>
      </c>
      <c r="C53" s="17">
        <f>'11_문서단위'!F53</f>
        <v>0.68421052631579005</v>
      </c>
      <c r="D53" s="17">
        <f>'11_문서단위'!G53</f>
        <v>0.27348170645824399</v>
      </c>
      <c r="E53" s="17">
        <f>'11_문서단위'!E53</f>
        <v>947.33333333333303</v>
      </c>
      <c r="F53" s="17">
        <f>'11_문서단위'!J53</f>
        <v>0.59846314870111106</v>
      </c>
      <c r="G53" s="17">
        <f t="shared" si="4"/>
        <v>0.59793040800388009</v>
      </c>
      <c r="H53" s="17">
        <f t="shared" si="5"/>
        <v>5.3274069723097117E-4</v>
      </c>
      <c r="I53" s="57">
        <f t="shared" si="6"/>
        <v>4.9797601180072065E-2</v>
      </c>
      <c r="J53" s="35">
        <f t="shared" si="7"/>
        <v>3.1433989558300985E-7</v>
      </c>
    </row>
    <row r="54" spans="1:10">
      <c r="A54" s="2" t="str">
        <f>'11_문서단위'!A54</f>
        <v>RPT-19</v>
      </c>
      <c r="B54" s="33">
        <v>1</v>
      </c>
      <c r="C54" s="17">
        <f>'11_문서단위'!F54</f>
        <v>0.68421052631579005</v>
      </c>
      <c r="D54" s="17">
        <f>'11_문서단위'!G54</f>
        <v>0.27348170645824399</v>
      </c>
      <c r="E54" s="17">
        <f>'11_문서단위'!E54</f>
        <v>794.33333333333303</v>
      </c>
      <c r="F54" s="17">
        <f>'11_문서단위'!J54</f>
        <v>0.60218144230707316</v>
      </c>
      <c r="G54" s="17">
        <f t="shared" si="4"/>
        <v>0.60477219962496487</v>
      </c>
      <c r="H54" s="17">
        <f t="shared" si="5"/>
        <v>-2.590757317891712E-3</v>
      </c>
      <c r="I54" s="57">
        <f t="shared" si="6"/>
        <v>6.1976794793896312E-2</v>
      </c>
      <c r="J54" s="35">
        <f t="shared" si="7"/>
        <v>7.6282743244143354E-6</v>
      </c>
    </row>
    <row r="55" spans="1:10">
      <c r="A55" s="2" t="str">
        <f>'11_문서단위'!A55</f>
        <v>RPT-20</v>
      </c>
      <c r="B55" s="33">
        <v>1</v>
      </c>
      <c r="C55" s="17">
        <f>'11_문서단위'!F55</f>
        <v>1</v>
      </c>
      <c r="D55" s="17">
        <f>'11_문서단위'!G55</f>
        <v>0</v>
      </c>
      <c r="E55" s="17">
        <f>'11_문서단위'!E55</f>
        <v>1026</v>
      </c>
      <c r="F55" s="17">
        <f>'11_문서단위'!J55</f>
        <v>0.60317669955134634</v>
      </c>
      <c r="G55" s="17">
        <f t="shared" si="4"/>
        <v>0.59344221967435329</v>
      </c>
      <c r="H55" s="17">
        <f t="shared" si="5"/>
        <v>9.7344798769930518E-3</v>
      </c>
      <c r="I55" s="57">
        <f t="shared" si="6"/>
        <v>8.1636638896467884E-2</v>
      </c>
      <c r="J55" s="35">
        <f t="shared" si="7"/>
        <v>1.1235603524817437E-4</v>
      </c>
    </row>
    <row r="56" spans="1:10">
      <c r="A56" s="2" t="str">
        <f>'11_문서단위'!A56</f>
        <v>RPT-21</v>
      </c>
      <c r="B56" s="33">
        <v>1</v>
      </c>
      <c r="C56" s="17">
        <f>'11_문서단위'!F56</f>
        <v>1</v>
      </c>
      <c r="D56" s="17">
        <f>'11_문서단위'!G56</f>
        <v>0</v>
      </c>
      <c r="E56" s="17">
        <f>'11_문서단위'!E56</f>
        <v>830.33333333333303</v>
      </c>
      <c r="F56" s="17">
        <f>'11_문서단위'!J56</f>
        <v>0.58930284065820637</v>
      </c>
      <c r="G56" s="17">
        <f t="shared" si="4"/>
        <v>0.60219196190001067</v>
      </c>
      <c r="H56" s="17">
        <f t="shared" si="5"/>
        <v>-1.2889121241804302E-2</v>
      </c>
      <c r="I56" s="57">
        <f t="shared" si="6"/>
        <v>3.0558026935857768E-2</v>
      </c>
      <c r="J56" s="35">
        <f t="shared" si="7"/>
        <v>1.7676772789819521E-4</v>
      </c>
    </row>
    <row r="57" spans="1:10">
      <c r="A57" s="2" t="str">
        <f>'11_문서단위'!A57</f>
        <v>RPT-22</v>
      </c>
      <c r="B57" s="33">
        <v>1</v>
      </c>
      <c r="C57" s="17">
        <f>'11_문서단위'!F57</f>
        <v>1</v>
      </c>
      <c r="D57" s="17">
        <f>'11_문서단위'!G57</f>
        <v>0</v>
      </c>
      <c r="E57" s="17">
        <f>'11_문서단위'!E57</f>
        <v>743</v>
      </c>
      <c r="F57" s="17">
        <f>'11_문서단위'!J57</f>
        <v>0.6027265890240644</v>
      </c>
      <c r="G57" s="17">
        <f t="shared" si="4"/>
        <v>0.60609729829374526</v>
      </c>
      <c r="H57" s="17">
        <f t="shared" si="5"/>
        <v>-3.3707092696808605E-3</v>
      </c>
      <c r="I57" s="57">
        <f t="shared" si="6"/>
        <v>5.9895889684501963E-2</v>
      </c>
      <c r="J57" s="35">
        <f t="shared" si="7"/>
        <v>1.2855550767239368E-5</v>
      </c>
    </row>
    <row r="58" spans="1:10">
      <c r="A58" s="2" t="str">
        <f>'11_문서단위'!A58</f>
        <v>RPT-23</v>
      </c>
      <c r="B58" s="33">
        <v>1</v>
      </c>
      <c r="C58" s="17">
        <f>'11_문서단위'!F58</f>
        <v>1</v>
      </c>
      <c r="D58" s="17">
        <f>'11_문서단위'!G58</f>
        <v>0</v>
      </c>
      <c r="E58" s="17">
        <f>'11_문서단위'!E58</f>
        <v>1045.3333333333301</v>
      </c>
      <c r="F58" s="17">
        <f>'11_문서단위'!J58</f>
        <v>0.58721661299720251</v>
      </c>
      <c r="G58" s="17">
        <f t="shared" si="4"/>
        <v>0.59257767955665652</v>
      </c>
      <c r="H58" s="17">
        <f t="shared" si="5"/>
        <v>-5.3610665594540086E-3</v>
      </c>
      <c r="I58" s="57">
        <f t="shared" si="6"/>
        <v>9.5451935229878937E-2</v>
      </c>
      <c r="J58" s="35">
        <f t="shared" si="7"/>
        <v>3.5126841468677373E-5</v>
      </c>
    </row>
    <row r="59" spans="1:10">
      <c r="A59" s="2" t="str">
        <f>'11_문서단위'!A59</f>
        <v>RPT-24</v>
      </c>
      <c r="B59" s="33">
        <v>1</v>
      </c>
      <c r="C59" s="17">
        <f>'11_문서단위'!F59</f>
        <v>0.68530701754386003</v>
      </c>
      <c r="D59" s="17">
        <f>'11_문서단위'!G59</f>
        <v>0.20826118325901999</v>
      </c>
      <c r="E59" s="17">
        <f>'11_문서단위'!E59</f>
        <v>942.66666666666697</v>
      </c>
      <c r="F59" s="17">
        <f>'11_문서단위'!J59</f>
        <v>0.60436644637671122</v>
      </c>
      <c r="G59" s="17">
        <f t="shared" si="4"/>
        <v>0.588009035073907</v>
      </c>
      <c r="H59" s="17">
        <f t="shared" si="5"/>
        <v>1.6357411302804215E-2</v>
      </c>
      <c r="I59" s="57">
        <f t="shared" si="6"/>
        <v>4.789261033801212E-2</v>
      </c>
      <c r="J59" s="35">
        <f t="shared" si="7"/>
        <v>2.9515984682397121E-4</v>
      </c>
    </row>
    <row r="60" spans="1:10">
      <c r="A60" s="2" t="str">
        <f>'11_문서단위'!A60</f>
        <v>RPT-25</v>
      </c>
      <c r="B60" s="33">
        <v>1</v>
      </c>
      <c r="C60" s="17">
        <f>'11_문서단위'!F60</f>
        <v>1</v>
      </c>
      <c r="D60" s="17">
        <f>'11_문서단위'!G60</f>
        <v>0</v>
      </c>
      <c r="E60" s="17">
        <f>'11_문서단위'!E60</f>
        <v>789.66666666666697</v>
      </c>
      <c r="F60" s="17">
        <f>'11_문서단위'!J60</f>
        <v>0.62006471426342724</v>
      </c>
      <c r="G60" s="17">
        <f t="shared" si="4"/>
        <v>0.60401047731999391</v>
      </c>
      <c r="H60" s="17">
        <f t="shared" si="5"/>
        <v>1.6054236943433331E-2</v>
      </c>
      <c r="I60" s="57">
        <f t="shared" si="6"/>
        <v>4.0215871619838972E-2</v>
      </c>
      <c r="J60" s="35">
        <f t="shared" si="7"/>
        <v>2.7979001339677759E-4</v>
      </c>
    </row>
    <row r="61" spans="1:10">
      <c r="A61" s="2" t="str">
        <f>'11_문서단위'!A61</f>
        <v>RPT-26</v>
      </c>
      <c r="B61" s="33">
        <v>1</v>
      </c>
      <c r="C61" s="17">
        <f>'11_문서단위'!F61</f>
        <v>0.68421052631579005</v>
      </c>
      <c r="D61" s="17">
        <f>'11_문서단위'!G61</f>
        <v>0.27348170645824399</v>
      </c>
      <c r="E61" s="17">
        <f>'11_문서단위'!E61</f>
        <v>976.33333333333303</v>
      </c>
      <c r="F61" s="17">
        <f>'11_문서단위'!J61</f>
        <v>0.58325352044891876</v>
      </c>
      <c r="G61" s="17">
        <f t="shared" si="4"/>
        <v>0.59663359782733461</v>
      </c>
      <c r="H61" s="17">
        <f t="shared" si="5"/>
        <v>-1.3380077378415844E-2</v>
      </c>
      <c r="I61" s="57">
        <f t="shared" si="6"/>
        <v>5.8622887604722007E-2</v>
      </c>
      <c r="J61" s="35">
        <f t="shared" si="7"/>
        <v>2.0201795930104569E-4</v>
      </c>
    </row>
    <row r="62" spans="1:10">
      <c r="A62" s="2" t="str">
        <f>'11_문서단위'!A62</f>
        <v>RPT-27</v>
      </c>
      <c r="B62" s="33">
        <v>1</v>
      </c>
      <c r="C62" s="17">
        <f>'11_문서단위'!F62</f>
        <v>1</v>
      </c>
      <c r="D62" s="17">
        <f>'11_문서단위'!G62</f>
        <v>0</v>
      </c>
      <c r="E62" s="17">
        <f>'11_문서단위'!E62</f>
        <v>1014</v>
      </c>
      <c r="F62" s="17">
        <f>'11_문서단위'!J62</f>
        <v>0.59134492459332755</v>
      </c>
      <c r="G62" s="17">
        <f t="shared" si="4"/>
        <v>0.5939788307818894</v>
      </c>
      <c r="H62" s="17">
        <f t="shared" si="5"/>
        <v>-2.633906188561852E-3</v>
      </c>
      <c r="I62" s="57">
        <f t="shared" si="6"/>
        <v>7.3854786558359975E-2</v>
      </c>
      <c r="J62" s="35">
        <f t="shared" si="7"/>
        <v>8.0880240198859417E-6</v>
      </c>
    </row>
    <row r="63" spans="1:10">
      <c r="A63" s="2" t="str">
        <f>'11_문서단위'!A63</f>
        <v>RPT-28</v>
      </c>
      <c r="B63" s="33">
        <v>1</v>
      </c>
      <c r="C63" s="17">
        <f>'11_문서단위'!F63</f>
        <v>1</v>
      </c>
      <c r="D63" s="17">
        <f>'11_문서단위'!G63</f>
        <v>0</v>
      </c>
      <c r="E63" s="17">
        <f>'11_문서단위'!E63</f>
        <v>960.33333333333303</v>
      </c>
      <c r="F63" s="17">
        <f>'11_문서단위'!J63</f>
        <v>0.59642793838989305</v>
      </c>
      <c r="G63" s="17">
        <f t="shared" si="4"/>
        <v>0.59637867490170338</v>
      </c>
      <c r="H63" s="17">
        <f t="shared" si="5"/>
        <v>4.9263488189676963E-5</v>
      </c>
      <c r="I63" s="57">
        <f t="shared" si="6"/>
        <v>4.6486605825859811E-2</v>
      </c>
      <c r="J63" s="35">
        <f t="shared" si="7"/>
        <v>2.6692959228532155E-9</v>
      </c>
    </row>
    <row r="64" spans="1:10">
      <c r="A64" s="2" t="str">
        <f>'11_문서단위'!A64</f>
        <v>RPT-29</v>
      </c>
      <c r="B64" s="33">
        <v>1</v>
      </c>
      <c r="C64" s="17">
        <f>'11_문서단위'!F64</f>
        <v>1</v>
      </c>
      <c r="D64" s="17">
        <f>'11_문서단위'!G64</f>
        <v>0</v>
      </c>
      <c r="E64" s="17">
        <f>'11_문서단위'!E64</f>
        <v>1074.3333333333301</v>
      </c>
      <c r="F64" s="17">
        <f>'11_문서단위'!J64</f>
        <v>0.58810641228025939</v>
      </c>
      <c r="G64" s="17">
        <f t="shared" si="4"/>
        <v>0.59128086938011104</v>
      </c>
      <c r="H64" s="17">
        <f t="shared" si="5"/>
        <v>-3.1744570998516464E-3</v>
      </c>
      <c r="I64" s="57">
        <f t="shared" si="6"/>
        <v>0.11913164776941815</v>
      </c>
      <c r="J64" s="35">
        <f t="shared" si="7"/>
        <v>1.2987241330055375E-5</v>
      </c>
    </row>
    <row r="65" spans="1:10">
      <c r="A65" s="2" t="str">
        <f>'11_문서단위'!A65</f>
        <v>RPT-30</v>
      </c>
      <c r="B65" s="33">
        <v>1</v>
      </c>
      <c r="C65" s="17">
        <f>'11_문서단위'!F65</f>
        <v>0.68421052631579005</v>
      </c>
      <c r="D65" s="17">
        <f>'11_문서단위'!G65</f>
        <v>0.27348170645824399</v>
      </c>
      <c r="E65" s="17">
        <f>'11_문서단위'!E65</f>
        <v>874.33333333333303</v>
      </c>
      <c r="F65" s="17">
        <f>'11_문서단위'!J65</f>
        <v>0.5896933453584593</v>
      </c>
      <c r="G65" s="17">
        <f t="shared" si="4"/>
        <v>0.60119479224139116</v>
      </c>
      <c r="H65" s="17">
        <f t="shared" si="5"/>
        <v>-1.1501446882931865E-2</v>
      </c>
      <c r="I65" s="57">
        <f t="shared" si="6"/>
        <v>4.3289308114584472E-2</v>
      </c>
      <c r="J65" s="35">
        <f t="shared" si="7"/>
        <v>1.4452524061724678E-4</v>
      </c>
    </row>
    <row r="66" spans="1:10">
      <c r="A66" s="2" t="str">
        <f>'11_문서단위'!A66</f>
        <v>RPT-31</v>
      </c>
      <c r="B66" s="33">
        <v>1</v>
      </c>
      <c r="C66" s="17">
        <f>'11_문서단위'!F66</f>
        <v>1</v>
      </c>
      <c r="D66" s="17">
        <f>'11_문서단위'!G66</f>
        <v>0</v>
      </c>
      <c r="E66" s="17">
        <f>'11_문서단위'!E66</f>
        <v>779.33333333333303</v>
      </c>
      <c r="F66" s="17">
        <f>'11_문서단위'!J66</f>
        <v>0.60623008437917114</v>
      </c>
      <c r="G66" s="17">
        <f t="shared" si="4"/>
        <v>0.6044725591070389</v>
      </c>
      <c r="H66" s="17">
        <f t="shared" si="5"/>
        <v>1.7575252721322432E-3</v>
      </c>
      <c r="I66" s="57">
        <f t="shared" si="6"/>
        <v>4.3781602651904311E-2</v>
      </c>
      <c r="J66" s="35">
        <f t="shared" si="7"/>
        <v>3.3782280761424238E-6</v>
      </c>
    </row>
    <row r="67" spans="1:10">
      <c r="A67" s="2" t="str">
        <f>'11_문서단위'!A67</f>
        <v>RPT-32</v>
      </c>
      <c r="B67" s="33">
        <v>1</v>
      </c>
      <c r="C67" s="17">
        <f>'11_문서단위'!F67</f>
        <v>1</v>
      </c>
      <c r="D67" s="17">
        <f>'11_문서단위'!G67</f>
        <v>0</v>
      </c>
      <c r="E67" s="17">
        <f>'11_문서단위'!E67</f>
        <v>834.33333333333303</v>
      </c>
      <c r="F67" s="17">
        <f>'11_문서단위'!J67</f>
        <v>0.58937723147765619</v>
      </c>
      <c r="G67" s="17">
        <f t="shared" si="4"/>
        <v>0.60201309153083205</v>
      </c>
      <c r="H67" s="17">
        <f t="shared" si="5"/>
        <v>-1.2635860053175851E-2</v>
      </c>
      <c r="I67" s="57">
        <f t="shared" si="6"/>
        <v>2.9984966240900683E-2</v>
      </c>
      <c r="J67" s="35">
        <f t="shared" si="7"/>
        <v>1.6968860685862117E-4</v>
      </c>
    </row>
    <row r="68" spans="1:10">
      <c r="A68" s="2" t="str">
        <f>'11_문서단위'!A68</f>
        <v>RPT-33</v>
      </c>
      <c r="B68" s="33">
        <v>1</v>
      </c>
      <c r="C68" s="17">
        <f>'11_문서단위'!F68</f>
        <v>0.74210526315789505</v>
      </c>
      <c r="D68" s="17">
        <f>'11_문서단위'!G68</f>
        <v>0.223482881532233</v>
      </c>
      <c r="E68" s="17">
        <f>'11_문서단위'!E68</f>
        <v>815.66666666666697</v>
      </c>
      <c r="F68" s="17">
        <f>'11_문서단위'!J68</f>
        <v>0.59993426138020367</v>
      </c>
      <c r="G68" s="17">
        <f t="shared" si="4"/>
        <v>0.60366229490753298</v>
      </c>
      <c r="H68" s="17">
        <f t="shared" si="5"/>
        <v>-3.7280335273293108E-3</v>
      </c>
      <c r="I68" s="57">
        <f t="shared" si="6"/>
        <v>3.917798429637491E-2</v>
      </c>
      <c r="J68" s="35">
        <f t="shared" si="7"/>
        <v>1.5054756223813825E-5</v>
      </c>
    </row>
    <row r="69" spans="1:10">
      <c r="A69" s="2" t="str">
        <f>'11_문서단위'!A69</f>
        <v>RPT-34</v>
      </c>
      <c r="B69" s="33">
        <v>1</v>
      </c>
      <c r="C69" s="17">
        <f>'11_문서단위'!F69</f>
        <v>0.68421052631579005</v>
      </c>
      <c r="D69" s="17">
        <f>'11_문서단위'!G69</f>
        <v>0.27348170645824399</v>
      </c>
      <c r="E69" s="17">
        <f>'11_문서단위'!E69</f>
        <v>983.66666666666697</v>
      </c>
      <c r="F69" s="17">
        <f>'11_문서단위'!J69</f>
        <v>0.59023222608477921</v>
      </c>
      <c r="G69" s="17">
        <f t="shared" si="4"/>
        <v>0.59630566881717373</v>
      </c>
      <c r="H69" s="17">
        <f t="shared" ref="H69:H100" si="8">F69-G69</f>
        <v>-6.0734427323945184E-3</v>
      </c>
      <c r="I69" s="57">
        <f t="shared" si="6"/>
        <v>6.1416624699701133E-2</v>
      </c>
      <c r="J69" s="35">
        <f t="shared" ref="J69:J100" si="9">(H69/(1-I69))^2</f>
        <v>4.1872044479366298E-5</v>
      </c>
    </row>
    <row r="72" spans="1:10">
      <c r="A72" s="26" t="s">
        <v>596</v>
      </c>
    </row>
    <row r="73" spans="1:10">
      <c r="A73" s="11" t="s">
        <v>597</v>
      </c>
    </row>
    <row r="74" spans="1:10">
      <c r="A74" s="11" t="s">
        <v>558</v>
      </c>
      <c r="B74" s="28">
        <f>SUMPRODUCT($B$5:$B$69,$B$5:$B$69)</f>
        <v>65</v>
      </c>
      <c r="C74" s="28">
        <f>SUMPRODUCT($B$5:$B$69,$C$5:$C$69)</f>
        <v>55.752104693552056</v>
      </c>
      <c r="D74" s="28">
        <f>SUMPRODUCT($B$5:$B$69,$D$5:$D$69)</f>
        <v>7.406802480283134</v>
      </c>
      <c r="E74" s="28">
        <f>SUMPRODUCT($B$5:$B$69,$E$5:$E$69)</f>
        <v>56800.333333333343</v>
      </c>
    </row>
    <row r="75" spans="1:10">
      <c r="A75" s="11" t="s">
        <v>559</v>
      </c>
      <c r="B75" s="28">
        <f>SUMPRODUCT($C$5:$C$69,$B$5:$B$69)</f>
        <v>55.752104693552056</v>
      </c>
      <c r="C75" s="28">
        <f>SUMPRODUCT($C$5:$C$69,$C$5:$C$69)</f>
        <v>49.695827347775655</v>
      </c>
      <c r="D75" s="28">
        <f>SUMPRODUCT($C$5:$C$69,$D$5:$D$69)</f>
        <v>5.0442224986412105</v>
      </c>
      <c r="E75" s="28">
        <f>SUMPRODUCT($C$5:$C$69,$E$5:$E$69)</f>
        <v>48681.808629528387</v>
      </c>
    </row>
    <row r="76" spans="1:10">
      <c r="A76" s="11" t="s">
        <v>560</v>
      </c>
      <c r="B76" s="28">
        <f>SUMPRODUCT($D$5:$D$69,$B$5:$B$69)</f>
        <v>7.406802480283134</v>
      </c>
      <c r="C76" s="28">
        <f>SUMPRODUCT($D$5:$D$69,$C$5:$C$69)</f>
        <v>5.0442224986412105</v>
      </c>
      <c r="D76" s="28">
        <f>SUMPRODUCT($D$5:$D$69,$D$5:$D$69)</f>
        <v>1.8874556547696937</v>
      </c>
      <c r="E76" s="28">
        <f>SUMPRODUCT($D$5:$D$69,$E$5:$E$69)</f>
        <v>6540.4496918650029</v>
      </c>
    </row>
    <row r="77" spans="1:10">
      <c r="A77" s="11" t="s">
        <v>598</v>
      </c>
      <c r="B77" s="28">
        <f>SUMPRODUCT($E$5:$E$69,$B$5:$B$69)</f>
        <v>56800.333333333343</v>
      </c>
      <c r="C77" s="28">
        <f>SUMPRODUCT($E$5:$E$69,$C$5:$C$69)</f>
        <v>48681.808629528387</v>
      </c>
      <c r="D77" s="28">
        <f>SUMPRODUCT($E$5:$E$69,$D$5:$D$69)</f>
        <v>6540.4496918650029</v>
      </c>
      <c r="E77" s="28">
        <f>SUMPRODUCT($E$5:$E$69,$E$5:$E$69)</f>
        <v>50123387.888888858</v>
      </c>
    </row>
    <row r="79" spans="1:10">
      <c r="A79" s="26" t="s">
        <v>561</v>
      </c>
    </row>
    <row r="80" spans="1:10">
      <c r="B80" s="17">
        <f>INDEX(MINVERSE($B$74:$E$77),1,1)</f>
        <v>5.223629673420227</v>
      </c>
      <c r="C80" s="17">
        <f>INDEX(MINVERSE($B$74:$E$77),1,2)</f>
        <v>-3.9847890638736168</v>
      </c>
      <c r="D80" s="17">
        <f>INDEX(MINVERSE($B$74:$E$77),1,3)</f>
        <v>-5.0163601955774668</v>
      </c>
      <c r="E80" s="17">
        <f>INDEX(MINVERSE($B$74:$E$77),1,4)</f>
        <v>-1.3947165080530311E-3</v>
      </c>
    </row>
    <row r="81" spans="1:5">
      <c r="B81" s="17">
        <f>INDEX(MINVERSE($B$74:$E$77),2,1)</f>
        <v>-3.9847890638736212</v>
      </c>
      <c r="C81" s="17">
        <f>INDEX(MINVERSE($B$74:$E$77),2,2)</f>
        <v>4.3568491020694466</v>
      </c>
      <c r="D81" s="17">
        <f>INDEX(MINVERSE($B$74:$E$77),2,3)</f>
        <v>5.4929228275286333</v>
      </c>
      <c r="E81" s="17">
        <f>INDEX(MINVERSE($B$74:$E$77),2,4)</f>
        <v>-4.3269486464999989E-4</v>
      </c>
    </row>
    <row r="82" spans="1:5">
      <c r="B82" s="17">
        <f>INDEX(MINVERSE($B$74:$E$77),3,1)</f>
        <v>-5.016360195577473</v>
      </c>
      <c r="C82" s="17">
        <f>INDEX(MINVERSE($B$74:$E$77),3,2)</f>
        <v>5.4929228275286333</v>
      </c>
      <c r="D82" s="17">
        <f>INDEX(MINVERSE($B$74:$E$77),3,3)</f>
        <v>7.8923765338356366</v>
      </c>
      <c r="E82" s="17">
        <f>INDEX(MINVERSE($B$74:$E$77),3,4)</f>
        <v>-6.8020498578502697E-4</v>
      </c>
    </row>
    <row r="83" spans="1:5">
      <c r="B83" s="17">
        <f>INDEX(MINVERSE($B$74:$E$77),4,1)</f>
        <v>-1.3947165080530251E-3</v>
      </c>
      <c r="C83" s="17">
        <f>INDEX(MINVERSE($B$74:$E$77),4,2)</f>
        <v>-4.3269486465000607E-4</v>
      </c>
      <c r="D83" s="17">
        <f>INDEX(MINVERSE($B$74:$E$77),4,3)</f>
        <v>-6.8020498578503466E-4</v>
      </c>
      <c r="E83" s="17">
        <f>INDEX(MINVERSE($B$74:$E$77),4,4)</f>
        <v>2.1094659020825515E-6</v>
      </c>
    </row>
    <row r="85" spans="1:5">
      <c r="A85" s="26" t="s">
        <v>562</v>
      </c>
    </row>
    <row r="86" spans="1:5">
      <c r="A86" s="11" t="s">
        <v>563</v>
      </c>
      <c r="B86" s="28">
        <f>SUMPRODUCT($B$5:$B$69,$F$5:$F$69)</f>
        <v>38.949534764606128</v>
      </c>
    </row>
    <row r="87" spans="1:5">
      <c r="A87" s="11" t="s">
        <v>564</v>
      </c>
      <c r="B87" s="28">
        <f>SUMPRODUCT($C$5:$C$69,$F$5:$F$69)</f>
        <v>33.453632927979058</v>
      </c>
    </row>
    <row r="88" spans="1:5">
      <c r="A88" s="11" t="s">
        <v>565</v>
      </c>
      <c r="B88" s="28">
        <f>SUMPRODUCT($D$5:$D$69,$F$5:$F$69)</f>
        <v>4.4251329850386494</v>
      </c>
    </row>
    <row r="89" spans="1:5">
      <c r="A89" s="11" t="s">
        <v>599</v>
      </c>
      <c r="B89" s="28">
        <f>SUMPRODUCT($E$5:$E$69,$F$5:$F$69)</f>
        <v>34020.011484919596</v>
      </c>
    </row>
    <row r="92" spans="1:5">
      <c r="A92" s="6" t="s">
        <v>566</v>
      </c>
      <c r="B92" s="58">
        <f>INDEX(MMULT($B$80:$E$83,$B$86:$B$89),1,1)</f>
        <v>0.50594233560015311</v>
      </c>
    </row>
    <row r="93" spans="1:5">
      <c r="A93" s="6" t="s">
        <v>600</v>
      </c>
      <c r="B93" s="58">
        <f>INDEX(MMULT($B$80:$E$83,$B$86:$B$89),2,1)</f>
        <v>0.13338013376853297</v>
      </c>
    </row>
    <row r="94" spans="1:5">
      <c r="A94" s="6" t="s">
        <v>601</v>
      </c>
      <c r="B94" s="58">
        <f>INDEX(MMULT($B$80:$E$83,$B$86:$B$89),3,1)</f>
        <v>0.15756244614343018</v>
      </c>
    </row>
    <row r="95" spans="1:5">
      <c r="A95" s="6" t="s">
        <v>568</v>
      </c>
      <c r="B95" s="58">
        <f>INDEX(MMULT($B$80:$E$83,$B$86:$B$89),4,1)</f>
        <v>-4.4717592294671316E-5</v>
      </c>
    </row>
    <row r="96" spans="1:5">
      <c r="A96" s="26" t="s">
        <v>569</v>
      </c>
    </row>
    <row r="97" spans="1:3">
      <c r="A97" s="6" t="s">
        <v>570</v>
      </c>
      <c r="B97" s="33">
        <f>COUNT($F$5:$F$69)</f>
        <v>65</v>
      </c>
      <c r="C97" s="11" t="s">
        <v>329</v>
      </c>
    </row>
    <row r="98" spans="1:3">
      <c r="A98" s="6" t="s">
        <v>571</v>
      </c>
      <c r="B98" s="33">
        <f>4</f>
        <v>4</v>
      </c>
      <c r="C98" s="11" t="s">
        <v>572</v>
      </c>
    </row>
    <row r="99" spans="1:3">
      <c r="A99" s="6" t="s">
        <v>354</v>
      </c>
      <c r="B99" s="17">
        <f>SUMPRODUCT(($F$5:$F$69-AVERAGE($F$5:$F$69))^2)</f>
        <v>1.2617686838955063E-2</v>
      </c>
      <c r="C99" s="11" t="s">
        <v>573</v>
      </c>
    </row>
    <row r="100" spans="1:3">
      <c r="A100" s="6" t="s">
        <v>574</v>
      </c>
      <c r="B100" s="17">
        <f>SUMPRODUCT($H$5:$H$69,$H$5:$H$69)</f>
        <v>7.8881864701725469E-3</v>
      </c>
      <c r="C100" s="11" t="s">
        <v>575</v>
      </c>
    </row>
    <row r="101" spans="1:3">
      <c r="A101" s="6" t="s">
        <v>576</v>
      </c>
      <c r="B101" s="29">
        <f>1-B100/B99</f>
        <v>0.37483101531581453</v>
      </c>
      <c r="C101" s="11" t="s">
        <v>577</v>
      </c>
    </row>
    <row r="102" spans="1:3">
      <c r="A102" s="6" t="s">
        <v>578</v>
      </c>
      <c r="B102" s="29">
        <f>1-(1-B101)*(B97-1)/(B97-B98)</f>
        <v>0.34408499967560868</v>
      </c>
      <c r="C102" s="11" t="s">
        <v>579</v>
      </c>
    </row>
    <row r="103" spans="1:3">
      <c r="A103" s="6" t="s">
        <v>294</v>
      </c>
      <c r="B103" s="18">
        <f>(B101/(B98-1))/((1-B101)/(B97-B98))</f>
        <v>12.191206161544288</v>
      </c>
      <c r="C103" s="11" t="s">
        <v>580</v>
      </c>
    </row>
    <row r="104" spans="1:3">
      <c r="A104" s="6" t="s">
        <v>581</v>
      </c>
      <c r="B104" s="35">
        <f>FDIST(B103,B98-1,B97-B98)</f>
        <v>2.3757784617947709E-6</v>
      </c>
      <c r="C104" s="11" t="s">
        <v>363</v>
      </c>
    </row>
    <row r="105" spans="1:3">
      <c r="A105" s="6" t="s">
        <v>582</v>
      </c>
      <c r="B105" s="17">
        <f>SUM($J$5:$J$69)</f>
        <v>9.5023479503849387E-3</v>
      </c>
      <c r="C105" s="11" t="s">
        <v>583</v>
      </c>
    </row>
    <row r="106" spans="1:3">
      <c r="A106" s="6" t="s">
        <v>584</v>
      </c>
      <c r="B106" s="29">
        <f>1-B105/B99</f>
        <v>0.24690253675911655</v>
      </c>
      <c r="C106" s="11" t="s">
        <v>585</v>
      </c>
    </row>
    <row r="108" spans="1:3">
      <c r="A108" s="26" t="s">
        <v>586</v>
      </c>
    </row>
    <row r="109" spans="1:3">
      <c r="A109" s="2" t="s">
        <v>587</v>
      </c>
    </row>
    <row r="110" spans="1:3">
      <c r="A110" s="11" t="s">
        <v>588</v>
      </c>
    </row>
    <row r="112" spans="1:3">
      <c r="A112" s="2" t="s">
        <v>607</v>
      </c>
    </row>
    <row r="113" spans="1:1">
      <c r="A113" s="2" t="s">
        <v>608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2"/>
  <sheetViews>
    <sheetView zoomScaleNormal="100" workbookViewId="0"/>
  </sheetViews>
  <sheetFormatPr defaultColWidth="8.6640625" defaultRowHeight="14.4"/>
  <cols>
    <col min="1" max="1" width="26" customWidth="1"/>
    <col min="2" max="2" width="18" customWidth="1"/>
    <col min="3" max="3" width="20" customWidth="1"/>
    <col min="4" max="4" width="12" customWidth="1"/>
    <col min="5" max="5" width="13" customWidth="1"/>
    <col min="6" max="7" width="14" customWidth="1"/>
    <col min="8" max="8" width="10" customWidth="1"/>
    <col min="9" max="9" width="12" customWidth="1"/>
  </cols>
  <sheetData>
    <row r="1" spans="1:9" ht="17.399999999999999">
      <c r="A1" s="21" t="s">
        <v>609</v>
      </c>
    </row>
    <row r="2" spans="1:9">
      <c r="A2" s="2" t="s">
        <v>610</v>
      </c>
    </row>
    <row r="4" spans="1:9">
      <c r="A4" s="3" t="s">
        <v>611</v>
      </c>
    </row>
    <row r="5" spans="1:9">
      <c r="A5" s="11" t="s">
        <v>612</v>
      </c>
    </row>
    <row r="6" spans="1:9">
      <c r="A6" s="10" t="s">
        <v>613</v>
      </c>
      <c r="B6" s="10" t="s">
        <v>614</v>
      </c>
      <c r="C6" s="10" t="s">
        <v>615</v>
      </c>
      <c r="D6" s="14" t="s">
        <v>576</v>
      </c>
      <c r="E6" s="14" t="s">
        <v>584</v>
      </c>
      <c r="F6" s="10" t="s">
        <v>616</v>
      </c>
      <c r="G6" s="10" t="s">
        <v>617</v>
      </c>
      <c r="H6" s="14" t="s">
        <v>294</v>
      </c>
      <c r="I6" s="14" t="s">
        <v>295</v>
      </c>
    </row>
    <row r="7" spans="1:9">
      <c r="A7" s="6" t="s">
        <v>618</v>
      </c>
      <c r="B7" s="11" t="s">
        <v>619</v>
      </c>
      <c r="C7" s="11" t="s">
        <v>620</v>
      </c>
      <c r="D7" s="29">
        <f>RSQ('11_문서단위'!$B$5:$B$69,'11_문서단위'!$D$5:$D$69)</f>
        <v>0.63196901522947613</v>
      </c>
      <c r="E7" s="29">
        <f>1-SUMPRODUCT((('11_문서단위'!$B$5:$B$69-G7-F7*'11_문서단위'!$D$5:$D$69)/(1-1/65-('11_문서단위'!$D$5:$D$69-AVERAGE('11_문서단위'!$D$5:$D$69))^2/DEVSQ('11_문서단위'!$D$5:$D$69)))^2)/DEVSQ('11_문서단위'!$B$5:$B$69)</f>
        <v>0.58062240207728122</v>
      </c>
      <c r="F7" s="17">
        <f>SLOPE('11_문서단위'!$B$5:$B$69,'11_문서단위'!$D$5:$D$69)</f>
        <v>-0.18356799107101959</v>
      </c>
      <c r="G7" s="17">
        <f>INTERCEPT('11_문서단위'!$B$5:$B$69,'11_문서단위'!$D$5:$D$69)</f>
        <v>0.63966875519477062</v>
      </c>
      <c r="H7" s="34">
        <f>D7/(1-D7)*63</f>
        <v>108.1812390994253</v>
      </c>
      <c r="I7" s="35">
        <f>FDIST(H7,1,63)</f>
        <v>2.6408663381051065E-15</v>
      </c>
    </row>
    <row r="8" spans="1:9">
      <c r="A8" s="4" t="s">
        <v>621</v>
      </c>
      <c r="B8" s="11" t="s">
        <v>619</v>
      </c>
      <c r="C8" s="2" t="s">
        <v>622</v>
      </c>
      <c r="D8" s="29">
        <f>RSQ('11_문서단위'!$B$5:$B$69,'11_문서단위'!$E$5:$E$69)</f>
        <v>8.4365252034790061E-2</v>
      </c>
      <c r="E8" s="29">
        <f>1-SUMPRODUCT((('11_문서단위'!$B$5:$B$69-G8-F8*'11_문서단위'!$E$5:$E$69)/(1-1/65-('11_문서단위'!$E$5:$E$69-AVERAGE('11_문서단위'!$E$5:$E$69))^2/DEVSQ('11_문서단위'!$E$5:$E$69)))^2)/DEVSQ('11_문서단위'!$B$5:$B$69)</f>
        <v>2.3953634202107388E-2</v>
      </c>
      <c r="F8" s="17">
        <f>SLOPE('11_문서단위'!$B$5:$B$69,'11_문서단위'!$E$5:$E$69)</f>
        <v>-9.0187689320063766E-5</v>
      </c>
      <c r="G8" s="17">
        <f>INTERCEPT('11_문서단위'!$B$5:$B$69,'11_문서단위'!$E$5:$E$69)</f>
        <v>0.69695906586340239</v>
      </c>
      <c r="H8" s="34">
        <f>D8/(1-D8)*63</f>
        <v>5.8047282390747812</v>
      </c>
      <c r="I8" s="35">
        <f>FDIST(H8,1,63)</f>
        <v>1.8917685749422451E-2</v>
      </c>
    </row>
    <row r="9" spans="1:9">
      <c r="A9" s="4" t="s">
        <v>623</v>
      </c>
      <c r="B9" s="11" t="s">
        <v>619</v>
      </c>
      <c r="C9" s="2" t="s">
        <v>624</v>
      </c>
      <c r="D9" s="29">
        <f>RSQ('11_문서단위'!$B$5:$B$69,'11_문서단위'!$F$5:$F$69)</f>
        <v>0.60096612411888961</v>
      </c>
      <c r="E9" s="29">
        <f>1-SUMPRODUCT((('11_문서단위'!$B$5:$B$69-G9-F9*'11_문서단위'!$F$5:$F$69)/(1-1/65-('11_문서단위'!$F$5:$F$69-AVERAGE('11_문서단위'!$F$5:$F$69))^2/DEVSQ('11_문서단위'!$F$5:$F$69)))^2)/DEVSQ('11_문서단위'!$B$5:$B$69)</f>
        <v>0.53792476045584947</v>
      </c>
      <c r="F9" s="17">
        <f>SLOPE('11_문서단위'!$B$5:$B$69,'11_문서단위'!$F$5:$F$69)</f>
        <v>0.12281511705336609</v>
      </c>
      <c r="G9" s="17">
        <f>INTERCEPT('11_문서단위'!$B$5:$B$69,'11_문서단위'!$F$5:$F$69)</f>
        <v>0.51280688001951247</v>
      </c>
      <c r="H9" s="34">
        <f>D9/(1-D9)*63</f>
        <v>94.881332407904267</v>
      </c>
      <c r="I9" s="35">
        <f>FDIST(H9,1,63)</f>
        <v>3.4561861149266625E-14</v>
      </c>
    </row>
    <row r="10" spans="1:9">
      <c r="A10" s="6" t="s">
        <v>625</v>
      </c>
      <c r="B10" s="2" t="s">
        <v>626</v>
      </c>
      <c r="C10" s="11" t="s">
        <v>620</v>
      </c>
      <c r="D10" s="29">
        <f>RSQ('11_문서단위'!$J$5:$J$69,'11_문서단위'!$D$5:$D$69)</f>
        <v>3.5685348698206852E-2</v>
      </c>
      <c r="E10" s="29">
        <f>1-SUMPRODUCT((('11_문서단위'!$J$5:$J$69-G10-F10*'11_문서단위'!$D$5:$D$69)/(1-1/65-('11_문서단위'!$D$5:$D$69-AVERAGE('11_문서단위'!$D$5:$D$69))^2/DEVSQ('11_문서단위'!$D$5:$D$69)))^2)/DEVSQ('11_문서단위'!$J$5:$J$69)</f>
        <v>-7.6235148732330948E-2</v>
      </c>
      <c r="F10" s="17">
        <f>SLOPE('11_문서단위'!$J$5:$J$69,'11_문서단위'!$D$5:$D$69)</f>
        <v>-2.2581647226998427E-2</v>
      </c>
      <c r="G10" s="17">
        <f>INTERCEPT('11_문서단위'!$J$5:$J$69,'11_문서단위'!$D$5:$D$69)</f>
        <v>0.60187093720343532</v>
      </c>
      <c r="H10" s="34">
        <f>D10/(1-D10)*63</f>
        <v>2.331372820014781</v>
      </c>
      <c r="I10" s="35">
        <f>FDIST(H10,1,63)</f>
        <v>0.13179527240258443</v>
      </c>
    </row>
    <row r="11" spans="1:9">
      <c r="A11" s="4" t="s">
        <v>627</v>
      </c>
      <c r="B11" s="2" t="s">
        <v>626</v>
      </c>
      <c r="C11" s="2" t="s">
        <v>622</v>
      </c>
      <c r="D11" s="29">
        <f>RSQ('11_문서단위'!$J$5:$J$69,'11_문서단위'!$E$5:$E$69)</f>
        <v>4.2012113297649735E-2</v>
      </c>
      <c r="E11" s="29">
        <f>1-SUMPRODUCT((('11_문서단위'!$J$5:$J$69-G11-F11*'11_문서단위'!$E$5:$E$69)/(1-1/65-('11_문서단위'!$E$5:$E$69-AVERAGE('11_문서단위'!$E$5:$E$69))^2/DEVSQ('11_문서단위'!$E$5:$E$69)))^2)/DEVSQ('11_문서단위'!$J$5:$J$69)</f>
        <v>-2.1412751106123284E-2</v>
      </c>
      <c r="F11" s="17">
        <f>SLOPE('11_문서단위'!$J$5:$J$69,'11_문서단위'!$E$5:$E$69)</f>
        <v>-3.2946880741208161E-5</v>
      </c>
      <c r="G11" s="17">
        <f>INTERCEPT('11_문서단위'!$J$5:$J$69,'11_문서단위'!$E$5:$E$69)</f>
        <v>0.62801428573846663</v>
      </c>
      <c r="H11" s="34">
        <f>D11/(1-D11)*63</f>
        <v>2.762835704387451</v>
      </c>
      <c r="I11" s="35">
        <f>FDIST(H11,1,63)</f>
        <v>0.10144540609191847</v>
      </c>
    </row>
    <row r="13" spans="1:9">
      <c r="A13" s="26" t="s">
        <v>628</v>
      </c>
    </row>
    <row r="14" spans="1:9">
      <c r="A14" s="11" t="s">
        <v>629</v>
      </c>
    </row>
    <row r="15" spans="1:9" ht="26.4">
      <c r="A15" s="10" t="s">
        <v>630</v>
      </c>
      <c r="B15" s="10" t="s">
        <v>631</v>
      </c>
      <c r="C15" s="10" t="s">
        <v>632</v>
      </c>
      <c r="D15" s="14" t="s">
        <v>633</v>
      </c>
      <c r="E15" s="10" t="s">
        <v>484</v>
      </c>
    </row>
    <row r="16" spans="1:9">
      <c r="A16" s="4" t="s">
        <v>634</v>
      </c>
      <c r="B16" s="2" t="s">
        <v>622</v>
      </c>
      <c r="C16" s="2" t="s">
        <v>635</v>
      </c>
      <c r="D16" s="51">
        <f>CORREL('11_문서단위'!$N$5:$N$69,'11_문서단위'!$L$5:$L$69)</f>
        <v>-0.42696678321678322</v>
      </c>
      <c r="E16" s="2" t="s">
        <v>636</v>
      </c>
    </row>
    <row r="17" spans="1:5">
      <c r="A17" s="4" t="s">
        <v>637</v>
      </c>
      <c r="B17" s="2" t="s">
        <v>622</v>
      </c>
      <c r="C17" s="11" t="s">
        <v>620</v>
      </c>
      <c r="D17" s="51">
        <f>CORREL('11_문서단위'!$N$5:$N$69,'11_문서단위'!$M$5:$M$69)</f>
        <v>0.1353734739473198</v>
      </c>
      <c r="E17" s="2" t="s">
        <v>638</v>
      </c>
    </row>
    <row r="18" spans="1:5">
      <c r="A18" s="4" t="s">
        <v>639</v>
      </c>
      <c r="B18" s="2" t="s">
        <v>624</v>
      </c>
      <c r="C18" s="11" t="s">
        <v>620</v>
      </c>
      <c r="D18" s="51">
        <f>CORREL('11_문서단위'!$O$5:$O$69,'11_문서단위'!$M$5:$M$69)</f>
        <v>-0.84904916865561963</v>
      </c>
      <c r="E18" s="2" t="s">
        <v>640</v>
      </c>
    </row>
    <row r="20" spans="1:5">
      <c r="A20" s="2" t="s">
        <v>641</v>
      </c>
    </row>
    <row r="21" spans="1:5">
      <c r="A21" s="2" t="s">
        <v>642</v>
      </c>
    </row>
    <row r="22" spans="1:5">
      <c r="A22" s="2" t="s">
        <v>643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1"/>
  <sheetViews>
    <sheetView tabSelected="1" topLeftCell="A6" zoomScaleNormal="100" workbookViewId="0">
      <selection activeCell="E91" sqref="E91"/>
    </sheetView>
  </sheetViews>
  <sheetFormatPr defaultColWidth="8.6640625" defaultRowHeight="14.4"/>
  <cols>
    <col min="1" max="1" width="5" customWidth="1"/>
    <col min="2" max="2" width="14" customWidth="1"/>
    <col min="3" max="3" width="34" customWidth="1"/>
    <col min="4" max="4" width="15" customWidth="1"/>
    <col min="5" max="5" width="17" customWidth="1"/>
    <col min="6" max="6" width="14" customWidth="1"/>
    <col min="7" max="7" width="12" customWidth="1"/>
    <col min="8" max="8" width="11" customWidth="1"/>
  </cols>
  <sheetData>
    <row r="1" spans="1:8" ht="17.399999999999999">
      <c r="A1" s="21" t="s">
        <v>644</v>
      </c>
    </row>
    <row r="2" spans="1:8">
      <c r="A2" s="2" t="s">
        <v>645</v>
      </c>
    </row>
    <row r="4" spans="1:8">
      <c r="A4" s="14" t="s">
        <v>190</v>
      </c>
      <c r="B4" s="10" t="s">
        <v>646</v>
      </c>
      <c r="C4" s="10" t="s">
        <v>398</v>
      </c>
      <c r="D4" s="10" t="s">
        <v>647</v>
      </c>
      <c r="E4" s="10" t="s">
        <v>648</v>
      </c>
      <c r="F4" s="10" t="s">
        <v>508</v>
      </c>
      <c r="G4" s="10" t="s">
        <v>454</v>
      </c>
      <c r="H4" s="10" t="s">
        <v>649</v>
      </c>
    </row>
    <row r="5" spans="1:8">
      <c r="A5" s="2">
        <v>1</v>
      </c>
      <c r="B5" s="11" t="s">
        <v>650</v>
      </c>
      <c r="C5" s="6" t="s">
        <v>308</v>
      </c>
      <c r="D5" s="59">
        <v>0.28199999999999997</v>
      </c>
      <c r="E5" s="28">
        <f>'05_이원분산분석'!B20</f>
        <v>0.28225489453740571</v>
      </c>
      <c r="F5" s="60">
        <f t="shared" ref="F5:F36" si="0">E5-D5</f>
        <v>2.5489453740573653E-4</v>
      </c>
      <c r="G5" s="4" t="str">
        <f t="shared" ref="G5:G36" si="1">IF(ABS(F5)&lt;=H5,"일치","불일치")</f>
        <v>일치</v>
      </c>
      <c r="H5" s="61">
        <v>5.0000000000000001E-4</v>
      </c>
    </row>
    <row r="6" spans="1:8">
      <c r="A6" s="2">
        <v>2</v>
      </c>
      <c r="B6" s="11" t="s">
        <v>650</v>
      </c>
      <c r="C6" s="6" t="s">
        <v>310</v>
      </c>
      <c r="D6" s="59">
        <v>0.246</v>
      </c>
      <c r="E6" s="28">
        <f>'05_이원분산분석'!B21</f>
        <v>0.24567348547283233</v>
      </c>
      <c r="F6" s="60">
        <f t="shared" si="0"/>
        <v>-3.265145271676706E-4</v>
      </c>
      <c r="G6" s="4" t="str">
        <f t="shared" si="1"/>
        <v>일치</v>
      </c>
      <c r="H6" s="61">
        <v>5.0000000000000001E-4</v>
      </c>
    </row>
    <row r="7" spans="1:8">
      <c r="A7" s="2">
        <v>3</v>
      </c>
      <c r="B7" s="11" t="s">
        <v>650</v>
      </c>
      <c r="C7" s="6" t="s">
        <v>312</v>
      </c>
      <c r="D7" s="59">
        <v>8.2000000000000003E-2</v>
      </c>
      <c r="E7" s="28">
        <f>'05_이원분산분석'!B22</f>
        <v>8.177075463901215E-2</v>
      </c>
      <c r="F7" s="60">
        <f t="shared" si="0"/>
        <v>-2.2924536098785364E-4</v>
      </c>
      <c r="G7" s="4" t="str">
        <f t="shared" si="1"/>
        <v>일치</v>
      </c>
      <c r="H7" s="61">
        <v>5.0000000000000001E-4</v>
      </c>
    </row>
    <row r="8" spans="1:8">
      <c r="A8" s="2">
        <v>4</v>
      </c>
      <c r="B8" s="11" t="s">
        <v>39</v>
      </c>
      <c r="C8" s="6" t="s">
        <v>651</v>
      </c>
      <c r="D8" s="59">
        <v>0.36399999999999999</v>
      </c>
      <c r="E8" s="28">
        <f>'05_이원분산분석'!B23</f>
        <v>0.36402564917641789</v>
      </c>
      <c r="F8" s="60">
        <f t="shared" si="0"/>
        <v>2.5649176417896768E-5</v>
      </c>
      <c r="G8" s="4" t="str">
        <f t="shared" si="1"/>
        <v>일치</v>
      </c>
      <c r="H8" s="61">
        <v>5.0000000000000001E-4</v>
      </c>
    </row>
    <row r="9" spans="1:8">
      <c r="A9" s="2">
        <v>5</v>
      </c>
      <c r="B9" s="11" t="s">
        <v>39</v>
      </c>
      <c r="C9" s="4" t="s">
        <v>321</v>
      </c>
      <c r="D9" s="59">
        <v>1.4</v>
      </c>
      <c r="E9" s="28">
        <f>'05_이원분산분석'!B27</f>
        <v>1.4195650961427395</v>
      </c>
      <c r="F9" s="60">
        <f t="shared" si="0"/>
        <v>1.9565096142739602E-2</v>
      </c>
      <c r="G9" s="4" t="str">
        <f t="shared" si="1"/>
        <v>일치</v>
      </c>
      <c r="H9" s="61">
        <v>0.05</v>
      </c>
    </row>
    <row r="10" spans="1:8">
      <c r="A10" s="2">
        <v>6</v>
      </c>
      <c r="B10" s="11" t="s">
        <v>39</v>
      </c>
      <c r="C10" s="6" t="s">
        <v>652</v>
      </c>
      <c r="D10" s="59">
        <v>1.1499999999999999</v>
      </c>
      <c r="E10" s="28">
        <f>'05_이원분산분석'!B24</f>
        <v>1.148902552484113</v>
      </c>
      <c r="F10" s="60">
        <f t="shared" si="0"/>
        <v>-1.0974475158869179E-3</v>
      </c>
      <c r="G10" s="4" t="str">
        <f t="shared" si="1"/>
        <v>일치</v>
      </c>
      <c r="H10" s="61">
        <v>0.05</v>
      </c>
    </row>
    <row r="11" spans="1:8">
      <c r="A11" s="2">
        <v>7</v>
      </c>
      <c r="B11" s="11" t="s">
        <v>39</v>
      </c>
      <c r="C11" s="6" t="s">
        <v>653</v>
      </c>
      <c r="D11" s="59">
        <v>0.26900000000000002</v>
      </c>
      <c r="E11" s="28">
        <f>'06_ICC'!B16</f>
        <v>0.26874851190943222</v>
      </c>
      <c r="F11" s="60">
        <f t="shared" si="0"/>
        <v>-2.5148809056779742E-4</v>
      </c>
      <c r="G11" s="4" t="str">
        <f t="shared" si="1"/>
        <v>일치</v>
      </c>
      <c r="H11" s="61">
        <v>5.0000000000000001E-4</v>
      </c>
    </row>
    <row r="12" spans="1:8">
      <c r="A12" s="2">
        <v>8</v>
      </c>
      <c r="B12" s="2" t="s">
        <v>48</v>
      </c>
      <c r="C12" s="4" t="s">
        <v>654</v>
      </c>
      <c r="D12" s="59">
        <v>0.54549999999999998</v>
      </c>
      <c r="E12" s="28">
        <f>'07_관대함변별력'!C5</f>
        <v>0.54551756048912992</v>
      </c>
      <c r="F12" s="60">
        <f t="shared" si="0"/>
        <v>1.7560489129930801E-5</v>
      </c>
      <c r="G12" s="4" t="str">
        <f t="shared" si="1"/>
        <v>일치</v>
      </c>
      <c r="H12" s="61">
        <v>1E-4</v>
      </c>
    </row>
    <row r="13" spans="1:8">
      <c r="A13" s="2">
        <v>9</v>
      </c>
      <c r="B13" s="2" t="s">
        <v>48</v>
      </c>
      <c r="C13" s="4" t="s">
        <v>655</v>
      </c>
      <c r="D13" s="59">
        <v>0.61180000000000001</v>
      </c>
      <c r="E13" s="28">
        <f>'07_관대함변별력'!C8</f>
        <v>0.61183125490740553</v>
      </c>
      <c r="F13" s="60">
        <f t="shared" si="0"/>
        <v>3.1254907405520171E-5</v>
      </c>
      <c r="G13" s="4" t="str">
        <f t="shared" si="1"/>
        <v>일치</v>
      </c>
      <c r="H13" s="61">
        <v>1E-4</v>
      </c>
    </row>
    <row r="14" spans="1:8">
      <c r="A14" s="2">
        <v>10</v>
      </c>
      <c r="B14" s="2" t="s">
        <v>48</v>
      </c>
      <c r="C14" s="4" t="s">
        <v>656</v>
      </c>
      <c r="D14" s="59">
        <v>0.62150000000000005</v>
      </c>
      <c r="E14" s="28">
        <f>'07_관대함변별력'!C6</f>
        <v>0.62153882896589419</v>
      </c>
      <c r="F14" s="60">
        <f t="shared" si="0"/>
        <v>3.8828965894133205E-5</v>
      </c>
      <c r="G14" s="4" t="str">
        <f t="shared" si="1"/>
        <v>일치</v>
      </c>
      <c r="H14" s="61">
        <v>1E-4</v>
      </c>
    </row>
    <row r="15" spans="1:8">
      <c r="A15" s="2">
        <v>11</v>
      </c>
      <c r="B15" s="2" t="s">
        <v>48</v>
      </c>
      <c r="C15" s="4" t="s">
        <v>657</v>
      </c>
      <c r="D15" s="59">
        <v>0.65010000000000001</v>
      </c>
      <c r="E15" s="28">
        <f>'07_관대함변별력'!C9</f>
        <v>0.65009193092691198</v>
      </c>
      <c r="F15" s="60">
        <f t="shared" si="0"/>
        <v>-8.0690730880350614E-6</v>
      </c>
      <c r="G15" s="4" t="str">
        <f t="shared" si="1"/>
        <v>일치</v>
      </c>
      <c r="H15" s="61">
        <v>1E-4</v>
      </c>
    </row>
    <row r="16" spans="1:8">
      <c r="A16" s="2">
        <v>12</v>
      </c>
      <c r="B16" s="2" t="s">
        <v>48</v>
      </c>
      <c r="C16" s="4" t="s">
        <v>658</v>
      </c>
      <c r="D16" s="59">
        <v>0.66180000000000005</v>
      </c>
      <c r="E16" s="28">
        <f>'07_관대함변별력'!C7</f>
        <v>0.66176261433976835</v>
      </c>
      <c r="F16" s="60">
        <f t="shared" si="0"/>
        <v>-3.7385660231703532E-5</v>
      </c>
      <c r="G16" s="4" t="str">
        <f t="shared" si="1"/>
        <v>일치</v>
      </c>
      <c r="H16" s="61">
        <v>1E-4</v>
      </c>
    </row>
    <row r="17" spans="1:8">
      <c r="A17" s="2">
        <v>13</v>
      </c>
      <c r="B17" s="2" t="s">
        <v>48</v>
      </c>
      <c r="C17" s="4" t="s">
        <v>659</v>
      </c>
      <c r="D17" s="59">
        <v>2.9000000000000001E-2</v>
      </c>
      <c r="E17" s="28">
        <f>'07_관대함변별력'!H5</f>
        <v>2.8903451297593752E-2</v>
      </c>
      <c r="F17" s="60">
        <f t="shared" si="0"/>
        <v>-9.6548702406249604E-5</v>
      </c>
      <c r="G17" s="4" t="str">
        <f t="shared" si="1"/>
        <v>일치</v>
      </c>
      <c r="H17" s="61">
        <v>5.0000000000000001E-4</v>
      </c>
    </row>
    <row r="18" spans="1:8">
      <c r="A18" s="2">
        <v>14</v>
      </c>
      <c r="B18" s="2" t="s">
        <v>48</v>
      </c>
      <c r="C18" s="4" t="s">
        <v>660</v>
      </c>
      <c r="D18" s="59">
        <v>0.05</v>
      </c>
      <c r="E18" s="28">
        <f>'07_관대함변별력'!H8</f>
        <v>5.0165590097202228E-2</v>
      </c>
      <c r="F18" s="60">
        <f t="shared" si="0"/>
        <v>1.6559009720222562E-4</v>
      </c>
      <c r="G18" s="4" t="str">
        <f t="shared" si="1"/>
        <v>일치</v>
      </c>
      <c r="H18" s="61">
        <v>5.0000000000000001E-4</v>
      </c>
    </row>
    <row r="19" spans="1:8">
      <c r="A19" s="2">
        <v>15</v>
      </c>
      <c r="B19" s="2" t="s">
        <v>48</v>
      </c>
      <c r="C19" s="4" t="s">
        <v>661</v>
      </c>
      <c r="D19" s="59">
        <v>8.4000000000000005E-2</v>
      </c>
      <c r="E19" s="28">
        <f>'07_관대함변별력'!H6</f>
        <v>8.3532231548704816E-2</v>
      </c>
      <c r="F19" s="60">
        <f t="shared" si="0"/>
        <v>-4.6776845129518907E-4</v>
      </c>
      <c r="G19" s="4" t="str">
        <f t="shared" si="1"/>
        <v>일치</v>
      </c>
      <c r="H19" s="61">
        <v>5.0000000000000001E-4</v>
      </c>
    </row>
    <row r="20" spans="1:8">
      <c r="A20" s="2">
        <v>16</v>
      </c>
      <c r="B20" s="2" t="s">
        <v>48</v>
      </c>
      <c r="C20" s="4" t="s">
        <v>662</v>
      </c>
      <c r="D20" s="59">
        <v>0.13800000000000001</v>
      </c>
      <c r="E20" s="28">
        <f>'07_관대함변별력'!H7</f>
        <v>0.13825271854606769</v>
      </c>
      <c r="F20" s="60">
        <f t="shared" si="0"/>
        <v>2.5271854606767619E-4</v>
      </c>
      <c r="G20" s="4" t="str">
        <f t="shared" si="1"/>
        <v>일치</v>
      </c>
      <c r="H20" s="61">
        <v>5.0000000000000001E-4</v>
      </c>
    </row>
    <row r="21" spans="1:8">
      <c r="A21" s="2">
        <v>17</v>
      </c>
      <c r="B21" s="2" t="s">
        <v>48</v>
      </c>
      <c r="C21" s="4" t="s">
        <v>663</v>
      </c>
      <c r="D21" s="59">
        <v>0.14799999999999999</v>
      </c>
      <c r="E21" s="28">
        <f>'07_관대함변별력'!H9</f>
        <v>0.14811384388675208</v>
      </c>
      <c r="F21" s="60">
        <f t="shared" si="0"/>
        <v>1.1384388675209078E-4</v>
      </c>
      <c r="G21" s="4" t="str">
        <f t="shared" si="1"/>
        <v>일치</v>
      </c>
      <c r="H21" s="61">
        <v>5.0000000000000001E-4</v>
      </c>
    </row>
    <row r="22" spans="1:8">
      <c r="A22" s="2">
        <v>18</v>
      </c>
      <c r="B22" s="2" t="s">
        <v>48</v>
      </c>
      <c r="C22" s="4" t="s">
        <v>664</v>
      </c>
      <c r="D22" s="59">
        <v>10</v>
      </c>
      <c r="E22" s="28">
        <f>'07_관대함변별력'!I5</f>
        <v>10.308901594941684</v>
      </c>
      <c r="F22" s="60">
        <f t="shared" si="0"/>
        <v>0.30890159494168401</v>
      </c>
      <c r="G22" s="4" t="str">
        <f t="shared" si="1"/>
        <v>일치</v>
      </c>
      <c r="H22" s="61">
        <v>0.5</v>
      </c>
    </row>
    <row r="23" spans="1:8">
      <c r="A23" s="2">
        <v>19</v>
      </c>
      <c r="B23" s="2" t="s">
        <v>48</v>
      </c>
      <c r="C23" s="4" t="s">
        <v>665</v>
      </c>
      <c r="D23" s="59">
        <v>15</v>
      </c>
      <c r="E23" s="28">
        <f>'07_관대함변별력'!I8</f>
        <v>15.480967669075152</v>
      </c>
      <c r="F23" s="60">
        <f t="shared" si="0"/>
        <v>0.48096766907515232</v>
      </c>
      <c r="G23" s="4" t="str">
        <f t="shared" si="1"/>
        <v>일치</v>
      </c>
      <c r="H23" s="61">
        <v>0.5</v>
      </c>
    </row>
    <row r="24" spans="1:8">
      <c r="A24" s="2">
        <v>20</v>
      </c>
      <c r="B24" s="2" t="s">
        <v>48</v>
      </c>
      <c r="C24" s="4" t="s">
        <v>666</v>
      </c>
      <c r="D24" s="59">
        <v>38</v>
      </c>
      <c r="E24" s="28">
        <f>'07_관대함변별력'!I6</f>
        <v>37.715317777972203</v>
      </c>
      <c r="F24" s="60">
        <f t="shared" si="0"/>
        <v>-0.28468222202779714</v>
      </c>
      <c r="G24" s="4" t="str">
        <f t="shared" si="1"/>
        <v>일치</v>
      </c>
      <c r="H24" s="61">
        <v>0.5</v>
      </c>
    </row>
    <row r="25" spans="1:8">
      <c r="A25" s="2">
        <v>21</v>
      </c>
      <c r="B25" s="2" t="s">
        <v>48</v>
      </c>
      <c r="C25" s="4" t="s">
        <v>667</v>
      </c>
      <c r="D25" s="59">
        <v>54</v>
      </c>
      <c r="E25" s="28">
        <f>'07_관대함변별력'!I7</f>
        <v>53.574179982344447</v>
      </c>
      <c r="F25" s="60">
        <f t="shared" si="0"/>
        <v>-0.42582001765555333</v>
      </c>
      <c r="G25" s="4" t="str">
        <f t="shared" si="1"/>
        <v>일치</v>
      </c>
      <c r="H25" s="61">
        <v>0.5</v>
      </c>
    </row>
    <row r="26" spans="1:8">
      <c r="A26" s="2">
        <v>22</v>
      </c>
      <c r="B26" s="2" t="s">
        <v>48</v>
      </c>
      <c r="C26" s="4" t="s">
        <v>668</v>
      </c>
      <c r="D26" s="59">
        <v>65</v>
      </c>
      <c r="E26" s="28">
        <f>'07_관대함변별력'!I9</f>
        <v>64.562877573080286</v>
      </c>
      <c r="F26" s="60">
        <f t="shared" si="0"/>
        <v>-0.43712242691971426</v>
      </c>
      <c r="G26" s="4" t="str">
        <f t="shared" si="1"/>
        <v>일치</v>
      </c>
      <c r="H26" s="61">
        <v>0.5</v>
      </c>
    </row>
    <row r="27" spans="1:8">
      <c r="A27" s="2">
        <v>23</v>
      </c>
      <c r="B27" s="11" t="s">
        <v>39</v>
      </c>
      <c r="C27" s="4" t="s">
        <v>669</v>
      </c>
      <c r="D27" s="59">
        <v>0.56459999999999999</v>
      </c>
      <c r="E27" s="28">
        <f>'04_교차표'!C10</f>
        <v>0.56458675340193687</v>
      </c>
      <c r="F27" s="60">
        <f t="shared" si="0"/>
        <v>-1.324659806312134E-5</v>
      </c>
      <c r="G27" s="4" t="str">
        <f t="shared" si="1"/>
        <v>일치</v>
      </c>
      <c r="H27" s="61">
        <v>1E-4</v>
      </c>
    </row>
    <row r="28" spans="1:8">
      <c r="A28" s="2">
        <v>24</v>
      </c>
      <c r="B28" s="11" t="s">
        <v>39</v>
      </c>
      <c r="C28" s="4" t="s">
        <v>670</v>
      </c>
      <c r="D28" s="59">
        <v>0.64339999999999997</v>
      </c>
      <c r="E28" s="28">
        <f>'04_교차표'!D10</f>
        <v>0.64338401319329941</v>
      </c>
      <c r="F28" s="60">
        <f t="shared" si="0"/>
        <v>-1.5986806700563072E-5</v>
      </c>
      <c r="G28" s="4" t="str">
        <f t="shared" si="1"/>
        <v>일치</v>
      </c>
      <c r="H28" s="61">
        <v>1E-4</v>
      </c>
    </row>
    <row r="29" spans="1:8">
      <c r="A29" s="2">
        <v>25</v>
      </c>
      <c r="B29" s="11" t="s">
        <v>39</v>
      </c>
      <c r="C29" s="4" t="s">
        <v>671</v>
      </c>
      <c r="D29" s="59">
        <v>0.64649999999999996</v>
      </c>
      <c r="E29" s="28">
        <f>'04_교차표'!B10</f>
        <v>0.64647454718222985</v>
      </c>
      <c r="F29" s="60">
        <f t="shared" si="0"/>
        <v>-2.5452817770110769E-5</v>
      </c>
      <c r="G29" s="4" t="str">
        <f t="shared" si="1"/>
        <v>일치</v>
      </c>
      <c r="H29" s="61">
        <v>1E-4</v>
      </c>
    </row>
    <row r="30" spans="1:8">
      <c r="A30" s="2">
        <v>26</v>
      </c>
      <c r="B30" s="2" t="s">
        <v>51</v>
      </c>
      <c r="C30" s="6" t="s">
        <v>672</v>
      </c>
      <c r="D30" s="62">
        <v>278.35000000000002</v>
      </c>
      <c r="E30" s="33">
        <f>'08_KW_Holm'!B13</f>
        <v>278.35167616645685</v>
      </c>
      <c r="F30" s="60">
        <f t="shared" si="0"/>
        <v>1.6761664568321066E-3</v>
      </c>
      <c r="G30" s="4" t="str">
        <f t="shared" si="1"/>
        <v>일치</v>
      </c>
      <c r="H30" s="61">
        <v>0.05</v>
      </c>
    </row>
    <row r="31" spans="1:8">
      <c r="A31" s="2">
        <v>27</v>
      </c>
      <c r="B31" s="2" t="s">
        <v>51</v>
      </c>
      <c r="C31" s="6" t="s">
        <v>673</v>
      </c>
      <c r="D31" s="62">
        <v>86214</v>
      </c>
      <c r="E31" s="33">
        <f>'08_KW_Holm'!H24</f>
        <v>86214</v>
      </c>
      <c r="F31" s="60">
        <f t="shared" si="0"/>
        <v>0</v>
      </c>
      <c r="G31" s="4" t="str">
        <f t="shared" si="1"/>
        <v>일치</v>
      </c>
      <c r="H31" s="61">
        <v>1</v>
      </c>
    </row>
    <row r="32" spans="1:8">
      <c r="A32" s="2">
        <v>28</v>
      </c>
      <c r="B32" s="2" t="s">
        <v>51</v>
      </c>
      <c r="C32" s="6" t="s">
        <v>674</v>
      </c>
      <c r="D32" s="59">
        <v>0.63200000000000001</v>
      </c>
      <c r="E32" s="28">
        <f>'08_KW_Holm'!N24</f>
        <v>0.63245443786982247</v>
      </c>
      <c r="F32" s="60">
        <f t="shared" si="0"/>
        <v>4.5443786982246603E-4</v>
      </c>
      <c r="G32" s="4" t="str">
        <f t="shared" si="1"/>
        <v>일치</v>
      </c>
      <c r="H32" s="61">
        <v>1.5E-3</v>
      </c>
    </row>
    <row r="33" spans="1:8">
      <c r="A33" s="2">
        <v>29</v>
      </c>
      <c r="B33" s="2" t="s">
        <v>51</v>
      </c>
      <c r="C33" s="6" t="s">
        <v>675</v>
      </c>
      <c r="D33" s="62">
        <v>53538</v>
      </c>
      <c r="E33" s="33">
        <f>'08_KW_Holm'!H25</f>
        <v>53538</v>
      </c>
      <c r="F33" s="60">
        <f t="shared" si="0"/>
        <v>0</v>
      </c>
      <c r="G33" s="4" t="str">
        <f t="shared" si="1"/>
        <v>일치</v>
      </c>
      <c r="H33" s="61">
        <v>1</v>
      </c>
    </row>
    <row r="34" spans="1:8">
      <c r="A34" s="2">
        <v>30</v>
      </c>
      <c r="B34" s="2" t="s">
        <v>51</v>
      </c>
      <c r="C34" s="6" t="s">
        <v>676</v>
      </c>
      <c r="D34" s="59">
        <v>1.4E-2</v>
      </c>
      <c r="E34" s="28">
        <f>'08_KW_Holm'!N25</f>
        <v>1.3737278106508821E-2</v>
      </c>
      <c r="F34" s="60">
        <f t="shared" si="0"/>
        <v>-2.627218934911791E-4</v>
      </c>
      <c r="G34" s="4" t="str">
        <f t="shared" si="1"/>
        <v>일치</v>
      </c>
      <c r="H34" s="61">
        <v>1.5E-3</v>
      </c>
    </row>
    <row r="35" spans="1:8">
      <c r="A35" s="2">
        <v>31</v>
      </c>
      <c r="B35" s="2" t="s">
        <v>51</v>
      </c>
      <c r="C35" s="6" t="s">
        <v>677</v>
      </c>
      <c r="D35" s="62">
        <v>17060</v>
      </c>
      <c r="E35" s="33">
        <f>'08_KW_Holm'!H26</f>
        <v>17060</v>
      </c>
      <c r="F35" s="60">
        <f t="shared" si="0"/>
        <v>0</v>
      </c>
      <c r="G35" s="4" t="str">
        <f t="shared" si="1"/>
        <v>일치</v>
      </c>
      <c r="H35" s="61">
        <v>1</v>
      </c>
    </row>
    <row r="36" spans="1:8">
      <c r="A36" s="2">
        <v>32</v>
      </c>
      <c r="B36" s="2" t="s">
        <v>51</v>
      </c>
      <c r="C36" s="6" t="s">
        <v>678</v>
      </c>
      <c r="D36" s="59">
        <v>-0.67700000000000005</v>
      </c>
      <c r="E36" s="28">
        <f>'08_KW_Holm'!N26</f>
        <v>-0.67697041420118342</v>
      </c>
      <c r="F36" s="60">
        <f t="shared" si="0"/>
        <v>2.9585798816622599E-5</v>
      </c>
      <c r="G36" s="4" t="str">
        <f t="shared" si="1"/>
        <v>일치</v>
      </c>
      <c r="H36" s="61">
        <v>1.5E-3</v>
      </c>
    </row>
    <row r="37" spans="1:8">
      <c r="A37" s="2">
        <v>33</v>
      </c>
      <c r="B37" s="2" t="s">
        <v>679</v>
      </c>
      <c r="C37" s="6" t="s">
        <v>680</v>
      </c>
      <c r="D37" s="59">
        <v>8.8999999999999996E-2</v>
      </c>
      <c r="E37" s="28">
        <f>'10_계열편향'!F8</f>
        <v>8.8971557363313636E-2</v>
      </c>
      <c r="F37" s="60">
        <f t="shared" ref="F37:F68" si="2">E37-D37</f>
        <v>-2.8442636686359934E-5</v>
      </c>
      <c r="G37" s="4" t="str">
        <f t="shared" ref="G37:G68" si="3">IF(ABS(F37)&lt;=H37,"일치","불일치")</f>
        <v>일치</v>
      </c>
      <c r="H37" s="61">
        <v>2.0000000000000001E-4</v>
      </c>
    </row>
    <row r="38" spans="1:8">
      <c r="A38" s="2">
        <v>34</v>
      </c>
      <c r="B38" s="2" t="s">
        <v>679</v>
      </c>
      <c r="C38" s="6" t="s">
        <v>681</v>
      </c>
      <c r="D38" s="59">
        <v>4.8800000000000003E-2</v>
      </c>
      <c r="E38" s="28">
        <f>'10_계열편향'!F9</f>
        <v>4.8793399814628158E-2</v>
      </c>
      <c r="F38" s="60">
        <f t="shared" si="2"/>
        <v>-6.600185371845313E-6</v>
      </c>
      <c r="G38" s="4" t="str">
        <f t="shared" si="3"/>
        <v>일치</v>
      </c>
      <c r="H38" s="61">
        <v>2.0000000000000001E-4</v>
      </c>
    </row>
    <row r="39" spans="1:8">
      <c r="A39" s="2">
        <v>35</v>
      </c>
      <c r="B39" s="2" t="s">
        <v>679</v>
      </c>
      <c r="C39" s="6" t="s">
        <v>682</v>
      </c>
      <c r="D39" s="59">
        <v>2.0799999999999999E-2</v>
      </c>
      <c r="E39" s="28">
        <f>'10_계열편향'!F10</f>
        <v>2.0795653519683599E-2</v>
      </c>
      <c r="F39" s="60">
        <f t="shared" si="2"/>
        <v>-4.3464803164000587E-6</v>
      </c>
      <c r="G39" s="4" t="str">
        <f t="shared" si="3"/>
        <v>일치</v>
      </c>
      <c r="H39" s="61">
        <v>2.0000000000000001E-4</v>
      </c>
    </row>
    <row r="40" spans="1:8">
      <c r="A40" s="2">
        <v>36</v>
      </c>
      <c r="B40" s="2" t="s">
        <v>679</v>
      </c>
      <c r="C40" s="6" t="s">
        <v>499</v>
      </c>
      <c r="D40" s="59">
        <v>2.76E-2</v>
      </c>
      <c r="E40" s="28">
        <f>'10_계열편향'!C16</f>
        <v>2.7563069476704727E-2</v>
      </c>
      <c r="F40" s="60">
        <f t="shared" si="2"/>
        <v>-3.6930523295272688E-5</v>
      </c>
      <c r="G40" s="4" t="str">
        <f t="shared" si="3"/>
        <v>일치</v>
      </c>
      <c r="H40" s="61">
        <v>2.0000000000000001E-4</v>
      </c>
    </row>
    <row r="41" spans="1:8">
      <c r="A41" s="2">
        <v>37</v>
      </c>
      <c r="B41" s="2" t="s">
        <v>679</v>
      </c>
      <c r="C41" s="6" t="s">
        <v>500</v>
      </c>
      <c r="D41" s="59">
        <v>7.1000000000000004E-3</v>
      </c>
      <c r="E41" s="28">
        <f>'10_계열편향'!C17</f>
        <v>7.0912268506123644E-3</v>
      </c>
      <c r="F41" s="60">
        <f t="shared" si="2"/>
        <v>-8.7731493876360561E-6</v>
      </c>
      <c r="G41" s="4" t="str">
        <f t="shared" si="3"/>
        <v>일치</v>
      </c>
      <c r="H41" s="61">
        <v>2.0000000000000001E-4</v>
      </c>
    </row>
    <row r="42" spans="1:8">
      <c r="A42" s="2">
        <v>38</v>
      </c>
      <c r="B42" s="2" t="s">
        <v>679</v>
      </c>
      <c r="C42" s="6" t="s">
        <v>501</v>
      </c>
      <c r="D42" s="59">
        <v>2.3E-2</v>
      </c>
      <c r="E42" s="28">
        <f>'10_계열편향'!C18</f>
        <v>2.295370583416334E-2</v>
      </c>
      <c r="F42" s="60">
        <f t="shared" si="2"/>
        <v>-4.6294165836659185E-5</v>
      </c>
      <c r="G42" s="4" t="str">
        <f t="shared" si="3"/>
        <v>일치</v>
      </c>
      <c r="H42" s="61">
        <v>2.0000000000000001E-4</v>
      </c>
    </row>
    <row r="43" spans="1:8">
      <c r="A43" s="2">
        <v>39</v>
      </c>
      <c r="B43" s="11" t="s">
        <v>683</v>
      </c>
      <c r="C43" s="4" t="s">
        <v>684</v>
      </c>
      <c r="D43" s="59">
        <v>0.66039999999999999</v>
      </c>
      <c r="E43" s="28">
        <f>'10_계열편향'!C22</f>
        <v>0.66043126744518876</v>
      </c>
      <c r="F43" s="60">
        <f t="shared" si="2"/>
        <v>3.1267445188776222E-5</v>
      </c>
      <c r="G43" s="4" t="str">
        <f t="shared" si="3"/>
        <v>일치</v>
      </c>
      <c r="H43" s="61">
        <v>1E-4</v>
      </c>
    </row>
    <row r="44" spans="1:8">
      <c r="A44" s="2">
        <v>40</v>
      </c>
      <c r="B44" s="11" t="s">
        <v>683</v>
      </c>
      <c r="C44" s="4" t="s">
        <v>685</v>
      </c>
      <c r="D44" s="59">
        <v>0.60760000000000003</v>
      </c>
      <c r="E44" s="28">
        <f>'10_계열편향'!C23</f>
        <v>0.60757773054598019</v>
      </c>
      <c r="F44" s="60">
        <f t="shared" si="2"/>
        <v>-2.2269454019840929E-5</v>
      </c>
      <c r="G44" s="4" t="str">
        <f t="shared" si="3"/>
        <v>일치</v>
      </c>
      <c r="H44" s="61">
        <v>1E-4</v>
      </c>
    </row>
    <row r="45" spans="1:8">
      <c r="A45" s="2">
        <v>41</v>
      </c>
      <c r="B45" s="11" t="s">
        <v>683</v>
      </c>
      <c r="C45" s="4" t="s">
        <v>686</v>
      </c>
      <c r="D45" s="59">
        <v>5.2999999999999999E-2</v>
      </c>
      <c r="E45" s="28">
        <f>'10_계열편향'!C24</f>
        <v>5.2853536899208575E-2</v>
      </c>
      <c r="F45" s="60">
        <f t="shared" si="2"/>
        <v>-1.4646310079142327E-4</v>
      </c>
      <c r="G45" s="4" t="str">
        <f t="shared" si="3"/>
        <v>일치</v>
      </c>
      <c r="H45" s="61">
        <v>5.9999999999999995E-4</v>
      </c>
    </row>
    <row r="46" spans="1:8">
      <c r="A46" s="2">
        <v>42</v>
      </c>
      <c r="B46" s="11" t="s">
        <v>683</v>
      </c>
      <c r="C46" s="6" t="s">
        <v>687</v>
      </c>
      <c r="D46" s="62">
        <v>107366</v>
      </c>
      <c r="E46" s="33">
        <f>'10_계열편향'!E22</f>
        <v>107366</v>
      </c>
      <c r="F46" s="60">
        <f t="shared" si="2"/>
        <v>0</v>
      </c>
      <c r="G46" s="4" t="str">
        <f t="shared" si="3"/>
        <v>일치</v>
      </c>
      <c r="H46" s="61">
        <v>1</v>
      </c>
    </row>
    <row r="47" spans="1:8">
      <c r="A47" s="2">
        <v>43</v>
      </c>
      <c r="B47" s="11" t="s">
        <v>683</v>
      </c>
      <c r="C47" s="6" t="s">
        <v>490</v>
      </c>
      <c r="D47" s="59">
        <v>0.41199999999999998</v>
      </c>
      <c r="E47" s="28">
        <f>'10_계열편향'!H22</f>
        <v>0.41178172255095324</v>
      </c>
      <c r="F47" s="60">
        <f t="shared" si="2"/>
        <v>-2.1827744904673319E-4</v>
      </c>
      <c r="G47" s="4" t="str">
        <f t="shared" si="3"/>
        <v>일치</v>
      </c>
      <c r="H47" s="61">
        <v>1.5E-3</v>
      </c>
    </row>
    <row r="48" spans="1:8">
      <c r="A48" s="2">
        <v>44</v>
      </c>
      <c r="B48" s="11" t="s">
        <v>63</v>
      </c>
      <c r="C48" s="4" t="s">
        <v>688</v>
      </c>
      <c r="D48" s="59">
        <v>0.45800000000000002</v>
      </c>
      <c r="E48" s="28">
        <f>'11_문서단위'!G80</f>
        <v>0.45407403158251913</v>
      </c>
      <c r="F48" s="60">
        <f t="shared" si="2"/>
        <v>-3.9259684174808851E-3</v>
      </c>
      <c r="G48" s="4" t="str">
        <f t="shared" si="3"/>
        <v>일치</v>
      </c>
      <c r="H48" s="61">
        <v>0.01</v>
      </c>
    </row>
    <row r="49" spans="1:8">
      <c r="A49" s="2">
        <v>45</v>
      </c>
      <c r="B49" s="11" t="s">
        <v>42</v>
      </c>
      <c r="C49" s="6" t="s">
        <v>689</v>
      </c>
      <c r="D49" s="59">
        <v>4.9630000000000001</v>
      </c>
      <c r="E49" s="28">
        <f>'05B_가정검정'!B37</f>
        <v>4.9627946564120053</v>
      </c>
      <c r="F49" s="60">
        <f t="shared" si="2"/>
        <v>-2.0534358799473296E-4</v>
      </c>
      <c r="G49" s="4" t="str">
        <f t="shared" si="3"/>
        <v>일치</v>
      </c>
      <c r="H49" s="61">
        <v>5.9999999999999995E-4</v>
      </c>
    </row>
    <row r="50" spans="1:8">
      <c r="A50" s="2">
        <v>46</v>
      </c>
      <c r="B50" s="11" t="s">
        <v>42</v>
      </c>
      <c r="C50" s="6" t="s">
        <v>690</v>
      </c>
      <c r="D50" s="59">
        <v>14</v>
      </c>
      <c r="E50" s="28">
        <f>'05B_가정검정'!B35</f>
        <v>14</v>
      </c>
      <c r="F50" s="60">
        <f t="shared" si="2"/>
        <v>0</v>
      </c>
      <c r="G50" s="4" t="str">
        <f t="shared" si="3"/>
        <v>일치</v>
      </c>
      <c r="H50" s="61">
        <v>0</v>
      </c>
    </row>
    <row r="51" spans="1:8">
      <c r="A51" s="2">
        <v>47</v>
      </c>
      <c r="B51" s="11" t="s">
        <v>42</v>
      </c>
      <c r="C51" s="6" t="s">
        <v>691</v>
      </c>
      <c r="D51" s="62">
        <v>960</v>
      </c>
      <c r="E51" s="33">
        <f>'05B_가정검정'!B36</f>
        <v>960</v>
      </c>
      <c r="F51" s="60">
        <f t="shared" si="2"/>
        <v>0</v>
      </c>
      <c r="G51" s="4" t="str">
        <f t="shared" si="3"/>
        <v>일치</v>
      </c>
      <c r="H51" s="61">
        <v>0</v>
      </c>
    </row>
    <row r="52" spans="1:8">
      <c r="A52" s="2">
        <v>48</v>
      </c>
      <c r="B52" s="11" t="s">
        <v>42</v>
      </c>
      <c r="C52" s="4" t="s">
        <v>692</v>
      </c>
      <c r="D52" s="59">
        <v>-2.4</v>
      </c>
      <c r="E52" s="28">
        <f>'05B_가정검정'!B43</f>
        <v>-2.3995564045431053</v>
      </c>
      <c r="F52" s="60">
        <f t="shared" si="2"/>
        <v>4.4359545689465207E-4</v>
      </c>
      <c r="G52" s="4" t="str">
        <f t="shared" si="3"/>
        <v>일치</v>
      </c>
      <c r="H52" s="61">
        <v>5.9999999999999995E-4</v>
      </c>
    </row>
    <row r="53" spans="1:8">
      <c r="A53" s="2">
        <v>49</v>
      </c>
      <c r="B53" s="11" t="s">
        <v>42</v>
      </c>
      <c r="C53" s="4" t="s">
        <v>693</v>
      </c>
      <c r="D53" s="59">
        <v>15.849</v>
      </c>
      <c r="E53" s="28">
        <f>'05B_가정검정'!B44</f>
        <v>15.849145434858283</v>
      </c>
      <c r="F53" s="60">
        <f t="shared" si="2"/>
        <v>1.4543485828255598E-4</v>
      </c>
      <c r="G53" s="4" t="str">
        <f t="shared" si="3"/>
        <v>일치</v>
      </c>
      <c r="H53" s="61">
        <v>5.9999999999999995E-4</v>
      </c>
    </row>
    <row r="54" spans="1:8">
      <c r="A54" s="2">
        <v>50</v>
      </c>
      <c r="B54" s="11" t="s">
        <v>683</v>
      </c>
      <c r="C54" s="4" t="s">
        <v>694</v>
      </c>
      <c r="D54" s="59">
        <v>1.1000000000000001</v>
      </c>
      <c r="E54" s="28">
        <f>'10B_문서단위잔차'!B92</f>
        <v>1.1003521872458653</v>
      </c>
      <c r="F54" s="60">
        <f t="shared" si="2"/>
        <v>3.5218724586516537E-4</v>
      </c>
      <c r="G54" s="4" t="str">
        <f t="shared" si="3"/>
        <v>일치</v>
      </c>
      <c r="H54" s="61">
        <v>5.9999999999999995E-4</v>
      </c>
    </row>
    <row r="55" spans="1:8">
      <c r="A55" s="2">
        <v>51</v>
      </c>
      <c r="B55" s="11" t="s">
        <v>683</v>
      </c>
      <c r="C55" s="4" t="s">
        <v>695</v>
      </c>
      <c r="D55" s="59">
        <v>0.29399999999999998</v>
      </c>
      <c r="E55" s="28">
        <f>'10B_문서단위잔차'!B94</f>
        <v>0.29418882692521159</v>
      </c>
      <c r="F55" s="60">
        <f t="shared" si="2"/>
        <v>1.8882692521160482E-4</v>
      </c>
      <c r="G55" s="4" t="str">
        <f t="shared" si="3"/>
        <v>일치</v>
      </c>
      <c r="H55" s="61">
        <v>5.9999999999999995E-4</v>
      </c>
    </row>
    <row r="56" spans="1:8">
      <c r="A56" s="2">
        <v>52</v>
      </c>
      <c r="B56" s="11" t="s">
        <v>683</v>
      </c>
      <c r="C56" s="4" t="s">
        <v>696</v>
      </c>
      <c r="D56" s="59">
        <v>78.5</v>
      </c>
      <c r="E56" s="28">
        <f>('10B_문서단위잔차'!E83)*100</f>
        <v>78.494623655913969</v>
      </c>
      <c r="F56" s="60">
        <f t="shared" si="2"/>
        <v>-5.3763440860308265E-3</v>
      </c>
      <c r="G56" s="4" t="str">
        <f t="shared" si="3"/>
        <v>일치</v>
      </c>
      <c r="H56" s="61">
        <v>0.06</v>
      </c>
    </row>
    <row r="57" spans="1:8">
      <c r="A57" s="2">
        <v>53</v>
      </c>
      <c r="B57" s="11" t="s">
        <v>683</v>
      </c>
      <c r="C57" s="4" t="s">
        <v>697</v>
      </c>
      <c r="D57" s="59">
        <v>85.3</v>
      </c>
      <c r="E57" s="28">
        <f>('10B_문서단위잔차'!E84)*100</f>
        <v>85.294117647058826</v>
      </c>
      <c r="F57" s="60">
        <f t="shared" si="2"/>
        <v>-5.8823529411711206E-3</v>
      </c>
      <c r="G57" s="4" t="str">
        <f t="shared" si="3"/>
        <v>일치</v>
      </c>
      <c r="H57" s="61">
        <v>0.06</v>
      </c>
    </row>
    <row r="58" spans="1:8">
      <c r="A58" s="2">
        <v>54</v>
      </c>
      <c r="B58" s="11" t="s">
        <v>63</v>
      </c>
      <c r="C58" s="6" t="s">
        <v>698</v>
      </c>
      <c r="D58" s="59">
        <v>0.63200000000000001</v>
      </c>
      <c r="E58" s="28">
        <f>'13C_보조모형'!D7</f>
        <v>0.63196901522947613</v>
      </c>
      <c r="F58" s="60">
        <f t="shared" si="2"/>
        <v>-3.0984770523878602E-5</v>
      </c>
      <c r="G58" s="4" t="str">
        <f t="shared" si="3"/>
        <v>일치</v>
      </c>
      <c r="H58" s="61">
        <v>1.5E-3</v>
      </c>
    </row>
    <row r="59" spans="1:8">
      <c r="A59" s="2">
        <v>55</v>
      </c>
      <c r="B59" s="11" t="s">
        <v>63</v>
      </c>
      <c r="C59" s="6" t="s">
        <v>699</v>
      </c>
      <c r="D59" s="59">
        <v>0.58099999999999996</v>
      </c>
      <c r="E59" s="28">
        <f>'13C_보조모형'!E7</f>
        <v>0.58062240207728122</v>
      </c>
      <c r="F59" s="60">
        <f t="shared" si="2"/>
        <v>-3.7759792271874204E-4</v>
      </c>
      <c r="G59" s="4" t="str">
        <f t="shared" si="3"/>
        <v>일치</v>
      </c>
      <c r="H59" s="61">
        <v>1.5E-3</v>
      </c>
    </row>
    <row r="60" spans="1:8">
      <c r="A60" s="2">
        <v>56</v>
      </c>
      <c r="B60" s="11" t="s">
        <v>63</v>
      </c>
      <c r="C60" s="4" t="s">
        <v>700</v>
      </c>
      <c r="D60" s="59">
        <v>8.4000000000000005E-2</v>
      </c>
      <c r="E60" s="28">
        <f>'13C_보조모형'!D8</f>
        <v>8.4365252034790061E-2</v>
      </c>
      <c r="F60" s="60">
        <f t="shared" si="2"/>
        <v>3.6525203479005619E-4</v>
      </c>
      <c r="G60" s="4" t="str">
        <f t="shared" si="3"/>
        <v>일치</v>
      </c>
      <c r="H60" s="61">
        <v>1.5E-3</v>
      </c>
    </row>
    <row r="61" spans="1:8">
      <c r="A61" s="2">
        <v>57</v>
      </c>
      <c r="B61" s="11" t="s">
        <v>63</v>
      </c>
      <c r="C61" s="6" t="s">
        <v>701</v>
      </c>
      <c r="D61" s="59">
        <v>-0.42699999999999999</v>
      </c>
      <c r="E61" s="28">
        <f>'13C_보조모형'!D16</f>
        <v>-0.42696678321678322</v>
      </c>
      <c r="F61" s="60">
        <f t="shared" si="2"/>
        <v>3.3216783216771795E-5</v>
      </c>
      <c r="G61" s="4" t="str">
        <f t="shared" si="3"/>
        <v>일치</v>
      </c>
      <c r="H61" s="61">
        <v>1.5E-3</v>
      </c>
    </row>
    <row r="62" spans="1:8">
      <c r="A62" s="2">
        <v>58</v>
      </c>
      <c r="B62" s="11" t="s">
        <v>63</v>
      </c>
      <c r="C62" s="6" t="s">
        <v>702</v>
      </c>
      <c r="D62" s="59">
        <v>0.13500000000000001</v>
      </c>
      <c r="E62" s="28">
        <f>'13C_보조모형'!D17</f>
        <v>0.1353734739473198</v>
      </c>
      <c r="F62" s="60">
        <f t="shared" si="2"/>
        <v>3.7347394731979122E-4</v>
      </c>
      <c r="G62" s="4" t="str">
        <f t="shared" si="3"/>
        <v>일치</v>
      </c>
      <c r="H62" s="61">
        <v>1.5E-3</v>
      </c>
    </row>
    <row r="63" spans="1:8">
      <c r="A63" s="2">
        <v>59</v>
      </c>
      <c r="B63" s="11" t="s">
        <v>63</v>
      </c>
      <c r="C63" s="6" t="s">
        <v>703</v>
      </c>
      <c r="D63" s="59">
        <v>0.67300000000000004</v>
      </c>
      <c r="E63" s="28">
        <f>'12_사후회귀'!B97</f>
        <v>0.67306407163590132</v>
      </c>
      <c r="F63" s="60">
        <f t="shared" si="2"/>
        <v>6.4071635901274959E-5</v>
      </c>
      <c r="G63" s="4" t="str">
        <f t="shared" si="3"/>
        <v>일치</v>
      </c>
      <c r="H63" s="61">
        <v>1.5E-3</v>
      </c>
    </row>
    <row r="64" spans="1:8">
      <c r="A64" s="2">
        <v>60</v>
      </c>
      <c r="B64" s="11" t="s">
        <v>63</v>
      </c>
      <c r="C64" s="6" t="s">
        <v>704</v>
      </c>
      <c r="D64" s="59">
        <v>0.66200000000000003</v>
      </c>
      <c r="E64" s="28">
        <f>'12_사후회귀'!B98</f>
        <v>0.6625177513660917</v>
      </c>
      <c r="F64" s="60">
        <f t="shared" si="2"/>
        <v>5.1775136609166772E-4</v>
      </c>
      <c r="G64" s="4" t="str">
        <f t="shared" si="3"/>
        <v>일치</v>
      </c>
      <c r="H64" s="61">
        <v>1.5E-3</v>
      </c>
    </row>
    <row r="65" spans="1:8">
      <c r="A65" s="2">
        <v>61</v>
      </c>
      <c r="B65" s="11" t="s">
        <v>63</v>
      </c>
      <c r="C65" s="6" t="s">
        <v>705</v>
      </c>
      <c r="D65" s="59">
        <v>63.8</v>
      </c>
      <c r="E65" s="28">
        <f>'12_사후회귀'!B99</f>
        <v>63.819802017832181</v>
      </c>
      <c r="F65" s="60">
        <f t="shared" si="2"/>
        <v>1.9802017832184049E-2</v>
      </c>
      <c r="G65" s="4" t="str">
        <f t="shared" si="3"/>
        <v>일치</v>
      </c>
      <c r="H65" s="61">
        <v>0.5</v>
      </c>
    </row>
    <row r="66" spans="1:8">
      <c r="A66" s="2">
        <v>62</v>
      </c>
      <c r="B66" s="11" t="s">
        <v>63</v>
      </c>
      <c r="C66" s="6" t="s">
        <v>706</v>
      </c>
      <c r="D66" s="59">
        <v>0.60399999999999998</v>
      </c>
      <c r="E66" s="28">
        <f>'12_사후회귀'!B102</f>
        <v>0.60393055848299315</v>
      </c>
      <c r="F66" s="60">
        <f t="shared" si="2"/>
        <v>-6.9441517006829656E-5</v>
      </c>
      <c r="G66" s="4" t="str">
        <f t="shared" si="3"/>
        <v>일치</v>
      </c>
      <c r="H66" s="61">
        <v>1.5E-3</v>
      </c>
    </row>
    <row r="67" spans="1:8">
      <c r="A67" s="2">
        <v>63</v>
      </c>
      <c r="B67" s="11" t="s">
        <v>63</v>
      </c>
      <c r="C67" s="6" t="s">
        <v>707</v>
      </c>
      <c r="D67" s="59">
        <v>3.5999999999999997E-2</v>
      </c>
      <c r="E67" s="28">
        <f>'13C_보조모형'!D10</f>
        <v>3.5685348698206852E-2</v>
      </c>
      <c r="F67" s="60">
        <f t="shared" si="2"/>
        <v>-3.1465130179314516E-4</v>
      </c>
      <c r="G67" s="4" t="str">
        <f t="shared" si="3"/>
        <v>일치</v>
      </c>
      <c r="H67" s="61">
        <v>1.5E-3</v>
      </c>
    </row>
    <row r="68" spans="1:8">
      <c r="A68" s="2">
        <v>64</v>
      </c>
      <c r="B68" s="11" t="s">
        <v>63</v>
      </c>
      <c r="C68" s="4" t="s">
        <v>708</v>
      </c>
      <c r="D68" s="59">
        <v>4.2000000000000003E-2</v>
      </c>
      <c r="E68" s="28">
        <f>'13C_보조모형'!D11</f>
        <v>4.2012113297649735E-2</v>
      </c>
      <c r="F68" s="60">
        <f t="shared" si="2"/>
        <v>1.2113297649732346E-5</v>
      </c>
      <c r="G68" s="4" t="str">
        <f t="shared" si="3"/>
        <v>일치</v>
      </c>
      <c r="H68" s="61">
        <v>1.5E-3</v>
      </c>
    </row>
    <row r="69" spans="1:8">
      <c r="A69" s="2">
        <v>65</v>
      </c>
      <c r="B69" s="11" t="s">
        <v>63</v>
      </c>
      <c r="C69" s="4" t="s">
        <v>709</v>
      </c>
      <c r="D69" s="59">
        <v>0.60099999999999998</v>
      </c>
      <c r="E69" s="28">
        <f>'13C_보조모형'!D9</f>
        <v>0.60096612411888961</v>
      </c>
      <c r="F69" s="60">
        <f t="shared" ref="F69:F100" si="4">E69-D69</f>
        <v>-3.3875881110367878E-5</v>
      </c>
      <c r="G69" s="4" t="str">
        <f t="shared" ref="G69:G100" si="5">IF(ABS(F69)&lt;=H69,"일치","불일치")</f>
        <v>일치</v>
      </c>
      <c r="H69" s="61">
        <v>1.5E-3</v>
      </c>
    </row>
    <row r="70" spans="1:8">
      <c r="A70" s="2">
        <v>66</v>
      </c>
      <c r="B70" s="11" t="s">
        <v>63</v>
      </c>
      <c r="C70" s="4" t="s">
        <v>710</v>
      </c>
      <c r="D70" s="59">
        <v>0.53800000000000003</v>
      </c>
      <c r="E70" s="28">
        <f>'13C_보조모형'!E9</f>
        <v>0.53792476045584947</v>
      </c>
      <c r="F70" s="60">
        <f t="shared" si="4"/>
        <v>-7.5239544150562665E-5</v>
      </c>
      <c r="G70" s="4" t="str">
        <f t="shared" si="5"/>
        <v>일치</v>
      </c>
      <c r="H70" s="61">
        <v>1.5E-3</v>
      </c>
    </row>
    <row r="71" spans="1:8">
      <c r="A71" s="2">
        <v>67</v>
      </c>
      <c r="B71" s="11" t="s">
        <v>63</v>
      </c>
      <c r="C71" s="6" t="s">
        <v>711</v>
      </c>
      <c r="D71" s="59">
        <v>-0.84899999999999998</v>
      </c>
      <c r="E71" s="28">
        <f>'13C_보조모형'!D18</f>
        <v>-0.84904916865561963</v>
      </c>
      <c r="F71" s="60">
        <f t="shared" si="4"/>
        <v>-4.9168655619657997E-5</v>
      </c>
      <c r="G71" s="4" t="str">
        <f t="shared" si="5"/>
        <v>일치</v>
      </c>
      <c r="H71" s="61">
        <v>1.5E-3</v>
      </c>
    </row>
    <row r="72" spans="1:8">
      <c r="A72" s="2">
        <v>68</v>
      </c>
      <c r="B72" s="11" t="s">
        <v>63</v>
      </c>
      <c r="C72" s="4" t="s">
        <v>712</v>
      </c>
      <c r="D72" s="59">
        <v>0.76</v>
      </c>
      <c r="E72" s="28">
        <f>'13_레퍼런스프리'!B101</f>
        <v>0.76044618457161461</v>
      </c>
      <c r="F72" s="60">
        <f t="shared" si="4"/>
        <v>4.4618457161460512E-4</v>
      </c>
      <c r="G72" s="4" t="str">
        <f t="shared" si="5"/>
        <v>일치</v>
      </c>
      <c r="H72" s="61">
        <v>1.5E-3</v>
      </c>
    </row>
    <row r="73" spans="1:8">
      <c r="A73" s="2">
        <v>69</v>
      </c>
      <c r="B73" s="11" t="s">
        <v>63</v>
      </c>
      <c r="C73" s="4" t="s">
        <v>713</v>
      </c>
      <c r="D73" s="59">
        <v>0.749</v>
      </c>
      <c r="E73" s="28">
        <f>'13_레퍼런스프리'!B102</f>
        <v>0.74866484938661204</v>
      </c>
      <c r="F73" s="60">
        <f t="shared" si="4"/>
        <v>-3.3515061338795782E-4</v>
      </c>
      <c r="G73" s="4" t="str">
        <f t="shared" si="5"/>
        <v>일치</v>
      </c>
      <c r="H73" s="61">
        <v>1.5E-3</v>
      </c>
    </row>
    <row r="74" spans="1:8">
      <c r="A74" s="2">
        <v>70</v>
      </c>
      <c r="B74" s="11" t="s">
        <v>63</v>
      </c>
      <c r="C74" s="4" t="s">
        <v>714</v>
      </c>
      <c r="D74" s="59">
        <v>0.68799999999999994</v>
      </c>
      <c r="E74" s="28">
        <f>'13_레퍼런스프리'!B106</f>
        <v>0.68835678286561064</v>
      </c>
      <c r="F74" s="60">
        <f t="shared" si="4"/>
        <v>3.5678286561069417E-4</v>
      </c>
      <c r="G74" s="4" t="str">
        <f t="shared" si="5"/>
        <v>일치</v>
      </c>
      <c r="H74" s="61">
        <v>1.5E-3</v>
      </c>
    </row>
    <row r="75" spans="1:8">
      <c r="A75" s="2">
        <v>71</v>
      </c>
      <c r="B75" s="11" t="s">
        <v>63</v>
      </c>
      <c r="C75" s="4" t="s">
        <v>715</v>
      </c>
      <c r="D75" s="59">
        <v>0.375</v>
      </c>
      <c r="E75" s="28">
        <f>'13B_레퍼런스프리_어휘의미'!B101</f>
        <v>0.37483101531581453</v>
      </c>
      <c r="F75" s="60">
        <f t="shared" si="4"/>
        <v>-1.6898468418546919E-4</v>
      </c>
      <c r="G75" s="4" t="str">
        <f t="shared" si="5"/>
        <v>일치</v>
      </c>
      <c r="H75" s="61">
        <v>1.5E-3</v>
      </c>
    </row>
    <row r="76" spans="1:8">
      <c r="A76" s="2">
        <v>72</v>
      </c>
      <c r="B76" s="11" t="s">
        <v>63</v>
      </c>
      <c r="C76" s="4" t="s">
        <v>716</v>
      </c>
      <c r="D76" s="59">
        <v>0.247</v>
      </c>
      <c r="E76" s="28">
        <f>'13B_레퍼런스프리_어휘의미'!B106</f>
        <v>0.24690253675911655</v>
      </c>
      <c r="F76" s="60">
        <f t="shared" si="4"/>
        <v>-9.7463240883444158E-5</v>
      </c>
      <c r="G76" s="4" t="str">
        <f t="shared" si="5"/>
        <v>일치</v>
      </c>
      <c r="H76" s="61">
        <v>1.5E-3</v>
      </c>
    </row>
    <row r="77" spans="1:8">
      <c r="A77" s="2">
        <v>73</v>
      </c>
      <c r="B77" s="2" t="s">
        <v>33</v>
      </c>
      <c r="C77" s="6" t="s">
        <v>717</v>
      </c>
      <c r="D77" s="59">
        <v>0.98699999999999999</v>
      </c>
      <c r="E77" s="28">
        <f>'03_가중치민감도'!K6</f>
        <v>0.98658158786714334</v>
      </c>
      <c r="F77" s="60">
        <f t="shared" si="4"/>
        <v>-4.1841213285664924E-4</v>
      </c>
      <c r="G77" s="4" t="str">
        <f t="shared" si="5"/>
        <v>일치</v>
      </c>
      <c r="H77" s="61">
        <v>5.9999999999999995E-4</v>
      </c>
    </row>
    <row r="78" spans="1:8">
      <c r="A78" s="2">
        <v>74</v>
      </c>
      <c r="B78" s="2" t="s">
        <v>33</v>
      </c>
      <c r="C78" s="6" t="s">
        <v>718</v>
      </c>
      <c r="D78" s="59">
        <v>0.998</v>
      </c>
      <c r="E78" s="28">
        <f>'03_가중치민감도'!K7</f>
        <v>0.99818712761302042</v>
      </c>
      <c r="F78" s="60">
        <f t="shared" si="4"/>
        <v>1.8712761302042136E-4</v>
      </c>
      <c r="G78" s="4" t="str">
        <f t="shared" si="5"/>
        <v>일치</v>
      </c>
      <c r="H78" s="61">
        <v>5.9999999999999995E-4</v>
      </c>
    </row>
    <row r="79" spans="1:8">
      <c r="A79" s="2">
        <v>75</v>
      </c>
      <c r="B79" s="2" t="s">
        <v>33</v>
      </c>
      <c r="C79" s="6" t="s">
        <v>719</v>
      </c>
      <c r="D79" s="59">
        <v>0.98699999999999999</v>
      </c>
      <c r="E79" s="28">
        <f>'03_가중치민감도'!K8</f>
        <v>0.98722101240059967</v>
      </c>
      <c r="F79" s="60">
        <f t="shared" si="4"/>
        <v>2.2101240059968497E-4</v>
      </c>
      <c r="G79" s="4" t="str">
        <f t="shared" si="5"/>
        <v>일치</v>
      </c>
      <c r="H79" s="61">
        <v>5.9999999999999995E-4</v>
      </c>
    </row>
    <row r="80" spans="1:8">
      <c r="A80" s="2">
        <v>76</v>
      </c>
      <c r="B80" s="2" t="s">
        <v>33</v>
      </c>
      <c r="C80" s="6" t="s">
        <v>720</v>
      </c>
      <c r="D80" s="59">
        <v>0.995</v>
      </c>
      <c r="E80" s="28">
        <f>'03_가중치민감도'!K9</f>
        <v>0.99476358848341873</v>
      </c>
      <c r="F80" s="60">
        <f t="shared" si="4"/>
        <v>-2.3641151658126969E-4</v>
      </c>
      <c r="G80" s="4" t="str">
        <f t="shared" si="5"/>
        <v>일치</v>
      </c>
      <c r="H80" s="61">
        <v>5.9999999999999995E-4</v>
      </c>
    </row>
    <row r="81" spans="1:8">
      <c r="A81" s="2">
        <v>77</v>
      </c>
      <c r="B81" s="2" t="s">
        <v>33</v>
      </c>
      <c r="C81" s="6" t="s">
        <v>721</v>
      </c>
      <c r="D81" s="59">
        <v>0.99</v>
      </c>
      <c r="E81" s="28">
        <f>'03_가중치민감도'!K10</f>
        <v>0.98969631607158115</v>
      </c>
      <c r="F81" s="60">
        <f t="shared" si="4"/>
        <v>-3.0368392841884084E-4</v>
      </c>
      <c r="G81" s="4" t="str">
        <f t="shared" si="5"/>
        <v>일치</v>
      </c>
      <c r="H81" s="61">
        <v>5.9999999999999995E-4</v>
      </c>
    </row>
    <row r="82" spans="1:8">
      <c r="A82" s="2">
        <v>78</v>
      </c>
      <c r="B82" s="2" t="s">
        <v>33</v>
      </c>
      <c r="C82" s="6" t="s">
        <v>722</v>
      </c>
      <c r="D82" s="59">
        <v>0.65069999999999995</v>
      </c>
      <c r="E82" s="28">
        <f>'03_가중치민감도'!E8</f>
        <v>0.65068827094787729</v>
      </c>
      <c r="F82" s="60">
        <f t="shared" si="4"/>
        <v>-1.1729052122655403E-5</v>
      </c>
      <c r="G82" s="4" t="str">
        <f t="shared" si="5"/>
        <v>일치</v>
      </c>
      <c r="H82" s="61">
        <v>1E-4</v>
      </c>
    </row>
    <row r="83" spans="1:8">
      <c r="A83" s="2">
        <v>79</v>
      </c>
      <c r="B83" s="2" t="s">
        <v>33</v>
      </c>
      <c r="C83" s="6" t="s">
        <v>723</v>
      </c>
      <c r="D83" s="59">
        <v>0.74850000000000005</v>
      </c>
      <c r="E83" s="28">
        <f>'03_가중치민감도'!E10</f>
        <v>0.74854711817837249</v>
      </c>
      <c r="F83" s="60">
        <f t="shared" si="4"/>
        <v>4.7118178372440589E-5</v>
      </c>
      <c r="G83" s="4" t="str">
        <f t="shared" si="5"/>
        <v>일치</v>
      </c>
      <c r="H83" s="61">
        <v>1E-4</v>
      </c>
    </row>
    <row r="84" spans="1:8">
      <c r="A84" s="2">
        <v>80</v>
      </c>
      <c r="B84" s="11" t="s">
        <v>724</v>
      </c>
      <c r="C84" s="6" t="s">
        <v>725</v>
      </c>
      <c r="D84" s="59">
        <v>0.4783</v>
      </c>
      <c r="E84" s="28">
        <f>AVERAGE('01_원자료'!$N$2:$N$976)</f>
        <v>0.47825086195405747</v>
      </c>
      <c r="F84" s="60">
        <f t="shared" si="4"/>
        <v>-4.9138045942531683E-5</v>
      </c>
      <c r="G84" s="4" t="str">
        <f t="shared" si="5"/>
        <v>일치</v>
      </c>
      <c r="H84" s="61">
        <v>2.0000000000000001E-4</v>
      </c>
    </row>
    <row r="85" spans="1:8">
      <c r="A85" s="2">
        <v>81</v>
      </c>
      <c r="B85" s="11" t="s">
        <v>724</v>
      </c>
      <c r="C85" s="4" t="s">
        <v>726</v>
      </c>
      <c r="D85" s="62">
        <v>975</v>
      </c>
      <c r="E85" s="33">
        <f>COUNT('01_원자료'!$S$2:$S$976)</f>
        <v>975</v>
      </c>
      <c r="F85" s="60">
        <f t="shared" si="4"/>
        <v>0</v>
      </c>
      <c r="G85" s="4" t="str">
        <f t="shared" si="5"/>
        <v>일치</v>
      </c>
      <c r="H85" s="61">
        <v>0</v>
      </c>
    </row>
    <row r="86" spans="1:8">
      <c r="A86" s="2">
        <v>82</v>
      </c>
      <c r="B86" s="11" t="s">
        <v>724</v>
      </c>
      <c r="C86" s="4" t="s">
        <v>727</v>
      </c>
      <c r="D86" s="59">
        <v>65</v>
      </c>
      <c r="E86" s="28">
        <f>COUNTA('11_문서단위'!A5:A69)</f>
        <v>65</v>
      </c>
      <c r="F86" s="60">
        <f t="shared" si="4"/>
        <v>0</v>
      </c>
      <c r="G86" s="4" t="str">
        <f t="shared" si="5"/>
        <v>일치</v>
      </c>
      <c r="H86" s="61">
        <v>0</v>
      </c>
    </row>
    <row r="88" spans="1:8">
      <c r="A88" s="3" t="s">
        <v>728</v>
      </c>
    </row>
    <row r="89" spans="1:8">
      <c r="A89" s="4" t="s">
        <v>729</v>
      </c>
      <c r="B89" s="13">
        <f>COUNTIF(G5:G86,"일치")+COUNTIF(G5:G86,"불일치")</f>
        <v>82</v>
      </c>
    </row>
    <row r="90" spans="1:8">
      <c r="A90" s="4" t="s">
        <v>730</v>
      </c>
      <c r="B90" s="63">
        <f>COUNTIF(G5:G86,"일치")</f>
        <v>82</v>
      </c>
    </row>
    <row r="91" spans="1:8">
      <c r="A91" s="4" t="s">
        <v>731</v>
      </c>
      <c r="B91" s="64">
        <f>COUNTIF(G5:G86,"불일치")</f>
        <v>0</v>
      </c>
    </row>
    <row r="92" spans="1:8">
      <c r="A92" s="4" t="s">
        <v>732</v>
      </c>
      <c r="B92" s="12">
        <f>B90/B89</f>
        <v>1</v>
      </c>
    </row>
    <row r="94" spans="1:8">
      <c r="A94" s="2" t="s">
        <v>733</v>
      </c>
    </row>
    <row r="95" spans="1:8">
      <c r="A95" s="2" t="s">
        <v>734</v>
      </c>
    </row>
    <row r="97" spans="1:5">
      <c r="A97" s="3" t="s">
        <v>735</v>
      </c>
    </row>
    <row r="98" spans="1:5">
      <c r="A98" s="2" t="s">
        <v>736</v>
      </c>
    </row>
    <row r="99" spans="1:5" ht="26.4">
      <c r="A99" s="10" t="s">
        <v>646</v>
      </c>
      <c r="B99" s="10" t="s">
        <v>398</v>
      </c>
      <c r="C99" s="10" t="s">
        <v>737</v>
      </c>
      <c r="D99" s="10" t="s">
        <v>738</v>
      </c>
      <c r="E99" s="10" t="s">
        <v>739</v>
      </c>
    </row>
    <row r="100" spans="1:5">
      <c r="A100" s="11" t="s">
        <v>63</v>
      </c>
      <c r="B100" s="4" t="s">
        <v>712</v>
      </c>
      <c r="C100" s="65">
        <v>0.74099999999999999</v>
      </c>
      <c r="D100" s="66">
        <v>0.76</v>
      </c>
      <c r="E100" s="2" t="s">
        <v>740</v>
      </c>
    </row>
    <row r="101" spans="1:5">
      <c r="A101" s="11" t="s">
        <v>63</v>
      </c>
      <c r="B101" s="4" t="s">
        <v>713</v>
      </c>
      <c r="C101" s="65">
        <v>0.72799999999999998</v>
      </c>
      <c r="D101" s="66">
        <v>0.749</v>
      </c>
      <c r="E101" s="2" t="s">
        <v>740</v>
      </c>
    </row>
    <row r="102" spans="1:5">
      <c r="A102" s="11" t="s">
        <v>63</v>
      </c>
      <c r="B102" s="4" t="s">
        <v>714</v>
      </c>
      <c r="C102" s="65">
        <v>0.67300000000000004</v>
      </c>
      <c r="D102" s="66">
        <v>0.68799999999999994</v>
      </c>
      <c r="E102" s="2" t="s">
        <v>740</v>
      </c>
    </row>
    <row r="103" spans="1:5">
      <c r="A103" s="11" t="s">
        <v>63</v>
      </c>
      <c r="B103" s="4" t="s">
        <v>715</v>
      </c>
      <c r="C103" s="65">
        <v>0.36699999999999999</v>
      </c>
      <c r="D103" s="66">
        <v>0.375</v>
      </c>
      <c r="E103" s="2" t="s">
        <v>740</v>
      </c>
    </row>
    <row r="104" spans="1:5">
      <c r="A104" s="11" t="s">
        <v>63</v>
      </c>
      <c r="B104" s="4" t="s">
        <v>716</v>
      </c>
      <c r="C104" s="65">
        <v>0.24199999999999999</v>
      </c>
      <c r="D104" s="66">
        <v>0.247</v>
      </c>
      <c r="E104" s="2" t="s">
        <v>740</v>
      </c>
    </row>
    <row r="105" spans="1:5">
      <c r="A105" s="11" t="s">
        <v>63</v>
      </c>
      <c r="B105" s="6" t="s">
        <v>706</v>
      </c>
      <c r="C105" s="65">
        <v>0.60699999999999998</v>
      </c>
      <c r="D105" s="66">
        <v>0.60399999999999998</v>
      </c>
      <c r="E105" s="2" t="s">
        <v>741</v>
      </c>
    </row>
    <row r="106" spans="1:5">
      <c r="A106" s="11" t="s">
        <v>63</v>
      </c>
      <c r="B106" s="4" t="s">
        <v>700</v>
      </c>
      <c r="C106" s="65">
        <v>8.5000000000000006E-2</v>
      </c>
      <c r="D106" s="66">
        <v>8.4000000000000005E-2</v>
      </c>
      <c r="E106" s="2" t="s">
        <v>741</v>
      </c>
    </row>
    <row r="107" spans="1:5">
      <c r="A107" s="11" t="s">
        <v>63</v>
      </c>
      <c r="B107" s="6" t="s">
        <v>701</v>
      </c>
      <c r="C107" s="65">
        <v>-0.40600000000000003</v>
      </c>
      <c r="D107" s="66">
        <v>-0.42699999999999999</v>
      </c>
      <c r="E107" s="2" t="s">
        <v>742</v>
      </c>
    </row>
    <row r="108" spans="1:5">
      <c r="A108" s="11" t="s">
        <v>63</v>
      </c>
      <c r="B108" s="6" t="s">
        <v>702</v>
      </c>
      <c r="C108" s="65">
        <v>0.115</v>
      </c>
      <c r="D108" s="66">
        <v>0.13500000000000001</v>
      </c>
      <c r="E108" s="2" t="s">
        <v>740</v>
      </c>
    </row>
    <row r="110" spans="1:5">
      <c r="A110" s="2" t="s">
        <v>743</v>
      </c>
    </row>
    <row r="111" spans="1:5">
      <c r="A111" s="2" t="s">
        <v>744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00_개요</vt:lpstr>
      <vt:lpstr>01_원자료</vt:lpstr>
      <vt:lpstr>02_지표정의</vt:lpstr>
      <vt:lpstr>03_가중치민감도</vt:lpstr>
      <vt:lpstr>03B_시나리오점수</vt:lpstr>
      <vt:lpstr>04_교차표</vt:lpstr>
      <vt:lpstr>05_이원분산분석</vt:lpstr>
      <vt:lpstr>05B_가정검정</vt:lpstr>
      <vt:lpstr>06_ICC</vt:lpstr>
      <vt:lpstr>07_관대함변별력</vt:lpstr>
      <vt:lpstr>08_KW_Holm</vt:lpstr>
      <vt:lpstr>09_12지표교차표</vt:lpstr>
      <vt:lpstr>10_계열편향</vt:lpstr>
      <vt:lpstr>10B_문서단위잔차</vt:lpstr>
      <vt:lpstr>11_문서단위</vt:lpstr>
      <vt:lpstr>12_사후회귀</vt:lpstr>
      <vt:lpstr>13_레퍼런스프리</vt:lpstr>
      <vt:lpstr>13B_레퍼런스프리_어휘의미</vt:lpstr>
      <vt:lpstr>13C_보조모형</vt:lpstr>
      <vt:lpstr>14_논문대조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Yong-Gyu Kim</cp:lastModifiedBy>
  <cp:revision>0</cp:revision>
  <dcterms:created xsi:type="dcterms:W3CDTF">2026-08-16T21:57:55Z</dcterms:created>
  <dcterms:modified xsi:type="dcterms:W3CDTF">2026-08-16T22:56:35Z</dcterms:modified>
  <dc:language>en-US</dc:language>
</cp:coreProperties>
</file>